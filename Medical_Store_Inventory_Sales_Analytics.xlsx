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7.xml.rels" ContentType="application/vnd.openxmlformats-package.relationships+xml"/>
  <Override PartName="/xl/worksheets/_rels/sheet6.xml.rels" ContentType="application/vnd.openxmlformats-package.relationships+xml"/>
  <Override PartName="/xl/worksheets/_rels/sheet2.xml.rels" ContentType="application/vnd.openxmlformats-package.relationship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_rels/drawing1.xml.rels" ContentType="application/vnd.openxmlformats-package.relationships+xml"/>
  <Override PartName="/xl/drawings/drawing3.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charts/chart6.xml" ContentType="application/vnd.openxmlformats-officedocument.drawingml.chart+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Overview" sheetId="1" state="visible" r:id="rId3"/>
    <sheet name="Dashboard" sheetId="2" state="visible" r:id="rId4"/>
    <sheet name="Analysis" sheetId="3" state="visible" r:id="rId5"/>
    <sheet name="Insights" sheetId="4" state="visible" r:id="rId6"/>
    <sheet name="Data_Cleaning" sheetId="5" state="visible" r:id="rId7"/>
    <sheet name="transactions" sheetId="6" state="visible" r:id="rId8"/>
    <sheet name="medicine_master" sheetId="7" state="visible" r:id="rId9"/>
  </sheets>
  <definedNames>
    <definedName function="false" hidden="true" localSheetId="6" name="_xlnm._FilterDatabase" vbProcedure="false">medicine_master!$A$1:$W$26</definedName>
    <definedName function="false" hidden="true" localSheetId="5" name="_xlnm._FilterDatabase" vbProcedure="false">transactions!$A$1:$Q$2601</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<sst xmlns="http://schemas.openxmlformats.org/spreadsheetml/2006/main" count="8325" uniqueCount="2999">
  <si>
    <t xml:space="preserve">Medical Store Inventory &amp; Sales Analytics</t>
  </si>
  <si>
    <t xml:space="preserve">A beginner-friendly data analytics project built with Google Sheets-compatible formulas</t>
  </si>
  <si>
    <t xml:space="preserve">Objective</t>
  </si>
  <si>
    <t xml:space="preserve">Analyse medical-store sales and purchase transactions together with the medicine master list to find sales trends, top-performing medicines and categories, restocking needs, slow movers and expiry risks, then turn them into business recommendations.</t>
  </si>
  <si>
    <t xml:space="preserve">Workbook guide</t>
  </si>
  <si>
    <t xml:space="preserve">Sheet</t>
  </si>
  <si>
    <t xml:space="preserve">Purpose</t>
  </si>
  <si>
    <t xml:space="preserve">Dashboard</t>
  </si>
  <si>
    <t xml:space="preserve">KPI cards and 6 charts - the page to present</t>
  </si>
  <si>
    <t xml:space="preserve">Analysis</t>
  </si>
  <si>
    <t xml:space="preserve">KPIs and pivot-style summary tables (by category, month, type, medicine, restock, expiry)</t>
  </si>
  <si>
    <t xml:space="preserve">Insights</t>
  </si>
  <si>
    <t xml:space="preserve">Business insights and recommendations, each tied to a number</t>
  </si>
  <si>
    <t xml:space="preserve">Data_Cleaning</t>
  </si>
  <si>
    <t xml:space="preserve">All data-quality checks with PASS / REVIEW / FAIL results</t>
  </si>
  <si>
    <t xml:space="preserve">transactions</t>
  </si>
  <si>
    <t xml:space="preserve">Cleaned transaction data + calculated columns (sales amount, cost, profit, month ...)</t>
  </si>
  <si>
    <t xml:space="preserve">medicine_master</t>
  </si>
  <si>
    <t xml:space="preserve">Cleaned medicine list + calculated columns (margin, expiry status, units sold, restock priority ...)</t>
  </si>
  <si>
    <t xml:space="preserve">Business definitions</t>
  </si>
  <si>
    <t xml:space="preserve">Sales Amount</t>
  </si>
  <si>
    <t xml:space="preserve">Quantity x Selling_Rate, only for rows where Transaction_Type = Sale (Purchase rows = 0)</t>
  </si>
  <si>
    <t xml:space="preserve">Cost of Goods Sold / Gross Profit</t>
  </si>
  <si>
    <t xml:space="preserve">Quantity x Purchase_Rate for Sale rows / Sales Amount - Cost of Goods Sold</t>
  </si>
  <si>
    <t xml:space="preserve">Purchase Spend</t>
  </si>
  <si>
    <t xml:space="preserve">Quantity x Purchase_Rate, only for Purchase rows</t>
  </si>
  <si>
    <t xml:space="preserve">Assumptions (blue cells can be edited - the whole workbook recalculates)</t>
  </si>
  <si>
    <t xml:space="preserve">Analysis date</t>
  </si>
  <si>
    <t xml:space="preserve">Reference date for expiry calculations (the date this analysis was prepared)</t>
  </si>
  <si>
    <t xml:space="preserve">Critical expiry: within (days)</t>
  </si>
  <si>
    <t xml:space="preserve">Days to expiry &lt;= this value = "Critical"</t>
  </si>
  <si>
    <t xml:space="preserve">Expiring Soon: within (days)</t>
  </si>
  <si>
    <t xml:space="preserve">Days to expiry &lt;= this value (and above Critical) = "Expiring Soon"</t>
  </si>
  <si>
    <t xml:space="preserve">Watch: within (days)</t>
  </si>
  <si>
    <t xml:space="preserve">Days to expiry &lt;= this value (and above Expiring Soon) = "Watch"; above = "Safe"</t>
  </si>
  <si>
    <t xml:space="preserve">High restock priority: Sold/Purchased &gt;=</t>
  </si>
  <si>
    <t xml:space="preserve">Medicines that sold at least this many units per unit purchased = "High" restock priority (analyst-chosen threshold)</t>
  </si>
  <si>
    <t xml:space="preserve">Medium restock priority: Sold/Purchased &gt;=</t>
  </si>
  <si>
    <t xml:space="preserve">Between this value and the High threshold = "Medium"; below = "Low" (analyst-chosen threshold)</t>
  </si>
  <si>
    <t xml:space="preserve">Important data notes</t>
  </si>
  <si>
    <t xml:space="preserve">1. No stock/inventory column exists in the data and no opening stock is given. Stock was therefore NOT invented; restock need is judged from the Sold-to-Purchased ratio instead.</t>
  </si>
  <si>
    <t xml:space="preserve">2. Currency is not stated in the data. Amounts are shown in rupees (₹) as an assumption.</t>
  </si>
  <si>
    <t xml:space="preserve">3. 609 of 2,600 transactions are dated after the analysis date (5 Oct 2026); the data covers all of 2026. They are kept, and flagged on the Data_Cleaning sheet.</t>
  </si>
  <si>
    <t xml:space="preserve">4. Pivot-style tables in the Analysis sheet are built with SUMIFS/COUNTIF formulas so they update automatically; steps to create real Google Sheets Pivot Tables are in the project report.</t>
  </si>
  <si>
    <t xml:space="preserve">MEDICAL STORE ANALYTICS DASHBOARD</t>
  </si>
  <si>
    <t xml:space="preserve">Total Revenue</t>
  </si>
  <si>
    <t xml:space="preserve">Total Transactions</t>
  </si>
  <si>
    <t xml:space="preserve">Units Sold</t>
  </si>
  <si>
    <t xml:space="preserve">Medicines</t>
  </si>
  <si>
    <t xml:space="preserve">High-Priority Restock</t>
  </si>
  <si>
    <t xml:space="preserve">Expiring ≤ 1 Year</t>
  </si>
  <si>
    <t xml:space="preserve">Source: Analysis sheet. All figures update automatically if the data or the assumptions on the Overview sheet change.</t>
  </si>
  <si>
    <t xml:space="preserve">Analysis - KPIs and pivot-style summary tables</t>
  </si>
  <si>
    <t xml:space="preserve">Every number below is a formula that reads the transactions and medicine_master sheets.</t>
  </si>
  <si>
    <t xml:space="preserve">1. Key Performance Indicators (KPIs)</t>
  </si>
  <si>
    <t xml:space="preserve">KPI</t>
  </si>
  <si>
    <t xml:space="preserve">Value</t>
  </si>
  <si>
    <t xml:space="preserve">How it is calculated</t>
  </si>
  <si>
    <t xml:space="preserve">Count of Transaction_IDs</t>
  </si>
  <si>
    <t xml:space="preserve">Sale Transactions</t>
  </si>
  <si>
    <t xml:space="preserve">Rows where Transaction_Type = Sale</t>
  </si>
  <si>
    <t xml:space="preserve">Purchase Transactions</t>
  </si>
  <si>
    <t xml:space="preserve">Rows where Transaction_Type = Purchase</t>
  </si>
  <si>
    <t xml:space="preserve">Total Units Sold</t>
  </si>
  <si>
    <t xml:space="preserve">Sum of Quantity for Sale rows</t>
  </si>
  <si>
    <t xml:space="preserve">Total Units Purchased</t>
  </si>
  <si>
    <t xml:space="preserve">Sum of Quantity for Purchase rows</t>
  </si>
  <si>
    <t xml:space="preserve">Sum of Sales_Amount</t>
  </si>
  <si>
    <t xml:space="preserve">Cost of Goods Sold</t>
  </si>
  <si>
    <t xml:space="preserve">Sum of Cost_of_Goods_Sold</t>
  </si>
  <si>
    <t xml:space="preserve">Gross Profit</t>
  </si>
  <si>
    <t xml:space="preserve">Revenue - Cost of Goods Sold</t>
  </si>
  <si>
    <t xml:space="preserve">Gross Profit Margin</t>
  </si>
  <si>
    <t xml:space="preserve">Gross Profit / Revenue</t>
  </si>
  <si>
    <t xml:space="preserve">Total Purchase Spend</t>
  </si>
  <si>
    <t xml:space="preserve">Sum of Purchase_Spend</t>
  </si>
  <si>
    <t xml:space="preserve">Average Units per Transaction</t>
  </si>
  <si>
    <t xml:space="preserve">Average Quantity across all rows</t>
  </si>
  <si>
    <t xml:space="preserve">Average Revenue per Sale</t>
  </si>
  <si>
    <t xml:space="preserve">Revenue / Sale transactions</t>
  </si>
  <si>
    <t xml:space="preserve">Number of Medicines</t>
  </si>
  <si>
    <t xml:space="preserve">Rows in medicine_master</t>
  </si>
  <si>
    <t xml:space="preserve">Number of Categories</t>
  </si>
  <si>
    <t xml:space="preserve">Distinct category names</t>
  </si>
  <si>
    <t xml:space="preserve">Best-Selling Medicine (Units)</t>
  </si>
  <si>
    <t xml:space="preserve">Medicine with the most units sold</t>
  </si>
  <si>
    <t xml:space="preserve">Highest-Revenue Medicine</t>
  </si>
  <si>
    <t xml:space="preserve">Medicine with the highest Sales_Revenue</t>
  </si>
  <si>
    <t xml:space="preserve">Best-Performing Category (Revenue)</t>
  </si>
  <si>
    <t xml:space="preserve">Category with the highest revenue (table 2)</t>
  </si>
  <si>
    <t xml:space="preserve">High-Priority Restock Medicines</t>
  </si>
  <si>
    <t xml:space="preserve">Sold/Purchased ratio &gt;= High threshold (Overview)</t>
  </si>
  <si>
    <t xml:space="preserve">Medicines Expired or Expiring Within 1 Year</t>
  </si>
  <si>
    <t xml:space="preserve">Days to expiry &lt;= Watch threshold (Overview)</t>
  </si>
  <si>
    <t xml:space="preserve">2. Sales by Category</t>
  </si>
  <si>
    <t xml:space="preserve">Pivot-style: Rows = Category, Values = Units, Revenue, Profit</t>
  </si>
  <si>
    <t xml:space="preserve">Category</t>
  </si>
  <si>
    <t xml:space="preserve">% of Medicines</t>
  </si>
  <si>
    <t xml:space="preserve">Revenue</t>
  </si>
  <si>
    <t xml:space="preserve">% of Revenue</t>
  </si>
  <si>
    <t xml:space="preserve">Margin %</t>
  </si>
  <si>
    <t xml:space="preserve">Diabetes</t>
  </si>
  <si>
    <t xml:space="preserve">Cold &amp; Cough</t>
  </si>
  <si>
    <t xml:space="preserve">Vitamin</t>
  </si>
  <si>
    <t xml:space="preserve">Pain Relief</t>
  </si>
  <si>
    <t xml:space="preserve">Dermatology</t>
  </si>
  <si>
    <t xml:space="preserve">Antibiotic</t>
  </si>
  <si>
    <t xml:space="preserve">First Aid</t>
  </si>
  <si>
    <t xml:space="preserve">Allergy</t>
  </si>
  <si>
    <t xml:space="preserve">Gastric</t>
  </si>
  <si>
    <t xml:space="preserve">Cardiac</t>
  </si>
  <si>
    <t xml:space="preserve">Total</t>
  </si>
  <si>
    <t xml:space="preserve">3. Monthly Sales Trend</t>
  </si>
  <si>
    <t xml:space="preserve">Pivot-style: Rows = Month, Values = Units, Revenue, Profit</t>
  </si>
  <si>
    <t xml:space="preserve">Month No.</t>
  </si>
  <si>
    <t xml:space="preserve">Month</t>
  </si>
  <si>
    <t xml:space="preserve">Units Purchased</t>
  </si>
  <si>
    <t xml:space="preserve">Transactions</t>
  </si>
  <si>
    <t xml:space="preserve">Jan 2026</t>
  </si>
  <si>
    <t xml:space="preserve">Feb 2026</t>
  </si>
  <si>
    <t xml:space="preserve">Mar 2026</t>
  </si>
  <si>
    <t xml:space="preserve">Apr 2026</t>
  </si>
  <si>
    <t xml:space="preserve">May 2026</t>
  </si>
  <si>
    <t xml:space="preserve">Jun 2026</t>
  </si>
  <si>
    <t xml:space="preserve">Jul 2026</t>
  </si>
  <si>
    <t xml:space="preserve">Aug 2026</t>
  </si>
  <si>
    <t xml:space="preserve">Sep 2026</t>
  </si>
  <si>
    <t xml:space="preserve">Oct 2026</t>
  </si>
  <si>
    <t xml:space="preserve">Nov 2026</t>
  </si>
  <si>
    <t xml:space="preserve">Dec 2026</t>
  </si>
  <si>
    <t xml:space="preserve">4. Transaction Type Analysis</t>
  </si>
  <si>
    <t xml:space="preserve">Pivot-style: Rows = Transaction_Type</t>
  </si>
  <si>
    <t xml:space="preserve">Transaction Type</t>
  </si>
  <si>
    <t xml:space="preserve">% of Transactions</t>
  </si>
  <si>
    <t xml:space="preserve">Units</t>
  </si>
  <si>
    <t xml:space="preserve">Avg Units per Txn</t>
  </si>
  <si>
    <t xml:space="preserve">Value (₹)</t>
  </si>
  <si>
    <t xml:space="preserve">Sale</t>
  </si>
  <si>
    <t xml:space="preserve">Purchase</t>
  </si>
  <si>
    <t xml:space="preserve">5. Top 10 Medicines by Units Sold</t>
  </si>
  <si>
    <t xml:space="preserve">Ties on units are ordered by revenue; Medicine_IDs ordered from the data</t>
  </si>
  <si>
    <t xml:space="preserve">Rank</t>
  </si>
  <si>
    <t xml:space="preserve">Medicine_ID</t>
  </si>
  <si>
    <t xml:space="preserve">Medicine</t>
  </si>
  <si>
    <t xml:space="preserve">M012</t>
  </si>
  <si>
    <t xml:space="preserve">M017</t>
  </si>
  <si>
    <t xml:space="preserve">M020</t>
  </si>
  <si>
    <t xml:space="preserve">M024</t>
  </si>
  <si>
    <t xml:space="preserve">M023</t>
  </si>
  <si>
    <t xml:space="preserve">M004</t>
  </si>
  <si>
    <t xml:space="preserve">M010</t>
  </si>
  <si>
    <t xml:space="preserve">M003</t>
  </si>
  <si>
    <t xml:space="preserve">M005</t>
  </si>
  <si>
    <t xml:space="preserve">M014</t>
  </si>
  <si>
    <t xml:space="preserve">Ranking order was set from the data; units and revenue are live formulas. Ties on units broken by revenue.</t>
  </si>
  <si>
    <t xml:space="preserve">6. Top 10 Medicines by Revenue</t>
  </si>
  <si>
    <t xml:space="preserve">Pivot-style: Sales by Medicine (sorted)</t>
  </si>
  <si>
    <t xml:space="preserve">M008</t>
  </si>
  <si>
    <t xml:space="preserve">M006</t>
  </si>
  <si>
    <t xml:space="preserve">M015</t>
  </si>
  <si>
    <t xml:space="preserve">M018</t>
  </si>
  <si>
    <t xml:space="preserve">Ranking order was set from the data; values are live formulas.</t>
  </si>
  <si>
    <t xml:space="preserve">7. Restock Priority - Top 10 by Sold-to-Purchased Ratio</t>
  </si>
  <si>
    <t xml:space="preserve">No stock column exists; ratio = units sold / units purchased</t>
  </si>
  <si>
    <t xml:space="preserve">Net Movement</t>
  </si>
  <si>
    <t xml:space="preserve">Sold/Purchased</t>
  </si>
  <si>
    <t xml:space="preserve">Priority</t>
  </si>
  <si>
    <t xml:space="preserve">M013</t>
  </si>
  <si>
    <t xml:space="preserve">8. Restock Priority Summary</t>
  </si>
  <si>
    <t xml:space="preserve">Pivot-style: Stock Status (restock priority)</t>
  </si>
  <si>
    <t xml:space="preserve">High</t>
  </si>
  <si>
    <t xml:space="preserve">Medium</t>
  </si>
  <si>
    <t xml:space="preserve">Low</t>
  </si>
  <si>
    <t xml:space="preserve">9. Slowest-Selling Medicines (5 lowest units sold)</t>
  </si>
  <si>
    <t xml:space="preserve">Pivot-style: bottom of Quantity by Medicine</t>
  </si>
  <si>
    <t xml:space="preserve">Rank (from bottom)</t>
  </si>
  <si>
    <t xml:space="preserve">Sales Category</t>
  </si>
  <si>
    <t xml:space="preserve">M016</t>
  </si>
  <si>
    <t xml:space="preserve">M025</t>
  </si>
  <si>
    <t xml:space="preserve">M002</t>
  </si>
  <si>
    <t xml:space="preserve">M007</t>
  </si>
  <si>
    <t xml:space="preserve">10. Expiry Status</t>
  </si>
  <si>
    <t xml:space="preserve">Pivot-style: Expiry Status (thresholds on Overview sheet)</t>
  </si>
  <si>
    <t xml:space="preserve">Expiry Status</t>
  </si>
  <si>
    <t xml:space="preserve">Expired</t>
  </si>
  <si>
    <t xml:space="preserve">Critical</t>
  </si>
  <si>
    <t xml:space="preserve">Expiring Soon</t>
  </si>
  <si>
    <t xml:space="preserve">Watch</t>
  </si>
  <si>
    <t xml:space="preserve">Safe</t>
  </si>
  <si>
    <t xml:space="preserve">Business Insights &amp; Recommendations</t>
  </si>
  <si>
    <t xml:space="preserve">Every insight is tied to a number in the Analysis sheet. Figures reflect the dataset as provided (all of 2026).</t>
  </si>
  <si>
    <t xml:space="preserve">#</t>
  </si>
  <si>
    <t xml:space="preserve">Topic</t>
  </si>
  <si>
    <t xml:space="preserve">Insight</t>
  </si>
  <si>
    <t xml:space="preserve">Evidence</t>
  </si>
  <si>
    <t xml:space="preserve">Total business volume</t>
  </si>
  <si>
    <t xml:space="preserve">The store recorded 2,600 transactions: 1,594 sales and 1,006 purchases. 37,285 units were sold against 23,595 units purchased, and each transaction averages 23.4 units.</t>
  </si>
  <si>
    <t xml:space="preserve">Analysis: KPIs, table 4</t>
  </si>
  <si>
    <t xml:space="preserve">Revenue and profit</t>
  </si>
  <si>
    <t xml:space="preserve">Sales revenue is ₹1,811,440 with a gross profit of ₹538,920, a margin of 29.8%. Purchase spend in the data is ₹757,815.</t>
  </si>
  <si>
    <t xml:space="preserve">Analysis: KPIs</t>
  </si>
  <si>
    <t xml:space="preserve">Best seller (volume)</t>
  </si>
  <si>
    <t xml:space="preserve">Glimepiride 2mg sold the most units: 2,050 units (5.5% of all units sold).</t>
  </si>
  <si>
    <t xml:space="preserve">Analysis: table 5</t>
  </si>
  <si>
    <t xml:space="preserve">Best seller (value)</t>
  </si>
  <si>
    <t xml:space="preserve">Insulin Injection earns the most revenue: ₹378,000, which is 20.9% of total revenue from only 4.5% of units sold. It also gives the highest gross profit (₹100,800, 18.7% of all profit).</t>
  </si>
  <si>
    <t xml:space="preserve">Analysis: table 6</t>
  </si>
  <si>
    <t xml:space="preserve">Best category</t>
  </si>
  <si>
    <t xml:space="preserve">Diabetes is the top category with ₹517,360 revenue (28.6% of total) from just 3 of 25 medicines (12% of the range). Cold &amp; Cough follows with ₹232,760 (12.8%).</t>
  </si>
  <si>
    <t xml:space="preserve">Analysis: table 2</t>
  </si>
  <si>
    <t xml:space="preserve">Volume vs value</t>
  </si>
  <si>
    <t xml:space="preserve">Cardiac is last in revenue (₹89,775, 5.0%) even though it sold 4,285 units, more than Dermatology or Antibiotic. Low unit prices, not low demand, explain its rank.</t>
  </si>
  <si>
    <t xml:space="preserve">Monthly trend</t>
  </si>
  <si>
    <t xml:space="preserve">Revenue is fairly steady between ₹134,650 and ₹168,135 a month. Highest: November (₹168,135); lowest: December (₹134,650). Note that October-December rows are dated after the 5 Oct 2026 analysis date.</t>
  </si>
  <si>
    <t xml:space="preserve">Analysis: table 3</t>
  </si>
  <si>
    <t xml:space="preserve">Restocking need</t>
  </si>
  <si>
    <t xml:space="preserve">Every one of the 25 medicines sold more units than were purchased in the data (37,285 sold vs 23,595 purchased, 1.58x), so the store appears to rely on opening stock that is not in the dataset. 9 medicines have a Sold/Purchased ratio of 1.75 or more; the highest are Glimepiride 2mg (2.72), Diclofenac Gel (2.60), Cetirizine 10mg (2.22), Azithromycin 500mg (2.20).</t>
  </si>
  <si>
    <t xml:space="preserve">Analysis: tables 7-8</t>
  </si>
  <si>
    <t xml:space="preserve">Slow movers</t>
  </si>
  <si>
    <t xml:space="preserve">The slowest sellers are Calamine Lotion (1,160 units) and Bandage Roll (1,190 units). The gap to the top seller (2,050) is real but no medicine is truly dead stock: every medicine has at least 52 sale transactions.</t>
  </si>
  <si>
    <t xml:space="preserve">Analysis: table 9</t>
  </si>
  <si>
    <t xml:space="preserve">Expiry risk</t>
  </si>
  <si>
    <t xml:space="preserve">No medicine is expired at the analysis date. The nearest expiry is Cough Syrup 100ml on 2027-02-20 (138 days away), and it is also one of the top 5 revenue medicines (₹104,760). 11 of 25 medicines expire within one year.</t>
  </si>
  <si>
    <t xml:space="preserve">Analysis: table 10; medicine_master</t>
  </si>
  <si>
    <t xml:space="preserve">Transaction patterns</t>
  </si>
  <si>
    <t xml:space="preserve">All quantities are multiples of 5 between 5 and 50, which looks like standard pack or lot sizes, and no unusual outliers were found. 609 transactions are dated after the analysis date and should be confirmed with the data owner.</t>
  </si>
  <si>
    <t xml:space="preserve">Data_Cleaning: check 16</t>
  </si>
  <si>
    <t xml:space="preserve">Business Recommendations</t>
  </si>
  <si>
    <t xml:space="preserve">Recommendation</t>
  </si>
  <si>
    <t xml:space="preserve">Action</t>
  </si>
  <si>
    <t xml:space="preserve">Supported by</t>
  </si>
  <si>
    <t xml:space="preserve">Restock fast-selling medicines first</t>
  </si>
  <si>
    <t xml:space="preserve">Prioritise the 9 High-priority medicines, starting with Glimepiride 2mg, Diclofenac Gel, Cetirizine 10mg, Azithromycin 500mg. Set reorder points using real stock counts once available.</t>
  </si>
  <si>
    <t xml:space="preserve">Insight: Restocking need</t>
  </si>
  <si>
    <t xml:space="preserve">Protect the diabetes range</t>
  </si>
  <si>
    <t xml:space="preserve">Keep Insulin Injection and the other Diabetes medicines always in stock: Diabetes brings 28.6% of revenue from 12% of the range.</t>
  </si>
  <si>
    <t xml:space="preserve">Insights: Best seller (value), Best category</t>
  </si>
  <si>
    <t xml:space="preserve">Plan purchasing by value, not only volume</t>
  </si>
  <si>
    <t xml:space="preserve">Use revenue and margin together when ordering: Cardiac and Allergy sell many units but add little revenue.</t>
  </si>
  <si>
    <t xml:space="preserve">Insight: Volume vs value</t>
  </si>
  <si>
    <t xml:space="preserve">Sell the nearest-expiry batches first</t>
  </si>
  <si>
    <t xml:space="preserve">Move Cough Syrup 100ml (expiry 2027-02-20) to the front of the shelf and review all medicines expiring within one year every month.</t>
  </si>
  <si>
    <t xml:space="preserve">Insight: Expiry risk</t>
  </si>
  <si>
    <t xml:space="preserve">Review slow movers before reordering</t>
  </si>
  <si>
    <t xml:space="preserve">Check Calamine Lotion and Bandage Roll before the next order; they sell least but still sell steadily, so reduce quantity rather than stop buying.</t>
  </si>
  <si>
    <t xml:space="preserve">Insight: Slow movers</t>
  </si>
  <si>
    <t xml:space="preserve">Track monthly sales for seasonal buying</t>
  </si>
  <si>
    <t xml:space="preserve">Monthly revenue is stable, so keep a month-by-month record and look for seasonal peaks (e.g. cold and cough medicines) once more than one year of data exists.</t>
  </si>
  <si>
    <t xml:space="preserve">Insight: Monthly trend</t>
  </si>
  <si>
    <t xml:space="preserve">Add a stock-on-hand column to the data</t>
  </si>
  <si>
    <t xml:space="preserve">Record opening stock and current stock per medicine. This allows true low-stock alerts and stock value, which this dataset cannot provide.</t>
  </si>
  <si>
    <t xml:space="preserve">Limitation 1</t>
  </si>
  <si>
    <t xml:space="preserve">Limitations</t>
  </si>
  <si>
    <t xml:space="preserve">No stock or opening-stock column exists, so low-stock items and stock value could not be calculated; restock need is estimated from the Sold/Purchased ratio.</t>
  </si>
  <si>
    <t xml:space="preserve">The data has one batch and one expiry date per medicine, so expiry risk is per medicine, not per batch.</t>
  </si>
  <si>
    <t xml:space="preserve">The data covers a single year, so seasonality cannot be confirmed.</t>
  </si>
  <si>
    <t xml:space="preserve">Data Cleaning &amp; Validation Checks</t>
  </si>
  <si>
    <t xml:space="preserve">Each result is a live formula. PASS = result equals the expected value. REVIEW = needs a human decision (not an error). FAIL = a data problem.</t>
  </si>
  <si>
    <t xml:space="preserve">Check</t>
  </si>
  <si>
    <t xml:space="preserve">Result</t>
  </si>
  <si>
    <t xml:space="preserve">Expected</t>
  </si>
  <si>
    <t xml:space="preserve">Status</t>
  </si>
  <si>
    <t xml:space="preserve">What it means / how it is checked</t>
  </si>
  <si>
    <t xml:space="preserve">Rows in transactions sheet</t>
  </si>
  <si>
    <t xml:space="preserve">Matches the 2,600 rows in the source file (nothing lost while loading).</t>
  </si>
  <si>
    <t xml:space="preserve">Missing values - transactions</t>
  </si>
  <si>
    <t xml:space="preserve">COUNTBLANK counts empty cells in the 5 original columns.</t>
  </si>
  <si>
    <t xml:space="preserve">Missing values - medicine_master</t>
  </si>
  <si>
    <t xml:space="preserve">COUNTBLANK counts empty cells in the 9 original columns.</t>
  </si>
  <si>
    <t xml:space="preserve">Duplicate Transaction_IDs</t>
  </si>
  <si>
    <t xml:space="preserve">Counts IDs that appear more than once. 0 = every Transaction_ID is unique.</t>
  </si>
  <si>
    <t xml:space="preserve">Duplicate Medicine_IDs</t>
  </si>
  <si>
    <t xml:space="preserve">Counts Medicine_IDs that appear more than once in medicine_master.</t>
  </si>
  <si>
    <t xml:space="preserve">Invalid Medicine_ID references</t>
  </si>
  <si>
    <t xml:space="preserve">Transactions whose Medicine_ID is not found in medicine_master (ID_Check column).</t>
  </si>
  <si>
    <t xml:space="preserve">Invalid quantities (&lt;=0 or not a number)</t>
  </si>
  <si>
    <t xml:space="preserve">Quantity must be a positive number.</t>
  </si>
  <si>
    <t xml:space="preserve">Invalid dates (not real dates)</t>
  </si>
  <si>
    <t xml:space="preserve">COUNT only counts real dates/numbers, so text dates would show up here.</t>
  </si>
  <si>
    <t xml:space="preserve">Dates outside the year 2026</t>
  </si>
  <si>
    <t xml:space="preserve">Confirms all transactions belong to 2026 (monthly analysis relies on this).</t>
  </si>
  <si>
    <t xml:space="preserve">Invalid Transaction_Type values</t>
  </si>
  <si>
    <t xml:space="preserve">Only "Sale" and "Purchase" are expected.</t>
  </si>
  <si>
    <t xml:space="preserve">Invalid prices (&lt;=0) in medicine_master</t>
  </si>
  <si>
    <t xml:space="preserve">Purchase_Rate, MRP and Selling_Rate must all be positive.</t>
  </si>
  <si>
    <t xml:space="preserve">Price logic violations</t>
  </si>
  <si>
    <t xml:space="preserve">Flags medicines where Purchase_Rate &gt;= Selling_Rate (loss-making) or Selling_Rate &gt; MRP (illegal).</t>
  </si>
  <si>
    <t xml:space="preserve">Names/categories with extra spaces</t>
  </si>
  <si>
    <t xml:space="preserve">Compares text length with and without TRIM; catches hidden spaces that break lookups.</t>
  </si>
  <si>
    <t xml:space="preserve">10 categories expected; a higher number would mean spelling variants (e.g. "Gastric" vs "gastric").</t>
  </si>
  <si>
    <t xml:space="preserve">Medicines already expired at analysis date</t>
  </si>
  <si>
    <t xml:space="preserve">Expired stock should be removed from sale.</t>
  </si>
  <si>
    <t xml:space="preserve">Transactions dated after the analysis date</t>
  </si>
  <si>
    <t xml:space="preserve">Dates run to 31 Dec 2026 but analysis date is 5 Oct 2026. Rows were KEPT (not deleted) because the data may be a full-year dataset; confirm with the data owner.</t>
  </si>
  <si>
    <t xml:space="preserve">Total revenue vs source file (₹)</t>
  </si>
  <si>
    <t xml:space="preserve">Cross-check: Sum of Revenue column in medical_store_transactions_combined.csv (provided by user).</t>
  </si>
  <si>
    <t xml:space="preserve">Total cost of goods sold vs source file (₹)</t>
  </si>
  <si>
    <t xml:space="preserve">Cross-check: Sum of Cost column in medical_store_transactions_combined.csv (provided by user).</t>
  </si>
  <si>
    <t xml:space="preserve">Summary of cleaning actions</t>
  </si>
  <si>
    <t xml:space="preserve">1. Loaded transactions.csv and medicine_master.csv; the third file (medical_store_transactions_combined.csv) was used only to verify revenue and cost totals.</t>
  </si>
  <si>
    <t xml:space="preserve">2. Converted Date and Expiry_Date from text to real dates so that month, year and days-to-expiry can be calculated.</t>
  </si>
  <si>
    <t xml:space="preserve">3. No rows were deleted or edited: no missing values, duplicates, invalid IDs, invalid quantities or invalid prices were found.</t>
  </si>
  <si>
    <t xml:space="preserve">4. Added helper columns: ID_Check (lookup validity) in transactions; calculated columns for sales amount, cost, profit, month, expiry status, restock priority.</t>
  </si>
  <si>
    <t xml:space="preserve">5. One item needs a decision: 609 transactions are dated after the analysis date (see check #16).</t>
  </si>
  <si>
    <t xml:space="preserve">Transaction_ID</t>
  </si>
  <si>
    <t xml:space="preserve">Date</t>
  </si>
  <si>
    <t xml:space="preserve">Transaction_Type</t>
  </si>
  <si>
    <t xml:space="preserve">Quantity</t>
  </si>
  <si>
    <t xml:space="preserve">ID_Check</t>
  </si>
  <si>
    <t xml:space="preserve">Medicine_Name</t>
  </si>
  <si>
    <t xml:space="preserve">Year</t>
  </si>
  <si>
    <t xml:space="preserve">Month_Num</t>
  </si>
  <si>
    <t xml:space="preserve">Month_Name</t>
  </si>
  <si>
    <t xml:space="preserve">Selling_Rate</t>
  </si>
  <si>
    <t xml:space="preserve">Purchase_Rate</t>
  </si>
  <si>
    <t xml:space="preserve">Sales_Amount</t>
  </si>
  <si>
    <t xml:space="preserve">Cost_of_Goods_Sold</t>
  </si>
  <si>
    <t xml:space="preserve">Gross_Profit</t>
  </si>
  <si>
    <t xml:space="preserve">Purchase_Spend</t>
  </si>
  <si>
    <t xml:space="preserve">Columns A-E = original data. Columns F-Q = calculated (formulas).</t>
  </si>
  <si>
    <t xml:space="preserve">T00001</t>
  </si>
  <si>
    <t xml:space="preserve">M022</t>
  </si>
  <si>
    <t xml:space="preserve">T00002</t>
  </si>
  <si>
    <t xml:space="preserve">T00003</t>
  </si>
  <si>
    <t xml:space="preserve">T00004</t>
  </si>
  <si>
    <t xml:space="preserve">T00005</t>
  </si>
  <si>
    <t xml:space="preserve">M009</t>
  </si>
  <si>
    <t xml:space="preserve">T00006</t>
  </si>
  <si>
    <t xml:space="preserve">T00007</t>
  </si>
  <si>
    <t xml:space="preserve">T00008</t>
  </si>
  <si>
    <t xml:space="preserve">T00009</t>
  </si>
  <si>
    <t xml:space="preserve">T00010</t>
  </si>
  <si>
    <t xml:space="preserve">T00011</t>
  </si>
  <si>
    <t xml:space="preserve">T00012</t>
  </si>
  <si>
    <t xml:space="preserve">T00013</t>
  </si>
  <si>
    <t xml:space="preserve">T00014</t>
  </si>
  <si>
    <t xml:space="preserve">T00015</t>
  </si>
  <si>
    <t xml:space="preserve">T00016</t>
  </si>
  <si>
    <t xml:space="preserve">T00017</t>
  </si>
  <si>
    <t xml:space="preserve">T00018</t>
  </si>
  <si>
    <t xml:space="preserve">T00019</t>
  </si>
  <si>
    <t xml:space="preserve">T00020</t>
  </si>
  <si>
    <t xml:space="preserve">T00021</t>
  </si>
  <si>
    <t xml:space="preserve">T00022</t>
  </si>
  <si>
    <t xml:space="preserve">T00023</t>
  </si>
  <si>
    <t xml:space="preserve">M001</t>
  </si>
  <si>
    <t xml:space="preserve">T00024</t>
  </si>
  <si>
    <t xml:space="preserve">T00025</t>
  </si>
  <si>
    <t xml:space="preserve">T00026</t>
  </si>
  <si>
    <t xml:space="preserve">T00027</t>
  </si>
  <si>
    <t xml:space="preserve">T00028</t>
  </si>
  <si>
    <t xml:space="preserve">T00029</t>
  </si>
  <si>
    <t xml:space="preserve">T00030</t>
  </si>
  <si>
    <t xml:space="preserve">T00031</t>
  </si>
  <si>
    <t xml:space="preserve">T00032</t>
  </si>
  <si>
    <t xml:space="preserve">T00033</t>
  </si>
  <si>
    <t xml:space="preserve">T00034</t>
  </si>
  <si>
    <t xml:space="preserve">T00035</t>
  </si>
  <si>
    <t xml:space="preserve">T00036</t>
  </si>
  <si>
    <t xml:space="preserve">T00037</t>
  </si>
  <si>
    <t xml:space="preserve">T00038</t>
  </si>
  <si>
    <t xml:space="preserve">T00039</t>
  </si>
  <si>
    <t xml:space="preserve">T00040</t>
  </si>
  <si>
    <t xml:space="preserve">T00041</t>
  </si>
  <si>
    <t xml:space="preserve">T00042</t>
  </si>
  <si>
    <t xml:space="preserve">T00043</t>
  </si>
  <si>
    <t xml:space="preserve">T00044</t>
  </si>
  <si>
    <t xml:space="preserve">T00045</t>
  </si>
  <si>
    <t xml:space="preserve">T00046</t>
  </si>
  <si>
    <t xml:space="preserve">T00047</t>
  </si>
  <si>
    <t xml:space="preserve">T00048</t>
  </si>
  <si>
    <t xml:space="preserve">T00049</t>
  </si>
  <si>
    <t xml:space="preserve">T00050</t>
  </si>
  <si>
    <t xml:space="preserve">T00051</t>
  </si>
  <si>
    <t xml:space="preserve">T00052</t>
  </si>
  <si>
    <t xml:space="preserve">T00053</t>
  </si>
  <si>
    <t xml:space="preserve">T00054</t>
  </si>
  <si>
    <t xml:space="preserve">T00055</t>
  </si>
  <si>
    <t xml:space="preserve">T00056</t>
  </si>
  <si>
    <t xml:space="preserve">T00057</t>
  </si>
  <si>
    <t xml:space="preserve">T00058</t>
  </si>
  <si>
    <t xml:space="preserve">T00059</t>
  </si>
  <si>
    <t xml:space="preserve">T00060</t>
  </si>
  <si>
    <t xml:space="preserve">T00061</t>
  </si>
  <si>
    <t xml:space="preserve">T00062</t>
  </si>
  <si>
    <t xml:space="preserve">T00063</t>
  </si>
  <si>
    <t xml:space="preserve">T00064</t>
  </si>
  <si>
    <t xml:space="preserve">T00065</t>
  </si>
  <si>
    <t xml:space="preserve">T00066</t>
  </si>
  <si>
    <t xml:space="preserve">T00067</t>
  </si>
  <si>
    <t xml:space="preserve">M021</t>
  </si>
  <si>
    <t xml:space="preserve">T00068</t>
  </si>
  <si>
    <t xml:space="preserve">T00069</t>
  </si>
  <si>
    <t xml:space="preserve">T00070</t>
  </si>
  <si>
    <t xml:space="preserve">T00071</t>
  </si>
  <si>
    <t xml:space="preserve">T00072</t>
  </si>
  <si>
    <t xml:space="preserve">T00073</t>
  </si>
  <si>
    <t xml:space="preserve">T00074</t>
  </si>
  <si>
    <t xml:space="preserve">T00075</t>
  </si>
  <si>
    <t xml:space="preserve">T00076</t>
  </si>
  <si>
    <t xml:space="preserve">T00077</t>
  </si>
  <si>
    <t xml:space="preserve">T00078</t>
  </si>
  <si>
    <t xml:space="preserve">T00079</t>
  </si>
  <si>
    <t xml:space="preserve">T00080</t>
  </si>
  <si>
    <t xml:space="preserve">M019</t>
  </si>
  <si>
    <t xml:space="preserve">T00081</t>
  </si>
  <si>
    <t xml:space="preserve">T00082</t>
  </si>
  <si>
    <t xml:space="preserve">T00083</t>
  </si>
  <si>
    <t xml:space="preserve">T00084</t>
  </si>
  <si>
    <t xml:space="preserve">T00085</t>
  </si>
  <si>
    <t xml:space="preserve">T00086</t>
  </si>
  <si>
    <t xml:space="preserve">T00087</t>
  </si>
  <si>
    <t xml:space="preserve">T00088</t>
  </si>
  <si>
    <t xml:space="preserve">T00089</t>
  </si>
  <si>
    <t xml:space="preserve">T00090</t>
  </si>
  <si>
    <t xml:space="preserve">T00091</t>
  </si>
  <si>
    <t xml:space="preserve">T00092</t>
  </si>
  <si>
    <t xml:space="preserve">T00093</t>
  </si>
  <si>
    <t xml:space="preserve">T00094</t>
  </si>
  <si>
    <t xml:space="preserve">T00095</t>
  </si>
  <si>
    <t xml:space="preserve">T00096</t>
  </si>
  <si>
    <t xml:space="preserve">T00097</t>
  </si>
  <si>
    <t xml:space="preserve">T00098</t>
  </si>
  <si>
    <t xml:space="preserve">T00099</t>
  </si>
  <si>
    <t xml:space="preserve">T00100</t>
  </si>
  <si>
    <t xml:space="preserve">T00101</t>
  </si>
  <si>
    <t xml:space="preserve">T00102</t>
  </si>
  <si>
    <t xml:space="preserve">T00103</t>
  </si>
  <si>
    <t xml:space="preserve">T00104</t>
  </si>
  <si>
    <t xml:space="preserve">T00105</t>
  </si>
  <si>
    <t xml:space="preserve">T00106</t>
  </si>
  <si>
    <t xml:space="preserve">T00107</t>
  </si>
  <si>
    <t xml:space="preserve">T00108</t>
  </si>
  <si>
    <t xml:space="preserve">T00109</t>
  </si>
  <si>
    <t xml:space="preserve">T00110</t>
  </si>
  <si>
    <t xml:space="preserve">T00111</t>
  </si>
  <si>
    <t xml:space="preserve">T00112</t>
  </si>
  <si>
    <t xml:space="preserve">T00113</t>
  </si>
  <si>
    <t xml:space="preserve">T00114</t>
  </si>
  <si>
    <t xml:space="preserve">T00115</t>
  </si>
  <si>
    <t xml:space="preserve">T00116</t>
  </si>
  <si>
    <t xml:space="preserve">T00117</t>
  </si>
  <si>
    <t xml:space="preserve">T00118</t>
  </si>
  <si>
    <t xml:space="preserve">T00119</t>
  </si>
  <si>
    <t xml:space="preserve">T00120</t>
  </si>
  <si>
    <t xml:space="preserve">T00121</t>
  </si>
  <si>
    <t xml:space="preserve">T00122</t>
  </si>
  <si>
    <t xml:space="preserve">T00123</t>
  </si>
  <si>
    <t xml:space="preserve">T00124</t>
  </si>
  <si>
    <t xml:space="preserve">T00125</t>
  </si>
  <si>
    <t xml:space="preserve">T00126</t>
  </si>
  <si>
    <t xml:space="preserve">T00127</t>
  </si>
  <si>
    <t xml:space="preserve">T00128</t>
  </si>
  <si>
    <t xml:space="preserve">T00129</t>
  </si>
  <si>
    <t xml:space="preserve">T00130</t>
  </si>
  <si>
    <t xml:space="preserve">T00131</t>
  </si>
  <si>
    <t xml:space="preserve">T00132</t>
  </si>
  <si>
    <t xml:space="preserve">T00133</t>
  </si>
  <si>
    <t xml:space="preserve">T00134</t>
  </si>
  <si>
    <t xml:space="preserve">T00135</t>
  </si>
  <si>
    <t xml:space="preserve">T00136</t>
  </si>
  <si>
    <t xml:space="preserve">T00137</t>
  </si>
  <si>
    <t xml:space="preserve">T00138</t>
  </si>
  <si>
    <t xml:space="preserve">T00139</t>
  </si>
  <si>
    <t xml:space="preserve">T00140</t>
  </si>
  <si>
    <t xml:space="preserve">T00141</t>
  </si>
  <si>
    <t xml:space="preserve">T00142</t>
  </si>
  <si>
    <t xml:space="preserve">T00143</t>
  </si>
  <si>
    <t xml:space="preserve">T00144</t>
  </si>
  <si>
    <t xml:space="preserve">T00145</t>
  </si>
  <si>
    <t xml:space="preserve">T00146</t>
  </si>
  <si>
    <t xml:space="preserve">T00147</t>
  </si>
  <si>
    <t xml:space="preserve">T00148</t>
  </si>
  <si>
    <t xml:space="preserve">T00149</t>
  </si>
  <si>
    <t xml:space="preserve">T00150</t>
  </si>
  <si>
    <t xml:space="preserve">T00151</t>
  </si>
  <si>
    <t xml:space="preserve">T00152</t>
  </si>
  <si>
    <t xml:space="preserve">T00153</t>
  </si>
  <si>
    <t xml:space="preserve">T00154</t>
  </si>
  <si>
    <t xml:space="preserve">T00155</t>
  </si>
  <si>
    <t xml:space="preserve">T00156</t>
  </si>
  <si>
    <t xml:space="preserve">T00157</t>
  </si>
  <si>
    <t xml:space="preserve">T00158</t>
  </si>
  <si>
    <t xml:space="preserve">T00159</t>
  </si>
  <si>
    <t xml:space="preserve">T00160</t>
  </si>
  <si>
    <t xml:space="preserve">T00161</t>
  </si>
  <si>
    <t xml:space="preserve">T00162</t>
  </si>
  <si>
    <t xml:space="preserve">T00163</t>
  </si>
  <si>
    <t xml:space="preserve">T00164</t>
  </si>
  <si>
    <t xml:space="preserve">T00165</t>
  </si>
  <si>
    <t xml:space="preserve">T00166</t>
  </si>
  <si>
    <t xml:space="preserve">T00167</t>
  </si>
  <si>
    <t xml:space="preserve">T00168</t>
  </si>
  <si>
    <t xml:space="preserve">T00169</t>
  </si>
  <si>
    <t xml:space="preserve">T00170</t>
  </si>
  <si>
    <t xml:space="preserve">M011</t>
  </si>
  <si>
    <t xml:space="preserve">T00171</t>
  </si>
  <si>
    <t xml:space="preserve">T00172</t>
  </si>
  <si>
    <t xml:space="preserve">T00173</t>
  </si>
  <si>
    <t xml:space="preserve">T00174</t>
  </si>
  <si>
    <t xml:space="preserve">T00175</t>
  </si>
  <si>
    <t xml:space="preserve">T00176</t>
  </si>
  <si>
    <t xml:space="preserve">T00177</t>
  </si>
  <si>
    <t xml:space="preserve">T00178</t>
  </si>
  <si>
    <t xml:space="preserve">T00179</t>
  </si>
  <si>
    <t xml:space="preserve">T00180</t>
  </si>
  <si>
    <t xml:space="preserve">T00181</t>
  </si>
  <si>
    <t xml:space="preserve">T00182</t>
  </si>
  <si>
    <t xml:space="preserve">T00183</t>
  </si>
  <si>
    <t xml:space="preserve">T00184</t>
  </si>
  <si>
    <t xml:space="preserve">T00185</t>
  </si>
  <si>
    <t xml:space="preserve">T00186</t>
  </si>
  <si>
    <t xml:space="preserve">T00187</t>
  </si>
  <si>
    <t xml:space="preserve">T00188</t>
  </si>
  <si>
    <t xml:space="preserve">T00189</t>
  </si>
  <si>
    <t xml:space="preserve">T00190</t>
  </si>
  <si>
    <t xml:space="preserve">T00191</t>
  </si>
  <si>
    <t xml:space="preserve">T00192</t>
  </si>
  <si>
    <t xml:space="preserve">T00193</t>
  </si>
  <si>
    <t xml:space="preserve">T00194</t>
  </si>
  <si>
    <t xml:space="preserve">T00195</t>
  </si>
  <si>
    <t xml:space="preserve">T00196</t>
  </si>
  <si>
    <t xml:space="preserve">T00197</t>
  </si>
  <si>
    <t xml:space="preserve">T00198</t>
  </si>
  <si>
    <t xml:space="preserve">T00199</t>
  </si>
  <si>
    <t xml:space="preserve">T00200</t>
  </si>
  <si>
    <t xml:space="preserve">T00201</t>
  </si>
  <si>
    <t xml:space="preserve">T00202</t>
  </si>
  <si>
    <t xml:space="preserve">T00203</t>
  </si>
  <si>
    <t xml:space="preserve">T00204</t>
  </si>
  <si>
    <t xml:space="preserve">T00205</t>
  </si>
  <si>
    <t xml:space="preserve">T00206</t>
  </si>
  <si>
    <t xml:space="preserve">T00207</t>
  </si>
  <si>
    <t xml:space="preserve">T00208</t>
  </si>
  <si>
    <t xml:space="preserve">T00209</t>
  </si>
  <si>
    <t xml:space="preserve">T00210</t>
  </si>
  <si>
    <t xml:space="preserve">T00211</t>
  </si>
  <si>
    <t xml:space="preserve">T00212</t>
  </si>
  <si>
    <t xml:space="preserve">T00213</t>
  </si>
  <si>
    <t xml:space="preserve">T00214</t>
  </si>
  <si>
    <t xml:space="preserve">T00215</t>
  </si>
  <si>
    <t xml:space="preserve">T00216</t>
  </si>
  <si>
    <t xml:space="preserve">T00217</t>
  </si>
  <si>
    <t xml:space="preserve">T00218</t>
  </si>
  <si>
    <t xml:space="preserve">T00219</t>
  </si>
  <si>
    <t xml:space="preserve">T00220</t>
  </si>
  <si>
    <t xml:space="preserve">T00221</t>
  </si>
  <si>
    <t xml:space="preserve">T00222</t>
  </si>
  <si>
    <t xml:space="preserve">T00223</t>
  </si>
  <si>
    <t xml:space="preserve">T00224</t>
  </si>
  <si>
    <t xml:space="preserve">T00225</t>
  </si>
  <si>
    <t xml:space="preserve">T00226</t>
  </si>
  <si>
    <t xml:space="preserve">T00227</t>
  </si>
  <si>
    <t xml:space="preserve">T00228</t>
  </si>
  <si>
    <t xml:space="preserve">T00229</t>
  </si>
  <si>
    <t xml:space="preserve">T00230</t>
  </si>
  <si>
    <t xml:space="preserve">T00231</t>
  </si>
  <si>
    <t xml:space="preserve">T00232</t>
  </si>
  <si>
    <t xml:space="preserve">T00233</t>
  </si>
  <si>
    <t xml:space="preserve">T00234</t>
  </si>
  <si>
    <t xml:space="preserve">T00235</t>
  </si>
  <si>
    <t xml:space="preserve">T00236</t>
  </si>
  <si>
    <t xml:space="preserve">T00237</t>
  </si>
  <si>
    <t xml:space="preserve">T00238</t>
  </si>
  <si>
    <t xml:space="preserve">T00239</t>
  </si>
  <si>
    <t xml:space="preserve">T00240</t>
  </si>
  <si>
    <t xml:space="preserve">T00241</t>
  </si>
  <si>
    <t xml:space="preserve">T00242</t>
  </si>
  <si>
    <t xml:space="preserve">T00243</t>
  </si>
  <si>
    <t xml:space="preserve">T00244</t>
  </si>
  <si>
    <t xml:space="preserve">T00245</t>
  </si>
  <si>
    <t xml:space="preserve">T00246</t>
  </si>
  <si>
    <t xml:space="preserve">T00247</t>
  </si>
  <si>
    <t xml:space="preserve">T00248</t>
  </si>
  <si>
    <t xml:space="preserve">T00249</t>
  </si>
  <si>
    <t xml:space="preserve">T00250</t>
  </si>
  <si>
    <t xml:space="preserve">T00251</t>
  </si>
  <si>
    <t xml:space="preserve">T00252</t>
  </si>
  <si>
    <t xml:space="preserve">T00253</t>
  </si>
  <si>
    <t xml:space="preserve">T00254</t>
  </si>
  <si>
    <t xml:space="preserve">T00255</t>
  </si>
  <si>
    <t xml:space="preserve">T00256</t>
  </si>
  <si>
    <t xml:space="preserve">T00257</t>
  </si>
  <si>
    <t xml:space="preserve">T00258</t>
  </si>
  <si>
    <t xml:space="preserve">T00259</t>
  </si>
  <si>
    <t xml:space="preserve">T00260</t>
  </si>
  <si>
    <t xml:space="preserve">T00261</t>
  </si>
  <si>
    <t xml:space="preserve">T00262</t>
  </si>
  <si>
    <t xml:space="preserve">T00263</t>
  </si>
  <si>
    <t xml:space="preserve">T00264</t>
  </si>
  <si>
    <t xml:space="preserve">T00265</t>
  </si>
  <si>
    <t xml:space="preserve">T00266</t>
  </si>
  <si>
    <t xml:space="preserve">T00267</t>
  </si>
  <si>
    <t xml:space="preserve">T00268</t>
  </si>
  <si>
    <t xml:space="preserve">T00269</t>
  </si>
  <si>
    <t xml:space="preserve">T00270</t>
  </si>
  <si>
    <t xml:space="preserve">T00271</t>
  </si>
  <si>
    <t xml:space="preserve">T00272</t>
  </si>
  <si>
    <t xml:space="preserve">T00273</t>
  </si>
  <si>
    <t xml:space="preserve">T00274</t>
  </si>
  <si>
    <t xml:space="preserve">T00275</t>
  </si>
  <si>
    <t xml:space="preserve">T00276</t>
  </si>
  <si>
    <t xml:space="preserve">T00277</t>
  </si>
  <si>
    <t xml:space="preserve">T00278</t>
  </si>
  <si>
    <t xml:space="preserve">T00279</t>
  </si>
  <si>
    <t xml:space="preserve">T00280</t>
  </si>
  <si>
    <t xml:space="preserve">T00281</t>
  </si>
  <si>
    <t xml:space="preserve">T00282</t>
  </si>
  <si>
    <t xml:space="preserve">T00283</t>
  </si>
  <si>
    <t xml:space="preserve">T00284</t>
  </si>
  <si>
    <t xml:space="preserve">T00285</t>
  </si>
  <si>
    <t xml:space="preserve">T00286</t>
  </si>
  <si>
    <t xml:space="preserve">T00287</t>
  </si>
  <si>
    <t xml:space="preserve">T00288</t>
  </si>
  <si>
    <t xml:space="preserve">T00289</t>
  </si>
  <si>
    <t xml:space="preserve">T00290</t>
  </si>
  <si>
    <t xml:space="preserve">T00291</t>
  </si>
  <si>
    <t xml:space="preserve">T00292</t>
  </si>
  <si>
    <t xml:space="preserve">T00293</t>
  </si>
  <si>
    <t xml:space="preserve">T00294</t>
  </si>
  <si>
    <t xml:space="preserve">T00295</t>
  </si>
  <si>
    <t xml:space="preserve">T00296</t>
  </si>
  <si>
    <t xml:space="preserve">T00297</t>
  </si>
  <si>
    <t xml:space="preserve">T00298</t>
  </si>
  <si>
    <t xml:space="preserve">T00299</t>
  </si>
  <si>
    <t xml:space="preserve">T00300</t>
  </si>
  <si>
    <t xml:space="preserve">T00301</t>
  </si>
  <si>
    <t xml:space="preserve">T00302</t>
  </si>
  <si>
    <t xml:space="preserve">T00303</t>
  </si>
  <si>
    <t xml:space="preserve">T00304</t>
  </si>
  <si>
    <t xml:space="preserve">T00305</t>
  </si>
  <si>
    <t xml:space="preserve">T00306</t>
  </si>
  <si>
    <t xml:space="preserve">T00307</t>
  </si>
  <si>
    <t xml:space="preserve">T00308</t>
  </si>
  <si>
    <t xml:space="preserve">T00309</t>
  </si>
  <si>
    <t xml:space="preserve">T00310</t>
  </si>
  <si>
    <t xml:space="preserve">T00311</t>
  </si>
  <si>
    <t xml:space="preserve">T00312</t>
  </si>
  <si>
    <t xml:space="preserve">T00313</t>
  </si>
  <si>
    <t xml:space="preserve">T00314</t>
  </si>
  <si>
    <t xml:space="preserve">T00315</t>
  </si>
  <si>
    <t xml:space="preserve">T00316</t>
  </si>
  <si>
    <t xml:space="preserve">T00317</t>
  </si>
  <si>
    <t xml:space="preserve">T00318</t>
  </si>
  <si>
    <t xml:space="preserve">T00319</t>
  </si>
  <si>
    <t xml:space="preserve">T00320</t>
  </si>
  <si>
    <t xml:space="preserve">T00321</t>
  </si>
  <si>
    <t xml:space="preserve">T00322</t>
  </si>
  <si>
    <t xml:space="preserve">T00323</t>
  </si>
  <si>
    <t xml:space="preserve">T00324</t>
  </si>
  <si>
    <t xml:space="preserve">T00325</t>
  </si>
  <si>
    <t xml:space="preserve">T00326</t>
  </si>
  <si>
    <t xml:space="preserve">T00327</t>
  </si>
  <si>
    <t xml:space="preserve">T00328</t>
  </si>
  <si>
    <t xml:space="preserve">T00329</t>
  </si>
  <si>
    <t xml:space="preserve">T00330</t>
  </si>
  <si>
    <t xml:space="preserve">T00331</t>
  </si>
  <si>
    <t xml:space="preserve">T00332</t>
  </si>
  <si>
    <t xml:space="preserve">T00333</t>
  </si>
  <si>
    <t xml:space="preserve">T00334</t>
  </si>
  <si>
    <t xml:space="preserve">T00335</t>
  </si>
  <si>
    <t xml:space="preserve">T00336</t>
  </si>
  <si>
    <t xml:space="preserve">T00337</t>
  </si>
  <si>
    <t xml:space="preserve">T00338</t>
  </si>
  <si>
    <t xml:space="preserve">T00339</t>
  </si>
  <si>
    <t xml:space="preserve">T00340</t>
  </si>
  <si>
    <t xml:space="preserve">T00341</t>
  </si>
  <si>
    <t xml:space="preserve">T00342</t>
  </si>
  <si>
    <t xml:space="preserve">T00343</t>
  </si>
  <si>
    <t xml:space="preserve">T00344</t>
  </si>
  <si>
    <t xml:space="preserve">T00345</t>
  </si>
  <si>
    <t xml:space="preserve">T00346</t>
  </si>
  <si>
    <t xml:space="preserve">T00347</t>
  </si>
  <si>
    <t xml:space="preserve">T00348</t>
  </si>
  <si>
    <t xml:space="preserve">T00349</t>
  </si>
  <si>
    <t xml:space="preserve">T00350</t>
  </si>
  <si>
    <t xml:space="preserve">T00351</t>
  </si>
  <si>
    <t xml:space="preserve">T00352</t>
  </si>
  <si>
    <t xml:space="preserve">T00353</t>
  </si>
  <si>
    <t xml:space="preserve">T00354</t>
  </si>
  <si>
    <t xml:space="preserve">T00355</t>
  </si>
  <si>
    <t xml:space="preserve">T00356</t>
  </si>
  <si>
    <t xml:space="preserve">T00357</t>
  </si>
  <si>
    <t xml:space="preserve">T00358</t>
  </si>
  <si>
    <t xml:space="preserve">T00359</t>
  </si>
  <si>
    <t xml:space="preserve">T00360</t>
  </si>
  <si>
    <t xml:space="preserve">T00361</t>
  </si>
  <si>
    <t xml:space="preserve">T00362</t>
  </si>
  <si>
    <t xml:space="preserve">T00363</t>
  </si>
  <si>
    <t xml:space="preserve">T00364</t>
  </si>
  <si>
    <t xml:space="preserve">T00365</t>
  </si>
  <si>
    <t xml:space="preserve">T00366</t>
  </si>
  <si>
    <t xml:space="preserve">T00367</t>
  </si>
  <si>
    <t xml:space="preserve">T00368</t>
  </si>
  <si>
    <t xml:space="preserve">T00369</t>
  </si>
  <si>
    <t xml:space="preserve">T00370</t>
  </si>
  <si>
    <t xml:space="preserve">T00371</t>
  </si>
  <si>
    <t xml:space="preserve">T00372</t>
  </si>
  <si>
    <t xml:space="preserve">T00373</t>
  </si>
  <si>
    <t xml:space="preserve">T00374</t>
  </si>
  <si>
    <t xml:space="preserve">T00375</t>
  </si>
  <si>
    <t xml:space="preserve">T00376</t>
  </si>
  <si>
    <t xml:space="preserve">T00377</t>
  </si>
  <si>
    <t xml:space="preserve">T00378</t>
  </si>
  <si>
    <t xml:space="preserve">T00379</t>
  </si>
  <si>
    <t xml:space="preserve">T00380</t>
  </si>
  <si>
    <t xml:space="preserve">T00381</t>
  </si>
  <si>
    <t xml:space="preserve">T00382</t>
  </si>
  <si>
    <t xml:space="preserve">T00383</t>
  </si>
  <si>
    <t xml:space="preserve">T00384</t>
  </si>
  <si>
    <t xml:space="preserve">T00385</t>
  </si>
  <si>
    <t xml:space="preserve">T00386</t>
  </si>
  <si>
    <t xml:space="preserve">T00387</t>
  </si>
  <si>
    <t xml:space="preserve">T00388</t>
  </si>
  <si>
    <t xml:space="preserve">T00389</t>
  </si>
  <si>
    <t xml:space="preserve">T00390</t>
  </si>
  <si>
    <t xml:space="preserve">T00391</t>
  </si>
  <si>
    <t xml:space="preserve">T00392</t>
  </si>
  <si>
    <t xml:space="preserve">T00393</t>
  </si>
  <si>
    <t xml:space="preserve">T00394</t>
  </si>
  <si>
    <t xml:space="preserve">T00395</t>
  </si>
  <si>
    <t xml:space="preserve">T00396</t>
  </si>
  <si>
    <t xml:space="preserve">T00397</t>
  </si>
  <si>
    <t xml:space="preserve">T00398</t>
  </si>
  <si>
    <t xml:space="preserve">T00399</t>
  </si>
  <si>
    <t xml:space="preserve">T00400</t>
  </si>
  <si>
    <t xml:space="preserve">T00401</t>
  </si>
  <si>
    <t xml:space="preserve">T00402</t>
  </si>
  <si>
    <t xml:space="preserve">T00403</t>
  </si>
  <si>
    <t xml:space="preserve">T00404</t>
  </si>
  <si>
    <t xml:space="preserve">T00405</t>
  </si>
  <si>
    <t xml:space="preserve">T00406</t>
  </si>
  <si>
    <t xml:space="preserve">T00407</t>
  </si>
  <si>
    <t xml:space="preserve">T00408</t>
  </si>
  <si>
    <t xml:space="preserve">T00409</t>
  </si>
  <si>
    <t xml:space="preserve">T00410</t>
  </si>
  <si>
    <t xml:space="preserve">T00411</t>
  </si>
  <si>
    <t xml:space="preserve">T00412</t>
  </si>
  <si>
    <t xml:space="preserve">T00413</t>
  </si>
  <si>
    <t xml:space="preserve">T00414</t>
  </si>
  <si>
    <t xml:space="preserve">T00415</t>
  </si>
  <si>
    <t xml:space="preserve">T00416</t>
  </si>
  <si>
    <t xml:space="preserve">T00417</t>
  </si>
  <si>
    <t xml:space="preserve">T00418</t>
  </si>
  <si>
    <t xml:space="preserve">T00419</t>
  </si>
  <si>
    <t xml:space="preserve">T00420</t>
  </si>
  <si>
    <t xml:space="preserve">T00421</t>
  </si>
  <si>
    <t xml:space="preserve">T00422</t>
  </si>
  <si>
    <t xml:space="preserve">T00423</t>
  </si>
  <si>
    <t xml:space="preserve">T00424</t>
  </si>
  <si>
    <t xml:space="preserve">T00425</t>
  </si>
  <si>
    <t xml:space="preserve">T00426</t>
  </si>
  <si>
    <t xml:space="preserve">T00427</t>
  </si>
  <si>
    <t xml:space="preserve">T00428</t>
  </si>
  <si>
    <t xml:space="preserve">T00429</t>
  </si>
  <si>
    <t xml:space="preserve">T00430</t>
  </si>
  <si>
    <t xml:space="preserve">T00431</t>
  </si>
  <si>
    <t xml:space="preserve">T00432</t>
  </si>
  <si>
    <t xml:space="preserve">T00433</t>
  </si>
  <si>
    <t xml:space="preserve">T00434</t>
  </si>
  <si>
    <t xml:space="preserve">T00435</t>
  </si>
  <si>
    <t xml:space="preserve">T00436</t>
  </si>
  <si>
    <t xml:space="preserve">T00437</t>
  </si>
  <si>
    <t xml:space="preserve">T00438</t>
  </si>
  <si>
    <t xml:space="preserve">T00439</t>
  </si>
  <si>
    <t xml:space="preserve">T00440</t>
  </si>
  <si>
    <t xml:space="preserve">T00441</t>
  </si>
  <si>
    <t xml:space="preserve">T00442</t>
  </si>
  <si>
    <t xml:space="preserve">T00443</t>
  </si>
  <si>
    <t xml:space="preserve">T00444</t>
  </si>
  <si>
    <t xml:space="preserve">T00445</t>
  </si>
  <si>
    <t xml:space="preserve">T00446</t>
  </si>
  <si>
    <t xml:space="preserve">T00447</t>
  </si>
  <si>
    <t xml:space="preserve">T00448</t>
  </si>
  <si>
    <t xml:space="preserve">T00449</t>
  </si>
  <si>
    <t xml:space="preserve">T00450</t>
  </si>
  <si>
    <t xml:space="preserve">T00451</t>
  </si>
  <si>
    <t xml:space="preserve">T00452</t>
  </si>
  <si>
    <t xml:space="preserve">T00453</t>
  </si>
  <si>
    <t xml:space="preserve">T00454</t>
  </si>
  <si>
    <t xml:space="preserve">T00455</t>
  </si>
  <si>
    <t xml:space="preserve">T00456</t>
  </si>
  <si>
    <t xml:space="preserve">T00457</t>
  </si>
  <si>
    <t xml:space="preserve">T00458</t>
  </si>
  <si>
    <t xml:space="preserve">T00459</t>
  </si>
  <si>
    <t xml:space="preserve">T00460</t>
  </si>
  <si>
    <t xml:space="preserve">T00461</t>
  </si>
  <si>
    <t xml:space="preserve">T00462</t>
  </si>
  <si>
    <t xml:space="preserve">T00463</t>
  </si>
  <si>
    <t xml:space="preserve">T00464</t>
  </si>
  <si>
    <t xml:space="preserve">T00465</t>
  </si>
  <si>
    <t xml:space="preserve">T00466</t>
  </si>
  <si>
    <t xml:space="preserve">T00467</t>
  </si>
  <si>
    <t xml:space="preserve">T00468</t>
  </si>
  <si>
    <t xml:space="preserve">T00469</t>
  </si>
  <si>
    <t xml:space="preserve">T00470</t>
  </si>
  <si>
    <t xml:space="preserve">T00471</t>
  </si>
  <si>
    <t xml:space="preserve">T00472</t>
  </si>
  <si>
    <t xml:space="preserve">T00473</t>
  </si>
  <si>
    <t xml:space="preserve">T00474</t>
  </si>
  <si>
    <t xml:space="preserve">T00475</t>
  </si>
  <si>
    <t xml:space="preserve">T00476</t>
  </si>
  <si>
    <t xml:space="preserve">T00477</t>
  </si>
  <si>
    <t xml:space="preserve">T00478</t>
  </si>
  <si>
    <t xml:space="preserve">T00479</t>
  </si>
  <si>
    <t xml:space="preserve">T00480</t>
  </si>
  <si>
    <t xml:space="preserve">T00481</t>
  </si>
  <si>
    <t xml:space="preserve">T00482</t>
  </si>
  <si>
    <t xml:space="preserve">T00483</t>
  </si>
  <si>
    <t xml:space="preserve">T00484</t>
  </si>
  <si>
    <t xml:space="preserve">T00485</t>
  </si>
  <si>
    <t xml:space="preserve">T00486</t>
  </si>
  <si>
    <t xml:space="preserve">T00487</t>
  </si>
  <si>
    <t xml:space="preserve">T00488</t>
  </si>
  <si>
    <t xml:space="preserve">T00489</t>
  </si>
  <si>
    <t xml:space="preserve">T00490</t>
  </si>
  <si>
    <t xml:space="preserve">T00491</t>
  </si>
  <si>
    <t xml:space="preserve">T00492</t>
  </si>
  <si>
    <t xml:space="preserve">T00493</t>
  </si>
  <si>
    <t xml:space="preserve">T00494</t>
  </si>
  <si>
    <t xml:space="preserve">T00495</t>
  </si>
  <si>
    <t xml:space="preserve">T00496</t>
  </si>
  <si>
    <t xml:space="preserve">T00497</t>
  </si>
  <si>
    <t xml:space="preserve">T00498</t>
  </si>
  <si>
    <t xml:space="preserve">T00499</t>
  </si>
  <si>
    <t xml:space="preserve">T00500</t>
  </si>
  <si>
    <t xml:space="preserve">T00501</t>
  </si>
  <si>
    <t xml:space="preserve">T00502</t>
  </si>
  <si>
    <t xml:space="preserve">T00503</t>
  </si>
  <si>
    <t xml:space="preserve">T00504</t>
  </si>
  <si>
    <t xml:space="preserve">T00505</t>
  </si>
  <si>
    <t xml:space="preserve">T00506</t>
  </si>
  <si>
    <t xml:space="preserve">T00507</t>
  </si>
  <si>
    <t xml:space="preserve">T00508</t>
  </si>
  <si>
    <t xml:space="preserve">T00509</t>
  </si>
  <si>
    <t xml:space="preserve">T00510</t>
  </si>
  <si>
    <t xml:space="preserve">T00511</t>
  </si>
  <si>
    <t xml:space="preserve">T00512</t>
  </si>
  <si>
    <t xml:space="preserve">T00513</t>
  </si>
  <si>
    <t xml:space="preserve">T00514</t>
  </si>
  <si>
    <t xml:space="preserve">T00515</t>
  </si>
  <si>
    <t xml:space="preserve">T00516</t>
  </si>
  <si>
    <t xml:space="preserve">T00517</t>
  </si>
  <si>
    <t xml:space="preserve">T00518</t>
  </si>
  <si>
    <t xml:space="preserve">T00519</t>
  </si>
  <si>
    <t xml:space="preserve">T00520</t>
  </si>
  <si>
    <t xml:space="preserve">T00521</t>
  </si>
  <si>
    <t xml:space="preserve">T00522</t>
  </si>
  <si>
    <t xml:space="preserve">T00523</t>
  </si>
  <si>
    <t xml:space="preserve">T00524</t>
  </si>
  <si>
    <t xml:space="preserve">T00525</t>
  </si>
  <si>
    <t xml:space="preserve">T00526</t>
  </si>
  <si>
    <t xml:space="preserve">T00527</t>
  </si>
  <si>
    <t xml:space="preserve">T00528</t>
  </si>
  <si>
    <t xml:space="preserve">T00529</t>
  </si>
  <si>
    <t xml:space="preserve">T00530</t>
  </si>
  <si>
    <t xml:space="preserve">T00531</t>
  </si>
  <si>
    <t xml:space="preserve">T00532</t>
  </si>
  <si>
    <t xml:space="preserve">T00533</t>
  </si>
  <si>
    <t xml:space="preserve">T00534</t>
  </si>
  <si>
    <t xml:space="preserve">T00535</t>
  </si>
  <si>
    <t xml:space="preserve">T00536</t>
  </si>
  <si>
    <t xml:space="preserve">T00537</t>
  </si>
  <si>
    <t xml:space="preserve">T00538</t>
  </si>
  <si>
    <t xml:space="preserve">T00539</t>
  </si>
  <si>
    <t xml:space="preserve">T00540</t>
  </si>
  <si>
    <t xml:space="preserve">T00541</t>
  </si>
  <si>
    <t xml:space="preserve">T00542</t>
  </si>
  <si>
    <t xml:space="preserve">T00543</t>
  </si>
  <si>
    <t xml:space="preserve">T00544</t>
  </si>
  <si>
    <t xml:space="preserve">T00545</t>
  </si>
  <si>
    <t xml:space="preserve">T00546</t>
  </si>
  <si>
    <t xml:space="preserve">T00547</t>
  </si>
  <si>
    <t xml:space="preserve">T00548</t>
  </si>
  <si>
    <t xml:space="preserve">T00549</t>
  </si>
  <si>
    <t xml:space="preserve">T00550</t>
  </si>
  <si>
    <t xml:space="preserve">T00551</t>
  </si>
  <si>
    <t xml:space="preserve">T00552</t>
  </si>
  <si>
    <t xml:space="preserve">T00553</t>
  </si>
  <si>
    <t xml:space="preserve">T00554</t>
  </si>
  <si>
    <t xml:space="preserve">T00555</t>
  </si>
  <si>
    <t xml:space="preserve">T00556</t>
  </si>
  <si>
    <t xml:space="preserve">T00557</t>
  </si>
  <si>
    <t xml:space="preserve">T00558</t>
  </si>
  <si>
    <t xml:space="preserve">T00559</t>
  </si>
  <si>
    <t xml:space="preserve">T00560</t>
  </si>
  <si>
    <t xml:space="preserve">T00561</t>
  </si>
  <si>
    <t xml:space="preserve">T00562</t>
  </si>
  <si>
    <t xml:space="preserve">T00563</t>
  </si>
  <si>
    <t xml:space="preserve">T00564</t>
  </si>
  <si>
    <t xml:space="preserve">T00565</t>
  </si>
  <si>
    <t xml:space="preserve">T00566</t>
  </si>
  <si>
    <t xml:space="preserve">T00567</t>
  </si>
  <si>
    <t xml:space="preserve">T00568</t>
  </si>
  <si>
    <t xml:space="preserve">T00569</t>
  </si>
  <si>
    <t xml:space="preserve">T00570</t>
  </si>
  <si>
    <t xml:space="preserve">T00571</t>
  </si>
  <si>
    <t xml:space="preserve">T00572</t>
  </si>
  <si>
    <t xml:space="preserve">T00573</t>
  </si>
  <si>
    <t xml:space="preserve">T00574</t>
  </si>
  <si>
    <t xml:space="preserve">T00575</t>
  </si>
  <si>
    <t xml:space="preserve">T00576</t>
  </si>
  <si>
    <t xml:space="preserve">T00577</t>
  </si>
  <si>
    <t xml:space="preserve">T00578</t>
  </si>
  <si>
    <t xml:space="preserve">T00579</t>
  </si>
  <si>
    <t xml:space="preserve">T00580</t>
  </si>
  <si>
    <t xml:space="preserve">T00581</t>
  </si>
  <si>
    <t xml:space="preserve">T00582</t>
  </si>
  <si>
    <t xml:space="preserve">T00583</t>
  </si>
  <si>
    <t xml:space="preserve">T00584</t>
  </si>
  <si>
    <t xml:space="preserve">T00585</t>
  </si>
  <si>
    <t xml:space="preserve">T00586</t>
  </si>
  <si>
    <t xml:space="preserve">T00587</t>
  </si>
  <si>
    <t xml:space="preserve">T00588</t>
  </si>
  <si>
    <t xml:space="preserve">T00589</t>
  </si>
  <si>
    <t xml:space="preserve">T00590</t>
  </si>
  <si>
    <t xml:space="preserve">T00591</t>
  </si>
  <si>
    <t xml:space="preserve">T00592</t>
  </si>
  <si>
    <t xml:space="preserve">T00593</t>
  </si>
  <si>
    <t xml:space="preserve">T00594</t>
  </si>
  <si>
    <t xml:space="preserve">T00595</t>
  </si>
  <si>
    <t xml:space="preserve">T00596</t>
  </si>
  <si>
    <t xml:space="preserve">T00597</t>
  </si>
  <si>
    <t xml:space="preserve">T00598</t>
  </si>
  <si>
    <t xml:space="preserve">T00599</t>
  </si>
  <si>
    <t xml:space="preserve">T00600</t>
  </si>
  <si>
    <t xml:space="preserve">T00601</t>
  </si>
  <si>
    <t xml:space="preserve">T00602</t>
  </si>
  <si>
    <t xml:space="preserve">T00603</t>
  </si>
  <si>
    <t xml:space="preserve">T00604</t>
  </si>
  <si>
    <t xml:space="preserve">T00605</t>
  </si>
  <si>
    <t xml:space="preserve">T00606</t>
  </si>
  <si>
    <t xml:space="preserve">T00607</t>
  </si>
  <si>
    <t xml:space="preserve">T00608</t>
  </si>
  <si>
    <t xml:space="preserve">T00609</t>
  </si>
  <si>
    <t xml:space="preserve">T00610</t>
  </si>
  <si>
    <t xml:space="preserve">T00611</t>
  </si>
  <si>
    <t xml:space="preserve">T00612</t>
  </si>
  <si>
    <t xml:space="preserve">T00613</t>
  </si>
  <si>
    <t xml:space="preserve">T00614</t>
  </si>
  <si>
    <t xml:space="preserve">T00615</t>
  </si>
  <si>
    <t xml:space="preserve">T00616</t>
  </si>
  <si>
    <t xml:space="preserve">T00617</t>
  </si>
  <si>
    <t xml:space="preserve">T00618</t>
  </si>
  <si>
    <t xml:space="preserve">T00619</t>
  </si>
  <si>
    <t xml:space="preserve">T00620</t>
  </si>
  <si>
    <t xml:space="preserve">T00621</t>
  </si>
  <si>
    <t xml:space="preserve">T00622</t>
  </si>
  <si>
    <t xml:space="preserve">T00623</t>
  </si>
  <si>
    <t xml:space="preserve">T00624</t>
  </si>
  <si>
    <t xml:space="preserve">T00625</t>
  </si>
  <si>
    <t xml:space="preserve">T00626</t>
  </si>
  <si>
    <t xml:space="preserve">T00627</t>
  </si>
  <si>
    <t xml:space="preserve">T00628</t>
  </si>
  <si>
    <t xml:space="preserve">T00629</t>
  </si>
  <si>
    <t xml:space="preserve">T00630</t>
  </si>
  <si>
    <t xml:space="preserve">T00631</t>
  </si>
  <si>
    <t xml:space="preserve">T00632</t>
  </si>
  <si>
    <t xml:space="preserve">T00633</t>
  </si>
  <si>
    <t xml:space="preserve">T00634</t>
  </si>
  <si>
    <t xml:space="preserve">T00635</t>
  </si>
  <si>
    <t xml:space="preserve">T00636</t>
  </si>
  <si>
    <t xml:space="preserve">T00637</t>
  </si>
  <si>
    <t xml:space="preserve">T00638</t>
  </si>
  <si>
    <t xml:space="preserve">T00639</t>
  </si>
  <si>
    <t xml:space="preserve">T00640</t>
  </si>
  <si>
    <t xml:space="preserve">T00641</t>
  </si>
  <si>
    <t xml:space="preserve">T00642</t>
  </si>
  <si>
    <t xml:space="preserve">T00643</t>
  </si>
  <si>
    <t xml:space="preserve">T00644</t>
  </si>
  <si>
    <t xml:space="preserve">T00645</t>
  </si>
  <si>
    <t xml:space="preserve">T00646</t>
  </si>
  <si>
    <t xml:space="preserve">T00647</t>
  </si>
  <si>
    <t xml:space="preserve">T00648</t>
  </si>
  <si>
    <t xml:space="preserve">T00649</t>
  </si>
  <si>
    <t xml:space="preserve">T00650</t>
  </si>
  <si>
    <t xml:space="preserve">T00651</t>
  </si>
  <si>
    <t xml:space="preserve">T00652</t>
  </si>
  <si>
    <t xml:space="preserve">T00653</t>
  </si>
  <si>
    <t xml:space="preserve">T00654</t>
  </si>
  <si>
    <t xml:space="preserve">T00655</t>
  </si>
  <si>
    <t xml:space="preserve">T00656</t>
  </si>
  <si>
    <t xml:space="preserve">T00657</t>
  </si>
  <si>
    <t xml:space="preserve">T00658</t>
  </si>
  <si>
    <t xml:space="preserve">T00659</t>
  </si>
  <si>
    <t xml:space="preserve">T00660</t>
  </si>
  <si>
    <t xml:space="preserve">T00661</t>
  </si>
  <si>
    <t xml:space="preserve">T00662</t>
  </si>
  <si>
    <t xml:space="preserve">T00663</t>
  </si>
  <si>
    <t xml:space="preserve">T00664</t>
  </si>
  <si>
    <t xml:space="preserve">T00665</t>
  </si>
  <si>
    <t xml:space="preserve">T00666</t>
  </si>
  <si>
    <t xml:space="preserve">T00667</t>
  </si>
  <si>
    <t xml:space="preserve">T00668</t>
  </si>
  <si>
    <t xml:space="preserve">T00669</t>
  </si>
  <si>
    <t xml:space="preserve">T00670</t>
  </si>
  <si>
    <t xml:space="preserve">T00671</t>
  </si>
  <si>
    <t xml:space="preserve">T00672</t>
  </si>
  <si>
    <t xml:space="preserve">T00673</t>
  </si>
  <si>
    <t xml:space="preserve">T00674</t>
  </si>
  <si>
    <t xml:space="preserve">T00675</t>
  </si>
  <si>
    <t xml:space="preserve">T00676</t>
  </si>
  <si>
    <t xml:space="preserve">T00677</t>
  </si>
  <si>
    <t xml:space="preserve">T00678</t>
  </si>
  <si>
    <t xml:space="preserve">T00679</t>
  </si>
  <si>
    <t xml:space="preserve">T00680</t>
  </si>
  <si>
    <t xml:space="preserve">T00681</t>
  </si>
  <si>
    <t xml:space="preserve">T00682</t>
  </si>
  <si>
    <t xml:space="preserve">T00683</t>
  </si>
  <si>
    <t xml:space="preserve">T00684</t>
  </si>
  <si>
    <t xml:space="preserve">T00685</t>
  </si>
  <si>
    <t xml:space="preserve">T00686</t>
  </si>
  <si>
    <t xml:space="preserve">T00687</t>
  </si>
  <si>
    <t xml:space="preserve">T00688</t>
  </si>
  <si>
    <t xml:space="preserve">T00689</t>
  </si>
  <si>
    <t xml:space="preserve">T00690</t>
  </si>
  <si>
    <t xml:space="preserve">T00691</t>
  </si>
  <si>
    <t xml:space="preserve">T00692</t>
  </si>
  <si>
    <t xml:space="preserve">T00693</t>
  </si>
  <si>
    <t xml:space="preserve">T00694</t>
  </si>
  <si>
    <t xml:space="preserve">T00695</t>
  </si>
  <si>
    <t xml:space="preserve">T00696</t>
  </si>
  <si>
    <t xml:space="preserve">T00697</t>
  </si>
  <si>
    <t xml:space="preserve">T00698</t>
  </si>
  <si>
    <t xml:space="preserve">T00699</t>
  </si>
  <si>
    <t xml:space="preserve">T00700</t>
  </si>
  <si>
    <t xml:space="preserve">T00701</t>
  </si>
  <si>
    <t xml:space="preserve">T00702</t>
  </si>
  <si>
    <t xml:space="preserve">T00703</t>
  </si>
  <si>
    <t xml:space="preserve">T00704</t>
  </si>
  <si>
    <t xml:space="preserve">T00705</t>
  </si>
  <si>
    <t xml:space="preserve">T00706</t>
  </si>
  <si>
    <t xml:space="preserve">T00707</t>
  </si>
  <si>
    <t xml:space="preserve">T00708</t>
  </si>
  <si>
    <t xml:space="preserve">T00709</t>
  </si>
  <si>
    <t xml:space="preserve">T00710</t>
  </si>
  <si>
    <t xml:space="preserve">T00711</t>
  </si>
  <si>
    <t xml:space="preserve">T00712</t>
  </si>
  <si>
    <t xml:space="preserve">T00713</t>
  </si>
  <si>
    <t xml:space="preserve">T00714</t>
  </si>
  <si>
    <t xml:space="preserve">T00715</t>
  </si>
  <si>
    <t xml:space="preserve">T00716</t>
  </si>
  <si>
    <t xml:space="preserve">T00717</t>
  </si>
  <si>
    <t xml:space="preserve">T00718</t>
  </si>
  <si>
    <t xml:space="preserve">T00719</t>
  </si>
  <si>
    <t xml:space="preserve">T00720</t>
  </si>
  <si>
    <t xml:space="preserve">T00721</t>
  </si>
  <si>
    <t xml:space="preserve">T00722</t>
  </si>
  <si>
    <t xml:space="preserve">T00723</t>
  </si>
  <si>
    <t xml:space="preserve">T00724</t>
  </si>
  <si>
    <t xml:space="preserve">T00725</t>
  </si>
  <si>
    <t xml:space="preserve">T00726</t>
  </si>
  <si>
    <t xml:space="preserve">T00727</t>
  </si>
  <si>
    <t xml:space="preserve">T00728</t>
  </si>
  <si>
    <t xml:space="preserve">T00729</t>
  </si>
  <si>
    <t xml:space="preserve">T00730</t>
  </si>
  <si>
    <t xml:space="preserve">T00731</t>
  </si>
  <si>
    <t xml:space="preserve">T00732</t>
  </si>
  <si>
    <t xml:space="preserve">T00733</t>
  </si>
  <si>
    <t xml:space="preserve">T00734</t>
  </si>
  <si>
    <t xml:space="preserve">T00735</t>
  </si>
  <si>
    <t xml:space="preserve">T00736</t>
  </si>
  <si>
    <t xml:space="preserve">T00737</t>
  </si>
  <si>
    <t xml:space="preserve">T00738</t>
  </si>
  <si>
    <t xml:space="preserve">T00739</t>
  </si>
  <si>
    <t xml:space="preserve">T00740</t>
  </si>
  <si>
    <t xml:space="preserve">T00741</t>
  </si>
  <si>
    <t xml:space="preserve">T00742</t>
  </si>
  <si>
    <t xml:space="preserve">T00743</t>
  </si>
  <si>
    <t xml:space="preserve">T00744</t>
  </si>
  <si>
    <t xml:space="preserve">T00745</t>
  </si>
  <si>
    <t xml:space="preserve">T00746</t>
  </si>
  <si>
    <t xml:space="preserve">T00747</t>
  </si>
  <si>
    <t xml:space="preserve">T00748</t>
  </si>
  <si>
    <t xml:space="preserve">T00749</t>
  </si>
  <si>
    <t xml:space="preserve">T00750</t>
  </si>
  <si>
    <t xml:space="preserve">T00751</t>
  </si>
  <si>
    <t xml:space="preserve">T00752</t>
  </si>
  <si>
    <t xml:space="preserve">T00753</t>
  </si>
  <si>
    <t xml:space="preserve">T00754</t>
  </si>
  <si>
    <t xml:space="preserve">T00755</t>
  </si>
  <si>
    <t xml:space="preserve">T00756</t>
  </si>
  <si>
    <t xml:space="preserve">T00757</t>
  </si>
  <si>
    <t xml:space="preserve">T00758</t>
  </si>
  <si>
    <t xml:space="preserve">T00759</t>
  </si>
  <si>
    <t xml:space="preserve">T00760</t>
  </si>
  <si>
    <t xml:space="preserve">T00761</t>
  </si>
  <si>
    <t xml:space="preserve">T00762</t>
  </si>
  <si>
    <t xml:space="preserve">T00763</t>
  </si>
  <si>
    <t xml:space="preserve">T00764</t>
  </si>
  <si>
    <t xml:space="preserve">T00765</t>
  </si>
  <si>
    <t xml:space="preserve">T00766</t>
  </si>
  <si>
    <t xml:space="preserve">T00767</t>
  </si>
  <si>
    <t xml:space="preserve">T00768</t>
  </si>
  <si>
    <t xml:space="preserve">T00769</t>
  </si>
  <si>
    <t xml:space="preserve">T00770</t>
  </si>
  <si>
    <t xml:space="preserve">T00771</t>
  </si>
  <si>
    <t xml:space="preserve">T00772</t>
  </si>
  <si>
    <t xml:space="preserve">T00773</t>
  </si>
  <si>
    <t xml:space="preserve">T00774</t>
  </si>
  <si>
    <t xml:space="preserve">T00775</t>
  </si>
  <si>
    <t xml:space="preserve">T00776</t>
  </si>
  <si>
    <t xml:space="preserve">T00777</t>
  </si>
  <si>
    <t xml:space="preserve">T00778</t>
  </si>
  <si>
    <t xml:space="preserve">T00779</t>
  </si>
  <si>
    <t xml:space="preserve">T00780</t>
  </si>
  <si>
    <t xml:space="preserve">T00781</t>
  </si>
  <si>
    <t xml:space="preserve">T00782</t>
  </si>
  <si>
    <t xml:space="preserve">T00783</t>
  </si>
  <si>
    <t xml:space="preserve">T00784</t>
  </si>
  <si>
    <t xml:space="preserve">T00785</t>
  </si>
  <si>
    <t xml:space="preserve">T00786</t>
  </si>
  <si>
    <t xml:space="preserve">T00787</t>
  </si>
  <si>
    <t xml:space="preserve">T00788</t>
  </si>
  <si>
    <t xml:space="preserve">T00789</t>
  </si>
  <si>
    <t xml:space="preserve">T00790</t>
  </si>
  <si>
    <t xml:space="preserve">T00791</t>
  </si>
  <si>
    <t xml:space="preserve">T00792</t>
  </si>
  <si>
    <t xml:space="preserve">T00793</t>
  </si>
  <si>
    <t xml:space="preserve">T00794</t>
  </si>
  <si>
    <t xml:space="preserve">T00795</t>
  </si>
  <si>
    <t xml:space="preserve">T00796</t>
  </si>
  <si>
    <t xml:space="preserve">T00797</t>
  </si>
  <si>
    <t xml:space="preserve">T00798</t>
  </si>
  <si>
    <t xml:space="preserve">T00799</t>
  </si>
  <si>
    <t xml:space="preserve">T00800</t>
  </si>
  <si>
    <t xml:space="preserve">T00801</t>
  </si>
  <si>
    <t xml:space="preserve">T00802</t>
  </si>
  <si>
    <t xml:space="preserve">T00803</t>
  </si>
  <si>
    <t xml:space="preserve">T00804</t>
  </si>
  <si>
    <t xml:space="preserve">T00805</t>
  </si>
  <si>
    <t xml:space="preserve">T00806</t>
  </si>
  <si>
    <t xml:space="preserve">T00807</t>
  </si>
  <si>
    <t xml:space="preserve">T00808</t>
  </si>
  <si>
    <t xml:space="preserve">T00809</t>
  </si>
  <si>
    <t xml:space="preserve">T00810</t>
  </si>
  <si>
    <t xml:space="preserve">T00811</t>
  </si>
  <si>
    <t xml:space="preserve">T00812</t>
  </si>
  <si>
    <t xml:space="preserve">T00813</t>
  </si>
  <si>
    <t xml:space="preserve">T00814</t>
  </si>
  <si>
    <t xml:space="preserve">T00815</t>
  </si>
  <si>
    <t xml:space="preserve">T00816</t>
  </si>
  <si>
    <t xml:space="preserve">T00817</t>
  </si>
  <si>
    <t xml:space="preserve">T00818</t>
  </si>
  <si>
    <t xml:space="preserve">T00819</t>
  </si>
  <si>
    <t xml:space="preserve">T00820</t>
  </si>
  <si>
    <t xml:space="preserve">T00821</t>
  </si>
  <si>
    <t xml:space="preserve">T00822</t>
  </si>
  <si>
    <t xml:space="preserve">T00823</t>
  </si>
  <si>
    <t xml:space="preserve">T00824</t>
  </si>
  <si>
    <t xml:space="preserve">T00825</t>
  </si>
  <si>
    <t xml:space="preserve">T00826</t>
  </si>
  <si>
    <t xml:space="preserve">T00827</t>
  </si>
  <si>
    <t xml:space="preserve">T00828</t>
  </si>
  <si>
    <t xml:space="preserve">T00829</t>
  </si>
  <si>
    <t xml:space="preserve">T00830</t>
  </si>
  <si>
    <t xml:space="preserve">T00831</t>
  </si>
  <si>
    <t xml:space="preserve">T00832</t>
  </si>
  <si>
    <t xml:space="preserve">T00833</t>
  </si>
  <si>
    <t xml:space="preserve">T00834</t>
  </si>
  <si>
    <t xml:space="preserve">T00835</t>
  </si>
  <si>
    <t xml:space="preserve">T00836</t>
  </si>
  <si>
    <t xml:space="preserve">T00837</t>
  </si>
  <si>
    <t xml:space="preserve">T00838</t>
  </si>
  <si>
    <t xml:space="preserve">T00839</t>
  </si>
  <si>
    <t xml:space="preserve">T00840</t>
  </si>
  <si>
    <t xml:space="preserve">T00841</t>
  </si>
  <si>
    <t xml:space="preserve">T00842</t>
  </si>
  <si>
    <t xml:space="preserve">T00843</t>
  </si>
  <si>
    <t xml:space="preserve">T00844</t>
  </si>
  <si>
    <t xml:space="preserve">T00845</t>
  </si>
  <si>
    <t xml:space="preserve">T00846</t>
  </si>
  <si>
    <t xml:space="preserve">T00847</t>
  </si>
  <si>
    <t xml:space="preserve">T00848</t>
  </si>
  <si>
    <t xml:space="preserve">T00849</t>
  </si>
  <si>
    <t xml:space="preserve">T00850</t>
  </si>
  <si>
    <t xml:space="preserve">T00851</t>
  </si>
  <si>
    <t xml:space="preserve">T00852</t>
  </si>
  <si>
    <t xml:space="preserve">T00853</t>
  </si>
  <si>
    <t xml:space="preserve">T00854</t>
  </si>
  <si>
    <t xml:space="preserve">T00855</t>
  </si>
  <si>
    <t xml:space="preserve">T00856</t>
  </si>
  <si>
    <t xml:space="preserve">T00857</t>
  </si>
  <si>
    <t xml:space="preserve">T00858</t>
  </si>
  <si>
    <t xml:space="preserve">T00859</t>
  </si>
  <si>
    <t xml:space="preserve">T00860</t>
  </si>
  <si>
    <t xml:space="preserve">T00861</t>
  </si>
  <si>
    <t xml:space="preserve">T00862</t>
  </si>
  <si>
    <t xml:space="preserve">T00863</t>
  </si>
  <si>
    <t xml:space="preserve">T00864</t>
  </si>
  <si>
    <t xml:space="preserve">T00865</t>
  </si>
  <si>
    <t xml:space="preserve">T00866</t>
  </si>
  <si>
    <t xml:space="preserve">T00867</t>
  </si>
  <si>
    <t xml:space="preserve">T00868</t>
  </si>
  <si>
    <t xml:space="preserve">T00869</t>
  </si>
  <si>
    <t xml:space="preserve">T00870</t>
  </si>
  <si>
    <t xml:space="preserve">T00871</t>
  </si>
  <si>
    <t xml:space="preserve">T00872</t>
  </si>
  <si>
    <t xml:space="preserve">T00873</t>
  </si>
  <si>
    <t xml:space="preserve">T00874</t>
  </si>
  <si>
    <t xml:space="preserve">T00875</t>
  </si>
  <si>
    <t xml:space="preserve">T00876</t>
  </si>
  <si>
    <t xml:space="preserve">T00877</t>
  </si>
  <si>
    <t xml:space="preserve">T00878</t>
  </si>
  <si>
    <t xml:space="preserve">T00879</t>
  </si>
  <si>
    <t xml:space="preserve">T00880</t>
  </si>
  <si>
    <t xml:space="preserve">T00881</t>
  </si>
  <si>
    <t xml:space="preserve">T00882</t>
  </si>
  <si>
    <t xml:space="preserve">T00883</t>
  </si>
  <si>
    <t xml:space="preserve">T00884</t>
  </si>
  <si>
    <t xml:space="preserve">T00885</t>
  </si>
  <si>
    <t xml:space="preserve">T00886</t>
  </si>
  <si>
    <t xml:space="preserve">T00887</t>
  </si>
  <si>
    <t xml:space="preserve">T00888</t>
  </si>
  <si>
    <t xml:space="preserve">T00889</t>
  </si>
  <si>
    <t xml:space="preserve">T00890</t>
  </si>
  <si>
    <t xml:space="preserve">T00891</t>
  </si>
  <si>
    <t xml:space="preserve">T00892</t>
  </si>
  <si>
    <t xml:space="preserve">T00893</t>
  </si>
  <si>
    <t xml:space="preserve">T00894</t>
  </si>
  <si>
    <t xml:space="preserve">T00895</t>
  </si>
  <si>
    <t xml:space="preserve">T00896</t>
  </si>
  <si>
    <t xml:space="preserve">T00897</t>
  </si>
  <si>
    <t xml:space="preserve">T00898</t>
  </si>
  <si>
    <t xml:space="preserve">T00899</t>
  </si>
  <si>
    <t xml:space="preserve">T00900</t>
  </si>
  <si>
    <t xml:space="preserve">T00901</t>
  </si>
  <si>
    <t xml:space="preserve">T00902</t>
  </si>
  <si>
    <t xml:space="preserve">T00903</t>
  </si>
  <si>
    <t xml:space="preserve">T00904</t>
  </si>
  <si>
    <t xml:space="preserve">T00905</t>
  </si>
  <si>
    <t xml:space="preserve">T00906</t>
  </si>
  <si>
    <t xml:space="preserve">T00907</t>
  </si>
  <si>
    <t xml:space="preserve">T00908</t>
  </si>
  <si>
    <t xml:space="preserve">T00909</t>
  </si>
  <si>
    <t xml:space="preserve">T00910</t>
  </si>
  <si>
    <t xml:space="preserve">T00911</t>
  </si>
  <si>
    <t xml:space="preserve">T00912</t>
  </si>
  <si>
    <t xml:space="preserve">T00913</t>
  </si>
  <si>
    <t xml:space="preserve">T00914</t>
  </si>
  <si>
    <t xml:space="preserve">T00915</t>
  </si>
  <si>
    <t xml:space="preserve">T00916</t>
  </si>
  <si>
    <t xml:space="preserve">T00917</t>
  </si>
  <si>
    <t xml:space="preserve">T00918</t>
  </si>
  <si>
    <t xml:space="preserve">T00919</t>
  </si>
  <si>
    <t xml:space="preserve">T00920</t>
  </si>
  <si>
    <t xml:space="preserve">T00921</t>
  </si>
  <si>
    <t xml:space="preserve">T00922</t>
  </si>
  <si>
    <t xml:space="preserve">T00923</t>
  </si>
  <si>
    <t xml:space="preserve">T00924</t>
  </si>
  <si>
    <t xml:space="preserve">T00925</t>
  </si>
  <si>
    <t xml:space="preserve">T00926</t>
  </si>
  <si>
    <t xml:space="preserve">T00927</t>
  </si>
  <si>
    <t xml:space="preserve">T00928</t>
  </si>
  <si>
    <t xml:space="preserve">T00929</t>
  </si>
  <si>
    <t xml:space="preserve">T00930</t>
  </si>
  <si>
    <t xml:space="preserve">T00931</t>
  </si>
  <si>
    <t xml:space="preserve">T00932</t>
  </si>
  <si>
    <t xml:space="preserve">T00933</t>
  </si>
  <si>
    <t xml:space="preserve">T00934</t>
  </si>
  <si>
    <t xml:space="preserve">T00935</t>
  </si>
  <si>
    <t xml:space="preserve">T00936</t>
  </si>
  <si>
    <t xml:space="preserve">T00937</t>
  </si>
  <si>
    <t xml:space="preserve">T00938</t>
  </si>
  <si>
    <t xml:space="preserve">T00939</t>
  </si>
  <si>
    <t xml:space="preserve">T00940</t>
  </si>
  <si>
    <t xml:space="preserve">T00941</t>
  </si>
  <si>
    <t xml:space="preserve">T00942</t>
  </si>
  <si>
    <t xml:space="preserve">T00943</t>
  </si>
  <si>
    <t xml:space="preserve">T00944</t>
  </si>
  <si>
    <t xml:space="preserve">T00945</t>
  </si>
  <si>
    <t xml:space="preserve">T00946</t>
  </si>
  <si>
    <t xml:space="preserve">T00947</t>
  </si>
  <si>
    <t xml:space="preserve">T00948</t>
  </si>
  <si>
    <t xml:space="preserve">T00949</t>
  </si>
  <si>
    <t xml:space="preserve">T00950</t>
  </si>
  <si>
    <t xml:space="preserve">T00951</t>
  </si>
  <si>
    <t xml:space="preserve">T00952</t>
  </si>
  <si>
    <t xml:space="preserve">T00953</t>
  </si>
  <si>
    <t xml:space="preserve">T00954</t>
  </si>
  <si>
    <t xml:space="preserve">T00955</t>
  </si>
  <si>
    <t xml:space="preserve">T00956</t>
  </si>
  <si>
    <t xml:space="preserve">T00957</t>
  </si>
  <si>
    <t xml:space="preserve">T00958</t>
  </si>
  <si>
    <t xml:space="preserve">T00959</t>
  </si>
  <si>
    <t xml:space="preserve">T00960</t>
  </si>
  <si>
    <t xml:space="preserve">T00961</t>
  </si>
  <si>
    <t xml:space="preserve">T00962</t>
  </si>
  <si>
    <t xml:space="preserve">T00963</t>
  </si>
  <si>
    <t xml:space="preserve">T00964</t>
  </si>
  <si>
    <t xml:space="preserve">T00965</t>
  </si>
  <si>
    <t xml:space="preserve">T00966</t>
  </si>
  <si>
    <t xml:space="preserve">T00967</t>
  </si>
  <si>
    <t xml:space="preserve">T00968</t>
  </si>
  <si>
    <t xml:space="preserve">T00969</t>
  </si>
  <si>
    <t xml:space="preserve">T00970</t>
  </si>
  <si>
    <t xml:space="preserve">T00971</t>
  </si>
  <si>
    <t xml:space="preserve">T00972</t>
  </si>
  <si>
    <t xml:space="preserve">T00973</t>
  </si>
  <si>
    <t xml:space="preserve">T00974</t>
  </si>
  <si>
    <t xml:space="preserve">T00975</t>
  </si>
  <si>
    <t xml:space="preserve">T00976</t>
  </si>
  <si>
    <t xml:space="preserve">T00977</t>
  </si>
  <si>
    <t xml:space="preserve">T00978</t>
  </si>
  <si>
    <t xml:space="preserve">T00979</t>
  </si>
  <si>
    <t xml:space="preserve">T00980</t>
  </si>
  <si>
    <t xml:space="preserve">T00981</t>
  </si>
  <si>
    <t xml:space="preserve">T00982</t>
  </si>
  <si>
    <t xml:space="preserve">T00983</t>
  </si>
  <si>
    <t xml:space="preserve">T00984</t>
  </si>
  <si>
    <t xml:space="preserve">T00985</t>
  </si>
  <si>
    <t xml:space="preserve">T00986</t>
  </si>
  <si>
    <t xml:space="preserve">T00987</t>
  </si>
  <si>
    <t xml:space="preserve">T00988</t>
  </si>
  <si>
    <t xml:space="preserve">T00989</t>
  </si>
  <si>
    <t xml:space="preserve">T00990</t>
  </si>
  <si>
    <t xml:space="preserve">T00991</t>
  </si>
  <si>
    <t xml:space="preserve">T00992</t>
  </si>
  <si>
    <t xml:space="preserve">T00993</t>
  </si>
  <si>
    <t xml:space="preserve">T00994</t>
  </si>
  <si>
    <t xml:space="preserve">T00995</t>
  </si>
  <si>
    <t xml:space="preserve">T00996</t>
  </si>
  <si>
    <t xml:space="preserve">T00997</t>
  </si>
  <si>
    <t xml:space="preserve">T00998</t>
  </si>
  <si>
    <t xml:space="preserve">T00999</t>
  </si>
  <si>
    <t xml:space="preserve">T01000</t>
  </si>
  <si>
    <t xml:space="preserve">T01001</t>
  </si>
  <si>
    <t xml:space="preserve">T01002</t>
  </si>
  <si>
    <t xml:space="preserve">T01003</t>
  </si>
  <si>
    <t xml:space="preserve">T01004</t>
  </si>
  <si>
    <t xml:space="preserve">T01005</t>
  </si>
  <si>
    <t xml:space="preserve">T01006</t>
  </si>
  <si>
    <t xml:space="preserve">T01007</t>
  </si>
  <si>
    <t xml:space="preserve">T01008</t>
  </si>
  <si>
    <t xml:space="preserve">T01009</t>
  </si>
  <si>
    <t xml:space="preserve">T01010</t>
  </si>
  <si>
    <t xml:space="preserve">T01011</t>
  </si>
  <si>
    <t xml:space="preserve">T01012</t>
  </si>
  <si>
    <t xml:space="preserve">T01013</t>
  </si>
  <si>
    <t xml:space="preserve">T01014</t>
  </si>
  <si>
    <t xml:space="preserve">T01015</t>
  </si>
  <si>
    <t xml:space="preserve">T01016</t>
  </si>
  <si>
    <t xml:space="preserve">T01017</t>
  </si>
  <si>
    <t xml:space="preserve">T01018</t>
  </si>
  <si>
    <t xml:space="preserve">T01019</t>
  </si>
  <si>
    <t xml:space="preserve">T01020</t>
  </si>
  <si>
    <t xml:space="preserve">T01021</t>
  </si>
  <si>
    <t xml:space="preserve">T01022</t>
  </si>
  <si>
    <t xml:space="preserve">T01023</t>
  </si>
  <si>
    <t xml:space="preserve">T01024</t>
  </si>
  <si>
    <t xml:space="preserve">T01025</t>
  </si>
  <si>
    <t xml:space="preserve">T01026</t>
  </si>
  <si>
    <t xml:space="preserve">T01027</t>
  </si>
  <si>
    <t xml:space="preserve">T01028</t>
  </si>
  <si>
    <t xml:space="preserve">T01029</t>
  </si>
  <si>
    <t xml:space="preserve">T01030</t>
  </si>
  <si>
    <t xml:space="preserve">T01031</t>
  </si>
  <si>
    <t xml:space="preserve">T01032</t>
  </si>
  <si>
    <t xml:space="preserve">T01033</t>
  </si>
  <si>
    <t xml:space="preserve">T01034</t>
  </si>
  <si>
    <t xml:space="preserve">T01035</t>
  </si>
  <si>
    <t xml:space="preserve">T01036</t>
  </si>
  <si>
    <t xml:space="preserve">T01037</t>
  </si>
  <si>
    <t xml:space="preserve">T01038</t>
  </si>
  <si>
    <t xml:space="preserve">T01039</t>
  </si>
  <si>
    <t xml:space="preserve">T01040</t>
  </si>
  <si>
    <t xml:space="preserve">T01041</t>
  </si>
  <si>
    <t xml:space="preserve">T01042</t>
  </si>
  <si>
    <t xml:space="preserve">T01043</t>
  </si>
  <si>
    <t xml:space="preserve">T01044</t>
  </si>
  <si>
    <t xml:space="preserve">T01045</t>
  </si>
  <si>
    <t xml:space="preserve">T01046</t>
  </si>
  <si>
    <t xml:space="preserve">T01047</t>
  </si>
  <si>
    <t xml:space="preserve">T01048</t>
  </si>
  <si>
    <t xml:space="preserve">T01049</t>
  </si>
  <si>
    <t xml:space="preserve">T01050</t>
  </si>
  <si>
    <t xml:space="preserve">T01051</t>
  </si>
  <si>
    <t xml:space="preserve">T01052</t>
  </si>
  <si>
    <t xml:space="preserve">T01053</t>
  </si>
  <si>
    <t xml:space="preserve">T01054</t>
  </si>
  <si>
    <t xml:space="preserve">T01055</t>
  </si>
  <si>
    <t xml:space="preserve">T01056</t>
  </si>
  <si>
    <t xml:space="preserve">T01057</t>
  </si>
  <si>
    <t xml:space="preserve">T01058</t>
  </si>
  <si>
    <t xml:space="preserve">T01059</t>
  </si>
  <si>
    <t xml:space="preserve">T01060</t>
  </si>
  <si>
    <t xml:space="preserve">T01061</t>
  </si>
  <si>
    <t xml:space="preserve">T01062</t>
  </si>
  <si>
    <t xml:space="preserve">T01063</t>
  </si>
  <si>
    <t xml:space="preserve">T01064</t>
  </si>
  <si>
    <t xml:space="preserve">T01065</t>
  </si>
  <si>
    <t xml:space="preserve">T01066</t>
  </si>
  <si>
    <t xml:space="preserve">T01067</t>
  </si>
  <si>
    <t xml:space="preserve">T01068</t>
  </si>
  <si>
    <t xml:space="preserve">T01069</t>
  </si>
  <si>
    <t xml:space="preserve">T01070</t>
  </si>
  <si>
    <t xml:space="preserve">T01071</t>
  </si>
  <si>
    <t xml:space="preserve">T01072</t>
  </si>
  <si>
    <t xml:space="preserve">T01073</t>
  </si>
  <si>
    <t xml:space="preserve">T01074</t>
  </si>
  <si>
    <t xml:space="preserve">T01075</t>
  </si>
  <si>
    <t xml:space="preserve">T01076</t>
  </si>
  <si>
    <t xml:space="preserve">T01077</t>
  </si>
  <si>
    <t xml:space="preserve">T01078</t>
  </si>
  <si>
    <t xml:space="preserve">T01079</t>
  </si>
  <si>
    <t xml:space="preserve">T01080</t>
  </si>
  <si>
    <t xml:space="preserve">T01081</t>
  </si>
  <si>
    <t xml:space="preserve">T01082</t>
  </si>
  <si>
    <t xml:space="preserve">T01083</t>
  </si>
  <si>
    <t xml:space="preserve">T01084</t>
  </si>
  <si>
    <t xml:space="preserve">T01085</t>
  </si>
  <si>
    <t xml:space="preserve">T01086</t>
  </si>
  <si>
    <t xml:space="preserve">T01087</t>
  </si>
  <si>
    <t xml:space="preserve">T01088</t>
  </si>
  <si>
    <t xml:space="preserve">T01089</t>
  </si>
  <si>
    <t xml:space="preserve">T01090</t>
  </si>
  <si>
    <t xml:space="preserve">T01091</t>
  </si>
  <si>
    <t xml:space="preserve">T01092</t>
  </si>
  <si>
    <t xml:space="preserve">T01093</t>
  </si>
  <si>
    <t xml:space="preserve">T01094</t>
  </si>
  <si>
    <t xml:space="preserve">T01095</t>
  </si>
  <si>
    <t xml:space="preserve">T01096</t>
  </si>
  <si>
    <t xml:space="preserve">T01097</t>
  </si>
  <si>
    <t xml:space="preserve">T01098</t>
  </si>
  <si>
    <t xml:space="preserve">T01099</t>
  </si>
  <si>
    <t xml:space="preserve">T01100</t>
  </si>
  <si>
    <t xml:space="preserve">T01101</t>
  </si>
  <si>
    <t xml:space="preserve">T01102</t>
  </si>
  <si>
    <t xml:space="preserve">T01103</t>
  </si>
  <si>
    <t xml:space="preserve">T01104</t>
  </si>
  <si>
    <t xml:space="preserve">T01105</t>
  </si>
  <si>
    <t xml:space="preserve">T01106</t>
  </si>
  <si>
    <t xml:space="preserve">T01107</t>
  </si>
  <si>
    <t xml:space="preserve">T01108</t>
  </si>
  <si>
    <t xml:space="preserve">T01109</t>
  </si>
  <si>
    <t xml:space="preserve">T01110</t>
  </si>
  <si>
    <t xml:space="preserve">T01111</t>
  </si>
  <si>
    <t xml:space="preserve">T01112</t>
  </si>
  <si>
    <t xml:space="preserve">T01113</t>
  </si>
  <si>
    <t xml:space="preserve">T01114</t>
  </si>
  <si>
    <t xml:space="preserve">T01115</t>
  </si>
  <si>
    <t xml:space="preserve">T01116</t>
  </si>
  <si>
    <t xml:space="preserve">T01117</t>
  </si>
  <si>
    <t xml:space="preserve">T01118</t>
  </si>
  <si>
    <t xml:space="preserve">T01119</t>
  </si>
  <si>
    <t xml:space="preserve">T01120</t>
  </si>
  <si>
    <t xml:space="preserve">T01121</t>
  </si>
  <si>
    <t xml:space="preserve">T01122</t>
  </si>
  <si>
    <t xml:space="preserve">T01123</t>
  </si>
  <si>
    <t xml:space="preserve">T01124</t>
  </si>
  <si>
    <t xml:space="preserve">T01125</t>
  </si>
  <si>
    <t xml:space="preserve">T01126</t>
  </si>
  <si>
    <t xml:space="preserve">T01127</t>
  </si>
  <si>
    <t xml:space="preserve">T01128</t>
  </si>
  <si>
    <t xml:space="preserve">T01129</t>
  </si>
  <si>
    <t xml:space="preserve">T01130</t>
  </si>
  <si>
    <t xml:space="preserve">T01131</t>
  </si>
  <si>
    <t xml:space="preserve">T01132</t>
  </si>
  <si>
    <t xml:space="preserve">T01133</t>
  </si>
  <si>
    <t xml:space="preserve">T01134</t>
  </si>
  <si>
    <t xml:space="preserve">T01135</t>
  </si>
  <si>
    <t xml:space="preserve">T01136</t>
  </si>
  <si>
    <t xml:space="preserve">T01137</t>
  </si>
  <si>
    <t xml:space="preserve">T01138</t>
  </si>
  <si>
    <t xml:space="preserve">T01139</t>
  </si>
  <si>
    <t xml:space="preserve">T01140</t>
  </si>
  <si>
    <t xml:space="preserve">T01141</t>
  </si>
  <si>
    <t xml:space="preserve">T01142</t>
  </si>
  <si>
    <t xml:space="preserve">T01143</t>
  </si>
  <si>
    <t xml:space="preserve">T01144</t>
  </si>
  <si>
    <t xml:space="preserve">T01145</t>
  </si>
  <si>
    <t xml:space="preserve">T01146</t>
  </si>
  <si>
    <t xml:space="preserve">T01147</t>
  </si>
  <si>
    <t xml:space="preserve">T01148</t>
  </si>
  <si>
    <t xml:space="preserve">T01149</t>
  </si>
  <si>
    <t xml:space="preserve">T01150</t>
  </si>
  <si>
    <t xml:space="preserve">T01151</t>
  </si>
  <si>
    <t xml:space="preserve">T01152</t>
  </si>
  <si>
    <t xml:space="preserve">T01153</t>
  </si>
  <si>
    <t xml:space="preserve">T01154</t>
  </si>
  <si>
    <t xml:space="preserve">T01155</t>
  </si>
  <si>
    <t xml:space="preserve">T01156</t>
  </si>
  <si>
    <t xml:space="preserve">T01157</t>
  </si>
  <si>
    <t xml:space="preserve">T01158</t>
  </si>
  <si>
    <t xml:space="preserve">T01159</t>
  </si>
  <si>
    <t xml:space="preserve">T01160</t>
  </si>
  <si>
    <t xml:space="preserve">T01161</t>
  </si>
  <si>
    <t xml:space="preserve">T01162</t>
  </si>
  <si>
    <t xml:space="preserve">T01163</t>
  </si>
  <si>
    <t xml:space="preserve">T01164</t>
  </si>
  <si>
    <t xml:space="preserve">T01165</t>
  </si>
  <si>
    <t xml:space="preserve">T01166</t>
  </si>
  <si>
    <t xml:space="preserve">T01167</t>
  </si>
  <si>
    <t xml:space="preserve">T01168</t>
  </si>
  <si>
    <t xml:space="preserve">T01169</t>
  </si>
  <si>
    <t xml:space="preserve">T01170</t>
  </si>
  <si>
    <t xml:space="preserve">T01171</t>
  </si>
  <si>
    <t xml:space="preserve">T01172</t>
  </si>
  <si>
    <t xml:space="preserve">T01173</t>
  </si>
  <si>
    <t xml:space="preserve">T01174</t>
  </si>
  <si>
    <t xml:space="preserve">T01175</t>
  </si>
  <si>
    <t xml:space="preserve">T01176</t>
  </si>
  <si>
    <t xml:space="preserve">T01177</t>
  </si>
  <si>
    <t xml:space="preserve">T01178</t>
  </si>
  <si>
    <t xml:space="preserve">T01179</t>
  </si>
  <si>
    <t xml:space="preserve">T01180</t>
  </si>
  <si>
    <t xml:space="preserve">T01181</t>
  </si>
  <si>
    <t xml:space="preserve">T01182</t>
  </si>
  <si>
    <t xml:space="preserve">T01183</t>
  </si>
  <si>
    <t xml:space="preserve">T01184</t>
  </si>
  <si>
    <t xml:space="preserve">T01185</t>
  </si>
  <si>
    <t xml:space="preserve">T01186</t>
  </si>
  <si>
    <t xml:space="preserve">T01187</t>
  </si>
  <si>
    <t xml:space="preserve">T01188</t>
  </si>
  <si>
    <t xml:space="preserve">T01189</t>
  </si>
  <si>
    <t xml:space="preserve">T01190</t>
  </si>
  <si>
    <t xml:space="preserve">T01191</t>
  </si>
  <si>
    <t xml:space="preserve">T01192</t>
  </si>
  <si>
    <t xml:space="preserve">T01193</t>
  </si>
  <si>
    <t xml:space="preserve">T01194</t>
  </si>
  <si>
    <t xml:space="preserve">T01195</t>
  </si>
  <si>
    <t xml:space="preserve">T01196</t>
  </si>
  <si>
    <t xml:space="preserve">T01197</t>
  </si>
  <si>
    <t xml:space="preserve">T01198</t>
  </si>
  <si>
    <t xml:space="preserve">T01199</t>
  </si>
  <si>
    <t xml:space="preserve">T01200</t>
  </si>
  <si>
    <t xml:space="preserve">T01201</t>
  </si>
  <si>
    <t xml:space="preserve">T01202</t>
  </si>
  <si>
    <t xml:space="preserve">T01203</t>
  </si>
  <si>
    <t xml:space="preserve">T01204</t>
  </si>
  <si>
    <t xml:space="preserve">T01205</t>
  </si>
  <si>
    <t xml:space="preserve">T01206</t>
  </si>
  <si>
    <t xml:space="preserve">T01207</t>
  </si>
  <si>
    <t xml:space="preserve">T01208</t>
  </si>
  <si>
    <t xml:space="preserve">T01209</t>
  </si>
  <si>
    <t xml:space="preserve">T01210</t>
  </si>
  <si>
    <t xml:space="preserve">T01211</t>
  </si>
  <si>
    <t xml:space="preserve">T01212</t>
  </si>
  <si>
    <t xml:space="preserve">T01213</t>
  </si>
  <si>
    <t xml:space="preserve">T01214</t>
  </si>
  <si>
    <t xml:space="preserve">T01215</t>
  </si>
  <si>
    <t xml:space="preserve">T01216</t>
  </si>
  <si>
    <t xml:space="preserve">T01217</t>
  </si>
  <si>
    <t xml:space="preserve">T01218</t>
  </si>
  <si>
    <t xml:space="preserve">T01219</t>
  </si>
  <si>
    <t xml:space="preserve">T01220</t>
  </si>
  <si>
    <t xml:space="preserve">T01221</t>
  </si>
  <si>
    <t xml:space="preserve">T01222</t>
  </si>
  <si>
    <t xml:space="preserve">T01223</t>
  </si>
  <si>
    <t xml:space="preserve">T01224</t>
  </si>
  <si>
    <t xml:space="preserve">T01225</t>
  </si>
  <si>
    <t xml:space="preserve">T01226</t>
  </si>
  <si>
    <t xml:space="preserve">T01227</t>
  </si>
  <si>
    <t xml:space="preserve">T01228</t>
  </si>
  <si>
    <t xml:space="preserve">T01229</t>
  </si>
  <si>
    <t xml:space="preserve">T01230</t>
  </si>
  <si>
    <t xml:space="preserve">T01231</t>
  </si>
  <si>
    <t xml:space="preserve">T01232</t>
  </si>
  <si>
    <t xml:space="preserve">T01233</t>
  </si>
  <si>
    <t xml:space="preserve">T01234</t>
  </si>
  <si>
    <t xml:space="preserve">T01235</t>
  </si>
  <si>
    <t xml:space="preserve">T01236</t>
  </si>
  <si>
    <t xml:space="preserve">T01237</t>
  </si>
  <si>
    <t xml:space="preserve">T01238</t>
  </si>
  <si>
    <t xml:space="preserve">T01239</t>
  </si>
  <si>
    <t xml:space="preserve">T01240</t>
  </si>
  <si>
    <t xml:space="preserve">T01241</t>
  </si>
  <si>
    <t xml:space="preserve">T01242</t>
  </si>
  <si>
    <t xml:space="preserve">T01243</t>
  </si>
  <si>
    <t xml:space="preserve">T01244</t>
  </si>
  <si>
    <t xml:space="preserve">T01245</t>
  </si>
  <si>
    <t xml:space="preserve">T01246</t>
  </si>
  <si>
    <t xml:space="preserve">T01247</t>
  </si>
  <si>
    <t xml:space="preserve">T01248</t>
  </si>
  <si>
    <t xml:space="preserve">T01249</t>
  </si>
  <si>
    <t xml:space="preserve">T01250</t>
  </si>
  <si>
    <t xml:space="preserve">T01251</t>
  </si>
  <si>
    <t xml:space="preserve">T01252</t>
  </si>
  <si>
    <t xml:space="preserve">T01253</t>
  </si>
  <si>
    <t xml:space="preserve">T01254</t>
  </si>
  <si>
    <t xml:space="preserve">T01255</t>
  </si>
  <si>
    <t xml:space="preserve">T01256</t>
  </si>
  <si>
    <t xml:space="preserve">T01257</t>
  </si>
  <si>
    <t xml:space="preserve">T01258</t>
  </si>
  <si>
    <t xml:space="preserve">T01259</t>
  </si>
  <si>
    <t xml:space="preserve">T01260</t>
  </si>
  <si>
    <t xml:space="preserve">T01261</t>
  </si>
  <si>
    <t xml:space="preserve">T01262</t>
  </si>
  <si>
    <t xml:space="preserve">T01263</t>
  </si>
  <si>
    <t xml:space="preserve">T01264</t>
  </si>
  <si>
    <t xml:space="preserve">T01265</t>
  </si>
  <si>
    <t xml:space="preserve">T01266</t>
  </si>
  <si>
    <t xml:space="preserve">T01267</t>
  </si>
  <si>
    <t xml:space="preserve">T01268</t>
  </si>
  <si>
    <t xml:space="preserve">T01269</t>
  </si>
  <si>
    <t xml:space="preserve">T01270</t>
  </si>
  <si>
    <t xml:space="preserve">T01271</t>
  </si>
  <si>
    <t xml:space="preserve">T01272</t>
  </si>
  <si>
    <t xml:space="preserve">T01273</t>
  </si>
  <si>
    <t xml:space="preserve">T01274</t>
  </si>
  <si>
    <t xml:space="preserve">T01275</t>
  </si>
  <si>
    <t xml:space="preserve">T01276</t>
  </si>
  <si>
    <t xml:space="preserve">T01277</t>
  </si>
  <si>
    <t xml:space="preserve">T01278</t>
  </si>
  <si>
    <t xml:space="preserve">T01279</t>
  </si>
  <si>
    <t xml:space="preserve">T01280</t>
  </si>
  <si>
    <t xml:space="preserve">T01281</t>
  </si>
  <si>
    <t xml:space="preserve">T01282</t>
  </si>
  <si>
    <t xml:space="preserve">T01283</t>
  </si>
  <si>
    <t xml:space="preserve">T01284</t>
  </si>
  <si>
    <t xml:space="preserve">T01285</t>
  </si>
  <si>
    <t xml:space="preserve">T01286</t>
  </si>
  <si>
    <t xml:space="preserve">T01287</t>
  </si>
  <si>
    <t xml:space="preserve">T01288</t>
  </si>
  <si>
    <t xml:space="preserve">T01289</t>
  </si>
  <si>
    <t xml:space="preserve">T01290</t>
  </si>
  <si>
    <t xml:space="preserve">T01291</t>
  </si>
  <si>
    <t xml:space="preserve">T01292</t>
  </si>
  <si>
    <t xml:space="preserve">T01293</t>
  </si>
  <si>
    <t xml:space="preserve">T01294</t>
  </si>
  <si>
    <t xml:space="preserve">T01295</t>
  </si>
  <si>
    <t xml:space="preserve">T01296</t>
  </si>
  <si>
    <t xml:space="preserve">T01297</t>
  </si>
  <si>
    <t xml:space="preserve">T01298</t>
  </si>
  <si>
    <t xml:space="preserve">T01299</t>
  </si>
  <si>
    <t xml:space="preserve">T01300</t>
  </si>
  <si>
    <t xml:space="preserve">T01301</t>
  </si>
  <si>
    <t xml:space="preserve">T01302</t>
  </si>
  <si>
    <t xml:space="preserve">T01303</t>
  </si>
  <si>
    <t xml:space="preserve">T01304</t>
  </si>
  <si>
    <t xml:space="preserve">T01305</t>
  </si>
  <si>
    <t xml:space="preserve">T01306</t>
  </si>
  <si>
    <t xml:space="preserve">T01307</t>
  </si>
  <si>
    <t xml:space="preserve">T01308</t>
  </si>
  <si>
    <t xml:space="preserve">T01309</t>
  </si>
  <si>
    <t xml:space="preserve">T01310</t>
  </si>
  <si>
    <t xml:space="preserve">T01311</t>
  </si>
  <si>
    <t xml:space="preserve">T01312</t>
  </si>
  <si>
    <t xml:space="preserve">T01313</t>
  </si>
  <si>
    <t xml:space="preserve">T01314</t>
  </si>
  <si>
    <t xml:space="preserve">T01315</t>
  </si>
  <si>
    <t xml:space="preserve">T01316</t>
  </si>
  <si>
    <t xml:space="preserve">T01317</t>
  </si>
  <si>
    <t xml:space="preserve">T01318</t>
  </si>
  <si>
    <t xml:space="preserve">T01319</t>
  </si>
  <si>
    <t xml:space="preserve">T01320</t>
  </si>
  <si>
    <t xml:space="preserve">T01321</t>
  </si>
  <si>
    <t xml:space="preserve">T01322</t>
  </si>
  <si>
    <t xml:space="preserve">T01323</t>
  </si>
  <si>
    <t xml:space="preserve">T01324</t>
  </si>
  <si>
    <t xml:space="preserve">T01325</t>
  </si>
  <si>
    <t xml:space="preserve">T01326</t>
  </si>
  <si>
    <t xml:space="preserve">T01327</t>
  </si>
  <si>
    <t xml:space="preserve">T01328</t>
  </si>
  <si>
    <t xml:space="preserve">T01329</t>
  </si>
  <si>
    <t xml:space="preserve">T01330</t>
  </si>
  <si>
    <t xml:space="preserve">T01331</t>
  </si>
  <si>
    <t xml:space="preserve">T01332</t>
  </si>
  <si>
    <t xml:space="preserve">T01333</t>
  </si>
  <si>
    <t xml:space="preserve">T01334</t>
  </si>
  <si>
    <t xml:space="preserve">T01335</t>
  </si>
  <si>
    <t xml:space="preserve">T01336</t>
  </si>
  <si>
    <t xml:space="preserve">T01337</t>
  </si>
  <si>
    <t xml:space="preserve">T01338</t>
  </si>
  <si>
    <t xml:space="preserve">T01339</t>
  </si>
  <si>
    <t xml:space="preserve">T01340</t>
  </si>
  <si>
    <t xml:space="preserve">T01341</t>
  </si>
  <si>
    <t xml:space="preserve">T01342</t>
  </si>
  <si>
    <t xml:space="preserve">T01343</t>
  </si>
  <si>
    <t xml:space="preserve">T01344</t>
  </si>
  <si>
    <t xml:space="preserve">T01345</t>
  </si>
  <si>
    <t xml:space="preserve">T01346</t>
  </si>
  <si>
    <t xml:space="preserve">T01347</t>
  </si>
  <si>
    <t xml:space="preserve">T01348</t>
  </si>
  <si>
    <t xml:space="preserve">T01349</t>
  </si>
  <si>
    <t xml:space="preserve">T01350</t>
  </si>
  <si>
    <t xml:space="preserve">T01351</t>
  </si>
  <si>
    <t xml:space="preserve">T01352</t>
  </si>
  <si>
    <t xml:space="preserve">T01353</t>
  </si>
  <si>
    <t xml:space="preserve">T01354</t>
  </si>
  <si>
    <t xml:space="preserve">T01355</t>
  </si>
  <si>
    <t xml:space="preserve">T01356</t>
  </si>
  <si>
    <t xml:space="preserve">T01357</t>
  </si>
  <si>
    <t xml:space="preserve">T01358</t>
  </si>
  <si>
    <t xml:space="preserve">T01359</t>
  </si>
  <si>
    <t xml:space="preserve">T01360</t>
  </si>
  <si>
    <t xml:space="preserve">T01361</t>
  </si>
  <si>
    <t xml:space="preserve">T01362</t>
  </si>
  <si>
    <t xml:space="preserve">T01363</t>
  </si>
  <si>
    <t xml:space="preserve">T01364</t>
  </si>
  <si>
    <t xml:space="preserve">T01365</t>
  </si>
  <si>
    <t xml:space="preserve">T01366</t>
  </si>
  <si>
    <t xml:space="preserve">T01367</t>
  </si>
  <si>
    <t xml:space="preserve">T01368</t>
  </si>
  <si>
    <t xml:space="preserve">T01369</t>
  </si>
  <si>
    <t xml:space="preserve">T01370</t>
  </si>
  <si>
    <t xml:space="preserve">T01371</t>
  </si>
  <si>
    <t xml:space="preserve">T01372</t>
  </si>
  <si>
    <t xml:space="preserve">T01373</t>
  </si>
  <si>
    <t xml:space="preserve">T01374</t>
  </si>
  <si>
    <t xml:space="preserve">T01375</t>
  </si>
  <si>
    <t xml:space="preserve">T01376</t>
  </si>
  <si>
    <t xml:space="preserve">T01377</t>
  </si>
  <si>
    <t xml:space="preserve">T01378</t>
  </si>
  <si>
    <t xml:space="preserve">T01379</t>
  </si>
  <si>
    <t xml:space="preserve">T01380</t>
  </si>
  <si>
    <t xml:space="preserve">T01381</t>
  </si>
  <si>
    <t xml:space="preserve">T01382</t>
  </si>
  <si>
    <t xml:space="preserve">T01383</t>
  </si>
  <si>
    <t xml:space="preserve">T01384</t>
  </si>
  <si>
    <t xml:space="preserve">T01385</t>
  </si>
  <si>
    <t xml:space="preserve">T01386</t>
  </si>
  <si>
    <t xml:space="preserve">T01387</t>
  </si>
  <si>
    <t xml:space="preserve">T01388</t>
  </si>
  <si>
    <t xml:space="preserve">T01389</t>
  </si>
  <si>
    <t xml:space="preserve">T01390</t>
  </si>
  <si>
    <t xml:space="preserve">T01391</t>
  </si>
  <si>
    <t xml:space="preserve">T01392</t>
  </si>
  <si>
    <t xml:space="preserve">T01393</t>
  </si>
  <si>
    <t xml:space="preserve">T01394</t>
  </si>
  <si>
    <t xml:space="preserve">T01395</t>
  </si>
  <si>
    <t xml:space="preserve">T01396</t>
  </si>
  <si>
    <t xml:space="preserve">T01397</t>
  </si>
  <si>
    <t xml:space="preserve">T01398</t>
  </si>
  <si>
    <t xml:space="preserve">T01399</t>
  </si>
  <si>
    <t xml:space="preserve">T01400</t>
  </si>
  <si>
    <t xml:space="preserve">T01401</t>
  </si>
  <si>
    <t xml:space="preserve">T01402</t>
  </si>
  <si>
    <t xml:space="preserve">T01403</t>
  </si>
  <si>
    <t xml:space="preserve">T01404</t>
  </si>
  <si>
    <t xml:space="preserve">T01405</t>
  </si>
  <si>
    <t xml:space="preserve">T01406</t>
  </si>
  <si>
    <t xml:space="preserve">T01407</t>
  </si>
  <si>
    <t xml:space="preserve">T01408</t>
  </si>
  <si>
    <t xml:space="preserve">T01409</t>
  </si>
  <si>
    <t xml:space="preserve">T01410</t>
  </si>
  <si>
    <t xml:space="preserve">T01411</t>
  </si>
  <si>
    <t xml:space="preserve">T01412</t>
  </si>
  <si>
    <t xml:space="preserve">T01413</t>
  </si>
  <si>
    <t xml:space="preserve">T01414</t>
  </si>
  <si>
    <t xml:space="preserve">T01415</t>
  </si>
  <si>
    <t xml:space="preserve">T01416</t>
  </si>
  <si>
    <t xml:space="preserve">T01417</t>
  </si>
  <si>
    <t xml:space="preserve">T01418</t>
  </si>
  <si>
    <t xml:space="preserve">T01419</t>
  </si>
  <si>
    <t xml:space="preserve">T01420</t>
  </si>
  <si>
    <t xml:space="preserve">T01421</t>
  </si>
  <si>
    <t xml:space="preserve">T01422</t>
  </si>
  <si>
    <t xml:space="preserve">T01423</t>
  </si>
  <si>
    <t xml:space="preserve">T01424</t>
  </si>
  <si>
    <t xml:space="preserve">T01425</t>
  </si>
  <si>
    <t xml:space="preserve">T01426</t>
  </si>
  <si>
    <t xml:space="preserve">T01427</t>
  </si>
  <si>
    <t xml:space="preserve">T01428</t>
  </si>
  <si>
    <t xml:space="preserve">T01429</t>
  </si>
  <si>
    <t xml:space="preserve">T01430</t>
  </si>
  <si>
    <t xml:space="preserve">T01431</t>
  </si>
  <si>
    <t xml:space="preserve">T01432</t>
  </si>
  <si>
    <t xml:space="preserve">T01433</t>
  </si>
  <si>
    <t xml:space="preserve">T01434</t>
  </si>
  <si>
    <t xml:space="preserve">T01435</t>
  </si>
  <si>
    <t xml:space="preserve">T01436</t>
  </si>
  <si>
    <t xml:space="preserve">T01437</t>
  </si>
  <si>
    <t xml:space="preserve">T01438</t>
  </si>
  <si>
    <t xml:space="preserve">T01439</t>
  </si>
  <si>
    <t xml:space="preserve">T01440</t>
  </si>
  <si>
    <t xml:space="preserve">T01441</t>
  </si>
  <si>
    <t xml:space="preserve">T01442</t>
  </si>
  <si>
    <t xml:space="preserve">T01443</t>
  </si>
  <si>
    <t xml:space="preserve">T01444</t>
  </si>
  <si>
    <t xml:space="preserve">T01445</t>
  </si>
  <si>
    <t xml:space="preserve">T01446</t>
  </si>
  <si>
    <t xml:space="preserve">T01447</t>
  </si>
  <si>
    <t xml:space="preserve">T01448</t>
  </si>
  <si>
    <t xml:space="preserve">T01449</t>
  </si>
  <si>
    <t xml:space="preserve">T01450</t>
  </si>
  <si>
    <t xml:space="preserve">T01451</t>
  </si>
  <si>
    <t xml:space="preserve">T01452</t>
  </si>
  <si>
    <t xml:space="preserve">T01453</t>
  </si>
  <si>
    <t xml:space="preserve">T01454</t>
  </si>
  <si>
    <t xml:space="preserve">T01455</t>
  </si>
  <si>
    <t xml:space="preserve">T01456</t>
  </si>
  <si>
    <t xml:space="preserve">T01457</t>
  </si>
  <si>
    <t xml:space="preserve">T01458</t>
  </si>
  <si>
    <t xml:space="preserve">T01459</t>
  </si>
  <si>
    <t xml:space="preserve">T01460</t>
  </si>
  <si>
    <t xml:space="preserve">T01461</t>
  </si>
  <si>
    <t xml:space="preserve">T01462</t>
  </si>
  <si>
    <t xml:space="preserve">T01463</t>
  </si>
  <si>
    <t xml:space="preserve">T01464</t>
  </si>
  <si>
    <t xml:space="preserve">T01465</t>
  </si>
  <si>
    <t xml:space="preserve">T01466</t>
  </si>
  <si>
    <t xml:space="preserve">T01467</t>
  </si>
  <si>
    <t xml:space="preserve">T01468</t>
  </si>
  <si>
    <t xml:space="preserve">T01469</t>
  </si>
  <si>
    <t xml:space="preserve">T01470</t>
  </si>
  <si>
    <t xml:space="preserve">T01471</t>
  </si>
  <si>
    <t xml:space="preserve">T01472</t>
  </si>
  <si>
    <t xml:space="preserve">T01473</t>
  </si>
  <si>
    <t xml:space="preserve">T01474</t>
  </si>
  <si>
    <t xml:space="preserve">T01475</t>
  </si>
  <si>
    <t xml:space="preserve">T01476</t>
  </si>
  <si>
    <t xml:space="preserve">T01477</t>
  </si>
  <si>
    <t xml:space="preserve">T01478</t>
  </si>
  <si>
    <t xml:space="preserve">T01479</t>
  </si>
  <si>
    <t xml:space="preserve">T01480</t>
  </si>
  <si>
    <t xml:space="preserve">T01481</t>
  </si>
  <si>
    <t xml:space="preserve">T01482</t>
  </si>
  <si>
    <t xml:space="preserve">T01483</t>
  </si>
  <si>
    <t xml:space="preserve">T01484</t>
  </si>
  <si>
    <t xml:space="preserve">T01485</t>
  </si>
  <si>
    <t xml:space="preserve">T01486</t>
  </si>
  <si>
    <t xml:space="preserve">T01487</t>
  </si>
  <si>
    <t xml:space="preserve">T01488</t>
  </si>
  <si>
    <t xml:space="preserve">T01489</t>
  </si>
  <si>
    <t xml:space="preserve">T01490</t>
  </si>
  <si>
    <t xml:space="preserve">T01491</t>
  </si>
  <si>
    <t xml:space="preserve">T01492</t>
  </si>
  <si>
    <t xml:space="preserve">T01493</t>
  </si>
  <si>
    <t xml:space="preserve">T01494</t>
  </si>
  <si>
    <t xml:space="preserve">T01495</t>
  </si>
  <si>
    <t xml:space="preserve">T01496</t>
  </si>
  <si>
    <t xml:space="preserve">T01497</t>
  </si>
  <si>
    <t xml:space="preserve">T01498</t>
  </si>
  <si>
    <t xml:space="preserve">T01499</t>
  </si>
  <si>
    <t xml:space="preserve">T01500</t>
  </si>
  <si>
    <t xml:space="preserve">T01501</t>
  </si>
  <si>
    <t xml:space="preserve">T01502</t>
  </si>
  <si>
    <t xml:space="preserve">T01503</t>
  </si>
  <si>
    <t xml:space="preserve">T01504</t>
  </si>
  <si>
    <t xml:space="preserve">T01505</t>
  </si>
  <si>
    <t xml:space="preserve">T01506</t>
  </si>
  <si>
    <t xml:space="preserve">T01507</t>
  </si>
  <si>
    <t xml:space="preserve">T01508</t>
  </si>
  <si>
    <t xml:space="preserve">T01509</t>
  </si>
  <si>
    <t xml:space="preserve">T01510</t>
  </si>
  <si>
    <t xml:space="preserve">T01511</t>
  </si>
  <si>
    <t xml:space="preserve">T01512</t>
  </si>
  <si>
    <t xml:space="preserve">T01513</t>
  </si>
  <si>
    <t xml:space="preserve">T01514</t>
  </si>
  <si>
    <t xml:space="preserve">T01515</t>
  </si>
  <si>
    <t xml:space="preserve">T01516</t>
  </si>
  <si>
    <t xml:space="preserve">T01517</t>
  </si>
  <si>
    <t xml:space="preserve">T01518</t>
  </si>
  <si>
    <t xml:space="preserve">T01519</t>
  </si>
  <si>
    <t xml:space="preserve">T01520</t>
  </si>
  <si>
    <t xml:space="preserve">T01521</t>
  </si>
  <si>
    <t xml:space="preserve">T01522</t>
  </si>
  <si>
    <t xml:space="preserve">T01523</t>
  </si>
  <si>
    <t xml:space="preserve">T01524</t>
  </si>
  <si>
    <t xml:space="preserve">T01525</t>
  </si>
  <si>
    <t xml:space="preserve">T01526</t>
  </si>
  <si>
    <t xml:space="preserve">T01527</t>
  </si>
  <si>
    <t xml:space="preserve">T01528</t>
  </si>
  <si>
    <t xml:space="preserve">T01529</t>
  </si>
  <si>
    <t xml:space="preserve">T01530</t>
  </si>
  <si>
    <t xml:space="preserve">T01531</t>
  </si>
  <si>
    <t xml:space="preserve">T01532</t>
  </si>
  <si>
    <t xml:space="preserve">T01533</t>
  </si>
  <si>
    <t xml:space="preserve">T01534</t>
  </si>
  <si>
    <t xml:space="preserve">T01535</t>
  </si>
  <si>
    <t xml:space="preserve">T01536</t>
  </si>
  <si>
    <t xml:space="preserve">T01537</t>
  </si>
  <si>
    <t xml:space="preserve">T01538</t>
  </si>
  <si>
    <t xml:space="preserve">T01539</t>
  </si>
  <si>
    <t xml:space="preserve">T01540</t>
  </si>
  <si>
    <t xml:space="preserve">T01541</t>
  </si>
  <si>
    <t xml:space="preserve">T01542</t>
  </si>
  <si>
    <t xml:space="preserve">T01543</t>
  </si>
  <si>
    <t xml:space="preserve">T01544</t>
  </si>
  <si>
    <t xml:space="preserve">T01545</t>
  </si>
  <si>
    <t xml:space="preserve">T01546</t>
  </si>
  <si>
    <t xml:space="preserve">T01547</t>
  </si>
  <si>
    <t xml:space="preserve">T01548</t>
  </si>
  <si>
    <t xml:space="preserve">T01549</t>
  </si>
  <si>
    <t xml:space="preserve">T01550</t>
  </si>
  <si>
    <t xml:space="preserve">T01551</t>
  </si>
  <si>
    <t xml:space="preserve">T01552</t>
  </si>
  <si>
    <t xml:space="preserve">T01553</t>
  </si>
  <si>
    <t xml:space="preserve">T01554</t>
  </si>
  <si>
    <t xml:space="preserve">T01555</t>
  </si>
  <si>
    <t xml:space="preserve">T01556</t>
  </si>
  <si>
    <t xml:space="preserve">T01557</t>
  </si>
  <si>
    <t xml:space="preserve">T01558</t>
  </si>
  <si>
    <t xml:space="preserve">T01559</t>
  </si>
  <si>
    <t xml:space="preserve">T01560</t>
  </si>
  <si>
    <t xml:space="preserve">T01561</t>
  </si>
  <si>
    <t xml:space="preserve">T01562</t>
  </si>
  <si>
    <t xml:space="preserve">T01563</t>
  </si>
  <si>
    <t xml:space="preserve">T01564</t>
  </si>
  <si>
    <t xml:space="preserve">T01565</t>
  </si>
  <si>
    <t xml:space="preserve">T01566</t>
  </si>
  <si>
    <t xml:space="preserve">T01567</t>
  </si>
  <si>
    <t xml:space="preserve">T01568</t>
  </si>
  <si>
    <t xml:space="preserve">T01569</t>
  </si>
  <si>
    <t xml:space="preserve">T01570</t>
  </si>
  <si>
    <t xml:space="preserve">T01571</t>
  </si>
  <si>
    <t xml:space="preserve">T01572</t>
  </si>
  <si>
    <t xml:space="preserve">T01573</t>
  </si>
  <si>
    <t xml:space="preserve">T01574</t>
  </si>
  <si>
    <t xml:space="preserve">T01575</t>
  </si>
  <si>
    <t xml:space="preserve">T01576</t>
  </si>
  <si>
    <t xml:space="preserve">T01577</t>
  </si>
  <si>
    <t xml:space="preserve">T01578</t>
  </si>
  <si>
    <t xml:space="preserve">T01579</t>
  </si>
  <si>
    <t xml:space="preserve">T01580</t>
  </si>
  <si>
    <t xml:space="preserve">T01581</t>
  </si>
  <si>
    <t xml:space="preserve">T01582</t>
  </si>
  <si>
    <t xml:space="preserve">T01583</t>
  </si>
  <si>
    <t xml:space="preserve">T01584</t>
  </si>
  <si>
    <t xml:space="preserve">T01585</t>
  </si>
  <si>
    <t xml:space="preserve">T01586</t>
  </si>
  <si>
    <t xml:space="preserve">T01587</t>
  </si>
  <si>
    <t xml:space="preserve">T01588</t>
  </si>
  <si>
    <t xml:space="preserve">T01589</t>
  </si>
  <si>
    <t xml:space="preserve">T01590</t>
  </si>
  <si>
    <t xml:space="preserve">T01591</t>
  </si>
  <si>
    <t xml:space="preserve">T01592</t>
  </si>
  <si>
    <t xml:space="preserve">T01593</t>
  </si>
  <si>
    <t xml:space="preserve">T01594</t>
  </si>
  <si>
    <t xml:space="preserve">T01595</t>
  </si>
  <si>
    <t xml:space="preserve">T01596</t>
  </si>
  <si>
    <t xml:space="preserve">T01597</t>
  </si>
  <si>
    <t xml:space="preserve">T01598</t>
  </si>
  <si>
    <t xml:space="preserve">T01599</t>
  </si>
  <si>
    <t xml:space="preserve">T01600</t>
  </si>
  <si>
    <t xml:space="preserve">T01601</t>
  </si>
  <si>
    <t xml:space="preserve">T01602</t>
  </si>
  <si>
    <t xml:space="preserve">T01603</t>
  </si>
  <si>
    <t xml:space="preserve">T01604</t>
  </si>
  <si>
    <t xml:space="preserve">T01605</t>
  </si>
  <si>
    <t xml:space="preserve">T01606</t>
  </si>
  <si>
    <t xml:space="preserve">T01607</t>
  </si>
  <si>
    <t xml:space="preserve">T01608</t>
  </si>
  <si>
    <t xml:space="preserve">T01609</t>
  </si>
  <si>
    <t xml:space="preserve">T01610</t>
  </si>
  <si>
    <t xml:space="preserve">T01611</t>
  </si>
  <si>
    <t xml:space="preserve">T01612</t>
  </si>
  <si>
    <t xml:space="preserve">T01613</t>
  </si>
  <si>
    <t xml:space="preserve">T01614</t>
  </si>
  <si>
    <t xml:space="preserve">T01615</t>
  </si>
  <si>
    <t xml:space="preserve">T01616</t>
  </si>
  <si>
    <t xml:space="preserve">T01617</t>
  </si>
  <si>
    <t xml:space="preserve">T01618</t>
  </si>
  <si>
    <t xml:space="preserve">T01619</t>
  </si>
  <si>
    <t xml:space="preserve">T01620</t>
  </si>
  <si>
    <t xml:space="preserve">T01621</t>
  </si>
  <si>
    <t xml:space="preserve">T01622</t>
  </si>
  <si>
    <t xml:space="preserve">T01623</t>
  </si>
  <si>
    <t xml:space="preserve">T01624</t>
  </si>
  <si>
    <t xml:space="preserve">T01625</t>
  </si>
  <si>
    <t xml:space="preserve">T01626</t>
  </si>
  <si>
    <t xml:space="preserve">T01627</t>
  </si>
  <si>
    <t xml:space="preserve">T01628</t>
  </si>
  <si>
    <t xml:space="preserve">T01629</t>
  </si>
  <si>
    <t xml:space="preserve">T01630</t>
  </si>
  <si>
    <t xml:space="preserve">T01631</t>
  </si>
  <si>
    <t xml:space="preserve">T01632</t>
  </si>
  <si>
    <t xml:space="preserve">T01633</t>
  </si>
  <si>
    <t xml:space="preserve">T01634</t>
  </si>
  <si>
    <t xml:space="preserve">T01635</t>
  </si>
  <si>
    <t xml:space="preserve">T01636</t>
  </si>
  <si>
    <t xml:space="preserve">T01637</t>
  </si>
  <si>
    <t xml:space="preserve">T01638</t>
  </si>
  <si>
    <t xml:space="preserve">T01639</t>
  </si>
  <si>
    <t xml:space="preserve">T01640</t>
  </si>
  <si>
    <t xml:space="preserve">T01641</t>
  </si>
  <si>
    <t xml:space="preserve">T01642</t>
  </si>
  <si>
    <t xml:space="preserve">T01643</t>
  </si>
  <si>
    <t xml:space="preserve">T01644</t>
  </si>
  <si>
    <t xml:space="preserve">T01645</t>
  </si>
  <si>
    <t xml:space="preserve">T01646</t>
  </si>
  <si>
    <t xml:space="preserve">T01647</t>
  </si>
  <si>
    <t xml:space="preserve">T01648</t>
  </si>
  <si>
    <t xml:space="preserve">T01649</t>
  </si>
  <si>
    <t xml:space="preserve">T01650</t>
  </si>
  <si>
    <t xml:space="preserve">T01651</t>
  </si>
  <si>
    <t xml:space="preserve">T01652</t>
  </si>
  <si>
    <t xml:space="preserve">T01653</t>
  </si>
  <si>
    <t xml:space="preserve">T01654</t>
  </si>
  <si>
    <t xml:space="preserve">T01655</t>
  </si>
  <si>
    <t xml:space="preserve">T01656</t>
  </si>
  <si>
    <t xml:space="preserve">T01657</t>
  </si>
  <si>
    <t xml:space="preserve">T01658</t>
  </si>
  <si>
    <t xml:space="preserve">T01659</t>
  </si>
  <si>
    <t xml:space="preserve">T01660</t>
  </si>
  <si>
    <t xml:space="preserve">T01661</t>
  </si>
  <si>
    <t xml:space="preserve">T01662</t>
  </si>
  <si>
    <t xml:space="preserve">T01663</t>
  </si>
  <si>
    <t xml:space="preserve">T01664</t>
  </si>
  <si>
    <t xml:space="preserve">T01665</t>
  </si>
  <si>
    <t xml:space="preserve">T01666</t>
  </si>
  <si>
    <t xml:space="preserve">T01667</t>
  </si>
  <si>
    <t xml:space="preserve">T01668</t>
  </si>
  <si>
    <t xml:space="preserve">T01669</t>
  </si>
  <si>
    <t xml:space="preserve">T01670</t>
  </si>
  <si>
    <t xml:space="preserve">T01671</t>
  </si>
  <si>
    <t xml:space="preserve">T01672</t>
  </si>
  <si>
    <t xml:space="preserve">T01673</t>
  </si>
  <si>
    <t xml:space="preserve">T01674</t>
  </si>
  <si>
    <t xml:space="preserve">T01675</t>
  </si>
  <si>
    <t xml:space="preserve">T01676</t>
  </si>
  <si>
    <t xml:space="preserve">T01677</t>
  </si>
  <si>
    <t xml:space="preserve">T01678</t>
  </si>
  <si>
    <t xml:space="preserve">T01679</t>
  </si>
  <si>
    <t xml:space="preserve">T01680</t>
  </si>
  <si>
    <t xml:space="preserve">T01681</t>
  </si>
  <si>
    <t xml:space="preserve">T01682</t>
  </si>
  <si>
    <t xml:space="preserve">T01683</t>
  </si>
  <si>
    <t xml:space="preserve">T01684</t>
  </si>
  <si>
    <t xml:space="preserve">T01685</t>
  </si>
  <si>
    <t xml:space="preserve">T01686</t>
  </si>
  <si>
    <t xml:space="preserve">T01687</t>
  </si>
  <si>
    <t xml:space="preserve">T01688</t>
  </si>
  <si>
    <t xml:space="preserve">T01689</t>
  </si>
  <si>
    <t xml:space="preserve">T01690</t>
  </si>
  <si>
    <t xml:space="preserve">T01691</t>
  </si>
  <si>
    <t xml:space="preserve">T01692</t>
  </si>
  <si>
    <t xml:space="preserve">T01693</t>
  </si>
  <si>
    <t xml:space="preserve">T01694</t>
  </si>
  <si>
    <t xml:space="preserve">T01695</t>
  </si>
  <si>
    <t xml:space="preserve">T01696</t>
  </si>
  <si>
    <t xml:space="preserve">T01697</t>
  </si>
  <si>
    <t xml:space="preserve">T01698</t>
  </si>
  <si>
    <t xml:space="preserve">T01699</t>
  </si>
  <si>
    <t xml:space="preserve">T01700</t>
  </si>
  <si>
    <t xml:space="preserve">T01701</t>
  </si>
  <si>
    <t xml:space="preserve">T01702</t>
  </si>
  <si>
    <t xml:space="preserve">T01703</t>
  </si>
  <si>
    <t xml:space="preserve">T01704</t>
  </si>
  <si>
    <t xml:space="preserve">T01705</t>
  </si>
  <si>
    <t xml:space="preserve">T01706</t>
  </si>
  <si>
    <t xml:space="preserve">T01707</t>
  </si>
  <si>
    <t xml:space="preserve">T01708</t>
  </si>
  <si>
    <t xml:space="preserve">T01709</t>
  </si>
  <si>
    <t xml:space="preserve">T01710</t>
  </si>
  <si>
    <t xml:space="preserve">T01711</t>
  </si>
  <si>
    <t xml:space="preserve">T01712</t>
  </si>
  <si>
    <t xml:space="preserve">T01713</t>
  </si>
  <si>
    <t xml:space="preserve">T01714</t>
  </si>
  <si>
    <t xml:space="preserve">T01715</t>
  </si>
  <si>
    <t xml:space="preserve">T01716</t>
  </si>
  <si>
    <t xml:space="preserve">T01717</t>
  </si>
  <si>
    <t xml:space="preserve">T01718</t>
  </si>
  <si>
    <t xml:space="preserve">T01719</t>
  </si>
  <si>
    <t xml:space="preserve">T01720</t>
  </si>
  <si>
    <t xml:space="preserve">T01721</t>
  </si>
  <si>
    <t xml:space="preserve">T01722</t>
  </si>
  <si>
    <t xml:space="preserve">T01723</t>
  </si>
  <si>
    <t xml:space="preserve">T01724</t>
  </si>
  <si>
    <t xml:space="preserve">T01725</t>
  </si>
  <si>
    <t xml:space="preserve">T01726</t>
  </si>
  <si>
    <t xml:space="preserve">T01727</t>
  </si>
  <si>
    <t xml:space="preserve">T01728</t>
  </si>
  <si>
    <t xml:space="preserve">T01729</t>
  </si>
  <si>
    <t xml:space="preserve">T01730</t>
  </si>
  <si>
    <t xml:space="preserve">T01731</t>
  </si>
  <si>
    <t xml:space="preserve">T01732</t>
  </si>
  <si>
    <t xml:space="preserve">T01733</t>
  </si>
  <si>
    <t xml:space="preserve">T01734</t>
  </si>
  <si>
    <t xml:space="preserve">T01735</t>
  </si>
  <si>
    <t xml:space="preserve">T01736</t>
  </si>
  <si>
    <t xml:space="preserve">T01737</t>
  </si>
  <si>
    <t xml:space="preserve">T01738</t>
  </si>
  <si>
    <t xml:space="preserve">T01739</t>
  </si>
  <si>
    <t xml:space="preserve">T01740</t>
  </si>
  <si>
    <t xml:space="preserve">T01741</t>
  </si>
  <si>
    <t xml:space="preserve">T01742</t>
  </si>
  <si>
    <t xml:space="preserve">T01743</t>
  </si>
  <si>
    <t xml:space="preserve">T01744</t>
  </si>
  <si>
    <t xml:space="preserve">T01745</t>
  </si>
  <si>
    <t xml:space="preserve">T01746</t>
  </si>
  <si>
    <t xml:space="preserve">T01747</t>
  </si>
  <si>
    <t xml:space="preserve">T01748</t>
  </si>
  <si>
    <t xml:space="preserve">T01749</t>
  </si>
  <si>
    <t xml:space="preserve">T01750</t>
  </si>
  <si>
    <t xml:space="preserve">T01751</t>
  </si>
  <si>
    <t xml:space="preserve">T01752</t>
  </si>
  <si>
    <t xml:space="preserve">T01753</t>
  </si>
  <si>
    <t xml:space="preserve">T01754</t>
  </si>
  <si>
    <t xml:space="preserve">T01755</t>
  </si>
  <si>
    <t xml:space="preserve">T01756</t>
  </si>
  <si>
    <t xml:space="preserve">T01757</t>
  </si>
  <si>
    <t xml:space="preserve">T01758</t>
  </si>
  <si>
    <t xml:space="preserve">T01759</t>
  </si>
  <si>
    <t xml:space="preserve">T01760</t>
  </si>
  <si>
    <t xml:space="preserve">T01761</t>
  </si>
  <si>
    <t xml:space="preserve">T01762</t>
  </si>
  <si>
    <t xml:space="preserve">T01763</t>
  </si>
  <si>
    <t xml:space="preserve">T01764</t>
  </si>
  <si>
    <t xml:space="preserve">T01765</t>
  </si>
  <si>
    <t xml:space="preserve">T01766</t>
  </si>
  <si>
    <t xml:space="preserve">T01767</t>
  </si>
  <si>
    <t xml:space="preserve">T01768</t>
  </si>
  <si>
    <t xml:space="preserve">T01769</t>
  </si>
  <si>
    <t xml:space="preserve">T01770</t>
  </si>
  <si>
    <t xml:space="preserve">T01771</t>
  </si>
  <si>
    <t xml:space="preserve">T01772</t>
  </si>
  <si>
    <t xml:space="preserve">T01773</t>
  </si>
  <si>
    <t xml:space="preserve">T01774</t>
  </si>
  <si>
    <t xml:space="preserve">T01775</t>
  </si>
  <si>
    <t xml:space="preserve">T01776</t>
  </si>
  <si>
    <t xml:space="preserve">T01777</t>
  </si>
  <si>
    <t xml:space="preserve">T01778</t>
  </si>
  <si>
    <t xml:space="preserve">T01779</t>
  </si>
  <si>
    <t xml:space="preserve">T01780</t>
  </si>
  <si>
    <t xml:space="preserve">T01781</t>
  </si>
  <si>
    <t xml:space="preserve">T01782</t>
  </si>
  <si>
    <t xml:space="preserve">T01783</t>
  </si>
  <si>
    <t xml:space="preserve">T01784</t>
  </si>
  <si>
    <t xml:space="preserve">T01785</t>
  </si>
  <si>
    <t xml:space="preserve">T01786</t>
  </si>
  <si>
    <t xml:space="preserve">T01787</t>
  </si>
  <si>
    <t xml:space="preserve">T01788</t>
  </si>
  <si>
    <t xml:space="preserve">T01789</t>
  </si>
  <si>
    <t xml:space="preserve">T01790</t>
  </si>
  <si>
    <t xml:space="preserve">T01791</t>
  </si>
  <si>
    <t xml:space="preserve">T01792</t>
  </si>
  <si>
    <t xml:space="preserve">T01793</t>
  </si>
  <si>
    <t xml:space="preserve">T01794</t>
  </si>
  <si>
    <t xml:space="preserve">T01795</t>
  </si>
  <si>
    <t xml:space="preserve">T01796</t>
  </si>
  <si>
    <t xml:space="preserve">T01797</t>
  </si>
  <si>
    <t xml:space="preserve">T01798</t>
  </si>
  <si>
    <t xml:space="preserve">T01799</t>
  </si>
  <si>
    <t xml:space="preserve">T01800</t>
  </si>
  <si>
    <t xml:space="preserve">T01801</t>
  </si>
  <si>
    <t xml:space="preserve">T01802</t>
  </si>
  <si>
    <t xml:space="preserve">T01803</t>
  </si>
  <si>
    <t xml:space="preserve">T01804</t>
  </si>
  <si>
    <t xml:space="preserve">T01805</t>
  </si>
  <si>
    <t xml:space="preserve">T01806</t>
  </si>
  <si>
    <t xml:space="preserve">T01807</t>
  </si>
  <si>
    <t xml:space="preserve">T01808</t>
  </si>
  <si>
    <t xml:space="preserve">T01809</t>
  </si>
  <si>
    <t xml:space="preserve">T01810</t>
  </si>
  <si>
    <t xml:space="preserve">T01811</t>
  </si>
  <si>
    <t xml:space="preserve">T01812</t>
  </si>
  <si>
    <t xml:space="preserve">T01813</t>
  </si>
  <si>
    <t xml:space="preserve">T01814</t>
  </si>
  <si>
    <t xml:space="preserve">T01815</t>
  </si>
  <si>
    <t xml:space="preserve">T01816</t>
  </si>
  <si>
    <t xml:space="preserve">T01817</t>
  </si>
  <si>
    <t xml:space="preserve">T01818</t>
  </si>
  <si>
    <t xml:space="preserve">T01819</t>
  </si>
  <si>
    <t xml:space="preserve">T01820</t>
  </si>
  <si>
    <t xml:space="preserve">T01821</t>
  </si>
  <si>
    <t xml:space="preserve">T01822</t>
  </si>
  <si>
    <t xml:space="preserve">T01823</t>
  </si>
  <si>
    <t xml:space="preserve">T01824</t>
  </si>
  <si>
    <t xml:space="preserve">T01825</t>
  </si>
  <si>
    <t xml:space="preserve">T01826</t>
  </si>
  <si>
    <t xml:space="preserve">T01827</t>
  </si>
  <si>
    <t xml:space="preserve">T01828</t>
  </si>
  <si>
    <t xml:space="preserve">T01829</t>
  </si>
  <si>
    <t xml:space="preserve">T01830</t>
  </si>
  <si>
    <t xml:space="preserve">T01831</t>
  </si>
  <si>
    <t xml:space="preserve">T01832</t>
  </si>
  <si>
    <t xml:space="preserve">T01833</t>
  </si>
  <si>
    <t xml:space="preserve">T01834</t>
  </si>
  <si>
    <t xml:space="preserve">T01835</t>
  </si>
  <si>
    <t xml:space="preserve">T01836</t>
  </si>
  <si>
    <t xml:space="preserve">T01837</t>
  </si>
  <si>
    <t xml:space="preserve">T01838</t>
  </si>
  <si>
    <t xml:space="preserve">T01839</t>
  </si>
  <si>
    <t xml:space="preserve">T01840</t>
  </si>
  <si>
    <t xml:space="preserve">T01841</t>
  </si>
  <si>
    <t xml:space="preserve">T01842</t>
  </si>
  <si>
    <t xml:space="preserve">T01843</t>
  </si>
  <si>
    <t xml:space="preserve">T01844</t>
  </si>
  <si>
    <t xml:space="preserve">T01845</t>
  </si>
  <si>
    <t xml:space="preserve">T01846</t>
  </si>
  <si>
    <t xml:space="preserve">T01847</t>
  </si>
  <si>
    <t xml:space="preserve">T01848</t>
  </si>
  <si>
    <t xml:space="preserve">T01849</t>
  </si>
  <si>
    <t xml:space="preserve">T01850</t>
  </si>
  <si>
    <t xml:space="preserve">T01851</t>
  </si>
  <si>
    <t xml:space="preserve">T01852</t>
  </si>
  <si>
    <t xml:space="preserve">T01853</t>
  </si>
  <si>
    <t xml:space="preserve">T01854</t>
  </si>
  <si>
    <t xml:space="preserve">T01855</t>
  </si>
  <si>
    <t xml:space="preserve">T01856</t>
  </si>
  <si>
    <t xml:space="preserve">T01857</t>
  </si>
  <si>
    <t xml:space="preserve">T01858</t>
  </si>
  <si>
    <t xml:space="preserve">T01859</t>
  </si>
  <si>
    <t xml:space="preserve">T01860</t>
  </si>
  <si>
    <t xml:space="preserve">T01861</t>
  </si>
  <si>
    <t xml:space="preserve">T01862</t>
  </si>
  <si>
    <t xml:space="preserve">T01863</t>
  </si>
  <si>
    <t xml:space="preserve">T01864</t>
  </si>
  <si>
    <t xml:space="preserve">T01865</t>
  </si>
  <si>
    <t xml:space="preserve">T01866</t>
  </si>
  <si>
    <t xml:space="preserve">T01867</t>
  </si>
  <si>
    <t xml:space="preserve">T01868</t>
  </si>
  <si>
    <t xml:space="preserve">T01869</t>
  </si>
  <si>
    <t xml:space="preserve">T01870</t>
  </si>
  <si>
    <t xml:space="preserve">T01871</t>
  </si>
  <si>
    <t xml:space="preserve">T01872</t>
  </si>
  <si>
    <t xml:space="preserve">T01873</t>
  </si>
  <si>
    <t xml:space="preserve">T01874</t>
  </si>
  <si>
    <t xml:space="preserve">T01875</t>
  </si>
  <si>
    <t xml:space="preserve">T01876</t>
  </si>
  <si>
    <t xml:space="preserve">T01877</t>
  </si>
  <si>
    <t xml:space="preserve">T01878</t>
  </si>
  <si>
    <t xml:space="preserve">T01879</t>
  </si>
  <si>
    <t xml:space="preserve">T01880</t>
  </si>
  <si>
    <t xml:space="preserve">T01881</t>
  </si>
  <si>
    <t xml:space="preserve">T01882</t>
  </si>
  <si>
    <t xml:space="preserve">T01883</t>
  </si>
  <si>
    <t xml:space="preserve">T01884</t>
  </si>
  <si>
    <t xml:space="preserve">T01885</t>
  </si>
  <si>
    <t xml:space="preserve">T01886</t>
  </si>
  <si>
    <t xml:space="preserve">T01887</t>
  </si>
  <si>
    <t xml:space="preserve">T01888</t>
  </si>
  <si>
    <t xml:space="preserve">T01889</t>
  </si>
  <si>
    <t xml:space="preserve">T01890</t>
  </si>
  <si>
    <t xml:space="preserve">T01891</t>
  </si>
  <si>
    <t xml:space="preserve">T01892</t>
  </si>
  <si>
    <t xml:space="preserve">T01893</t>
  </si>
  <si>
    <t xml:space="preserve">T01894</t>
  </si>
  <si>
    <t xml:space="preserve">T01895</t>
  </si>
  <si>
    <t xml:space="preserve">T01896</t>
  </si>
  <si>
    <t xml:space="preserve">T01897</t>
  </si>
  <si>
    <t xml:space="preserve">T01898</t>
  </si>
  <si>
    <t xml:space="preserve">T01899</t>
  </si>
  <si>
    <t xml:space="preserve">T01900</t>
  </si>
  <si>
    <t xml:space="preserve">T01901</t>
  </si>
  <si>
    <t xml:space="preserve">T01902</t>
  </si>
  <si>
    <t xml:space="preserve">T01903</t>
  </si>
  <si>
    <t xml:space="preserve">T01904</t>
  </si>
  <si>
    <t xml:space="preserve">T01905</t>
  </si>
  <si>
    <t xml:space="preserve">T01906</t>
  </si>
  <si>
    <t xml:space="preserve">T01907</t>
  </si>
  <si>
    <t xml:space="preserve">T01908</t>
  </si>
  <si>
    <t xml:space="preserve">T01909</t>
  </si>
  <si>
    <t xml:space="preserve">T01910</t>
  </si>
  <si>
    <t xml:space="preserve">T01911</t>
  </si>
  <si>
    <t xml:space="preserve">T01912</t>
  </si>
  <si>
    <t xml:space="preserve">T01913</t>
  </si>
  <si>
    <t xml:space="preserve">T01914</t>
  </si>
  <si>
    <t xml:space="preserve">T01915</t>
  </si>
  <si>
    <t xml:space="preserve">T01916</t>
  </si>
  <si>
    <t xml:space="preserve">T01917</t>
  </si>
  <si>
    <t xml:space="preserve">T01918</t>
  </si>
  <si>
    <t xml:space="preserve">T01919</t>
  </si>
  <si>
    <t xml:space="preserve">T01920</t>
  </si>
  <si>
    <t xml:space="preserve">T01921</t>
  </si>
  <si>
    <t xml:space="preserve">T01922</t>
  </si>
  <si>
    <t xml:space="preserve">T01923</t>
  </si>
  <si>
    <t xml:space="preserve">T01924</t>
  </si>
  <si>
    <t xml:space="preserve">T01925</t>
  </si>
  <si>
    <t xml:space="preserve">T01926</t>
  </si>
  <si>
    <t xml:space="preserve">T01927</t>
  </si>
  <si>
    <t xml:space="preserve">T01928</t>
  </si>
  <si>
    <t xml:space="preserve">T01929</t>
  </si>
  <si>
    <t xml:space="preserve">T01930</t>
  </si>
  <si>
    <t xml:space="preserve">T01931</t>
  </si>
  <si>
    <t xml:space="preserve">T01932</t>
  </si>
  <si>
    <t xml:space="preserve">T01933</t>
  </si>
  <si>
    <t xml:space="preserve">T01934</t>
  </si>
  <si>
    <t xml:space="preserve">T01935</t>
  </si>
  <si>
    <t xml:space="preserve">T01936</t>
  </si>
  <si>
    <t xml:space="preserve">T01937</t>
  </si>
  <si>
    <t xml:space="preserve">T01938</t>
  </si>
  <si>
    <t xml:space="preserve">T01939</t>
  </si>
  <si>
    <t xml:space="preserve">T01940</t>
  </si>
  <si>
    <t xml:space="preserve">T01941</t>
  </si>
  <si>
    <t xml:space="preserve">T01942</t>
  </si>
  <si>
    <t xml:space="preserve">T01943</t>
  </si>
  <si>
    <t xml:space="preserve">T01944</t>
  </si>
  <si>
    <t xml:space="preserve">T01945</t>
  </si>
  <si>
    <t xml:space="preserve">T01946</t>
  </si>
  <si>
    <t xml:space="preserve">T01947</t>
  </si>
  <si>
    <t xml:space="preserve">T01948</t>
  </si>
  <si>
    <t xml:space="preserve">T01949</t>
  </si>
  <si>
    <t xml:space="preserve">T01950</t>
  </si>
  <si>
    <t xml:space="preserve">T01951</t>
  </si>
  <si>
    <t xml:space="preserve">T01952</t>
  </si>
  <si>
    <t xml:space="preserve">T01953</t>
  </si>
  <si>
    <t xml:space="preserve">T01954</t>
  </si>
  <si>
    <t xml:space="preserve">T01955</t>
  </si>
  <si>
    <t xml:space="preserve">T01956</t>
  </si>
  <si>
    <t xml:space="preserve">T01957</t>
  </si>
  <si>
    <t xml:space="preserve">T01958</t>
  </si>
  <si>
    <t xml:space="preserve">T01959</t>
  </si>
  <si>
    <t xml:space="preserve">T01960</t>
  </si>
  <si>
    <t xml:space="preserve">T01961</t>
  </si>
  <si>
    <t xml:space="preserve">T01962</t>
  </si>
  <si>
    <t xml:space="preserve">T01963</t>
  </si>
  <si>
    <t xml:space="preserve">T01964</t>
  </si>
  <si>
    <t xml:space="preserve">T01965</t>
  </si>
  <si>
    <t xml:space="preserve">T01966</t>
  </si>
  <si>
    <t xml:space="preserve">T01967</t>
  </si>
  <si>
    <t xml:space="preserve">T01968</t>
  </si>
  <si>
    <t xml:space="preserve">T01969</t>
  </si>
  <si>
    <t xml:space="preserve">T01970</t>
  </si>
  <si>
    <t xml:space="preserve">T01971</t>
  </si>
  <si>
    <t xml:space="preserve">T01972</t>
  </si>
  <si>
    <t xml:space="preserve">T01973</t>
  </si>
  <si>
    <t xml:space="preserve">T01974</t>
  </si>
  <si>
    <t xml:space="preserve">T01975</t>
  </si>
  <si>
    <t xml:space="preserve">T01976</t>
  </si>
  <si>
    <t xml:space="preserve">T01977</t>
  </si>
  <si>
    <t xml:space="preserve">T01978</t>
  </si>
  <si>
    <t xml:space="preserve">T01979</t>
  </si>
  <si>
    <t xml:space="preserve">T01980</t>
  </si>
  <si>
    <t xml:space="preserve">T01981</t>
  </si>
  <si>
    <t xml:space="preserve">T01982</t>
  </si>
  <si>
    <t xml:space="preserve">T01983</t>
  </si>
  <si>
    <t xml:space="preserve">T01984</t>
  </si>
  <si>
    <t xml:space="preserve">T01985</t>
  </si>
  <si>
    <t xml:space="preserve">T01986</t>
  </si>
  <si>
    <t xml:space="preserve">T01987</t>
  </si>
  <si>
    <t xml:space="preserve">T01988</t>
  </si>
  <si>
    <t xml:space="preserve">T01989</t>
  </si>
  <si>
    <t xml:space="preserve">T01990</t>
  </si>
  <si>
    <t xml:space="preserve">T01991</t>
  </si>
  <si>
    <t xml:space="preserve">T01992</t>
  </si>
  <si>
    <t xml:space="preserve">T01993</t>
  </si>
  <si>
    <t xml:space="preserve">T01994</t>
  </si>
  <si>
    <t xml:space="preserve">T01995</t>
  </si>
  <si>
    <t xml:space="preserve">T01996</t>
  </si>
  <si>
    <t xml:space="preserve">T01997</t>
  </si>
  <si>
    <t xml:space="preserve">T01998</t>
  </si>
  <si>
    <t xml:space="preserve">T01999</t>
  </si>
  <si>
    <t xml:space="preserve">T02000</t>
  </si>
  <si>
    <t xml:space="preserve">T02001</t>
  </si>
  <si>
    <t xml:space="preserve">T02002</t>
  </si>
  <si>
    <t xml:space="preserve">T02003</t>
  </si>
  <si>
    <t xml:space="preserve">T02004</t>
  </si>
  <si>
    <t xml:space="preserve">T02005</t>
  </si>
  <si>
    <t xml:space="preserve">T02006</t>
  </si>
  <si>
    <t xml:space="preserve">T02007</t>
  </si>
  <si>
    <t xml:space="preserve">T02008</t>
  </si>
  <si>
    <t xml:space="preserve">T02009</t>
  </si>
  <si>
    <t xml:space="preserve">T02010</t>
  </si>
  <si>
    <t xml:space="preserve">T02011</t>
  </si>
  <si>
    <t xml:space="preserve">T02012</t>
  </si>
  <si>
    <t xml:space="preserve">T02013</t>
  </si>
  <si>
    <t xml:space="preserve">T02014</t>
  </si>
  <si>
    <t xml:space="preserve">T02015</t>
  </si>
  <si>
    <t xml:space="preserve">T02016</t>
  </si>
  <si>
    <t xml:space="preserve">T02017</t>
  </si>
  <si>
    <t xml:space="preserve">T02018</t>
  </si>
  <si>
    <t xml:space="preserve">T02019</t>
  </si>
  <si>
    <t xml:space="preserve">T02020</t>
  </si>
  <si>
    <t xml:space="preserve">T02021</t>
  </si>
  <si>
    <t xml:space="preserve">T02022</t>
  </si>
  <si>
    <t xml:space="preserve">T02023</t>
  </si>
  <si>
    <t xml:space="preserve">T02024</t>
  </si>
  <si>
    <t xml:space="preserve">T02025</t>
  </si>
  <si>
    <t xml:space="preserve">T02026</t>
  </si>
  <si>
    <t xml:space="preserve">T02027</t>
  </si>
  <si>
    <t xml:space="preserve">T02028</t>
  </si>
  <si>
    <t xml:space="preserve">T02029</t>
  </si>
  <si>
    <t xml:space="preserve">T02030</t>
  </si>
  <si>
    <t xml:space="preserve">T02031</t>
  </si>
  <si>
    <t xml:space="preserve">T02032</t>
  </si>
  <si>
    <t xml:space="preserve">T02033</t>
  </si>
  <si>
    <t xml:space="preserve">T02034</t>
  </si>
  <si>
    <t xml:space="preserve">T02035</t>
  </si>
  <si>
    <t xml:space="preserve">T02036</t>
  </si>
  <si>
    <t xml:space="preserve">T02037</t>
  </si>
  <si>
    <t xml:space="preserve">T02038</t>
  </si>
  <si>
    <t xml:space="preserve">T02039</t>
  </si>
  <si>
    <t xml:space="preserve">T02040</t>
  </si>
  <si>
    <t xml:space="preserve">T02041</t>
  </si>
  <si>
    <t xml:space="preserve">T02042</t>
  </si>
  <si>
    <t xml:space="preserve">T02043</t>
  </si>
  <si>
    <t xml:space="preserve">T02044</t>
  </si>
  <si>
    <t xml:space="preserve">T02045</t>
  </si>
  <si>
    <t xml:space="preserve">T02046</t>
  </si>
  <si>
    <t xml:space="preserve">T02047</t>
  </si>
  <si>
    <t xml:space="preserve">T02048</t>
  </si>
  <si>
    <t xml:space="preserve">T02049</t>
  </si>
  <si>
    <t xml:space="preserve">T02050</t>
  </si>
  <si>
    <t xml:space="preserve">T02051</t>
  </si>
  <si>
    <t xml:space="preserve">T02052</t>
  </si>
  <si>
    <t xml:space="preserve">T02053</t>
  </si>
  <si>
    <t xml:space="preserve">T02054</t>
  </si>
  <si>
    <t xml:space="preserve">T02055</t>
  </si>
  <si>
    <t xml:space="preserve">T02056</t>
  </si>
  <si>
    <t xml:space="preserve">T02057</t>
  </si>
  <si>
    <t xml:space="preserve">T02058</t>
  </si>
  <si>
    <t xml:space="preserve">T02059</t>
  </si>
  <si>
    <t xml:space="preserve">T02060</t>
  </si>
  <si>
    <t xml:space="preserve">T02061</t>
  </si>
  <si>
    <t xml:space="preserve">T02062</t>
  </si>
  <si>
    <t xml:space="preserve">T02063</t>
  </si>
  <si>
    <t xml:space="preserve">T02064</t>
  </si>
  <si>
    <t xml:space="preserve">T02065</t>
  </si>
  <si>
    <t xml:space="preserve">T02066</t>
  </si>
  <si>
    <t xml:space="preserve">T02067</t>
  </si>
  <si>
    <t xml:space="preserve">T02068</t>
  </si>
  <si>
    <t xml:space="preserve">T02069</t>
  </si>
  <si>
    <t xml:space="preserve">T02070</t>
  </si>
  <si>
    <t xml:space="preserve">T02071</t>
  </si>
  <si>
    <t xml:space="preserve">T02072</t>
  </si>
  <si>
    <t xml:space="preserve">T02073</t>
  </si>
  <si>
    <t xml:space="preserve">T02074</t>
  </si>
  <si>
    <t xml:space="preserve">T02075</t>
  </si>
  <si>
    <t xml:space="preserve">T02076</t>
  </si>
  <si>
    <t xml:space="preserve">T02077</t>
  </si>
  <si>
    <t xml:space="preserve">T02078</t>
  </si>
  <si>
    <t xml:space="preserve">T02079</t>
  </si>
  <si>
    <t xml:space="preserve">T02080</t>
  </si>
  <si>
    <t xml:space="preserve">T02081</t>
  </si>
  <si>
    <t xml:space="preserve">T02082</t>
  </si>
  <si>
    <t xml:space="preserve">T02083</t>
  </si>
  <si>
    <t xml:space="preserve">T02084</t>
  </si>
  <si>
    <t xml:space="preserve">T02085</t>
  </si>
  <si>
    <t xml:space="preserve">T02086</t>
  </si>
  <si>
    <t xml:space="preserve">T02087</t>
  </si>
  <si>
    <t xml:space="preserve">T02088</t>
  </si>
  <si>
    <t xml:space="preserve">T02089</t>
  </si>
  <si>
    <t xml:space="preserve">T02090</t>
  </si>
  <si>
    <t xml:space="preserve">T02091</t>
  </si>
  <si>
    <t xml:space="preserve">T02092</t>
  </si>
  <si>
    <t xml:space="preserve">T02093</t>
  </si>
  <si>
    <t xml:space="preserve">T02094</t>
  </si>
  <si>
    <t xml:space="preserve">T02095</t>
  </si>
  <si>
    <t xml:space="preserve">T02096</t>
  </si>
  <si>
    <t xml:space="preserve">T02097</t>
  </si>
  <si>
    <t xml:space="preserve">T02098</t>
  </si>
  <si>
    <t xml:space="preserve">T02099</t>
  </si>
  <si>
    <t xml:space="preserve">T02100</t>
  </si>
  <si>
    <t xml:space="preserve">T02101</t>
  </si>
  <si>
    <t xml:space="preserve">T02102</t>
  </si>
  <si>
    <t xml:space="preserve">T02103</t>
  </si>
  <si>
    <t xml:space="preserve">T02104</t>
  </si>
  <si>
    <t xml:space="preserve">T02105</t>
  </si>
  <si>
    <t xml:space="preserve">T02106</t>
  </si>
  <si>
    <t xml:space="preserve">T02107</t>
  </si>
  <si>
    <t xml:space="preserve">T02108</t>
  </si>
  <si>
    <t xml:space="preserve">T02109</t>
  </si>
  <si>
    <t xml:space="preserve">T02110</t>
  </si>
  <si>
    <t xml:space="preserve">T02111</t>
  </si>
  <si>
    <t xml:space="preserve">T02112</t>
  </si>
  <si>
    <t xml:space="preserve">T02113</t>
  </si>
  <si>
    <t xml:space="preserve">T02114</t>
  </si>
  <si>
    <t xml:space="preserve">T02115</t>
  </si>
  <si>
    <t xml:space="preserve">T02116</t>
  </si>
  <si>
    <t xml:space="preserve">T02117</t>
  </si>
  <si>
    <t xml:space="preserve">T02118</t>
  </si>
  <si>
    <t xml:space="preserve">T02119</t>
  </si>
  <si>
    <t xml:space="preserve">T02120</t>
  </si>
  <si>
    <t xml:space="preserve">T02121</t>
  </si>
  <si>
    <t xml:space="preserve">T02122</t>
  </si>
  <si>
    <t xml:space="preserve">T02123</t>
  </si>
  <si>
    <t xml:space="preserve">T02124</t>
  </si>
  <si>
    <t xml:space="preserve">T02125</t>
  </si>
  <si>
    <t xml:space="preserve">T02126</t>
  </si>
  <si>
    <t xml:space="preserve">T02127</t>
  </si>
  <si>
    <t xml:space="preserve">T02128</t>
  </si>
  <si>
    <t xml:space="preserve">T02129</t>
  </si>
  <si>
    <t xml:space="preserve">T02130</t>
  </si>
  <si>
    <t xml:space="preserve">T02131</t>
  </si>
  <si>
    <t xml:space="preserve">T02132</t>
  </si>
  <si>
    <t xml:space="preserve">T02133</t>
  </si>
  <si>
    <t xml:space="preserve">T02134</t>
  </si>
  <si>
    <t xml:space="preserve">T02135</t>
  </si>
  <si>
    <t xml:space="preserve">T02136</t>
  </si>
  <si>
    <t xml:space="preserve">T02137</t>
  </si>
  <si>
    <t xml:space="preserve">T02138</t>
  </si>
  <si>
    <t xml:space="preserve">T02139</t>
  </si>
  <si>
    <t xml:space="preserve">T02140</t>
  </si>
  <si>
    <t xml:space="preserve">T02141</t>
  </si>
  <si>
    <t xml:space="preserve">T02142</t>
  </si>
  <si>
    <t xml:space="preserve">T02143</t>
  </si>
  <si>
    <t xml:space="preserve">T02144</t>
  </si>
  <si>
    <t xml:space="preserve">T02145</t>
  </si>
  <si>
    <t xml:space="preserve">T02146</t>
  </si>
  <si>
    <t xml:space="preserve">T02147</t>
  </si>
  <si>
    <t xml:space="preserve">T02148</t>
  </si>
  <si>
    <t xml:space="preserve">T02149</t>
  </si>
  <si>
    <t xml:space="preserve">T02150</t>
  </si>
  <si>
    <t xml:space="preserve">T02151</t>
  </si>
  <si>
    <t xml:space="preserve">T02152</t>
  </si>
  <si>
    <t xml:space="preserve">T02153</t>
  </si>
  <si>
    <t xml:space="preserve">T02154</t>
  </si>
  <si>
    <t xml:space="preserve">T02155</t>
  </si>
  <si>
    <t xml:space="preserve">T02156</t>
  </si>
  <si>
    <t xml:space="preserve">T02157</t>
  </si>
  <si>
    <t xml:space="preserve">T02158</t>
  </si>
  <si>
    <t xml:space="preserve">T02159</t>
  </si>
  <si>
    <t xml:space="preserve">T02160</t>
  </si>
  <si>
    <t xml:space="preserve">T02161</t>
  </si>
  <si>
    <t xml:space="preserve">T02162</t>
  </si>
  <si>
    <t xml:space="preserve">T02163</t>
  </si>
  <si>
    <t xml:space="preserve">T02164</t>
  </si>
  <si>
    <t xml:space="preserve">T02165</t>
  </si>
  <si>
    <t xml:space="preserve">T02166</t>
  </si>
  <si>
    <t xml:space="preserve">T02167</t>
  </si>
  <si>
    <t xml:space="preserve">T02168</t>
  </si>
  <si>
    <t xml:space="preserve">T02169</t>
  </si>
  <si>
    <t xml:space="preserve">T02170</t>
  </si>
  <si>
    <t xml:space="preserve">T02171</t>
  </si>
  <si>
    <t xml:space="preserve">T02172</t>
  </si>
  <si>
    <t xml:space="preserve">T02173</t>
  </si>
  <si>
    <t xml:space="preserve">T02174</t>
  </si>
  <si>
    <t xml:space="preserve">T02175</t>
  </si>
  <si>
    <t xml:space="preserve">T02176</t>
  </si>
  <si>
    <t xml:space="preserve">T02177</t>
  </si>
  <si>
    <t xml:space="preserve">T02178</t>
  </si>
  <si>
    <t xml:space="preserve">T02179</t>
  </si>
  <si>
    <t xml:space="preserve">T02180</t>
  </si>
  <si>
    <t xml:space="preserve">T02181</t>
  </si>
  <si>
    <t xml:space="preserve">T02182</t>
  </si>
  <si>
    <t xml:space="preserve">T02183</t>
  </si>
  <si>
    <t xml:space="preserve">T02184</t>
  </si>
  <si>
    <t xml:space="preserve">T02185</t>
  </si>
  <si>
    <t xml:space="preserve">T02186</t>
  </si>
  <si>
    <t xml:space="preserve">T02187</t>
  </si>
  <si>
    <t xml:space="preserve">T02188</t>
  </si>
  <si>
    <t xml:space="preserve">T02189</t>
  </si>
  <si>
    <t xml:space="preserve">T02190</t>
  </si>
  <si>
    <t xml:space="preserve">T02191</t>
  </si>
  <si>
    <t xml:space="preserve">T02192</t>
  </si>
  <si>
    <t xml:space="preserve">T02193</t>
  </si>
  <si>
    <t xml:space="preserve">T02194</t>
  </si>
  <si>
    <t xml:space="preserve">T02195</t>
  </si>
  <si>
    <t xml:space="preserve">T02196</t>
  </si>
  <si>
    <t xml:space="preserve">T02197</t>
  </si>
  <si>
    <t xml:space="preserve">T02198</t>
  </si>
  <si>
    <t xml:space="preserve">T02199</t>
  </si>
  <si>
    <t xml:space="preserve">T02200</t>
  </si>
  <si>
    <t xml:space="preserve">T02201</t>
  </si>
  <si>
    <t xml:space="preserve">T02202</t>
  </si>
  <si>
    <t xml:space="preserve">T02203</t>
  </si>
  <si>
    <t xml:space="preserve">T02204</t>
  </si>
  <si>
    <t xml:space="preserve">T02205</t>
  </si>
  <si>
    <t xml:space="preserve">T02206</t>
  </si>
  <si>
    <t xml:space="preserve">T02207</t>
  </si>
  <si>
    <t xml:space="preserve">T02208</t>
  </si>
  <si>
    <t xml:space="preserve">T02209</t>
  </si>
  <si>
    <t xml:space="preserve">T02210</t>
  </si>
  <si>
    <t xml:space="preserve">T02211</t>
  </si>
  <si>
    <t xml:space="preserve">T02212</t>
  </si>
  <si>
    <t xml:space="preserve">T02213</t>
  </si>
  <si>
    <t xml:space="preserve">T02214</t>
  </si>
  <si>
    <t xml:space="preserve">T02215</t>
  </si>
  <si>
    <t xml:space="preserve">T02216</t>
  </si>
  <si>
    <t xml:space="preserve">T02217</t>
  </si>
  <si>
    <t xml:space="preserve">T02218</t>
  </si>
  <si>
    <t xml:space="preserve">T02219</t>
  </si>
  <si>
    <t xml:space="preserve">T02220</t>
  </si>
  <si>
    <t xml:space="preserve">T02221</t>
  </si>
  <si>
    <t xml:space="preserve">T02222</t>
  </si>
  <si>
    <t xml:space="preserve">T02223</t>
  </si>
  <si>
    <t xml:space="preserve">T02224</t>
  </si>
  <si>
    <t xml:space="preserve">T02225</t>
  </si>
  <si>
    <t xml:space="preserve">T02226</t>
  </si>
  <si>
    <t xml:space="preserve">T02227</t>
  </si>
  <si>
    <t xml:space="preserve">T02228</t>
  </si>
  <si>
    <t xml:space="preserve">T02229</t>
  </si>
  <si>
    <t xml:space="preserve">T02230</t>
  </si>
  <si>
    <t xml:space="preserve">T02231</t>
  </si>
  <si>
    <t xml:space="preserve">T02232</t>
  </si>
  <si>
    <t xml:space="preserve">T02233</t>
  </si>
  <si>
    <t xml:space="preserve">T02234</t>
  </si>
  <si>
    <t xml:space="preserve">T02235</t>
  </si>
  <si>
    <t xml:space="preserve">T02236</t>
  </si>
  <si>
    <t xml:space="preserve">T02237</t>
  </si>
  <si>
    <t xml:space="preserve">T02238</t>
  </si>
  <si>
    <t xml:space="preserve">T02239</t>
  </si>
  <si>
    <t xml:space="preserve">T02240</t>
  </si>
  <si>
    <t xml:space="preserve">T02241</t>
  </si>
  <si>
    <t xml:space="preserve">T02242</t>
  </si>
  <si>
    <t xml:space="preserve">T02243</t>
  </si>
  <si>
    <t xml:space="preserve">T02244</t>
  </si>
  <si>
    <t xml:space="preserve">T02245</t>
  </si>
  <si>
    <t xml:space="preserve">T02246</t>
  </si>
  <si>
    <t xml:space="preserve">T02247</t>
  </si>
  <si>
    <t xml:space="preserve">T02248</t>
  </si>
  <si>
    <t xml:space="preserve">T02249</t>
  </si>
  <si>
    <t xml:space="preserve">T02250</t>
  </si>
  <si>
    <t xml:space="preserve">T02251</t>
  </si>
  <si>
    <t xml:space="preserve">T02252</t>
  </si>
  <si>
    <t xml:space="preserve">T02253</t>
  </si>
  <si>
    <t xml:space="preserve">T02254</t>
  </si>
  <si>
    <t xml:space="preserve">T02255</t>
  </si>
  <si>
    <t xml:space="preserve">T02256</t>
  </si>
  <si>
    <t xml:space="preserve">T02257</t>
  </si>
  <si>
    <t xml:space="preserve">T02258</t>
  </si>
  <si>
    <t xml:space="preserve">T02259</t>
  </si>
  <si>
    <t xml:space="preserve">T02260</t>
  </si>
  <si>
    <t xml:space="preserve">T02261</t>
  </si>
  <si>
    <t xml:space="preserve">T02262</t>
  </si>
  <si>
    <t xml:space="preserve">T02263</t>
  </si>
  <si>
    <t xml:space="preserve">T02264</t>
  </si>
  <si>
    <t xml:space="preserve">T02265</t>
  </si>
  <si>
    <t xml:space="preserve">T02266</t>
  </si>
  <si>
    <t xml:space="preserve">T02267</t>
  </si>
  <si>
    <t xml:space="preserve">T02268</t>
  </si>
  <si>
    <t xml:space="preserve">T02269</t>
  </si>
  <si>
    <t xml:space="preserve">T02270</t>
  </si>
  <si>
    <t xml:space="preserve">T02271</t>
  </si>
  <si>
    <t xml:space="preserve">T02272</t>
  </si>
  <si>
    <t xml:space="preserve">T02273</t>
  </si>
  <si>
    <t xml:space="preserve">T02274</t>
  </si>
  <si>
    <t xml:space="preserve">T02275</t>
  </si>
  <si>
    <t xml:space="preserve">T02276</t>
  </si>
  <si>
    <t xml:space="preserve">T02277</t>
  </si>
  <si>
    <t xml:space="preserve">T02278</t>
  </si>
  <si>
    <t xml:space="preserve">T02279</t>
  </si>
  <si>
    <t xml:space="preserve">T02280</t>
  </si>
  <si>
    <t xml:space="preserve">T02281</t>
  </si>
  <si>
    <t xml:space="preserve">T02282</t>
  </si>
  <si>
    <t xml:space="preserve">T02283</t>
  </si>
  <si>
    <t xml:space="preserve">T02284</t>
  </si>
  <si>
    <t xml:space="preserve">T02285</t>
  </si>
  <si>
    <t xml:space="preserve">T02286</t>
  </si>
  <si>
    <t xml:space="preserve">T02287</t>
  </si>
  <si>
    <t xml:space="preserve">T02288</t>
  </si>
  <si>
    <t xml:space="preserve">T02289</t>
  </si>
  <si>
    <t xml:space="preserve">T02290</t>
  </si>
  <si>
    <t xml:space="preserve">T02291</t>
  </si>
  <si>
    <t xml:space="preserve">T02292</t>
  </si>
  <si>
    <t xml:space="preserve">T02293</t>
  </si>
  <si>
    <t xml:space="preserve">T02294</t>
  </si>
  <si>
    <t xml:space="preserve">T02295</t>
  </si>
  <si>
    <t xml:space="preserve">T02296</t>
  </si>
  <si>
    <t xml:space="preserve">T02297</t>
  </si>
  <si>
    <t xml:space="preserve">T02298</t>
  </si>
  <si>
    <t xml:space="preserve">T02299</t>
  </si>
  <si>
    <t xml:space="preserve">T02300</t>
  </si>
  <si>
    <t xml:space="preserve">T02301</t>
  </si>
  <si>
    <t xml:space="preserve">T02302</t>
  </si>
  <si>
    <t xml:space="preserve">T02303</t>
  </si>
  <si>
    <t xml:space="preserve">T02304</t>
  </si>
  <si>
    <t xml:space="preserve">T02305</t>
  </si>
  <si>
    <t xml:space="preserve">T02306</t>
  </si>
  <si>
    <t xml:space="preserve">T02307</t>
  </si>
  <si>
    <t xml:space="preserve">T02308</t>
  </si>
  <si>
    <t xml:space="preserve">T02309</t>
  </si>
  <si>
    <t xml:space="preserve">T02310</t>
  </si>
  <si>
    <t xml:space="preserve">T02311</t>
  </si>
  <si>
    <t xml:space="preserve">T02312</t>
  </si>
  <si>
    <t xml:space="preserve">T02313</t>
  </si>
  <si>
    <t xml:space="preserve">T02314</t>
  </si>
  <si>
    <t xml:space="preserve">T02315</t>
  </si>
  <si>
    <t xml:space="preserve">T02316</t>
  </si>
  <si>
    <t xml:space="preserve">T02317</t>
  </si>
  <si>
    <t xml:space="preserve">T02318</t>
  </si>
  <si>
    <t xml:space="preserve">T02319</t>
  </si>
  <si>
    <t xml:space="preserve">T02320</t>
  </si>
  <si>
    <t xml:space="preserve">T02321</t>
  </si>
  <si>
    <t xml:space="preserve">T02322</t>
  </si>
  <si>
    <t xml:space="preserve">T02323</t>
  </si>
  <si>
    <t xml:space="preserve">T02324</t>
  </si>
  <si>
    <t xml:space="preserve">T02325</t>
  </si>
  <si>
    <t xml:space="preserve">T02326</t>
  </si>
  <si>
    <t xml:space="preserve">T02327</t>
  </si>
  <si>
    <t xml:space="preserve">T02328</t>
  </si>
  <si>
    <t xml:space="preserve">T02329</t>
  </si>
  <si>
    <t xml:space="preserve">T02330</t>
  </si>
  <si>
    <t xml:space="preserve">T02331</t>
  </si>
  <si>
    <t xml:space="preserve">T02332</t>
  </si>
  <si>
    <t xml:space="preserve">T02333</t>
  </si>
  <si>
    <t xml:space="preserve">T02334</t>
  </si>
  <si>
    <t xml:space="preserve">T02335</t>
  </si>
  <si>
    <t xml:space="preserve">T02336</t>
  </si>
  <si>
    <t xml:space="preserve">T02337</t>
  </si>
  <si>
    <t xml:space="preserve">T02338</t>
  </si>
  <si>
    <t xml:space="preserve">T02339</t>
  </si>
  <si>
    <t xml:space="preserve">T02340</t>
  </si>
  <si>
    <t xml:space="preserve">T02341</t>
  </si>
  <si>
    <t xml:space="preserve">T02342</t>
  </si>
  <si>
    <t xml:space="preserve">T02343</t>
  </si>
  <si>
    <t xml:space="preserve">T02344</t>
  </si>
  <si>
    <t xml:space="preserve">T02345</t>
  </si>
  <si>
    <t xml:space="preserve">T02346</t>
  </si>
  <si>
    <t xml:space="preserve">T02347</t>
  </si>
  <si>
    <t xml:space="preserve">T02348</t>
  </si>
  <si>
    <t xml:space="preserve">T02349</t>
  </si>
  <si>
    <t xml:space="preserve">T02350</t>
  </si>
  <si>
    <t xml:space="preserve">T02351</t>
  </si>
  <si>
    <t xml:space="preserve">T02352</t>
  </si>
  <si>
    <t xml:space="preserve">T02353</t>
  </si>
  <si>
    <t xml:space="preserve">T02354</t>
  </si>
  <si>
    <t xml:space="preserve">T02355</t>
  </si>
  <si>
    <t xml:space="preserve">T02356</t>
  </si>
  <si>
    <t xml:space="preserve">T02357</t>
  </si>
  <si>
    <t xml:space="preserve">T02358</t>
  </si>
  <si>
    <t xml:space="preserve">T02359</t>
  </si>
  <si>
    <t xml:space="preserve">T02360</t>
  </si>
  <si>
    <t xml:space="preserve">T02361</t>
  </si>
  <si>
    <t xml:space="preserve">T02362</t>
  </si>
  <si>
    <t xml:space="preserve">T02363</t>
  </si>
  <si>
    <t xml:space="preserve">T02364</t>
  </si>
  <si>
    <t xml:space="preserve">T02365</t>
  </si>
  <si>
    <t xml:space="preserve">T02366</t>
  </si>
  <si>
    <t xml:space="preserve">T02367</t>
  </si>
  <si>
    <t xml:space="preserve">T02368</t>
  </si>
  <si>
    <t xml:space="preserve">T02369</t>
  </si>
  <si>
    <t xml:space="preserve">T02370</t>
  </si>
  <si>
    <t xml:space="preserve">T02371</t>
  </si>
  <si>
    <t xml:space="preserve">T02372</t>
  </si>
  <si>
    <t xml:space="preserve">T02373</t>
  </si>
  <si>
    <t xml:space="preserve">T02374</t>
  </si>
  <si>
    <t xml:space="preserve">T02375</t>
  </si>
  <si>
    <t xml:space="preserve">T02376</t>
  </si>
  <si>
    <t xml:space="preserve">T02377</t>
  </si>
  <si>
    <t xml:space="preserve">T02378</t>
  </si>
  <si>
    <t xml:space="preserve">T02379</t>
  </si>
  <si>
    <t xml:space="preserve">T02380</t>
  </si>
  <si>
    <t xml:space="preserve">T02381</t>
  </si>
  <si>
    <t xml:space="preserve">T02382</t>
  </si>
  <si>
    <t xml:space="preserve">T02383</t>
  </si>
  <si>
    <t xml:space="preserve">T02384</t>
  </si>
  <si>
    <t xml:space="preserve">T02385</t>
  </si>
  <si>
    <t xml:space="preserve">T02386</t>
  </si>
  <si>
    <t xml:space="preserve">T02387</t>
  </si>
  <si>
    <t xml:space="preserve">T02388</t>
  </si>
  <si>
    <t xml:space="preserve">T02389</t>
  </si>
  <si>
    <t xml:space="preserve">T02390</t>
  </si>
  <si>
    <t xml:space="preserve">T02391</t>
  </si>
  <si>
    <t xml:space="preserve">T02392</t>
  </si>
  <si>
    <t xml:space="preserve">T02393</t>
  </si>
  <si>
    <t xml:space="preserve">T02394</t>
  </si>
  <si>
    <t xml:space="preserve">T02395</t>
  </si>
  <si>
    <t xml:space="preserve">T02396</t>
  </si>
  <si>
    <t xml:space="preserve">T02397</t>
  </si>
  <si>
    <t xml:space="preserve">T02398</t>
  </si>
  <si>
    <t xml:space="preserve">T02399</t>
  </si>
  <si>
    <t xml:space="preserve">T02400</t>
  </si>
  <si>
    <t xml:space="preserve">T02401</t>
  </si>
  <si>
    <t xml:space="preserve">T02402</t>
  </si>
  <si>
    <t xml:space="preserve">T02403</t>
  </si>
  <si>
    <t xml:space="preserve">T02404</t>
  </si>
  <si>
    <t xml:space="preserve">T02405</t>
  </si>
  <si>
    <t xml:space="preserve">T02406</t>
  </si>
  <si>
    <t xml:space="preserve">T02407</t>
  </si>
  <si>
    <t xml:space="preserve">T02408</t>
  </si>
  <si>
    <t xml:space="preserve">T02409</t>
  </si>
  <si>
    <t xml:space="preserve">T02410</t>
  </si>
  <si>
    <t xml:space="preserve">T02411</t>
  </si>
  <si>
    <t xml:space="preserve">T02412</t>
  </si>
  <si>
    <t xml:space="preserve">T02413</t>
  </si>
  <si>
    <t xml:space="preserve">T02414</t>
  </si>
  <si>
    <t xml:space="preserve">T02415</t>
  </si>
  <si>
    <t xml:space="preserve">T02416</t>
  </si>
  <si>
    <t xml:space="preserve">T02417</t>
  </si>
  <si>
    <t xml:space="preserve">T02418</t>
  </si>
  <si>
    <t xml:space="preserve">T02419</t>
  </si>
  <si>
    <t xml:space="preserve">T02420</t>
  </si>
  <si>
    <t xml:space="preserve">T02421</t>
  </si>
  <si>
    <t xml:space="preserve">T02422</t>
  </si>
  <si>
    <t xml:space="preserve">T02423</t>
  </si>
  <si>
    <t xml:space="preserve">T02424</t>
  </si>
  <si>
    <t xml:space="preserve">T02425</t>
  </si>
  <si>
    <t xml:space="preserve">T02426</t>
  </si>
  <si>
    <t xml:space="preserve">T02427</t>
  </si>
  <si>
    <t xml:space="preserve">T02428</t>
  </si>
  <si>
    <t xml:space="preserve">T02429</t>
  </si>
  <si>
    <t xml:space="preserve">T02430</t>
  </si>
  <si>
    <t xml:space="preserve">T02431</t>
  </si>
  <si>
    <t xml:space="preserve">T02432</t>
  </si>
  <si>
    <t xml:space="preserve">T02433</t>
  </si>
  <si>
    <t xml:space="preserve">T02434</t>
  </si>
  <si>
    <t xml:space="preserve">T02435</t>
  </si>
  <si>
    <t xml:space="preserve">T02436</t>
  </si>
  <si>
    <t xml:space="preserve">T02437</t>
  </si>
  <si>
    <t xml:space="preserve">T02438</t>
  </si>
  <si>
    <t xml:space="preserve">T02439</t>
  </si>
  <si>
    <t xml:space="preserve">T02440</t>
  </si>
  <si>
    <t xml:space="preserve">T02441</t>
  </si>
  <si>
    <t xml:space="preserve">T02442</t>
  </si>
  <si>
    <t xml:space="preserve">T02443</t>
  </si>
  <si>
    <t xml:space="preserve">T02444</t>
  </si>
  <si>
    <t xml:space="preserve">T02445</t>
  </si>
  <si>
    <t xml:space="preserve">T02446</t>
  </si>
  <si>
    <t xml:space="preserve">T02447</t>
  </si>
  <si>
    <t xml:space="preserve">T02448</t>
  </si>
  <si>
    <t xml:space="preserve">T02449</t>
  </si>
  <si>
    <t xml:space="preserve">T02450</t>
  </si>
  <si>
    <t xml:space="preserve">T02451</t>
  </si>
  <si>
    <t xml:space="preserve">T02452</t>
  </si>
  <si>
    <t xml:space="preserve">T02453</t>
  </si>
  <si>
    <t xml:space="preserve">T02454</t>
  </si>
  <si>
    <t xml:space="preserve">T02455</t>
  </si>
  <si>
    <t xml:space="preserve">T02456</t>
  </si>
  <si>
    <t xml:space="preserve">T02457</t>
  </si>
  <si>
    <t xml:space="preserve">T02458</t>
  </si>
  <si>
    <t xml:space="preserve">T02459</t>
  </si>
  <si>
    <t xml:space="preserve">T02460</t>
  </si>
  <si>
    <t xml:space="preserve">T02461</t>
  </si>
  <si>
    <t xml:space="preserve">T02462</t>
  </si>
  <si>
    <t xml:space="preserve">T02463</t>
  </si>
  <si>
    <t xml:space="preserve">T02464</t>
  </si>
  <si>
    <t xml:space="preserve">T02465</t>
  </si>
  <si>
    <t xml:space="preserve">T02466</t>
  </si>
  <si>
    <t xml:space="preserve">T02467</t>
  </si>
  <si>
    <t xml:space="preserve">T02468</t>
  </si>
  <si>
    <t xml:space="preserve">T02469</t>
  </si>
  <si>
    <t xml:space="preserve">T02470</t>
  </si>
  <si>
    <t xml:space="preserve">T02471</t>
  </si>
  <si>
    <t xml:space="preserve">T02472</t>
  </si>
  <si>
    <t xml:space="preserve">T02473</t>
  </si>
  <si>
    <t xml:space="preserve">T02474</t>
  </si>
  <si>
    <t xml:space="preserve">T02475</t>
  </si>
  <si>
    <t xml:space="preserve">T02476</t>
  </si>
  <si>
    <t xml:space="preserve">T02477</t>
  </si>
  <si>
    <t xml:space="preserve">T02478</t>
  </si>
  <si>
    <t xml:space="preserve">T02479</t>
  </si>
  <si>
    <t xml:space="preserve">T02480</t>
  </si>
  <si>
    <t xml:space="preserve">T02481</t>
  </si>
  <si>
    <t xml:space="preserve">T02482</t>
  </si>
  <si>
    <t xml:space="preserve">T02483</t>
  </si>
  <si>
    <t xml:space="preserve">T02484</t>
  </si>
  <si>
    <t xml:space="preserve">T02485</t>
  </si>
  <si>
    <t xml:space="preserve">T02486</t>
  </si>
  <si>
    <t xml:space="preserve">T02487</t>
  </si>
  <si>
    <t xml:space="preserve">T02488</t>
  </si>
  <si>
    <t xml:space="preserve">T02489</t>
  </si>
  <si>
    <t xml:space="preserve">T02490</t>
  </si>
  <si>
    <t xml:space="preserve">T02491</t>
  </si>
  <si>
    <t xml:space="preserve">T02492</t>
  </si>
  <si>
    <t xml:space="preserve">T02493</t>
  </si>
  <si>
    <t xml:space="preserve">T02494</t>
  </si>
  <si>
    <t xml:space="preserve">T02495</t>
  </si>
  <si>
    <t xml:space="preserve">T02496</t>
  </si>
  <si>
    <t xml:space="preserve">T02497</t>
  </si>
  <si>
    <t xml:space="preserve">T02498</t>
  </si>
  <si>
    <t xml:space="preserve">T02499</t>
  </si>
  <si>
    <t xml:space="preserve">T02500</t>
  </si>
  <si>
    <t xml:space="preserve">T02501</t>
  </si>
  <si>
    <t xml:space="preserve">T02502</t>
  </si>
  <si>
    <t xml:space="preserve">T02503</t>
  </si>
  <si>
    <t xml:space="preserve">T02504</t>
  </si>
  <si>
    <t xml:space="preserve">T02505</t>
  </si>
  <si>
    <t xml:space="preserve">T02506</t>
  </si>
  <si>
    <t xml:space="preserve">T02507</t>
  </si>
  <si>
    <t xml:space="preserve">T02508</t>
  </si>
  <si>
    <t xml:space="preserve">T02509</t>
  </si>
  <si>
    <t xml:space="preserve">T02510</t>
  </si>
  <si>
    <t xml:space="preserve">T02511</t>
  </si>
  <si>
    <t xml:space="preserve">T02512</t>
  </si>
  <si>
    <t xml:space="preserve">T02513</t>
  </si>
  <si>
    <t xml:space="preserve">T02514</t>
  </si>
  <si>
    <t xml:space="preserve">T02515</t>
  </si>
  <si>
    <t xml:space="preserve">T02516</t>
  </si>
  <si>
    <t xml:space="preserve">T02517</t>
  </si>
  <si>
    <t xml:space="preserve">T02518</t>
  </si>
  <si>
    <t xml:space="preserve">T02519</t>
  </si>
  <si>
    <t xml:space="preserve">T02520</t>
  </si>
  <si>
    <t xml:space="preserve">T02521</t>
  </si>
  <si>
    <t xml:space="preserve">T02522</t>
  </si>
  <si>
    <t xml:space="preserve">T02523</t>
  </si>
  <si>
    <t xml:space="preserve">T02524</t>
  </si>
  <si>
    <t xml:space="preserve">T02525</t>
  </si>
  <si>
    <t xml:space="preserve">T02526</t>
  </si>
  <si>
    <t xml:space="preserve">T02527</t>
  </si>
  <si>
    <t xml:space="preserve">T02528</t>
  </si>
  <si>
    <t xml:space="preserve">T02529</t>
  </si>
  <si>
    <t xml:space="preserve">T02530</t>
  </si>
  <si>
    <t xml:space="preserve">T02531</t>
  </si>
  <si>
    <t xml:space="preserve">T02532</t>
  </si>
  <si>
    <t xml:space="preserve">T02533</t>
  </si>
  <si>
    <t xml:space="preserve">T02534</t>
  </si>
  <si>
    <t xml:space="preserve">T02535</t>
  </si>
  <si>
    <t xml:space="preserve">T02536</t>
  </si>
  <si>
    <t xml:space="preserve">T02537</t>
  </si>
  <si>
    <t xml:space="preserve">T02538</t>
  </si>
  <si>
    <t xml:space="preserve">T02539</t>
  </si>
  <si>
    <t xml:space="preserve">T02540</t>
  </si>
  <si>
    <t xml:space="preserve">T02541</t>
  </si>
  <si>
    <t xml:space="preserve">T02542</t>
  </si>
  <si>
    <t xml:space="preserve">T02543</t>
  </si>
  <si>
    <t xml:space="preserve">T02544</t>
  </si>
  <si>
    <t xml:space="preserve">T02545</t>
  </si>
  <si>
    <t xml:space="preserve">T02546</t>
  </si>
  <si>
    <t xml:space="preserve">T02547</t>
  </si>
  <si>
    <t xml:space="preserve">T02548</t>
  </si>
  <si>
    <t xml:space="preserve">T02549</t>
  </si>
  <si>
    <t xml:space="preserve">T02550</t>
  </si>
  <si>
    <t xml:space="preserve">T02551</t>
  </si>
  <si>
    <t xml:space="preserve">T02552</t>
  </si>
  <si>
    <t xml:space="preserve">T02553</t>
  </si>
  <si>
    <t xml:space="preserve">T02554</t>
  </si>
  <si>
    <t xml:space="preserve">T02555</t>
  </si>
  <si>
    <t xml:space="preserve">T02556</t>
  </si>
  <si>
    <t xml:space="preserve">T02557</t>
  </si>
  <si>
    <t xml:space="preserve">T02558</t>
  </si>
  <si>
    <t xml:space="preserve">T02559</t>
  </si>
  <si>
    <t xml:space="preserve">T02560</t>
  </si>
  <si>
    <t xml:space="preserve">T02561</t>
  </si>
  <si>
    <t xml:space="preserve">T02562</t>
  </si>
  <si>
    <t xml:space="preserve">T02563</t>
  </si>
  <si>
    <t xml:space="preserve">T02564</t>
  </si>
  <si>
    <t xml:space="preserve">T02565</t>
  </si>
  <si>
    <t xml:space="preserve">T02566</t>
  </si>
  <si>
    <t xml:space="preserve">T02567</t>
  </si>
  <si>
    <t xml:space="preserve">T02568</t>
  </si>
  <si>
    <t xml:space="preserve">T02569</t>
  </si>
  <si>
    <t xml:space="preserve">T02570</t>
  </si>
  <si>
    <t xml:space="preserve">T02571</t>
  </si>
  <si>
    <t xml:space="preserve">T02572</t>
  </si>
  <si>
    <t xml:space="preserve">T02573</t>
  </si>
  <si>
    <t xml:space="preserve">T02574</t>
  </si>
  <si>
    <t xml:space="preserve">T02575</t>
  </si>
  <si>
    <t xml:space="preserve">T02576</t>
  </si>
  <si>
    <t xml:space="preserve">T02577</t>
  </si>
  <si>
    <t xml:space="preserve">T02578</t>
  </si>
  <si>
    <t xml:space="preserve">T02579</t>
  </si>
  <si>
    <t xml:space="preserve">T02580</t>
  </si>
  <si>
    <t xml:space="preserve">T02581</t>
  </si>
  <si>
    <t xml:space="preserve">T02582</t>
  </si>
  <si>
    <t xml:space="preserve">T02583</t>
  </si>
  <si>
    <t xml:space="preserve">T02584</t>
  </si>
  <si>
    <t xml:space="preserve">T02585</t>
  </si>
  <si>
    <t xml:space="preserve">T02586</t>
  </si>
  <si>
    <t xml:space="preserve">T02587</t>
  </si>
  <si>
    <t xml:space="preserve">T02588</t>
  </si>
  <si>
    <t xml:space="preserve">T02589</t>
  </si>
  <si>
    <t xml:space="preserve">T02590</t>
  </si>
  <si>
    <t xml:space="preserve">T02591</t>
  </si>
  <si>
    <t xml:space="preserve">T02592</t>
  </si>
  <si>
    <t xml:space="preserve">T02593</t>
  </si>
  <si>
    <t xml:space="preserve">T02594</t>
  </si>
  <si>
    <t xml:space="preserve">T02595</t>
  </si>
  <si>
    <t xml:space="preserve">T02596</t>
  </si>
  <si>
    <t xml:space="preserve">T02597</t>
  </si>
  <si>
    <t xml:space="preserve">T02598</t>
  </si>
  <si>
    <t xml:space="preserve">T02599</t>
  </si>
  <si>
    <t xml:space="preserve">T02600</t>
  </si>
  <si>
    <t xml:space="preserve">Batch_No</t>
  </si>
  <si>
    <t xml:space="preserve">Expiry_Date</t>
  </si>
  <si>
    <t xml:space="preserve">Supplier</t>
  </si>
  <si>
    <t xml:space="preserve">MRP</t>
  </si>
  <si>
    <t xml:space="preserve">Margin_per_Unit</t>
  </si>
  <si>
    <t xml:space="preserve">Margin_Pct</t>
  </si>
  <si>
    <t xml:space="preserve">Days_to_Expiry</t>
  </si>
  <si>
    <t xml:space="preserve">Expiry_Status</t>
  </si>
  <si>
    <t xml:space="preserve">Units_Purchased</t>
  </si>
  <si>
    <t xml:space="preserve">Units_Sold</t>
  </si>
  <si>
    <t xml:space="preserve">Net_Movement</t>
  </si>
  <si>
    <t xml:space="preserve">Sold_to_Purchased_Ratio</t>
  </si>
  <si>
    <t xml:space="preserve">Sales_Revenue</t>
  </si>
  <si>
    <t xml:space="preserve">Restock_Priority</t>
  </si>
  <si>
    <t xml:space="preserve">Units_Rank</t>
  </si>
  <si>
    <t xml:space="preserve">Revenue_Rank</t>
  </si>
  <si>
    <t xml:space="preserve">Sales_Category</t>
  </si>
  <si>
    <t xml:space="preserve">Columns A-I = original data. Columns J-W = calculated (formulas).</t>
  </si>
  <si>
    <t xml:space="preserve">Paracetamol 500mg</t>
  </si>
  <si>
    <t xml:space="preserve">B101</t>
  </si>
  <si>
    <t xml:space="preserve">ABC Pharma</t>
  </si>
  <si>
    <t xml:space="preserve">Ibuprofen 400mg</t>
  </si>
  <si>
    <t xml:space="preserve">B102</t>
  </si>
  <si>
    <t xml:space="preserve">Medico Ltd</t>
  </si>
  <si>
    <t xml:space="preserve">Cetirizine 10mg</t>
  </si>
  <si>
    <t xml:space="preserve">B103</t>
  </si>
  <si>
    <t xml:space="preserve">XYZ Pharma</t>
  </si>
  <si>
    <t xml:space="preserve">Azithromycin 500mg</t>
  </si>
  <si>
    <t xml:space="preserve">B104</t>
  </si>
  <si>
    <t xml:space="preserve">Amoxicillin 500mg</t>
  </si>
  <si>
    <t xml:space="preserve">B105</t>
  </si>
  <si>
    <t xml:space="preserve">HealthCare Labs</t>
  </si>
  <si>
    <t xml:space="preserve">Cough Syrup 100ml</t>
  </si>
  <si>
    <t xml:space="preserve">B106</t>
  </si>
  <si>
    <t xml:space="preserve">Vitamin C 500mg</t>
  </si>
  <si>
    <t xml:space="preserve">B107</t>
  </si>
  <si>
    <t xml:space="preserve">Wellness Pharma</t>
  </si>
  <si>
    <t xml:space="preserve">Multivitamin Tablets</t>
  </si>
  <si>
    <t xml:space="preserve">B108</t>
  </si>
  <si>
    <t xml:space="preserve">Omeprazole 20mg</t>
  </si>
  <si>
    <t xml:space="preserve">B109</t>
  </si>
  <si>
    <t xml:space="preserve">Pantoprazole 40mg</t>
  </si>
  <si>
    <t xml:space="preserve">B110</t>
  </si>
  <si>
    <t xml:space="preserve">Metformin 500mg</t>
  </si>
  <si>
    <t xml:space="preserve">B111</t>
  </si>
  <si>
    <t xml:space="preserve">Glimepiride 2mg</t>
  </si>
  <si>
    <t xml:space="preserve">B112</t>
  </si>
  <si>
    <t xml:space="preserve">Amlodipine 5mg</t>
  </si>
  <si>
    <t xml:space="preserve">B113</t>
  </si>
  <si>
    <t xml:space="preserve">Atorvastatin 10mg</t>
  </si>
  <si>
    <t xml:space="preserve">B114</t>
  </si>
  <si>
    <t xml:space="preserve">Antiseptic Liquid 100ml</t>
  </si>
  <si>
    <t xml:space="preserve">B115</t>
  </si>
  <si>
    <t xml:space="preserve">Bandage Roll</t>
  </si>
  <si>
    <t xml:space="preserve">B116</t>
  </si>
  <si>
    <t xml:space="preserve">Clotrimazole Cream</t>
  </si>
  <si>
    <t xml:space="preserve">B117</t>
  </si>
  <si>
    <t xml:space="preserve">Calamine Lotion</t>
  </si>
  <si>
    <t xml:space="preserve">B118</t>
  </si>
  <si>
    <t xml:space="preserve">ORS Sachet</t>
  </si>
  <si>
    <t xml:space="preserve">B119</t>
  </si>
  <si>
    <t xml:space="preserve">Diclofenac Gel</t>
  </si>
  <si>
    <t xml:space="preserve">B120</t>
  </si>
  <si>
    <t xml:space="preserve">Montelukast 10mg</t>
  </si>
  <si>
    <t xml:space="preserve">B121</t>
  </si>
  <si>
    <t xml:space="preserve">Levocetirizine 5mg</t>
  </si>
  <si>
    <t xml:space="preserve">B122</t>
  </si>
  <si>
    <t xml:space="preserve">Dextromethorphan Syrup</t>
  </si>
  <si>
    <t xml:space="preserve">B123</t>
  </si>
  <si>
    <t xml:space="preserve">Insulin Injection</t>
  </si>
  <si>
    <t xml:space="preserve">B124</t>
  </si>
  <si>
    <t xml:space="preserve">Aspirin 75mg</t>
  </si>
  <si>
    <t xml:space="preserve">B125</t>
  </si>
</sst>
</file>

<file path=xl/styles.xml><?xml version="1.0" encoding="utf-8"?>
<styleSheet xmlns="http://schemas.openxmlformats.org/spreadsheetml/2006/main">
  <numFmts count="9">
    <numFmt numFmtId="164" formatCode="General"/>
    <numFmt numFmtId="165" formatCode="yyyy\-mm\-dd"/>
    <numFmt numFmtId="166" formatCode="0"/>
    <numFmt numFmtId="167" formatCode="0.00"/>
    <numFmt numFmtId="168" formatCode="\₹#,##0"/>
    <numFmt numFmtId="169" formatCode="#,##0"/>
    <numFmt numFmtId="170" formatCode="0.0%"/>
    <numFmt numFmtId="171" formatCode="0.0"/>
    <numFmt numFmtId="172" formatCode="#,##0;\-#,##0;0"/>
  </numFmts>
  <fonts count="19">
    <font>
      <sz val="11"/>
      <color theme="1"/>
      <name val="Calibri"/>
      <family val="2"/>
      <charset val="1"/>
    </font>
    <font>
      <sz val="10"/>
      <name val="Arial"/>
      <family val="0"/>
    </font>
    <font>
      <sz val="10"/>
      <name val="Arial"/>
      <family val="0"/>
    </font>
    <font>
      <sz val="10"/>
      <name val="Arial"/>
      <family val="0"/>
    </font>
    <font>
      <b val="true"/>
      <sz val="16"/>
      <color rgb="FF1F3864"/>
      <name val="Arial"/>
      <family val="0"/>
      <charset val="1"/>
    </font>
    <font>
      <i val="true"/>
      <sz val="10"/>
      <name val="Arial"/>
      <family val="0"/>
      <charset val="1"/>
    </font>
    <font>
      <b val="true"/>
      <sz val="12"/>
      <color rgb="FF1F3864"/>
      <name val="Arial"/>
      <family val="0"/>
      <charset val="1"/>
    </font>
    <font>
      <sz val="10"/>
      <name val="Arial"/>
      <family val="0"/>
      <charset val="1"/>
    </font>
    <font>
      <b val="true"/>
      <sz val="10"/>
      <color rgb="FFFFFFFF"/>
      <name val="Arial"/>
      <family val="0"/>
      <charset val="1"/>
    </font>
    <font>
      <b val="true"/>
      <sz val="10"/>
      <name val="Arial"/>
      <family val="0"/>
      <charset val="1"/>
    </font>
    <font>
      <sz val="10"/>
      <color rgb="FF0000FF"/>
      <name val="Arial"/>
      <family val="0"/>
      <charset val="1"/>
    </font>
    <font>
      <b val="true"/>
      <sz val="20"/>
      <color rgb="FFFFFFFF"/>
      <name val="Arial"/>
      <family val="0"/>
      <charset val="1"/>
    </font>
    <font>
      <i val="true"/>
      <sz val="9"/>
      <name val="Arial"/>
      <family val="0"/>
      <charset val="1"/>
    </font>
    <font>
      <b val="true"/>
      <sz val="9"/>
      <color rgb="FFFFFFFF"/>
      <name val="Arial"/>
      <family val="0"/>
      <charset val="1"/>
    </font>
    <font>
      <b val="true"/>
      <sz val="18"/>
      <color rgb="FF1F3864"/>
      <name val="Arial"/>
      <family val="0"/>
      <charset val="1"/>
    </font>
    <font>
      <i val="true"/>
      <sz val="8"/>
      <color rgb="FF595959"/>
      <name val="Arial"/>
      <family val="0"/>
      <charset val="1"/>
    </font>
    <font>
      <i val="true"/>
      <sz val="8"/>
      <name val="Arial"/>
      <family val="0"/>
      <charset val="1"/>
    </font>
    <font>
      <b val="true"/>
      <sz val="18"/>
      <color rgb="FF000000"/>
      <name val="Calibri"/>
      <family val="2"/>
    </font>
    <font>
      <sz val="10"/>
      <color rgb="FF000000"/>
      <name val="Calibri"/>
      <family val="2"/>
    </font>
  </fonts>
  <fills count="6">
    <fill>
      <patternFill patternType="none"/>
    </fill>
    <fill>
      <patternFill patternType="gray125"/>
    </fill>
    <fill>
      <patternFill patternType="solid">
        <fgColor rgb="FF1F3864"/>
        <bgColor rgb="FF333333"/>
      </patternFill>
    </fill>
    <fill>
      <patternFill patternType="solid">
        <fgColor rgb="FFFFF2CC"/>
        <bgColor rgb="FFFFEB9C"/>
      </patternFill>
    </fill>
    <fill>
      <patternFill patternType="solid">
        <fgColor rgb="FF2E75B6"/>
        <bgColor rgb="FF4F81BD"/>
      </patternFill>
    </fill>
    <fill>
      <patternFill patternType="solid">
        <fgColor rgb="FFDDEBF7"/>
        <bgColor rgb="FFD9D9D9"/>
      </patternFill>
    </fill>
  </fills>
  <borders count="3">
    <border diagonalUp="false" diagonalDown="false">
      <left/>
      <right/>
      <top/>
      <bottom/>
      <diagonal/>
    </border>
    <border diagonalUp="false" diagonalDown="false">
      <left style="thin">
        <color rgb="FFBFBFBF"/>
      </left>
      <right style="thin">
        <color rgb="FFBFBFBF"/>
      </right>
      <top style="thin">
        <color rgb="FFBFBFBF"/>
      </top>
      <bottom style="thin">
        <color rgb="FFBFBFBF"/>
      </bottom>
      <diagonal/>
    </border>
    <border diagonalUp="false" diagonalDown="false">
      <left style="medium">
        <color rgb="FFFFFFFF"/>
      </left>
      <right style="medium">
        <color rgb="FFFFFFFF"/>
      </right>
      <top/>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47">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4" fontId="6" fillId="0" borderId="0" xfId="0" applyFont="true" applyBorder="false" applyAlignment="false" applyProtection="false">
      <alignment horizontal="general" vertical="bottom" textRotation="0" wrapText="false" indent="0" shrinkToFit="false"/>
      <protection locked="true" hidden="false"/>
    </xf>
    <xf numFmtId="164" fontId="7" fillId="0" borderId="0" xfId="0" applyFont="true" applyBorder="true" applyAlignment="true" applyProtection="false">
      <alignment horizontal="general" vertical="top" textRotation="0" wrapText="true" indent="0" shrinkToFit="false"/>
      <protection locked="true" hidden="false"/>
    </xf>
    <xf numFmtId="164" fontId="8" fillId="2" borderId="1" xfId="0" applyFont="true" applyBorder="true" applyAlignment="true" applyProtection="false">
      <alignment horizontal="center" vertical="center" textRotation="0" wrapText="true" indent="0" shrinkToFit="false"/>
      <protection locked="true" hidden="false"/>
    </xf>
    <xf numFmtId="164" fontId="9" fillId="0" borderId="1" xfId="0" applyFont="true" applyBorder="true" applyAlignment="false" applyProtection="false">
      <alignment horizontal="general" vertical="bottom" textRotation="0" wrapText="false" indent="0" shrinkToFit="false"/>
      <protection locked="true" hidden="false"/>
    </xf>
    <xf numFmtId="164" fontId="7" fillId="0" borderId="1" xfId="0" applyFont="true" applyBorder="true" applyAlignment="false" applyProtection="false">
      <alignment horizontal="general" vertical="bottom" textRotation="0" wrapText="false" indent="0" shrinkToFit="false"/>
      <protection locked="true" hidden="false"/>
    </xf>
    <xf numFmtId="164" fontId="9" fillId="0" borderId="0" xfId="0" applyFont="true" applyBorder="false" applyAlignment="false" applyProtection="false">
      <alignment horizontal="general" vertical="bottom" textRotation="0" wrapText="false" indent="0" shrinkToFit="false"/>
      <protection locked="true" hidden="false"/>
    </xf>
    <xf numFmtId="164" fontId="7" fillId="0" borderId="0" xfId="0" applyFont="true" applyBorder="true" applyAlignment="false" applyProtection="false">
      <alignment horizontal="general" vertical="bottom" textRotation="0" wrapText="false" indent="0" shrinkToFit="false"/>
      <protection locked="true" hidden="false"/>
    </xf>
    <xf numFmtId="165" fontId="10" fillId="3" borderId="1" xfId="0" applyFont="true" applyBorder="true" applyAlignment="false" applyProtection="false">
      <alignment horizontal="general" vertical="bottom" textRotation="0" wrapText="false" indent="0" shrinkToFit="false"/>
      <protection locked="true" hidden="false"/>
    </xf>
    <xf numFmtId="166" fontId="10" fillId="3" borderId="1" xfId="0" applyFont="true" applyBorder="true" applyAlignment="false" applyProtection="false">
      <alignment horizontal="general" vertical="bottom" textRotation="0" wrapText="false" indent="0" shrinkToFit="false"/>
      <protection locked="true" hidden="false"/>
    </xf>
    <xf numFmtId="167" fontId="10" fillId="3" borderId="1" xfId="0" applyFont="true" applyBorder="true" applyAlignment="false" applyProtection="false">
      <alignment horizontal="general" vertical="bottom" textRotation="0" wrapText="false" indent="0" shrinkToFit="false"/>
      <protection locked="true" hidden="false"/>
    </xf>
    <xf numFmtId="164" fontId="11" fillId="2" borderId="0" xfId="0" applyFont="true" applyBorder="true" applyAlignment="true" applyProtection="false">
      <alignment horizontal="center" vertical="center" textRotation="0" wrapText="false" indent="0" shrinkToFit="false"/>
      <protection locked="true" hidden="false"/>
    </xf>
    <xf numFmtId="164" fontId="12" fillId="0" borderId="0" xfId="0" applyFont="true" applyBorder="true" applyAlignment="true" applyProtection="false">
      <alignment horizontal="center" vertical="bottom" textRotation="0" wrapText="false" indent="0" shrinkToFit="false"/>
      <protection locked="true" hidden="false"/>
    </xf>
    <xf numFmtId="164" fontId="13" fillId="4" borderId="2" xfId="0" applyFont="true" applyBorder="true" applyAlignment="true" applyProtection="false">
      <alignment horizontal="center" vertical="center" textRotation="0" wrapText="true" indent="0" shrinkToFit="false"/>
      <protection locked="true" hidden="false"/>
    </xf>
    <xf numFmtId="168" fontId="14" fillId="5" borderId="2" xfId="0" applyFont="true" applyBorder="true" applyAlignment="true" applyProtection="false">
      <alignment horizontal="center" vertical="center" textRotation="0" wrapText="true" indent="0" shrinkToFit="false"/>
      <protection locked="true" hidden="false"/>
    </xf>
    <xf numFmtId="169" fontId="14" fillId="5" borderId="2" xfId="0" applyFont="true" applyBorder="true" applyAlignment="true" applyProtection="false">
      <alignment horizontal="center" vertical="center" textRotation="0" wrapText="true" indent="0" shrinkToFit="false"/>
      <protection locked="true" hidden="false"/>
    </xf>
    <xf numFmtId="164" fontId="15" fillId="5" borderId="2" xfId="0" applyFont="true" applyBorder="true" applyAlignment="true" applyProtection="false">
      <alignment horizontal="center" vertical="center" textRotation="0" wrapText="true" indent="0" shrinkToFit="false"/>
      <protection locked="true" hidden="false"/>
    </xf>
    <xf numFmtId="164" fontId="16" fillId="0" borderId="0" xfId="0" applyFont="true" applyBorder="false" applyAlignment="false" applyProtection="false">
      <alignment horizontal="general" vertical="bottom" textRotation="0" wrapText="false" indent="0" shrinkToFit="false"/>
      <protection locked="true" hidden="false"/>
    </xf>
    <xf numFmtId="164" fontId="12" fillId="0" borderId="0" xfId="0" applyFont="true" applyBorder="false" applyAlignment="false" applyProtection="false">
      <alignment horizontal="general" vertical="bottom" textRotation="0" wrapText="false" indent="0" shrinkToFit="false"/>
      <protection locked="true" hidden="false"/>
    </xf>
    <xf numFmtId="169" fontId="7" fillId="0" borderId="1" xfId="0" applyFont="true" applyBorder="true" applyAlignment="true" applyProtection="false">
      <alignment horizontal="right" vertical="bottom" textRotation="0" wrapText="false" indent="0" shrinkToFit="false"/>
      <protection locked="true" hidden="false"/>
    </xf>
    <xf numFmtId="168" fontId="7" fillId="0" borderId="1" xfId="0" applyFont="true" applyBorder="true" applyAlignment="true" applyProtection="false">
      <alignment horizontal="right" vertical="bottom" textRotation="0" wrapText="false" indent="0" shrinkToFit="false"/>
      <protection locked="true" hidden="false"/>
    </xf>
    <xf numFmtId="170" fontId="7" fillId="0" borderId="1" xfId="0" applyFont="true" applyBorder="true" applyAlignment="true" applyProtection="false">
      <alignment horizontal="right" vertical="bottom" textRotation="0" wrapText="false" indent="0" shrinkToFit="false"/>
      <protection locked="true" hidden="false"/>
    </xf>
    <xf numFmtId="171" fontId="7" fillId="0" borderId="1" xfId="0" applyFont="true" applyBorder="true" applyAlignment="true" applyProtection="false">
      <alignment horizontal="right" vertical="bottom" textRotation="0" wrapText="false" indent="0" shrinkToFit="false"/>
      <protection locked="true" hidden="false"/>
    </xf>
    <xf numFmtId="164" fontId="7" fillId="0" borderId="1" xfId="0" applyFont="true" applyBorder="true" applyAlignment="true" applyProtection="false">
      <alignment horizontal="right" vertical="bottom" textRotation="0" wrapText="false" indent="0" shrinkToFit="false"/>
      <protection locked="true" hidden="false"/>
    </xf>
    <xf numFmtId="169" fontId="7" fillId="0" borderId="1" xfId="0" applyFont="true" applyBorder="true" applyAlignment="false" applyProtection="false">
      <alignment horizontal="general" vertical="bottom" textRotation="0" wrapText="false" indent="0" shrinkToFit="false"/>
      <protection locked="true" hidden="false"/>
    </xf>
    <xf numFmtId="170" fontId="7" fillId="0" borderId="1" xfId="0" applyFont="true" applyBorder="true" applyAlignment="false" applyProtection="false">
      <alignment horizontal="general" vertical="bottom" textRotation="0" wrapText="false" indent="0" shrinkToFit="false"/>
      <protection locked="true" hidden="false"/>
    </xf>
    <xf numFmtId="168" fontId="7" fillId="0" borderId="1" xfId="0" applyFont="true" applyBorder="true" applyAlignment="false" applyProtection="false">
      <alignment horizontal="general" vertical="bottom" textRotation="0" wrapText="false" indent="0" shrinkToFit="false"/>
      <protection locked="true" hidden="false"/>
    </xf>
    <xf numFmtId="164" fontId="9" fillId="5" borderId="1" xfId="0" applyFont="true" applyBorder="true" applyAlignment="false" applyProtection="false">
      <alignment horizontal="general" vertical="bottom" textRotation="0" wrapText="false" indent="0" shrinkToFit="false"/>
      <protection locked="true" hidden="false"/>
    </xf>
    <xf numFmtId="169" fontId="9" fillId="5" borderId="1" xfId="0" applyFont="true" applyBorder="true" applyAlignment="false" applyProtection="false">
      <alignment horizontal="general" vertical="bottom" textRotation="0" wrapText="false" indent="0" shrinkToFit="false"/>
      <protection locked="true" hidden="false"/>
    </xf>
    <xf numFmtId="170" fontId="9" fillId="5" borderId="1" xfId="0" applyFont="true" applyBorder="true" applyAlignment="false" applyProtection="false">
      <alignment horizontal="general" vertical="bottom" textRotation="0" wrapText="false" indent="0" shrinkToFit="false"/>
      <protection locked="true" hidden="false"/>
    </xf>
    <xf numFmtId="168" fontId="9" fillId="5" borderId="1" xfId="0" applyFont="true" applyBorder="true" applyAlignment="false" applyProtection="false">
      <alignment horizontal="general" vertical="bottom" textRotation="0" wrapText="false" indent="0" shrinkToFit="false"/>
      <protection locked="true" hidden="false"/>
    </xf>
    <xf numFmtId="171" fontId="7" fillId="0" borderId="1" xfId="0" applyFont="true" applyBorder="true" applyAlignment="false" applyProtection="false">
      <alignment horizontal="general" vertical="bottom" textRotation="0" wrapText="false" indent="0" shrinkToFit="false"/>
      <protection locked="true" hidden="false"/>
    </xf>
    <xf numFmtId="171" fontId="9" fillId="5" borderId="1" xfId="0" applyFont="true" applyBorder="true" applyAlignment="false" applyProtection="false">
      <alignment horizontal="general" vertical="bottom" textRotation="0" wrapText="false" indent="0" shrinkToFit="false"/>
      <protection locked="true" hidden="false"/>
    </xf>
    <xf numFmtId="172" fontId="7" fillId="0" borderId="1" xfId="0" applyFont="true" applyBorder="true" applyAlignment="false" applyProtection="false">
      <alignment horizontal="general" vertical="bottom" textRotation="0" wrapText="false" indent="0" shrinkToFit="false"/>
      <protection locked="true" hidden="false"/>
    </xf>
    <xf numFmtId="167" fontId="7" fillId="0" borderId="1" xfId="0" applyFont="true" applyBorder="true" applyAlignment="false" applyProtection="false">
      <alignment horizontal="general" vertical="bottom" textRotation="0" wrapText="false" indent="0" shrinkToFit="false"/>
      <protection locked="true" hidden="false"/>
    </xf>
    <xf numFmtId="164" fontId="7" fillId="0" borderId="1" xfId="0" applyFont="true" applyBorder="true" applyAlignment="true" applyProtection="false">
      <alignment horizontal="general" vertical="top" textRotation="0" wrapText="true" indent="0" shrinkToFit="false"/>
      <protection locked="true" hidden="false"/>
    </xf>
    <xf numFmtId="164" fontId="9" fillId="0" borderId="1" xfId="0" applyFont="true" applyBorder="true" applyAlignment="true" applyProtection="false">
      <alignment horizontal="general" vertical="top" textRotation="0" wrapText="true" indent="0" shrinkToFit="false"/>
      <protection locked="true" hidden="false"/>
    </xf>
    <xf numFmtId="164" fontId="7" fillId="0" borderId="0" xfId="0" applyFont="true" applyBorder="false" applyAlignment="false" applyProtection="false">
      <alignment horizontal="general" vertical="bottom" textRotation="0" wrapText="false" indent="0" shrinkToFit="false"/>
      <protection locked="true" hidden="false"/>
    </xf>
    <xf numFmtId="164" fontId="7" fillId="0" borderId="1" xfId="0" applyFont="true" applyBorder="true" applyAlignment="true" applyProtection="false">
      <alignment horizontal="general" vertical="center" textRotation="0" wrapText="true" indent="0" shrinkToFit="false"/>
      <protection locked="true" hidden="false"/>
    </xf>
    <xf numFmtId="169" fontId="7" fillId="0" borderId="1" xfId="0" applyFont="true" applyBorder="true" applyAlignment="true" applyProtection="false">
      <alignment horizontal="general" vertical="center" textRotation="0" wrapText="true" indent="0" shrinkToFit="false"/>
      <protection locked="true" hidden="false"/>
    </xf>
    <xf numFmtId="169" fontId="10" fillId="0" borderId="1" xfId="0" applyFont="true" applyBorder="true" applyAlignment="true" applyProtection="false">
      <alignment horizontal="general" vertical="center" textRotation="0" wrapText="true" indent="0" shrinkToFit="false"/>
      <protection locked="true" hidden="false"/>
    </xf>
    <xf numFmtId="164" fontId="9" fillId="0" borderId="1" xfId="0" applyFont="true" applyBorder="true" applyAlignment="true" applyProtection="false">
      <alignment horizontal="center" vertical="center" textRotation="0" wrapText="false" indent="0" shrinkToFit="false"/>
      <protection locked="true" hidden="false"/>
    </xf>
    <xf numFmtId="165" fontId="7" fillId="0" borderId="0" xfId="0" applyFont="true" applyBorder="false" applyAlignment="false" applyProtection="false">
      <alignment horizontal="general" vertical="bottom" textRotation="0" wrapText="false" indent="0" shrinkToFit="false"/>
      <protection locked="true" hidden="false"/>
    </xf>
    <xf numFmtId="169" fontId="7" fillId="0" borderId="0" xfId="0" applyFont="true" applyBorder="false" applyAlignment="false" applyProtection="false">
      <alignment horizontal="general" vertical="bottom" textRotation="0" wrapText="false" indent="0" shrinkToFit="false"/>
      <protection locked="true" hidden="false"/>
    </xf>
    <xf numFmtId="165" fontId="7" fillId="0" borderId="1" xfId="0" applyFont="true" applyBorder="true" applyAlignment="fals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6">
    <dxf>
      <font>
        <b val="1"/>
        <color rgb="FF006100"/>
      </font>
      <fill>
        <patternFill>
          <bgColor rgb="FFC6EFCE"/>
        </patternFill>
      </fill>
    </dxf>
    <dxf>
      <font>
        <b val="1"/>
        <color rgb="FF9C5700"/>
      </font>
      <fill>
        <patternFill>
          <bgColor rgb="FFFFEB9C"/>
        </patternFill>
      </fill>
    </dxf>
    <dxf>
      <font>
        <b val="1"/>
        <color rgb="FF9C0006"/>
      </font>
      <fill>
        <patternFill>
          <bgColor rgb="FFFFC7CE"/>
        </patternFill>
      </fill>
    </dxf>
    <dxf>
      <fill>
        <patternFill patternType="solid">
          <fgColor rgb="FF1F3864"/>
          <bgColor rgb="FF000000"/>
        </patternFill>
      </fill>
    </dxf>
    <dxf>
      <fill>
        <patternFill patternType="solid">
          <bgColor rgb="FF000000"/>
        </patternFill>
      </fill>
    </dxf>
    <dxf>
      <fill>
        <patternFill patternType="solid">
          <fgColor rgb="FFFFFFFF"/>
          <bgColor rgb="FF000000"/>
        </patternFill>
      </fill>
    </dxf>
  </dxfs>
  <colors>
    <indexedColors>
      <rgbColor rgb="FF000000"/>
      <rgbColor rgb="FFFFFFFF"/>
      <rgbColor rgb="FFFF0000"/>
      <rgbColor rgb="FF00FF00"/>
      <rgbColor rgb="FF0000FF"/>
      <rgbColor rgb="FFFFFF00"/>
      <rgbColor rgb="FFFF00FF"/>
      <rgbColor rgb="FF00FFFF"/>
      <rgbColor rgb="FF9C0006"/>
      <rgbColor rgb="FF006100"/>
      <rgbColor rgb="FF000080"/>
      <rgbColor rgb="FF548235"/>
      <rgbColor rgb="FF800080"/>
      <rgbColor rgb="FF008080"/>
      <rgbColor rgb="FFBFBFBF"/>
      <rgbColor rgb="FF878787"/>
      <rgbColor rgb="FF9999FF"/>
      <rgbColor rgb="FFC0504D"/>
      <rgbColor rgb="FFFFF2CC"/>
      <rgbColor rgb="FFDDEBF7"/>
      <rgbColor rgb="FF660066"/>
      <rgbColor rgb="FFFF8080"/>
      <rgbColor rgb="FF0066CC"/>
      <rgbColor rgb="FFD9D9D9"/>
      <rgbColor rgb="FF000080"/>
      <rgbColor rgb="FFFF00FF"/>
      <rgbColor rgb="FFFFFF00"/>
      <rgbColor rgb="FF00FFFF"/>
      <rgbColor rgb="FF800080"/>
      <rgbColor rgb="FF800000"/>
      <rgbColor rgb="FF008080"/>
      <rgbColor rgb="FF0000FF"/>
      <rgbColor rgb="FF00CCFF"/>
      <rgbColor rgb="FFCCFFFF"/>
      <rgbColor rgb="FFC6EFCE"/>
      <rgbColor rgb="FFFFEB9C"/>
      <rgbColor rgb="FF99CCFF"/>
      <rgbColor rgb="FFFF99CC"/>
      <rgbColor rgb="FFCC99FF"/>
      <rgbColor rgb="FFFFC7CE"/>
      <rgbColor rgb="FF2E75B6"/>
      <rgbColor rgb="FF33CCCC"/>
      <rgbColor rgb="FF99CC00"/>
      <rgbColor rgb="FFFFCC00"/>
      <rgbColor rgb="FFFF9900"/>
      <rgbColor rgb="FFC55A11"/>
      <rgbColor rgb="FF595959"/>
      <rgbColor rgb="FF969696"/>
      <rgbColor rgb="FF1F3864"/>
      <rgbColor rgb="FF4F81BD"/>
      <rgbColor rgb="FF003300"/>
      <rgbColor rgb="FF333300"/>
      <rgbColor rgb="FF9C57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sharedStrings" Target="sharedStrings.xml"/>
</Relationships>
</file>

<file path=xl/charts/chart1.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sz="1800" spc="-1" strike="noStrike">
                <a:solidFill>
                  <a:srgbClr val="000000"/>
                </a:solidFill>
                <a:latin typeface="Calibri"/>
              </a:defRPr>
            </a:pPr>
            <a:r>
              <a:rPr b="1" sz="1800" spc="-1" strike="noStrike">
                <a:solidFill>
                  <a:srgbClr val="000000"/>
                </a:solidFill>
                <a:latin typeface="Calibri"/>
              </a:rPr>
              <a:t>Top 10 Medicines by Units Sold</a:t>
            </a:r>
          </a:p>
        </c:rich>
      </c:tx>
      <c:overlay val="0"/>
      <c:spPr>
        <a:noFill/>
        <a:ln w="0">
          <a:noFill/>
        </a:ln>
      </c:spPr>
    </c:title>
    <c:autoTitleDeleted val="0"/>
    <c:plotArea>
      <c:barChart>
        <c:barDir val="bar"/>
        <c:grouping val="clustered"/>
        <c:varyColors val="0"/>
        <c:ser>
          <c:idx val="0"/>
          <c:order val="0"/>
          <c:tx>
            <c:strRef>
              <c:f>Analysis!D67</c:f>
              <c:strCache>
                <c:ptCount val="1"/>
                <c:pt idx="0">
                  <c:v>Units Sold</c:v>
                </c:pt>
              </c:strCache>
            </c:strRef>
          </c:tx>
          <c:spPr>
            <a:solidFill>
              <a:srgbClr val="2e75b6"/>
            </a:solidFill>
            <a:ln w="0">
              <a:noFill/>
            </a:ln>
          </c:spPr>
          <c:invertIfNegative val="0"/>
          <c:dLbls>
            <c:txPr>
              <a:bodyPr wrap="square"/>
              <a:lstStyle/>
              <a:p>
                <a:pPr>
                  <a:defRPr b="0" sz="1000" spc="-1" strike="noStrike">
                    <a:solidFill>
                      <a:srgbClr val="000000"/>
                    </a:solidFill>
                    <a:latin typeface="Calibri"/>
                  </a:defRPr>
                </a:pPr>
              </a:p>
            </c:txPr>
            <c:dLblPos val="outEnd"/>
            <c:showLegendKey val="0"/>
            <c:showVal val="1"/>
            <c:showCatName val="0"/>
            <c:showSerName val="0"/>
            <c:showPercent val="0"/>
            <c:separator>; </c:separator>
            <c:showLeaderLines val="1"/>
            <c:extLst>
              <c:ext xmlns:c15="http://schemas.microsoft.com/office/drawing/2012/chart" uri="{CE6537A1-D6FC-4f65-9D91-7224C49458BB}">
                <c15:showLeaderLines val="1"/>
              </c:ext>
            </c:extLst>
          </c:dLbls>
          <c:cat>
            <c:strRef>
              <c:f>Analysis!$C$68:$C$77</c:f>
              <c:strCache>
                <c:ptCount val="10"/>
                <c:pt idx="0">
                  <c:v>Glimepiride 2mg</c:v>
                </c:pt>
                <c:pt idx="1">
                  <c:v>Clotrimazole Cream</c:v>
                </c:pt>
                <c:pt idx="2">
                  <c:v>Diclofenac Gel</c:v>
                </c:pt>
                <c:pt idx="3">
                  <c:v>Insulin Injection</c:v>
                </c:pt>
                <c:pt idx="4">
                  <c:v>Dextromethorphan Syrup</c:v>
                </c:pt>
                <c:pt idx="5">
                  <c:v>Azithromycin 500mg</c:v>
                </c:pt>
                <c:pt idx="6">
                  <c:v>Pantoprazole 40mg</c:v>
                </c:pt>
                <c:pt idx="7">
                  <c:v>Cetirizine 10mg</c:v>
                </c:pt>
                <c:pt idx="8">
                  <c:v>Amoxicillin 500mg</c:v>
                </c:pt>
                <c:pt idx="9">
                  <c:v>Atorvastatin 10mg</c:v>
                </c:pt>
              </c:strCache>
            </c:strRef>
          </c:cat>
          <c:val>
            <c:numRef>
              <c:f>Analysis!$D$68:$D$77</c:f>
              <c:numCache>
                <c:formatCode>#,##0</c:formatCode>
                <c:ptCount val="10"/>
                <c:pt idx="0">
                  <c:v>2050</c:v>
                </c:pt>
                <c:pt idx="1">
                  <c:v>1945</c:v>
                </c:pt>
                <c:pt idx="2">
                  <c:v>1900</c:v>
                </c:pt>
                <c:pt idx="3">
                  <c:v>1680</c:v>
                </c:pt>
                <c:pt idx="4">
                  <c:v>1600</c:v>
                </c:pt>
                <c:pt idx="5">
                  <c:v>1560</c:v>
                </c:pt>
                <c:pt idx="6">
                  <c:v>1545</c:v>
                </c:pt>
                <c:pt idx="7">
                  <c:v>1540</c:v>
                </c:pt>
                <c:pt idx="8">
                  <c:v>1500</c:v>
                </c:pt>
                <c:pt idx="9">
                  <c:v>1500</c:v>
                </c:pt>
              </c:numCache>
            </c:numRef>
          </c:val>
        </c:ser>
        <c:gapWidth val="150"/>
        <c:overlap val="0"/>
        <c:axId val="49746022"/>
        <c:axId val="5361314"/>
      </c:barChart>
      <c:catAx>
        <c:axId val="49746022"/>
        <c:scaling>
          <c:orientation val="maxMin"/>
        </c:scaling>
        <c:delete val="0"/>
        <c:axPos val="b"/>
        <c:numFmt formatCode="General" sourceLinked="1"/>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5361314"/>
        <c:crosses val="autoZero"/>
        <c:auto val="1"/>
        <c:lblAlgn val="ctr"/>
        <c:lblOffset val="100"/>
        <c:noMultiLvlLbl val="0"/>
      </c:catAx>
      <c:valAx>
        <c:axId val="5361314"/>
        <c:scaling>
          <c:orientation val="minMax"/>
        </c:scaling>
        <c:delete val="0"/>
        <c:axPos val="l"/>
        <c:majorGridlines>
          <c:spPr>
            <a:ln w="9360">
              <a:solidFill>
                <a:srgbClr val="878787"/>
              </a:solidFill>
              <a:round/>
            </a:ln>
          </c:spPr>
        </c:majorGridlines>
        <c:numFmt formatCode="#,##0" sourceLinked="1"/>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49746022"/>
        <c:crosses val="autoZero"/>
        <c:crossBetween val="between"/>
      </c:valAx>
      <c:spPr>
        <a:noFill/>
        <a:ln w="0">
          <a:noFill/>
        </a:ln>
      </c:spPr>
    </c:plotArea>
    <c:plotVisOnly val="1"/>
    <c:dispBlanksAs val="gap"/>
  </c:chart>
  <c:spPr>
    <a:solidFill>
      <a:srgbClr val="ffffff"/>
    </a:solidFill>
    <a:ln w="9360">
      <a:solidFill>
        <a:srgbClr val="d9d9d9"/>
      </a:solidFill>
      <a:round/>
    </a:ln>
  </c:spPr>
</c:chartSpace>
</file>

<file path=xl/charts/chart2.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sz="1800" spc="-1" strike="noStrike">
                <a:solidFill>
                  <a:srgbClr val="000000"/>
                </a:solidFill>
                <a:latin typeface="Calibri"/>
              </a:defRPr>
            </a:pPr>
            <a:r>
              <a:rPr b="1" sz="1800" spc="-1" strike="noStrike">
                <a:solidFill>
                  <a:srgbClr val="000000"/>
                </a:solidFill>
                <a:latin typeface="Calibri"/>
              </a:rPr>
              <a:t>Revenue by Category (₹)</a:t>
            </a:r>
          </a:p>
        </c:rich>
      </c:tx>
      <c:overlay val="0"/>
      <c:spPr>
        <a:noFill/>
        <a:ln w="0">
          <a:noFill/>
        </a:ln>
      </c:spPr>
    </c:title>
    <c:autoTitleDeleted val="0"/>
    <c:plotArea>
      <c:barChart>
        <c:barDir val="col"/>
        <c:grouping val="clustered"/>
        <c:varyColors val="0"/>
        <c:ser>
          <c:idx val="0"/>
          <c:order val="0"/>
          <c:tx>
            <c:strRef>
              <c:f>Analysis!E27</c:f>
              <c:strCache>
                <c:ptCount val="1"/>
                <c:pt idx="0">
                  <c:v>Revenue</c:v>
                </c:pt>
              </c:strCache>
            </c:strRef>
          </c:tx>
          <c:spPr>
            <a:solidFill>
              <a:srgbClr val="1f3864"/>
            </a:solidFill>
            <a:ln w="0">
              <a:noFill/>
            </a:ln>
          </c:spPr>
          <c:invertIfNegative val="0"/>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Analysis!$A$28:$A$37</c:f>
              <c:strCache>
                <c:ptCount val="10"/>
                <c:pt idx="0">
                  <c:v>Diabetes</c:v>
                </c:pt>
                <c:pt idx="1">
                  <c:v>Cold &amp; Cough</c:v>
                </c:pt>
                <c:pt idx="2">
                  <c:v>Vitamin</c:v>
                </c:pt>
                <c:pt idx="3">
                  <c:v>Pain Relief</c:v>
                </c:pt>
                <c:pt idx="4">
                  <c:v>Dermatology</c:v>
                </c:pt>
                <c:pt idx="5">
                  <c:v>Antibiotic</c:v>
                </c:pt>
                <c:pt idx="6">
                  <c:v>First Aid</c:v>
                </c:pt>
                <c:pt idx="7">
                  <c:v>Allergy</c:v>
                </c:pt>
                <c:pt idx="8">
                  <c:v>Gastric</c:v>
                </c:pt>
                <c:pt idx="9">
                  <c:v>Cardiac</c:v>
                </c:pt>
              </c:strCache>
            </c:strRef>
          </c:cat>
          <c:val>
            <c:numRef>
              <c:f>Analysis!$E$28:$E$37</c:f>
              <c:numCache>
                <c:formatCode>\₹#,##0</c:formatCode>
                <c:ptCount val="10"/>
                <c:pt idx="0">
                  <c:v>517360</c:v>
                </c:pt>
                <c:pt idx="1">
                  <c:v>232760</c:v>
                </c:pt>
                <c:pt idx="2">
                  <c:v>171340</c:v>
                </c:pt>
                <c:pt idx="3">
                  <c:v>168520</c:v>
                </c:pt>
                <c:pt idx="4">
                  <c:v>162960</c:v>
                </c:pt>
                <c:pt idx="5">
                  <c:v>138000</c:v>
                </c:pt>
                <c:pt idx="6">
                  <c:v>132900</c:v>
                </c:pt>
                <c:pt idx="7">
                  <c:v>107350</c:v>
                </c:pt>
                <c:pt idx="8">
                  <c:v>90475</c:v>
                </c:pt>
                <c:pt idx="9">
                  <c:v>89775</c:v>
                </c:pt>
              </c:numCache>
            </c:numRef>
          </c:val>
        </c:ser>
        <c:gapWidth val="150"/>
        <c:overlap val="0"/>
        <c:axId val="98896111"/>
        <c:axId val="34052811"/>
      </c:barChart>
      <c:catAx>
        <c:axId val="98896111"/>
        <c:scaling>
          <c:orientation val="minMax"/>
        </c:scaling>
        <c:delete val="0"/>
        <c:axPos val="b"/>
        <c:numFmt formatCode="General" sourceLinked="1"/>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34052811"/>
        <c:crosses val="autoZero"/>
        <c:auto val="1"/>
        <c:lblAlgn val="ctr"/>
        <c:lblOffset val="100"/>
        <c:noMultiLvlLbl val="0"/>
      </c:catAx>
      <c:valAx>
        <c:axId val="34052811"/>
        <c:scaling>
          <c:orientation val="minMax"/>
        </c:scaling>
        <c:delete val="0"/>
        <c:axPos val="l"/>
        <c:majorGridlines>
          <c:spPr>
            <a:ln w="9360">
              <a:solidFill>
                <a:srgbClr val="878787"/>
              </a:solidFill>
              <a:round/>
            </a:ln>
          </c:spPr>
        </c:majorGridlines>
        <c:numFmt formatCode="#,##0" sourceLinked="0"/>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98896111"/>
        <c:crosses val="autoZero"/>
        <c:crossBetween val="between"/>
      </c:valAx>
      <c:spPr>
        <a:noFill/>
        <a:ln w="0">
          <a:noFill/>
        </a:ln>
      </c:spPr>
    </c:plotArea>
    <c:plotVisOnly val="1"/>
    <c:dispBlanksAs val="gap"/>
  </c:chart>
  <c:spPr>
    <a:solidFill>
      <a:srgbClr val="ffffff"/>
    </a:solidFill>
    <a:ln w="9360">
      <a:solidFill>
        <a:srgbClr val="d9d9d9"/>
      </a:solidFill>
      <a:round/>
    </a:ln>
  </c:spPr>
</c:chartSpace>
</file>

<file path=xl/charts/chart3.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sz="1800" spc="-1" strike="noStrike">
                <a:solidFill>
                  <a:srgbClr val="000000"/>
                </a:solidFill>
                <a:latin typeface="Calibri"/>
              </a:defRPr>
            </a:pPr>
            <a:r>
              <a:rPr b="1" sz="1800" spc="-1" strike="noStrike">
                <a:solidFill>
                  <a:srgbClr val="000000"/>
                </a:solidFill>
                <a:latin typeface="Calibri"/>
              </a:rPr>
              <a:t>Monthly Revenue Trend (₹)</a:t>
            </a:r>
          </a:p>
        </c:rich>
      </c:tx>
      <c:overlay val="0"/>
      <c:spPr>
        <a:noFill/>
        <a:ln w="0">
          <a:noFill/>
        </a:ln>
      </c:spPr>
    </c:title>
    <c:autoTitleDeleted val="0"/>
    <c:plotArea>
      <c:lineChart>
        <c:grouping val="standard"/>
        <c:varyColors val="0"/>
        <c:ser>
          <c:idx val="0"/>
          <c:order val="0"/>
          <c:tx>
            <c:strRef>
              <c:f>Analysis!D42</c:f>
              <c:strCache>
                <c:ptCount val="1"/>
                <c:pt idx="0">
                  <c:v>Revenue</c:v>
                </c:pt>
              </c:strCache>
            </c:strRef>
          </c:tx>
          <c:spPr>
            <a:solidFill>
              <a:srgbClr val="2e75b6"/>
            </a:solidFill>
            <a:ln w="28080">
              <a:solidFill>
                <a:srgbClr val="2e75b6"/>
              </a:solidFill>
              <a:round/>
            </a:ln>
          </c:spPr>
          <c:marker>
            <c:symbol val="circle"/>
            <c:size val="5"/>
            <c:spPr>
              <a:solidFill>
                <a:srgbClr val="2e75b6"/>
              </a:solidFill>
            </c:spPr>
          </c:marker>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Analysis!$B$43:$B$54</c:f>
              <c:strCache>
                <c:ptCount val="12"/>
                <c:pt idx="0">
                  <c:v>Jan 2026</c:v>
                </c:pt>
                <c:pt idx="1">
                  <c:v>Feb 2026</c:v>
                </c:pt>
                <c:pt idx="2">
                  <c:v>Mar 2026</c:v>
                </c:pt>
                <c:pt idx="3">
                  <c:v>Apr 2026</c:v>
                </c:pt>
                <c:pt idx="4">
                  <c:v>May 2026</c:v>
                </c:pt>
                <c:pt idx="5">
                  <c:v>Jun 2026</c:v>
                </c:pt>
                <c:pt idx="6">
                  <c:v>Jul 2026</c:v>
                </c:pt>
                <c:pt idx="7">
                  <c:v>Aug 2026</c:v>
                </c:pt>
                <c:pt idx="8">
                  <c:v>Sep 2026</c:v>
                </c:pt>
                <c:pt idx="9">
                  <c:v>Oct 2026</c:v>
                </c:pt>
                <c:pt idx="10">
                  <c:v>Nov 2026</c:v>
                </c:pt>
                <c:pt idx="11">
                  <c:v>Dec 2026</c:v>
                </c:pt>
              </c:strCache>
            </c:strRef>
          </c:cat>
          <c:val>
            <c:numRef>
              <c:f>Analysis!$D$43:$D$54</c:f>
              <c:numCache>
                <c:formatCode>\₹#,##0</c:formatCode>
                <c:ptCount val="12"/>
                <c:pt idx="0">
                  <c:v>150690</c:v>
                </c:pt>
                <c:pt idx="1">
                  <c:v>157420</c:v>
                </c:pt>
                <c:pt idx="2">
                  <c:v>148170</c:v>
                </c:pt>
                <c:pt idx="3">
                  <c:v>157785</c:v>
                </c:pt>
                <c:pt idx="4">
                  <c:v>149040</c:v>
                </c:pt>
                <c:pt idx="5">
                  <c:v>138700</c:v>
                </c:pt>
                <c:pt idx="6">
                  <c:v>153385</c:v>
                </c:pt>
                <c:pt idx="7">
                  <c:v>138915</c:v>
                </c:pt>
                <c:pt idx="8">
                  <c:v>160650</c:v>
                </c:pt>
                <c:pt idx="9">
                  <c:v>153900</c:v>
                </c:pt>
                <c:pt idx="10">
                  <c:v>168135</c:v>
                </c:pt>
                <c:pt idx="11">
                  <c:v>134650</c:v>
                </c:pt>
              </c:numCache>
            </c:numRef>
          </c:val>
          <c:smooth val="0"/>
        </c:ser>
        <c:hiLowLines>
          <c:spPr>
            <a:ln w="0">
              <a:noFill/>
            </a:ln>
          </c:spPr>
        </c:hiLowLines>
        <c:marker val="1"/>
        <c:axId val="22731122"/>
        <c:axId val="38045981"/>
      </c:lineChart>
      <c:catAx>
        <c:axId val="22731122"/>
        <c:scaling>
          <c:orientation val="minMax"/>
        </c:scaling>
        <c:delete val="0"/>
        <c:axPos val="b"/>
        <c:numFmt formatCode="General" sourceLinked="1"/>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38045981"/>
        <c:crosses val="autoZero"/>
        <c:auto val="1"/>
        <c:lblAlgn val="ctr"/>
        <c:lblOffset val="100"/>
        <c:noMultiLvlLbl val="0"/>
      </c:catAx>
      <c:valAx>
        <c:axId val="38045981"/>
        <c:scaling>
          <c:orientation val="minMax"/>
        </c:scaling>
        <c:delete val="0"/>
        <c:axPos val="l"/>
        <c:majorGridlines>
          <c:spPr>
            <a:ln w="9360">
              <a:solidFill>
                <a:srgbClr val="878787"/>
              </a:solidFill>
              <a:round/>
            </a:ln>
          </c:spPr>
        </c:majorGridlines>
        <c:numFmt formatCode="#,##0" sourceLinked="0"/>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22731122"/>
        <c:crosses val="autoZero"/>
        <c:crossBetween val="between"/>
      </c:valAx>
      <c:spPr>
        <a:noFill/>
        <a:ln w="0">
          <a:noFill/>
        </a:ln>
      </c:spPr>
    </c:plotArea>
    <c:plotVisOnly val="1"/>
    <c:dispBlanksAs val="gap"/>
  </c:chart>
  <c:spPr>
    <a:solidFill>
      <a:srgbClr val="ffffff"/>
    </a:solidFill>
    <a:ln w="9360">
      <a:solidFill>
        <a:srgbClr val="d9d9d9"/>
      </a:solidFill>
      <a:round/>
    </a:ln>
  </c:spPr>
</c:chartSpace>
</file>

<file path=xl/charts/chart4.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sz="1800" spc="-1" strike="noStrike">
                <a:solidFill>
                  <a:srgbClr val="000000"/>
                </a:solidFill>
                <a:latin typeface="Calibri"/>
              </a:defRPr>
            </a:pPr>
            <a:r>
              <a:rPr b="1" sz="1800" spc="-1" strike="noStrike">
                <a:solidFill>
                  <a:srgbClr val="000000"/>
                </a:solidFill>
                <a:latin typeface="Calibri"/>
              </a:rPr>
              <a:t>Transaction Type Distribution</a:t>
            </a:r>
          </a:p>
        </c:rich>
      </c:tx>
      <c:overlay val="0"/>
      <c:spPr>
        <a:noFill/>
        <a:ln w="0">
          <a:noFill/>
        </a:ln>
      </c:spPr>
    </c:title>
    <c:autoTitleDeleted val="0"/>
    <c:plotArea>
      <c:doughnutChart>
        <c:varyColors val="1"/>
        <c:ser>
          <c:idx val="0"/>
          <c:order val="0"/>
          <c:tx>
            <c:strRef>
              <c:f>Analysis!B59</c:f>
              <c:strCache>
                <c:ptCount val="1"/>
                <c:pt idx="0">
                  <c:v>Transactions</c:v>
                </c:pt>
              </c:strCache>
            </c:strRef>
          </c:tx>
          <c:spPr>
            <a:solidFill>
              <a:srgbClr val="4f81bd"/>
            </a:solidFill>
            <a:ln w="0">
              <a:noFill/>
            </a:ln>
          </c:spPr>
          <c:explosion val="0"/>
          <c:dPt>
            <c:idx val="0"/>
            <c:spPr>
              <a:solidFill>
                <a:srgbClr val="4f81bd"/>
              </a:solidFill>
              <a:ln w="0">
                <a:noFill/>
              </a:ln>
            </c:spPr>
          </c:dPt>
          <c:dPt>
            <c:idx val="1"/>
            <c:spPr>
              <a:solidFill>
                <a:srgbClr val="c0504d"/>
              </a:solidFill>
              <a:ln w="0">
                <a:noFill/>
              </a:ln>
            </c:spPr>
          </c:dPt>
          <c:dLbls>
            <c:dLbl>
              <c:idx val="0"/>
              <c:txPr>
                <a:bodyPr wrap="square"/>
                <a:lstStyle/>
                <a:p>
                  <a:pPr>
                    <a:defRPr b="0" sz="1000" spc="-1" strike="noStrike">
                      <a:solidFill>
                        <a:srgbClr val="000000"/>
                      </a:solidFill>
                      <a:latin typeface="Calibri"/>
                    </a:defRPr>
                  </a:pPr>
                </a:p>
              </c:txPr>
              <c:showLegendKey val="0"/>
              <c:showVal val="0"/>
              <c:showCatName val="0"/>
              <c:showSerName val="0"/>
              <c:showPercent val="1"/>
              <c:separator>
</c:separator>
            </c:dLbl>
            <c:dLbl>
              <c:idx val="1"/>
              <c:txPr>
                <a:bodyPr wrap="square"/>
                <a:lstStyle/>
                <a:p>
                  <a:pPr>
                    <a:defRPr b="0" sz="1000" spc="-1" strike="noStrike">
                      <a:solidFill>
                        <a:srgbClr val="000000"/>
                      </a:solidFill>
                      <a:latin typeface="Calibri"/>
                    </a:defRPr>
                  </a:pPr>
                </a:p>
              </c:txPr>
              <c:showLegendKey val="0"/>
              <c:showVal val="0"/>
              <c:showCatName val="0"/>
              <c:showSerName val="0"/>
              <c:showPercent val="1"/>
              <c:separator>
</c:separator>
            </c:dLbl>
            <c:txPr>
              <a:bodyPr wrap="square"/>
              <a:lstStyle/>
              <a:p>
                <a:pPr>
                  <a:defRPr b="0" sz="1000" spc="-1" strike="noStrike">
                    <a:solidFill>
                      <a:srgbClr val="000000"/>
                    </a:solidFill>
                    <a:latin typeface="Calibri"/>
                  </a:defRPr>
                </a:pPr>
              </a:p>
            </c:txPr>
            <c:showLegendKey val="0"/>
            <c:showVal val="0"/>
            <c:showCatName val="0"/>
            <c:showSerName val="0"/>
            <c:showPercent val="1"/>
            <c:separator>
</c:separator>
            <c:showLeaderLines val="1"/>
          </c:dLbls>
          <c:cat>
            <c:strRef>
              <c:f>Analysis!$A$60:$A$61</c:f>
              <c:strCache>
                <c:ptCount val="2"/>
                <c:pt idx="0">
                  <c:v>Sale</c:v>
                </c:pt>
                <c:pt idx="1">
                  <c:v>Purchase</c:v>
                </c:pt>
              </c:strCache>
            </c:strRef>
          </c:cat>
          <c:val>
            <c:numRef>
              <c:f>Analysis!$B$60:$B$61</c:f>
              <c:numCache>
                <c:formatCode>#,##0</c:formatCode>
                <c:ptCount val="2"/>
                <c:pt idx="0">
                  <c:v>1594</c:v>
                </c:pt>
                <c:pt idx="1">
                  <c:v>1006</c:v>
                </c:pt>
              </c:numCache>
            </c:numRef>
          </c:val>
        </c:ser>
        <c:firstSliceAng val="0"/>
        <c:holeSize val="50"/>
      </c:doughnutChart>
      <c:spPr>
        <a:noFill/>
        <a:ln w="0">
          <a:noFill/>
        </a:ln>
      </c:spPr>
    </c:plotArea>
    <c:legend>
      <c:legendPos val="r"/>
      <c:overlay val="0"/>
      <c:spPr>
        <a:noFill/>
        <a:ln w="0">
          <a:noFill/>
        </a:ln>
      </c:spPr>
      <c:txPr>
        <a:bodyPr/>
        <a:lstStyle/>
        <a:p>
          <a:pPr>
            <a:defRPr b="0" sz="1000" spc="-1" strike="noStrike">
              <a:solidFill>
                <a:srgbClr val="000000"/>
              </a:solidFill>
              <a:latin typeface="Calibri"/>
            </a:defRPr>
          </a:pPr>
        </a:p>
      </c:txPr>
    </c:legend>
    <c:plotVisOnly val="1"/>
    <c:dispBlanksAs val="gap"/>
  </c:chart>
  <c:spPr>
    <a:solidFill>
      <a:srgbClr val="ffffff"/>
    </a:solidFill>
    <a:ln w="9360">
      <a:solidFill>
        <a:srgbClr val="d9d9d9"/>
      </a:solidFill>
      <a:round/>
    </a:ln>
  </c:spPr>
</c:chartSpace>
</file>

<file path=xl/charts/chart5.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sz="1800" spc="-1" strike="noStrike">
                <a:solidFill>
                  <a:srgbClr val="000000"/>
                </a:solidFill>
                <a:latin typeface="Calibri"/>
              </a:defRPr>
            </a:pPr>
            <a:r>
              <a:rPr b="1" sz="1800" spc="-1" strike="noStrike">
                <a:solidFill>
                  <a:srgbClr val="000000"/>
                </a:solidFill>
                <a:latin typeface="Calibri"/>
              </a:rPr>
              <a:t>Restock Candidates (Sold ÷ Purchased)</a:t>
            </a:r>
          </a:p>
        </c:rich>
      </c:tx>
      <c:overlay val="0"/>
      <c:spPr>
        <a:noFill/>
        <a:ln w="0">
          <a:noFill/>
        </a:ln>
      </c:spPr>
    </c:title>
    <c:autoTitleDeleted val="0"/>
    <c:plotArea>
      <c:barChart>
        <c:barDir val="bar"/>
        <c:grouping val="clustered"/>
        <c:varyColors val="0"/>
        <c:ser>
          <c:idx val="0"/>
          <c:order val="0"/>
          <c:tx>
            <c:strRef>
              <c:f>Analysis!G95</c:f>
              <c:strCache>
                <c:ptCount val="1"/>
                <c:pt idx="0">
                  <c:v>Sold/Purchased</c:v>
                </c:pt>
              </c:strCache>
            </c:strRef>
          </c:tx>
          <c:spPr>
            <a:solidFill>
              <a:srgbClr val="c55a11"/>
            </a:solidFill>
            <a:ln w="0">
              <a:noFill/>
            </a:ln>
          </c:spPr>
          <c:invertIfNegative val="0"/>
          <c:dLbls>
            <c:txPr>
              <a:bodyPr wrap="square"/>
              <a:lstStyle/>
              <a:p>
                <a:pPr>
                  <a:defRPr b="0" sz="1000" spc="-1" strike="noStrike">
                    <a:solidFill>
                      <a:srgbClr val="000000"/>
                    </a:solidFill>
                    <a:latin typeface="Calibri"/>
                  </a:defRPr>
                </a:pPr>
              </a:p>
            </c:txPr>
            <c:dLblPos val="outEnd"/>
            <c:showLegendKey val="0"/>
            <c:showVal val="1"/>
            <c:showCatName val="0"/>
            <c:showSerName val="0"/>
            <c:showPercent val="0"/>
            <c:separator>; </c:separator>
            <c:showLeaderLines val="1"/>
            <c:extLst>
              <c:ext xmlns:c15="http://schemas.microsoft.com/office/drawing/2012/chart" uri="{CE6537A1-D6FC-4f65-9D91-7224C49458BB}">
                <c15:showLeaderLines val="1"/>
              </c:ext>
            </c:extLst>
          </c:dLbls>
          <c:cat>
            <c:strRef>
              <c:f>Analysis!$C$96:$C$105</c:f>
              <c:strCache>
                <c:ptCount val="10"/>
                <c:pt idx="0">
                  <c:v>Glimepiride 2mg</c:v>
                </c:pt>
                <c:pt idx="1">
                  <c:v>Diclofenac Gel</c:v>
                </c:pt>
                <c:pt idx="2">
                  <c:v>Cetirizine 10mg</c:v>
                </c:pt>
                <c:pt idx="3">
                  <c:v>Azithromycin 500mg</c:v>
                </c:pt>
                <c:pt idx="4">
                  <c:v>Cough Syrup 100ml</c:v>
                </c:pt>
                <c:pt idx="5">
                  <c:v>Dextromethorphan Syrup</c:v>
                </c:pt>
                <c:pt idx="6">
                  <c:v>Atorvastatin 10mg</c:v>
                </c:pt>
                <c:pt idx="7">
                  <c:v>Clotrimazole Cream</c:v>
                </c:pt>
                <c:pt idx="8">
                  <c:v>Multivitamin Tablets</c:v>
                </c:pt>
                <c:pt idx="9">
                  <c:v>Amlodipine 5mg</c:v>
                </c:pt>
              </c:strCache>
            </c:strRef>
          </c:cat>
          <c:val>
            <c:numRef>
              <c:f>Analysis!$G$96:$G$105</c:f>
              <c:numCache>
                <c:formatCode>0.00</c:formatCode>
                <c:ptCount val="10"/>
                <c:pt idx="0">
                  <c:v>2.71523178807947</c:v>
                </c:pt>
                <c:pt idx="1">
                  <c:v>2.6027397260274</c:v>
                </c:pt>
                <c:pt idx="2">
                  <c:v>2.2158273381295</c:v>
                </c:pt>
                <c:pt idx="3">
                  <c:v>2.19718309859155</c:v>
                </c:pt>
                <c:pt idx="4">
                  <c:v>1.92715231788079</c:v>
                </c:pt>
                <c:pt idx="5">
                  <c:v>1.91616766467066</c:v>
                </c:pt>
                <c:pt idx="6">
                  <c:v>1.91082802547771</c:v>
                </c:pt>
                <c:pt idx="7">
                  <c:v>1.81775700934579</c:v>
                </c:pt>
                <c:pt idx="8">
                  <c:v>1.76470588235294</c:v>
                </c:pt>
                <c:pt idx="9">
                  <c:v>1.71428571428571</c:v>
                </c:pt>
              </c:numCache>
            </c:numRef>
          </c:val>
        </c:ser>
        <c:gapWidth val="150"/>
        <c:overlap val="0"/>
        <c:axId val="13941301"/>
        <c:axId val="90388446"/>
      </c:barChart>
      <c:catAx>
        <c:axId val="13941301"/>
        <c:scaling>
          <c:orientation val="maxMin"/>
        </c:scaling>
        <c:delete val="0"/>
        <c:axPos val="b"/>
        <c:numFmt formatCode="General" sourceLinked="1"/>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90388446"/>
        <c:crosses val="autoZero"/>
        <c:auto val="1"/>
        <c:lblAlgn val="ctr"/>
        <c:lblOffset val="100"/>
        <c:noMultiLvlLbl val="0"/>
      </c:catAx>
      <c:valAx>
        <c:axId val="90388446"/>
        <c:scaling>
          <c:orientation val="minMax"/>
        </c:scaling>
        <c:delete val="0"/>
        <c:axPos val="l"/>
        <c:majorGridlines>
          <c:spPr>
            <a:ln w="9360">
              <a:solidFill>
                <a:srgbClr val="878787"/>
              </a:solidFill>
              <a:round/>
            </a:ln>
          </c:spPr>
        </c:majorGridlines>
        <c:numFmt formatCode="0.00" sourceLinked="0"/>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13941301"/>
        <c:crosses val="autoZero"/>
        <c:crossBetween val="between"/>
      </c:valAx>
      <c:spPr>
        <a:noFill/>
        <a:ln w="0">
          <a:noFill/>
        </a:ln>
      </c:spPr>
    </c:plotArea>
    <c:plotVisOnly val="1"/>
    <c:dispBlanksAs val="gap"/>
  </c:chart>
  <c:spPr>
    <a:solidFill>
      <a:srgbClr val="ffffff"/>
    </a:solidFill>
    <a:ln w="9360">
      <a:solidFill>
        <a:srgbClr val="d9d9d9"/>
      </a:solidFill>
      <a:round/>
    </a:ln>
  </c:spPr>
</c:chartSpace>
</file>

<file path=xl/charts/chart6.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sz="1800" spc="-1" strike="noStrike">
                <a:solidFill>
                  <a:srgbClr val="000000"/>
                </a:solidFill>
                <a:latin typeface="Calibri"/>
              </a:defRPr>
            </a:pPr>
            <a:r>
              <a:rPr b="1" sz="1800" spc="-1" strike="noStrike">
                <a:solidFill>
                  <a:srgbClr val="000000"/>
                </a:solidFill>
                <a:latin typeface="Calibri"/>
              </a:rPr>
              <a:t>Medicines by Expiry Status</a:t>
            </a:r>
          </a:p>
        </c:rich>
      </c:tx>
      <c:overlay val="0"/>
      <c:spPr>
        <a:noFill/>
        <a:ln w="0">
          <a:noFill/>
        </a:ln>
      </c:spPr>
    </c:title>
    <c:autoTitleDeleted val="0"/>
    <c:plotArea>
      <c:barChart>
        <c:barDir val="col"/>
        <c:grouping val="clustered"/>
        <c:varyColors val="0"/>
        <c:ser>
          <c:idx val="0"/>
          <c:order val="0"/>
          <c:tx>
            <c:strRef>
              <c:f>Analysis!B125</c:f>
              <c:strCache>
                <c:ptCount val="1"/>
                <c:pt idx="0">
                  <c:v>Medicines</c:v>
                </c:pt>
              </c:strCache>
            </c:strRef>
          </c:tx>
          <c:spPr>
            <a:solidFill>
              <a:srgbClr val="548235"/>
            </a:solidFill>
            <a:ln w="0">
              <a:noFill/>
            </a:ln>
          </c:spPr>
          <c:invertIfNegative val="0"/>
          <c:dLbls>
            <c:txPr>
              <a:bodyPr wrap="square"/>
              <a:lstStyle/>
              <a:p>
                <a:pPr>
                  <a:defRPr b="0" sz="1000" spc="-1" strike="noStrike">
                    <a:solidFill>
                      <a:srgbClr val="000000"/>
                    </a:solidFill>
                    <a:latin typeface="Calibri"/>
                  </a:defRPr>
                </a:pPr>
              </a:p>
            </c:txPr>
            <c:dLblPos val="outEnd"/>
            <c:showLegendKey val="0"/>
            <c:showVal val="1"/>
            <c:showCatName val="0"/>
            <c:showSerName val="0"/>
            <c:showPercent val="0"/>
            <c:separator>; </c:separator>
            <c:showLeaderLines val="1"/>
            <c:extLst>
              <c:ext xmlns:c15="http://schemas.microsoft.com/office/drawing/2012/chart" uri="{CE6537A1-D6FC-4f65-9D91-7224C49458BB}">
                <c15:showLeaderLines val="1"/>
              </c:ext>
            </c:extLst>
          </c:dLbls>
          <c:cat>
            <c:strRef>
              <c:f>Analysis!$A$126:$A$130</c:f>
              <c:strCache>
                <c:ptCount val="5"/>
                <c:pt idx="0">
                  <c:v>Expired</c:v>
                </c:pt>
                <c:pt idx="1">
                  <c:v>Critical</c:v>
                </c:pt>
                <c:pt idx="2">
                  <c:v>Expiring Soon</c:v>
                </c:pt>
                <c:pt idx="3">
                  <c:v>Watch</c:v>
                </c:pt>
                <c:pt idx="4">
                  <c:v>Safe</c:v>
                </c:pt>
              </c:strCache>
            </c:strRef>
          </c:cat>
          <c:val>
            <c:numRef>
              <c:f>Analysis!$B$126:$B$130</c:f>
              <c:numCache>
                <c:formatCode>#,##0</c:formatCode>
                <c:ptCount val="5"/>
                <c:pt idx="0">
                  <c:v>0</c:v>
                </c:pt>
                <c:pt idx="1">
                  <c:v>0</c:v>
                </c:pt>
                <c:pt idx="2">
                  <c:v>1</c:v>
                </c:pt>
                <c:pt idx="3">
                  <c:v>10</c:v>
                </c:pt>
                <c:pt idx="4">
                  <c:v>14</c:v>
                </c:pt>
              </c:numCache>
            </c:numRef>
          </c:val>
        </c:ser>
        <c:gapWidth val="150"/>
        <c:overlap val="0"/>
        <c:axId val="98972404"/>
        <c:axId val="96102177"/>
      </c:barChart>
      <c:catAx>
        <c:axId val="98972404"/>
        <c:scaling>
          <c:orientation val="minMax"/>
        </c:scaling>
        <c:delete val="0"/>
        <c:axPos val="b"/>
        <c:numFmt formatCode="General" sourceLinked="1"/>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96102177"/>
        <c:crosses val="autoZero"/>
        <c:auto val="1"/>
        <c:lblAlgn val="ctr"/>
        <c:lblOffset val="100"/>
        <c:noMultiLvlLbl val="0"/>
      </c:catAx>
      <c:valAx>
        <c:axId val="96102177"/>
        <c:scaling>
          <c:orientation val="minMax"/>
        </c:scaling>
        <c:delete val="0"/>
        <c:axPos val="l"/>
        <c:majorGridlines>
          <c:spPr>
            <a:ln w="9360">
              <a:solidFill>
                <a:srgbClr val="878787"/>
              </a:solidFill>
              <a:round/>
            </a:ln>
          </c:spPr>
        </c:majorGridlines>
        <c:numFmt formatCode="#,##0" sourceLinked="1"/>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98972404"/>
        <c:crosses val="autoZero"/>
        <c:crossBetween val="between"/>
        <c:majorUnit val="5"/>
      </c:valAx>
      <c:spPr>
        <a:noFill/>
        <a:ln w="0">
          <a:noFill/>
        </a:ln>
      </c:spPr>
    </c:plotArea>
    <c:plotVisOnly val="1"/>
    <c:dispBlanksAs val="gap"/>
  </c:chart>
  <c:spPr>
    <a:solidFill>
      <a:srgbClr val="ffffff"/>
    </a:solidFill>
    <a:ln w="9360">
      <a:solidFill>
        <a:srgbClr val="d9d9d9"/>
      </a:solidFill>
      <a:round/>
    </a:ln>
  </c:spPr>
</c:chartSpace>
</file>

<file path=xl/drawings/_rels/drawing1.xml.rels><?xml version="1.0" encoding="UTF-8"?>
<Relationships xmlns="http://schemas.openxmlformats.org/package/2006/relationships"><Relationship Id="rId1" Type="http://schemas.openxmlformats.org/officeDocument/2006/relationships/chart" Target="../charts/chart1.xml"/><Relationship Id="rId2" Type="http://schemas.openxmlformats.org/officeDocument/2006/relationships/chart" Target="../charts/chart2.xml"/><Relationship Id="rId3" Type="http://schemas.openxmlformats.org/officeDocument/2006/relationships/chart" Target="../charts/chart3.xml"/><Relationship Id="rId4" Type="http://schemas.openxmlformats.org/officeDocument/2006/relationships/chart" Target="../charts/chart4.xml"/><Relationship Id="rId5" Type="http://schemas.openxmlformats.org/officeDocument/2006/relationships/chart" Target="../charts/chart5.xml"/><Relationship Id="rId6" Type="http://schemas.openxmlformats.org/officeDocument/2006/relationships/chart" Target="../charts/chart6.xml"/>
</Relationships>
</file>

<file path=xl/drawings/drawing1.xml><?xml version="1.0" encoding="utf-8"?>
<xdr:wsDr xmlns:xdr="http://schemas.openxmlformats.org/drawingml/2006/spreadsheetDrawing" xmlns:a="http://schemas.openxmlformats.org/drawingml/2006/main" xmlns:r="http://schemas.openxmlformats.org/officeDocument/2006/relationships">
  <xdr:twoCellAnchor editAs="oneCell">
    <xdr:from>
      <xdr:col>1</xdr:col>
      <xdr:colOff>0</xdr:colOff>
      <xdr:row>6</xdr:row>
      <xdr:rowOff>0</xdr:rowOff>
    </xdr:from>
    <xdr:to>
      <xdr:col>6</xdr:col>
      <xdr:colOff>731160</xdr:colOff>
      <xdr:row>20</xdr:row>
      <xdr:rowOff>68400</xdr:rowOff>
    </xdr:to>
    <xdr:graphicFrame>
      <xdr:nvGraphicFramePr>
        <xdr:cNvPr id="0" name="Chart 1"/>
        <xdr:cNvGraphicFramePr/>
      </xdr:nvGraphicFramePr>
      <xdr:xfrm>
        <a:off x="141120" y="1838160"/>
        <a:ext cx="4607640" cy="273564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7</xdr:col>
      <xdr:colOff>0</xdr:colOff>
      <xdr:row>6</xdr:row>
      <xdr:rowOff>0</xdr:rowOff>
    </xdr:from>
    <xdr:to>
      <xdr:col>12</xdr:col>
      <xdr:colOff>731160</xdr:colOff>
      <xdr:row>20</xdr:row>
      <xdr:rowOff>68400</xdr:rowOff>
    </xdr:to>
    <xdr:graphicFrame>
      <xdr:nvGraphicFramePr>
        <xdr:cNvPr id="1" name="Chart 2"/>
        <xdr:cNvGraphicFramePr/>
      </xdr:nvGraphicFramePr>
      <xdr:xfrm>
        <a:off x="4793040" y="1838160"/>
        <a:ext cx="4607640" cy="273564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xdr:col>
      <xdr:colOff>0</xdr:colOff>
      <xdr:row>23</xdr:row>
      <xdr:rowOff>0</xdr:rowOff>
    </xdr:from>
    <xdr:to>
      <xdr:col>6</xdr:col>
      <xdr:colOff>731160</xdr:colOff>
      <xdr:row>37</xdr:row>
      <xdr:rowOff>68400</xdr:rowOff>
    </xdr:to>
    <xdr:graphicFrame>
      <xdr:nvGraphicFramePr>
        <xdr:cNvPr id="2" name="Chart 3"/>
        <xdr:cNvGraphicFramePr/>
      </xdr:nvGraphicFramePr>
      <xdr:xfrm>
        <a:off x="141120" y="5076720"/>
        <a:ext cx="4607640" cy="273564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7</xdr:col>
      <xdr:colOff>0</xdr:colOff>
      <xdr:row>23</xdr:row>
      <xdr:rowOff>0</xdr:rowOff>
    </xdr:from>
    <xdr:to>
      <xdr:col>12</xdr:col>
      <xdr:colOff>731160</xdr:colOff>
      <xdr:row>37</xdr:row>
      <xdr:rowOff>68400</xdr:rowOff>
    </xdr:to>
    <xdr:graphicFrame>
      <xdr:nvGraphicFramePr>
        <xdr:cNvPr id="3" name="Chart 4"/>
        <xdr:cNvGraphicFramePr/>
      </xdr:nvGraphicFramePr>
      <xdr:xfrm>
        <a:off x="4793040" y="5076720"/>
        <a:ext cx="4607640" cy="273564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1</xdr:col>
      <xdr:colOff>0</xdr:colOff>
      <xdr:row>40</xdr:row>
      <xdr:rowOff>0</xdr:rowOff>
    </xdr:from>
    <xdr:to>
      <xdr:col>6</xdr:col>
      <xdr:colOff>731160</xdr:colOff>
      <xdr:row>54</xdr:row>
      <xdr:rowOff>68760</xdr:rowOff>
    </xdr:to>
    <xdr:graphicFrame>
      <xdr:nvGraphicFramePr>
        <xdr:cNvPr id="4" name="Chart 5"/>
        <xdr:cNvGraphicFramePr/>
      </xdr:nvGraphicFramePr>
      <xdr:xfrm>
        <a:off x="141120" y="8315280"/>
        <a:ext cx="4607640" cy="273564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7</xdr:col>
      <xdr:colOff>0</xdr:colOff>
      <xdr:row>40</xdr:row>
      <xdr:rowOff>0</xdr:rowOff>
    </xdr:from>
    <xdr:to>
      <xdr:col>12</xdr:col>
      <xdr:colOff>731160</xdr:colOff>
      <xdr:row>54</xdr:row>
      <xdr:rowOff>68760</xdr:rowOff>
    </xdr:to>
    <xdr:graphicFrame>
      <xdr:nvGraphicFramePr>
        <xdr:cNvPr id="5" name="Chart 6"/>
        <xdr:cNvGraphicFramePr/>
      </xdr:nvGraphicFramePr>
      <xdr:xfrm>
        <a:off x="4793040" y="8315280"/>
        <a:ext cx="4607640" cy="273564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wsDr>
</file>

<file path=xl/drawings/drawing2.xml><?xml version="1.0" encoding="utf-8"?>
<xdr:wsDr xmlns:xdr="http://schemas.openxmlformats.org/drawingml/2006/spreadsheetDrawing" xmlns:a="http://schemas.openxmlformats.org/drawingml/2006/main" xmlns:r="http://schemas.openxmlformats.org/officeDocument/2006/relationships"/>
</file>

<file path=xl/drawings/drawing3.xml><?xml version="1.0" encoding="utf-8"?>
<xdr:wsDr xmlns:xdr="http://schemas.openxmlformats.org/drawingml/2006/spreadsheetDrawing" xmlns:a="http://schemas.openxmlformats.org/drawingml/2006/main" xmlns:r="http://schemas.openxmlformats.org/officeDocument/2006/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2.xml.rels><?xml version="1.0" encoding="UTF-8"?>
<Relationships xmlns="http://schemas.openxmlformats.org/package/2006/relationships"><Relationship Id="rId1" Type="http://schemas.openxmlformats.org/officeDocument/2006/relationships/drawing" Target="../drawings/drawing1.xml"/>
</Relationships>
</file>

<file path=xl/worksheets/_rels/sheet6.xml.rels><?xml version="1.0" encoding="UTF-8"?>
<Relationships xmlns="http://schemas.openxmlformats.org/package/2006/relationships"><Relationship Id="rId1" Type="http://schemas.openxmlformats.org/officeDocument/2006/relationships/drawing" Target="../drawings/drawing2.xml"/>
</Relationships>
</file>

<file path=xl/worksheets/_rels/sheet7.xml.rels><?xml version="1.0" encoding="UTF-8"?>
<Relationships xmlns="http://schemas.openxmlformats.org/package/2006/relationships"><Relationship Id="rId1" Type="http://schemas.openxmlformats.org/officeDocument/2006/relationships/drawing" Target="../drawings/drawing3.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1:D33"/>
  <sheetViews>
    <sheetView showFormulas="false" showGridLines="fals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3"/>
    <col collapsed="false" customWidth="true" hidden="false" outlineLevel="0" max="2" min="2" style="0" width="34"/>
    <col collapsed="false" customWidth="true" hidden="false" outlineLevel="0" max="3" min="3" style="0" width="20"/>
    <col collapsed="false" customWidth="true" hidden="false" outlineLevel="0" max="4" min="4" style="0" width="80"/>
  </cols>
  <sheetData>
    <row r="1" customFormat="false" ht="19.7" hidden="false" customHeight="false" outlineLevel="0" collapsed="false">
      <c r="B1" s="1" t="s">
        <v>0</v>
      </c>
    </row>
    <row r="2" customFormat="false" ht="15" hidden="false" customHeight="false" outlineLevel="0" collapsed="false">
      <c r="B2" s="2" t="s">
        <v>1</v>
      </c>
    </row>
    <row r="4" customFormat="false" ht="15" hidden="false" customHeight="false" outlineLevel="0" collapsed="false">
      <c r="B4" s="3" t="s">
        <v>2</v>
      </c>
    </row>
    <row r="5" customFormat="false" ht="42" hidden="false" customHeight="true" outlineLevel="0" collapsed="false">
      <c r="B5" s="4" t="s">
        <v>3</v>
      </c>
      <c r="C5" s="4"/>
      <c r="D5" s="4"/>
    </row>
    <row r="7" customFormat="false" ht="15" hidden="false" customHeight="false" outlineLevel="0" collapsed="false">
      <c r="B7" s="3" t="s">
        <v>4</v>
      </c>
    </row>
    <row r="8" customFormat="false" ht="15" hidden="false" customHeight="true" outlineLevel="0" collapsed="false">
      <c r="B8" s="5" t="s">
        <v>5</v>
      </c>
      <c r="C8" s="5" t="s">
        <v>6</v>
      </c>
      <c r="D8" s="5"/>
    </row>
    <row r="9" customFormat="false" ht="15" hidden="false" customHeight="false" outlineLevel="0" collapsed="false">
      <c r="B9" s="6" t="s">
        <v>7</v>
      </c>
      <c r="C9" s="7" t="s">
        <v>8</v>
      </c>
      <c r="D9" s="7"/>
    </row>
    <row r="10" customFormat="false" ht="15" hidden="false" customHeight="false" outlineLevel="0" collapsed="false">
      <c r="B10" s="6" t="s">
        <v>9</v>
      </c>
      <c r="C10" s="7" t="s">
        <v>10</v>
      </c>
      <c r="D10" s="7"/>
    </row>
    <row r="11" customFormat="false" ht="15" hidden="false" customHeight="false" outlineLevel="0" collapsed="false">
      <c r="B11" s="6" t="s">
        <v>11</v>
      </c>
      <c r="C11" s="7" t="s">
        <v>12</v>
      </c>
      <c r="D11" s="7"/>
    </row>
    <row r="12" customFormat="false" ht="15" hidden="false" customHeight="false" outlineLevel="0" collapsed="false">
      <c r="B12" s="6" t="s">
        <v>13</v>
      </c>
      <c r="C12" s="7" t="s">
        <v>14</v>
      </c>
      <c r="D12" s="7"/>
    </row>
    <row r="13" customFormat="false" ht="15" hidden="false" customHeight="false" outlineLevel="0" collapsed="false">
      <c r="B13" s="6" t="s">
        <v>15</v>
      </c>
      <c r="C13" s="7" t="s">
        <v>16</v>
      </c>
      <c r="D13" s="7"/>
    </row>
    <row r="14" customFormat="false" ht="15" hidden="false" customHeight="false" outlineLevel="0" collapsed="false">
      <c r="B14" s="6" t="s">
        <v>17</v>
      </c>
      <c r="C14" s="7" t="s">
        <v>18</v>
      </c>
      <c r="D14" s="7"/>
    </row>
    <row r="16" customFormat="false" ht="15" hidden="false" customHeight="false" outlineLevel="0" collapsed="false">
      <c r="B16" s="3" t="s">
        <v>19</v>
      </c>
    </row>
    <row r="17" customFormat="false" ht="15" hidden="false" customHeight="false" outlineLevel="0" collapsed="false">
      <c r="B17" s="8" t="s">
        <v>20</v>
      </c>
      <c r="C17" s="9" t="s">
        <v>21</v>
      </c>
      <c r="D17" s="9"/>
    </row>
    <row r="18" customFormat="false" ht="15" hidden="false" customHeight="false" outlineLevel="0" collapsed="false">
      <c r="B18" s="8" t="s">
        <v>22</v>
      </c>
      <c r="C18" s="9" t="s">
        <v>23</v>
      </c>
      <c r="D18" s="9"/>
    </row>
    <row r="19" customFormat="false" ht="15" hidden="false" customHeight="false" outlineLevel="0" collapsed="false">
      <c r="B19" s="8" t="s">
        <v>24</v>
      </c>
      <c r="C19" s="9" t="s">
        <v>25</v>
      </c>
      <c r="D19" s="9"/>
    </row>
    <row r="21" customFormat="false" ht="15" hidden="false" customHeight="false" outlineLevel="0" collapsed="false">
      <c r="B21" s="3" t="s">
        <v>26</v>
      </c>
    </row>
    <row r="22" customFormat="false" ht="15" hidden="false" customHeight="false" outlineLevel="0" collapsed="false">
      <c r="B22" s="6" t="s">
        <v>27</v>
      </c>
      <c r="C22" s="10" t="n">
        <v>46300</v>
      </c>
      <c r="D22" s="7" t="s">
        <v>28</v>
      </c>
    </row>
    <row r="23" customFormat="false" ht="15" hidden="false" customHeight="false" outlineLevel="0" collapsed="false">
      <c r="B23" s="6" t="s">
        <v>29</v>
      </c>
      <c r="C23" s="11" t="n">
        <v>90</v>
      </c>
      <c r="D23" s="7" t="s">
        <v>30</v>
      </c>
    </row>
    <row r="24" customFormat="false" ht="15" hidden="false" customHeight="false" outlineLevel="0" collapsed="false">
      <c r="B24" s="6" t="s">
        <v>31</v>
      </c>
      <c r="C24" s="11" t="n">
        <v>180</v>
      </c>
      <c r="D24" s="7" t="s">
        <v>32</v>
      </c>
    </row>
    <row r="25" customFormat="false" ht="15" hidden="false" customHeight="false" outlineLevel="0" collapsed="false">
      <c r="B25" s="6" t="s">
        <v>33</v>
      </c>
      <c r="C25" s="11" t="n">
        <v>365</v>
      </c>
      <c r="D25" s="7" t="s">
        <v>34</v>
      </c>
    </row>
    <row r="26" customFormat="false" ht="15" hidden="false" customHeight="false" outlineLevel="0" collapsed="false">
      <c r="B26" s="6" t="s">
        <v>35</v>
      </c>
      <c r="C26" s="12" t="n">
        <v>1.75</v>
      </c>
      <c r="D26" s="7" t="s">
        <v>36</v>
      </c>
    </row>
    <row r="27" customFormat="false" ht="15" hidden="false" customHeight="false" outlineLevel="0" collapsed="false">
      <c r="B27" s="6" t="s">
        <v>37</v>
      </c>
      <c r="C27" s="12" t="n">
        <v>1.4</v>
      </c>
      <c r="D27" s="7" t="s">
        <v>38</v>
      </c>
    </row>
    <row r="29" customFormat="false" ht="15" hidden="false" customHeight="false" outlineLevel="0" collapsed="false">
      <c r="B29" s="3" t="s">
        <v>39</v>
      </c>
    </row>
    <row r="30" customFormat="false" ht="30" hidden="false" customHeight="true" outlineLevel="0" collapsed="false">
      <c r="B30" s="4" t="s">
        <v>40</v>
      </c>
      <c r="C30" s="4"/>
      <c r="D30" s="4"/>
    </row>
    <row r="31" customFormat="false" ht="30" hidden="false" customHeight="true" outlineLevel="0" collapsed="false">
      <c r="B31" s="4" t="s">
        <v>41</v>
      </c>
      <c r="C31" s="4"/>
      <c r="D31" s="4"/>
    </row>
    <row r="32" customFormat="false" ht="30" hidden="false" customHeight="true" outlineLevel="0" collapsed="false">
      <c r="B32" s="4" t="s">
        <v>42</v>
      </c>
      <c r="C32" s="4"/>
      <c r="D32" s="4"/>
    </row>
    <row r="33" customFormat="false" ht="30" hidden="false" customHeight="true" outlineLevel="0" collapsed="false">
      <c r="B33" s="4" t="s">
        <v>43</v>
      </c>
      <c r="C33" s="4"/>
      <c r="D33" s="4"/>
    </row>
  </sheetData>
  <mergeCells count="15">
    <mergeCell ref="B5:D5"/>
    <mergeCell ref="C8:D8"/>
    <mergeCell ref="C9:D9"/>
    <mergeCell ref="C10:D10"/>
    <mergeCell ref="C11:D11"/>
    <mergeCell ref="C12:D12"/>
    <mergeCell ref="C13:D13"/>
    <mergeCell ref="C14:D14"/>
    <mergeCell ref="C17:D17"/>
    <mergeCell ref="C18:D18"/>
    <mergeCell ref="C19:D19"/>
    <mergeCell ref="B30:D30"/>
    <mergeCell ref="B31:D31"/>
    <mergeCell ref="B32:D32"/>
    <mergeCell ref="B33:D33"/>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1:M58"/>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2"/>
    <col collapsed="false" customWidth="true" hidden="false" outlineLevel="0" max="13" min="2" style="0" width="11"/>
  </cols>
  <sheetData>
    <row r="1" customFormat="false" ht="37.5" hidden="false" customHeight="true" outlineLevel="0" collapsed="false">
      <c r="B1" s="13" t="s">
        <v>44</v>
      </c>
      <c r="C1" s="13"/>
      <c r="D1" s="13"/>
      <c r="E1" s="13"/>
      <c r="F1" s="13"/>
      <c r="G1" s="13"/>
      <c r="H1" s="13"/>
      <c r="I1" s="13"/>
      <c r="J1" s="13"/>
      <c r="K1" s="13"/>
      <c r="L1" s="13"/>
      <c r="M1" s="13"/>
    </row>
    <row r="2" customFormat="false" ht="15" hidden="false" customHeight="false" outlineLevel="0" collapsed="false">
      <c r="B2" s="14" t="str">
        <f aca="false">"Year 2026 | Analysis date: "&amp;TEXT(Overview!C22,"dd mmm yyyy")&amp;" | Amounts in ₹"</f>
        <v>Year 2026 | Analysis date: 05 Oct 2026 | Amounts in ₹</v>
      </c>
      <c r="C2" s="14"/>
      <c r="D2" s="14"/>
      <c r="E2" s="14"/>
      <c r="F2" s="14"/>
      <c r="G2" s="14"/>
      <c r="H2" s="14"/>
      <c r="I2" s="14"/>
      <c r="J2" s="14"/>
      <c r="K2" s="14"/>
      <c r="L2" s="14"/>
      <c r="M2" s="14"/>
    </row>
    <row r="3" customFormat="false" ht="19.5" hidden="false" customHeight="true" outlineLevel="0" collapsed="false">
      <c r="B3" s="15" t="s">
        <v>45</v>
      </c>
      <c r="C3" s="15"/>
      <c r="D3" s="15" t="s">
        <v>46</v>
      </c>
      <c r="E3" s="15"/>
      <c r="F3" s="15" t="s">
        <v>47</v>
      </c>
      <c r="G3" s="15"/>
      <c r="H3" s="15" t="s">
        <v>48</v>
      </c>
      <c r="I3" s="15"/>
      <c r="J3" s="15" t="s">
        <v>49</v>
      </c>
      <c r="K3" s="15"/>
      <c r="L3" s="15" t="s">
        <v>50</v>
      </c>
      <c r="M3" s="15"/>
    </row>
    <row r="4" customFormat="false" ht="33.75" hidden="false" customHeight="true" outlineLevel="0" collapsed="false">
      <c r="B4" s="16" t="n">
        <f aca="false">Analysis!$B$10</f>
        <v>1811440</v>
      </c>
      <c r="C4" s="16"/>
      <c r="D4" s="17" t="n">
        <f aca="false">Analysis!$B$5</f>
        <v>2600</v>
      </c>
      <c r="E4" s="17"/>
      <c r="F4" s="17" t="n">
        <f aca="false">Analysis!$B$8</f>
        <v>37285</v>
      </c>
      <c r="G4" s="17"/>
      <c r="H4" s="17" t="n">
        <f aca="false">Analysis!$B$17</f>
        <v>25</v>
      </c>
      <c r="I4" s="17"/>
      <c r="J4" s="17" t="n">
        <f aca="false">Analysis!$B$22</f>
        <v>9</v>
      </c>
      <c r="K4" s="17"/>
      <c r="L4" s="17" t="n">
        <f aca="false">Analysis!$B$23</f>
        <v>11</v>
      </c>
      <c r="M4" s="17"/>
    </row>
    <row r="5" customFormat="false" ht="24" hidden="false" customHeight="true" outlineLevel="0" collapsed="false">
      <c r="B5" s="18" t="str">
        <f aca="false">"Gross profit "&amp;TEXT(Analysis!$B$12,"₹#,##0")</f>
        <v>Gross profit ₹538,920</v>
      </c>
      <c r="C5" s="18"/>
      <c r="D5" s="18" t="str">
        <f aca="false">TEXT(Analysis!$B$6,"#,##0")&amp;" sales / "&amp;TEXT(Analysis!$B$7,"#,##0")&amp;" purchases"</f>
        <v>1,594 sales / 1,006 purchases</v>
      </c>
      <c r="E5" s="18"/>
      <c r="F5" s="18" t="str">
        <f aca="false">"Purchased: "&amp;TEXT(Analysis!$B$9,"#,##0")</f>
        <v>Purchased: 23,595</v>
      </c>
      <c r="G5" s="18"/>
      <c r="H5" s="18" t="str">
        <f aca="false">TEXT(Analysis!$B$18,"0")&amp;" categories"</f>
        <v>10 categories</v>
      </c>
      <c r="I5" s="18"/>
      <c r="J5" s="18" t="str">
        <f aca="false">"Sold ÷ purchased ratio ≥ "&amp;TEXT(Overview!C26,"0.00")</f>
        <v>Sold ÷ purchased ratio ≥ 1.75</v>
      </c>
      <c r="K5" s="18"/>
      <c r="L5" s="18" t="str">
        <f aca="false">"Within "&amp;Overview!C25&amp;" days of analysis date"</f>
        <v>Within 365 days of analysis date</v>
      </c>
      <c r="M5" s="18"/>
    </row>
    <row r="58" customFormat="false" ht="15" hidden="false" customHeight="false" outlineLevel="0" collapsed="false">
      <c r="B58" s="19" t="s">
        <v>51</v>
      </c>
    </row>
  </sheetData>
  <mergeCells count="20">
    <mergeCell ref="B1:M1"/>
    <mergeCell ref="B2:M2"/>
    <mergeCell ref="B3:C3"/>
    <mergeCell ref="D3:E3"/>
    <mergeCell ref="F3:G3"/>
    <mergeCell ref="H3:I3"/>
    <mergeCell ref="J3:K3"/>
    <mergeCell ref="L3:M3"/>
    <mergeCell ref="B4:C4"/>
    <mergeCell ref="D4:E4"/>
    <mergeCell ref="F4:G4"/>
    <mergeCell ref="H4:I4"/>
    <mergeCell ref="J4:K4"/>
    <mergeCell ref="L4:M4"/>
    <mergeCell ref="B5:C5"/>
    <mergeCell ref="D5:E5"/>
    <mergeCell ref="F5:G5"/>
    <mergeCell ref="H5:I5"/>
    <mergeCell ref="J5:K5"/>
    <mergeCell ref="L5:M5"/>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130"/>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2" topLeftCell="A3"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30"/>
    <col collapsed="false" customWidth="true" hidden="false" outlineLevel="0" max="3" min="2" style="0" width="26"/>
    <col collapsed="false" customWidth="true" hidden="false" outlineLevel="0" max="6" min="4" style="0" width="16"/>
    <col collapsed="false" customWidth="true" hidden="false" outlineLevel="0" max="7" min="7" style="0" width="18"/>
    <col collapsed="false" customWidth="true" hidden="false" outlineLevel="0" max="8" min="8" style="0" width="14"/>
  </cols>
  <sheetData>
    <row r="1" customFormat="false" ht="19.7" hidden="false" customHeight="false" outlineLevel="0" collapsed="false">
      <c r="A1" s="1" t="s">
        <v>52</v>
      </c>
    </row>
    <row r="2" customFormat="false" ht="15" hidden="false" customHeight="false" outlineLevel="0" collapsed="false">
      <c r="A2" s="20" t="s">
        <v>53</v>
      </c>
    </row>
    <row r="3" customFormat="false" ht="15" hidden="false" customHeight="false" outlineLevel="0" collapsed="false">
      <c r="A3" s="3" t="s">
        <v>54</v>
      </c>
    </row>
    <row r="4" customFormat="false" ht="15" hidden="false" customHeight="false" outlineLevel="0" collapsed="false">
      <c r="A4" s="5" t="s">
        <v>55</v>
      </c>
      <c r="B4" s="5" t="s">
        <v>56</v>
      </c>
      <c r="C4" s="5" t="s">
        <v>57</v>
      </c>
    </row>
    <row r="5" customFormat="false" ht="15" hidden="false" customHeight="false" outlineLevel="0" collapsed="false">
      <c r="A5" s="6" t="s">
        <v>46</v>
      </c>
      <c r="B5" s="21" t="n">
        <f aca="false">COUNTA(transactions!$A$2:$A$2601)</f>
        <v>2600</v>
      </c>
      <c r="C5" s="7" t="s">
        <v>58</v>
      </c>
    </row>
    <row r="6" customFormat="false" ht="15" hidden="false" customHeight="false" outlineLevel="0" collapsed="false">
      <c r="A6" s="6" t="s">
        <v>59</v>
      </c>
      <c r="B6" s="21" t="n">
        <f aca="false">COUNTIF(transactions!$D$2:$D$2601,"Sale")</f>
        <v>1594</v>
      </c>
      <c r="C6" s="7" t="s">
        <v>60</v>
      </c>
    </row>
    <row r="7" customFormat="false" ht="15" hidden="false" customHeight="false" outlineLevel="0" collapsed="false">
      <c r="A7" s="6" t="s">
        <v>61</v>
      </c>
      <c r="B7" s="21" t="n">
        <f aca="false">COUNTIF(transactions!$D$2:$D$2601,"Purchase")</f>
        <v>1006</v>
      </c>
      <c r="C7" s="7" t="s">
        <v>62</v>
      </c>
    </row>
    <row r="8" customFormat="false" ht="15" hidden="false" customHeight="false" outlineLevel="0" collapsed="false">
      <c r="A8" s="6" t="s">
        <v>63</v>
      </c>
      <c r="B8" s="21" t="n">
        <f aca="false">SUMIFS(transactions!$E$2:$E$2601,transactions!$D$2:$D$2601,"Sale")</f>
        <v>37285</v>
      </c>
      <c r="C8" s="7" t="s">
        <v>64</v>
      </c>
    </row>
    <row r="9" customFormat="false" ht="15" hidden="false" customHeight="false" outlineLevel="0" collapsed="false">
      <c r="A9" s="6" t="s">
        <v>65</v>
      </c>
      <c r="B9" s="21" t="n">
        <f aca="false">SUMIFS(transactions!$E$2:$E$2601,transactions!$D$2:$D$2601,"Purchase")</f>
        <v>23595</v>
      </c>
      <c r="C9" s="7" t="s">
        <v>66</v>
      </c>
    </row>
    <row r="10" customFormat="false" ht="15" hidden="false" customHeight="false" outlineLevel="0" collapsed="false">
      <c r="A10" s="6" t="s">
        <v>45</v>
      </c>
      <c r="B10" s="22" t="n">
        <f aca="false">SUM(transactions!$N$2:$N$2601)</f>
        <v>1811440</v>
      </c>
      <c r="C10" s="7" t="s">
        <v>67</v>
      </c>
    </row>
    <row r="11" customFormat="false" ht="15" hidden="false" customHeight="false" outlineLevel="0" collapsed="false">
      <c r="A11" s="6" t="s">
        <v>68</v>
      </c>
      <c r="B11" s="22" t="n">
        <f aca="false">SUM(transactions!$O$2:$O$2601)</f>
        <v>1272520</v>
      </c>
      <c r="C11" s="7" t="s">
        <v>69</v>
      </c>
    </row>
    <row r="12" customFormat="false" ht="15" hidden="false" customHeight="false" outlineLevel="0" collapsed="false">
      <c r="A12" s="6" t="s">
        <v>70</v>
      </c>
      <c r="B12" s="22" t="n">
        <f aca="false">B10-B11</f>
        <v>538920</v>
      </c>
      <c r="C12" s="7" t="s">
        <v>71</v>
      </c>
    </row>
    <row r="13" customFormat="false" ht="15" hidden="false" customHeight="false" outlineLevel="0" collapsed="false">
      <c r="A13" s="6" t="s">
        <v>72</v>
      </c>
      <c r="B13" s="23" t="n">
        <f aca="false">IF(B10=0,0,B12/B10)</f>
        <v>0.297509163980038</v>
      </c>
      <c r="C13" s="7" t="s">
        <v>73</v>
      </c>
    </row>
    <row r="14" customFormat="false" ht="15" hidden="false" customHeight="false" outlineLevel="0" collapsed="false">
      <c r="A14" s="6" t="s">
        <v>74</v>
      </c>
      <c r="B14" s="22" t="n">
        <f aca="false">SUM(transactions!$Q$2:$Q$2601)</f>
        <v>757815</v>
      </c>
      <c r="C14" s="7" t="s">
        <v>75</v>
      </c>
    </row>
    <row r="15" customFormat="false" ht="15" hidden="false" customHeight="false" outlineLevel="0" collapsed="false">
      <c r="A15" s="6" t="s">
        <v>76</v>
      </c>
      <c r="B15" s="24" t="n">
        <f aca="false">AVERAGE(transactions!$E$2:$E$2601)</f>
        <v>23.4153846153846</v>
      </c>
      <c r="C15" s="7" t="s">
        <v>77</v>
      </c>
    </row>
    <row r="16" customFormat="false" ht="15" hidden="false" customHeight="false" outlineLevel="0" collapsed="false">
      <c r="A16" s="6" t="s">
        <v>78</v>
      </c>
      <c r="B16" s="22" t="n">
        <f aca="false">IF(B6=0,0,B10/B6)</f>
        <v>1136.41154328733</v>
      </c>
      <c r="C16" s="7" t="s">
        <v>79</v>
      </c>
    </row>
    <row r="17" customFormat="false" ht="15" hidden="false" customHeight="false" outlineLevel="0" collapsed="false">
      <c r="A17" s="6" t="s">
        <v>80</v>
      </c>
      <c r="B17" s="21" t="n">
        <f aca="false">COUNTA(medicine_master!$A$2:$A$26)</f>
        <v>25</v>
      </c>
      <c r="C17" s="7" t="s">
        <v>81</v>
      </c>
    </row>
    <row r="18" customFormat="false" ht="15" hidden="false" customHeight="false" outlineLevel="0" collapsed="false">
      <c r="A18" s="6" t="s">
        <v>82</v>
      </c>
      <c r="B18" s="21" t="n">
        <f aca="false">SUMPRODUCT(1/COUNTIF(medicine_master!$C$2:$C$26,medicine_master!$C$2:$C$26))</f>
        <v>10</v>
      </c>
      <c r="C18" s="7" t="s">
        <v>83</v>
      </c>
    </row>
    <row r="19" customFormat="false" ht="15" hidden="false" customHeight="false" outlineLevel="0" collapsed="false">
      <c r="A19" s="6" t="s">
        <v>84</v>
      </c>
      <c r="B19" s="25" t="str">
        <f aca="false">INDEX(medicine_master!$B$2:$B$26,MATCH(MAX(medicine_master!$O$2:$O$26),medicine_master!$O$2:$O$26,0))</f>
        <v>Glimepiride 2mg</v>
      </c>
      <c r="C19" s="7" t="s">
        <v>85</v>
      </c>
    </row>
    <row r="20" customFormat="false" ht="15" hidden="false" customHeight="false" outlineLevel="0" collapsed="false">
      <c r="A20" s="6" t="s">
        <v>86</v>
      </c>
      <c r="B20" s="25" t="str">
        <f aca="false">INDEX(medicine_master!$B$2:$B$26,MATCH(MAX(medicine_master!$R$2:$R$26),medicine_master!$R$2:$R$26,0))</f>
        <v>Insulin Injection</v>
      </c>
      <c r="C20" s="7" t="s">
        <v>87</v>
      </c>
    </row>
    <row r="21" customFormat="false" ht="15" hidden="false" customHeight="false" outlineLevel="0" collapsed="false">
      <c r="A21" s="6" t="s">
        <v>88</v>
      </c>
      <c r="B21" s="25" t="str">
        <f aca="false">INDEX($A$28:$A$37,MATCH(MAX($E$28:$E$37),$E$28:$E$37,0))</f>
        <v>Diabetes</v>
      </c>
      <c r="C21" s="7" t="s">
        <v>89</v>
      </c>
    </row>
    <row r="22" customFormat="false" ht="15" hidden="false" customHeight="false" outlineLevel="0" collapsed="false">
      <c r="A22" s="6" t="s">
        <v>90</v>
      </c>
      <c r="B22" s="21" t="n">
        <f aca="false">COUNTIF(medicine_master!$T$2:$T$26,"High")</f>
        <v>9</v>
      </c>
      <c r="C22" s="7" t="s">
        <v>91</v>
      </c>
    </row>
    <row r="23" customFormat="false" ht="15" hidden="false" customHeight="false" outlineLevel="0" collapsed="false">
      <c r="A23" s="6" t="s">
        <v>92</v>
      </c>
      <c r="B23" s="21" t="n">
        <f aca="false">COUNTIF(medicine_master!$L$2:$L$26,"&lt;="&amp;Overview!$C$25)</f>
        <v>11</v>
      </c>
      <c r="C23" s="7" t="s">
        <v>93</v>
      </c>
    </row>
    <row r="26" customFormat="false" ht="15" hidden="false" customHeight="false" outlineLevel="0" collapsed="false">
      <c r="A26" s="3" t="s">
        <v>94</v>
      </c>
      <c r="C26" s="20" t="s">
        <v>95</v>
      </c>
    </row>
    <row r="27" customFormat="false" ht="15" hidden="false" customHeight="false" outlineLevel="0" collapsed="false">
      <c r="A27" s="5" t="s">
        <v>96</v>
      </c>
      <c r="B27" s="5" t="s">
        <v>48</v>
      </c>
      <c r="C27" s="5" t="s">
        <v>97</v>
      </c>
      <c r="D27" s="5" t="s">
        <v>47</v>
      </c>
      <c r="E27" s="5" t="s">
        <v>98</v>
      </c>
      <c r="F27" s="5" t="s">
        <v>99</v>
      </c>
      <c r="G27" s="5" t="s">
        <v>70</v>
      </c>
      <c r="H27" s="5" t="s">
        <v>100</v>
      </c>
    </row>
    <row r="28" customFormat="false" ht="15" hidden="false" customHeight="false" outlineLevel="0" collapsed="false">
      <c r="A28" s="7" t="s">
        <v>101</v>
      </c>
      <c r="B28" s="26" t="n">
        <f aca="false">COUNTIF(medicine_master!$C$2:$C$26,A28)</f>
        <v>3</v>
      </c>
      <c r="C28" s="27" t="n">
        <f aca="false">B28/B$38</f>
        <v>0.12</v>
      </c>
      <c r="D28" s="26" t="n">
        <f aca="false">SUMIFS(transactions!$E$2:$E$2601,transactions!$H$2:$H$2601,A28,transactions!$D$2:$D$2601,"Sale")</f>
        <v>5095</v>
      </c>
      <c r="E28" s="28" t="n">
        <f aca="false">SUMIFS(transactions!$N$2:$N$2601,transactions!$H$2:$H$2601,A28)</f>
        <v>517360</v>
      </c>
      <c r="F28" s="27" t="n">
        <f aca="false">E28/E$38</f>
        <v>0.285607030870468</v>
      </c>
      <c r="G28" s="28" t="n">
        <f aca="false">SUMIFS(transactions!$P$2:$P$2601,transactions!$H$2:$H$2601,A28)</f>
        <v>140420</v>
      </c>
      <c r="H28" s="27" t="n">
        <f aca="false">IF(E28=0,0,G28/E28)</f>
        <v>0.271416421833926</v>
      </c>
    </row>
    <row r="29" customFormat="false" ht="15" hidden="false" customHeight="false" outlineLevel="0" collapsed="false">
      <c r="A29" s="7" t="s">
        <v>102</v>
      </c>
      <c r="B29" s="26" t="n">
        <f aca="false">COUNTIF(medicine_master!$C$2:$C$26,A29)</f>
        <v>2</v>
      </c>
      <c r="C29" s="27" t="n">
        <f aca="false">B29/B$38</f>
        <v>0.08</v>
      </c>
      <c r="D29" s="26" t="n">
        <f aca="false">SUMIFS(transactions!$E$2:$E$2601,transactions!$H$2:$H$2601,A29,transactions!$D$2:$D$2601,"Sale")</f>
        <v>3055</v>
      </c>
      <c r="E29" s="28" t="n">
        <f aca="false">SUMIFS(transactions!$N$2:$N$2601,transactions!$H$2:$H$2601,A29)</f>
        <v>232760</v>
      </c>
      <c r="F29" s="27" t="n">
        <f aca="false">E29/E$38</f>
        <v>0.128494457448218</v>
      </c>
      <c r="G29" s="28" t="n">
        <f aca="false">SUMIFS(transactions!$P$2:$P$2601,transactions!$H$2:$H$2601,A29)</f>
        <v>64300</v>
      </c>
      <c r="H29" s="27" t="n">
        <f aca="false">IF(E29=0,0,G29/E29)</f>
        <v>0.276250214813542</v>
      </c>
    </row>
    <row r="30" customFormat="false" ht="15" hidden="false" customHeight="false" outlineLevel="0" collapsed="false">
      <c r="A30" s="7" t="s">
        <v>103</v>
      </c>
      <c r="B30" s="26" t="n">
        <f aca="false">COUNTIF(medicine_master!$C$2:$C$26,A30)</f>
        <v>2</v>
      </c>
      <c r="C30" s="27" t="n">
        <f aca="false">B30/B$38</f>
        <v>0.08</v>
      </c>
      <c r="D30" s="26" t="n">
        <f aca="false">SUMIFS(transactions!$E$2:$E$2601,transactions!$H$2:$H$2601,A30,transactions!$D$2:$D$2601,"Sale")</f>
        <v>2695</v>
      </c>
      <c r="E30" s="28" t="n">
        <f aca="false">SUMIFS(transactions!$N$2:$N$2601,transactions!$H$2:$H$2601,A30)</f>
        <v>171340</v>
      </c>
      <c r="F30" s="27" t="n">
        <f aca="false">E30/E$38</f>
        <v>0.0945877313076889</v>
      </c>
      <c r="G30" s="28" t="n">
        <f aca="false">SUMIFS(transactions!$P$2:$P$2601,transactions!$H$2:$H$2601,A30)</f>
        <v>55310</v>
      </c>
      <c r="H30" s="27" t="n">
        <f aca="false">IF(E30=0,0,G30/E30)</f>
        <v>0.322808451033034</v>
      </c>
    </row>
    <row r="31" customFormat="false" ht="15" hidden="false" customHeight="false" outlineLevel="0" collapsed="false">
      <c r="A31" s="7" t="s">
        <v>104</v>
      </c>
      <c r="B31" s="26" t="n">
        <f aca="false">COUNTIF(medicine_master!$C$2:$C$26,A31)</f>
        <v>3</v>
      </c>
      <c r="C31" s="27" t="n">
        <f aca="false">B31/B$38</f>
        <v>0.12</v>
      </c>
      <c r="D31" s="26" t="n">
        <f aca="false">SUMIFS(transactions!$E$2:$E$2601,transactions!$H$2:$H$2601,A31,transactions!$D$2:$D$2601,"Sale")</f>
        <v>4600</v>
      </c>
      <c r="E31" s="28" t="n">
        <f aca="false">SUMIFS(transactions!$N$2:$N$2601,transactions!$H$2:$H$2601,A31)</f>
        <v>168520</v>
      </c>
      <c r="F31" s="27" t="n">
        <f aca="false">E31/E$38</f>
        <v>0.0930309587952126</v>
      </c>
      <c r="G31" s="28" t="n">
        <f aca="false">SUMIFS(transactions!$P$2:$P$2601,transactions!$H$2:$H$2601,A31)</f>
        <v>51070</v>
      </c>
      <c r="H31" s="27" t="n">
        <f aca="false">IF(E31=0,0,G31/E31)</f>
        <v>0.303050083076193</v>
      </c>
    </row>
    <row r="32" customFormat="false" ht="15" hidden="false" customHeight="false" outlineLevel="0" collapsed="false">
      <c r="A32" s="7" t="s">
        <v>105</v>
      </c>
      <c r="B32" s="26" t="n">
        <f aca="false">COUNTIF(medicine_master!$C$2:$C$26,A32)</f>
        <v>2</v>
      </c>
      <c r="C32" s="27" t="n">
        <f aca="false">B32/B$38</f>
        <v>0.08</v>
      </c>
      <c r="D32" s="26" t="n">
        <f aca="false">SUMIFS(transactions!$E$2:$E$2601,transactions!$H$2:$H$2601,A32,transactions!$D$2:$D$2601,"Sale")</f>
        <v>3105</v>
      </c>
      <c r="E32" s="28" t="n">
        <f aca="false">SUMIFS(transactions!$N$2:$N$2601,transactions!$H$2:$H$2601,A32)</f>
        <v>162960</v>
      </c>
      <c r="F32" s="27" t="n">
        <f aca="false">E32/E$38</f>
        <v>0.0899615775294793</v>
      </c>
      <c r="G32" s="28" t="n">
        <f aca="false">SUMIFS(transactions!$P$2:$P$2601,transactions!$H$2:$H$2601,A32)</f>
        <v>52000</v>
      </c>
      <c r="H32" s="27" t="n">
        <f aca="false">IF(E32=0,0,G32/E32)</f>
        <v>0.319096710849288</v>
      </c>
    </row>
    <row r="33" customFormat="false" ht="15" hidden="false" customHeight="false" outlineLevel="0" collapsed="false">
      <c r="A33" s="7" t="s">
        <v>106</v>
      </c>
      <c r="B33" s="26" t="n">
        <f aca="false">COUNTIF(medicine_master!$C$2:$C$26,A33)</f>
        <v>2</v>
      </c>
      <c r="C33" s="27" t="n">
        <f aca="false">B33/B$38</f>
        <v>0.08</v>
      </c>
      <c r="D33" s="26" t="n">
        <f aca="false">SUMIFS(transactions!$E$2:$E$2601,transactions!$H$2:$H$2601,A33,transactions!$D$2:$D$2601,"Sale")</f>
        <v>3060</v>
      </c>
      <c r="E33" s="28" t="n">
        <f aca="false">SUMIFS(transactions!$N$2:$N$2601,transactions!$H$2:$H$2601,A33)</f>
        <v>138000</v>
      </c>
      <c r="F33" s="27" t="n">
        <f aca="false">E33/E$38</f>
        <v>0.0761824846530937</v>
      </c>
      <c r="G33" s="28" t="n">
        <f aca="false">SUMIFS(transactions!$P$2:$P$2601,transactions!$H$2:$H$2601,A33)</f>
        <v>41400</v>
      </c>
      <c r="H33" s="27" t="n">
        <f aca="false">IF(E33=0,0,G33/E33)</f>
        <v>0.3</v>
      </c>
    </row>
    <row r="34" customFormat="false" ht="15" hidden="false" customHeight="false" outlineLevel="0" collapsed="false">
      <c r="A34" s="7" t="s">
        <v>107</v>
      </c>
      <c r="B34" s="26" t="n">
        <f aca="false">COUNTIF(medicine_master!$C$2:$C$26,A34)</f>
        <v>3</v>
      </c>
      <c r="C34" s="27" t="n">
        <f aca="false">B34/B$38</f>
        <v>0.12</v>
      </c>
      <c r="D34" s="26" t="n">
        <f aca="false">SUMIFS(transactions!$E$2:$E$2601,transactions!$H$2:$H$2601,A34,transactions!$D$2:$D$2601,"Sale")</f>
        <v>4025</v>
      </c>
      <c r="E34" s="28" t="n">
        <f aca="false">SUMIFS(transactions!$N$2:$N$2601,transactions!$H$2:$H$2601,A34)</f>
        <v>132900</v>
      </c>
      <c r="F34" s="27" t="n">
        <f aca="false">E34/E$38</f>
        <v>0.0733670450028706</v>
      </c>
      <c r="G34" s="28" t="n">
        <f aca="false">SUMIFS(transactions!$P$2:$P$2601,transactions!$H$2:$H$2601,A34)</f>
        <v>40920</v>
      </c>
      <c r="H34" s="27" t="n">
        <f aca="false">IF(E34=0,0,G34/E34)</f>
        <v>0.307900677200903</v>
      </c>
    </row>
    <row r="35" customFormat="false" ht="15" hidden="false" customHeight="false" outlineLevel="0" collapsed="false">
      <c r="A35" s="7" t="s">
        <v>108</v>
      </c>
      <c r="B35" s="26" t="n">
        <f aca="false">COUNTIF(medicine_master!$C$2:$C$26,A35)</f>
        <v>3</v>
      </c>
      <c r="C35" s="27" t="n">
        <f aca="false">B35/B$38</f>
        <v>0.12</v>
      </c>
      <c r="D35" s="26" t="n">
        <f aca="false">SUMIFS(transactions!$E$2:$E$2601,transactions!$H$2:$H$2601,A35,transactions!$D$2:$D$2601,"Sale")</f>
        <v>4420</v>
      </c>
      <c r="E35" s="28" t="n">
        <f aca="false">SUMIFS(transactions!$N$2:$N$2601,transactions!$H$2:$H$2601,A35)</f>
        <v>107350</v>
      </c>
      <c r="F35" s="27" t="n">
        <f aca="false">E35/E$38</f>
        <v>0.0592622444022435</v>
      </c>
      <c r="G35" s="28" t="n">
        <f aca="false">SUMIFS(transactions!$P$2:$P$2601,transactions!$H$2:$H$2601,A35)</f>
        <v>36380</v>
      </c>
      <c r="H35" s="27" t="n">
        <f aca="false">IF(E35=0,0,G35/E35)</f>
        <v>0.338891476478808</v>
      </c>
    </row>
    <row r="36" customFormat="false" ht="15" hidden="false" customHeight="false" outlineLevel="0" collapsed="false">
      <c r="A36" s="7" t="s">
        <v>109</v>
      </c>
      <c r="B36" s="26" t="n">
        <f aca="false">COUNTIF(medicine_master!$C$2:$C$26,A36)</f>
        <v>2</v>
      </c>
      <c r="C36" s="27" t="n">
        <f aca="false">B36/B$38</f>
        <v>0.08</v>
      </c>
      <c r="D36" s="26" t="n">
        <f aca="false">SUMIFS(transactions!$E$2:$E$2601,transactions!$H$2:$H$2601,A36,transactions!$D$2:$D$2601,"Sale")</f>
        <v>2945</v>
      </c>
      <c r="E36" s="28" t="n">
        <f aca="false">SUMIFS(transactions!$N$2:$N$2601,transactions!$H$2:$H$2601,A36)</f>
        <v>90475</v>
      </c>
      <c r="F36" s="27" t="n">
        <f aca="false">E36/E$38</f>
        <v>0.0499464514419467</v>
      </c>
      <c r="G36" s="28" t="n">
        <f aca="false">SUMIFS(transactions!$P$2:$P$2601,transactions!$H$2:$H$2601,A36)</f>
        <v>28195</v>
      </c>
      <c r="H36" s="27" t="n">
        <f aca="false">IF(E36=0,0,G36/E36)</f>
        <v>0.311633047803261</v>
      </c>
    </row>
    <row r="37" customFormat="false" ht="15" hidden="false" customHeight="false" outlineLevel="0" collapsed="false">
      <c r="A37" s="7" t="s">
        <v>110</v>
      </c>
      <c r="B37" s="26" t="n">
        <f aca="false">COUNTIF(medicine_master!$C$2:$C$26,A37)</f>
        <v>3</v>
      </c>
      <c r="C37" s="27" t="n">
        <f aca="false">B37/B$38</f>
        <v>0.12</v>
      </c>
      <c r="D37" s="26" t="n">
        <f aca="false">SUMIFS(transactions!$E$2:$E$2601,transactions!$H$2:$H$2601,A37,transactions!$D$2:$D$2601,"Sale")</f>
        <v>4285</v>
      </c>
      <c r="E37" s="28" t="n">
        <f aca="false">SUMIFS(transactions!$N$2:$N$2601,transactions!$H$2:$H$2601,A37)</f>
        <v>89775</v>
      </c>
      <c r="F37" s="27" t="n">
        <f aca="false">E37/E$38</f>
        <v>0.0495600185487789</v>
      </c>
      <c r="G37" s="28" t="n">
        <f aca="false">SUMIFS(transactions!$P$2:$P$2601,transactions!$H$2:$H$2601,A37)</f>
        <v>28925</v>
      </c>
      <c r="H37" s="27" t="n">
        <f aca="false">IF(E37=0,0,G37/E37)</f>
        <v>0.322194374825954</v>
      </c>
    </row>
    <row r="38" customFormat="false" ht="15" hidden="false" customHeight="false" outlineLevel="0" collapsed="false">
      <c r="A38" s="29" t="s">
        <v>111</v>
      </c>
      <c r="B38" s="30" t="n">
        <f aca="false">SUM(B28:B37)</f>
        <v>25</v>
      </c>
      <c r="C38" s="31" t="n">
        <f aca="false">SUM(C28:C37)</f>
        <v>1</v>
      </c>
      <c r="D38" s="30" t="n">
        <f aca="false">SUM(D28:D37)</f>
        <v>37285</v>
      </c>
      <c r="E38" s="32" t="n">
        <f aca="false">SUM(E28:E37)</f>
        <v>1811440</v>
      </c>
      <c r="F38" s="31" t="n">
        <f aca="false">SUM(F28:F37)</f>
        <v>1</v>
      </c>
      <c r="G38" s="32" t="n">
        <f aca="false">SUM(G28:G37)</f>
        <v>538920</v>
      </c>
      <c r="H38" s="31" t="n">
        <f aca="false">IF(E38=0,0,G38/E38)</f>
        <v>0.297509163980038</v>
      </c>
    </row>
    <row r="41" customFormat="false" ht="15" hidden="false" customHeight="false" outlineLevel="0" collapsed="false">
      <c r="A41" s="3" t="s">
        <v>112</v>
      </c>
      <c r="C41" s="20" t="s">
        <v>113</v>
      </c>
    </row>
    <row r="42" customFormat="false" ht="15" hidden="false" customHeight="false" outlineLevel="0" collapsed="false">
      <c r="A42" s="5" t="s">
        <v>114</v>
      </c>
      <c r="B42" s="5" t="s">
        <v>115</v>
      </c>
      <c r="C42" s="5" t="s">
        <v>47</v>
      </c>
      <c r="D42" s="5" t="s">
        <v>98</v>
      </c>
      <c r="E42" s="5" t="s">
        <v>70</v>
      </c>
      <c r="F42" s="5" t="s">
        <v>116</v>
      </c>
      <c r="G42" s="5" t="s">
        <v>117</v>
      </c>
    </row>
    <row r="43" customFormat="false" ht="15" hidden="false" customHeight="false" outlineLevel="0" collapsed="false">
      <c r="A43" s="7" t="n">
        <v>1</v>
      </c>
      <c r="B43" s="7" t="s">
        <v>118</v>
      </c>
      <c r="C43" s="26" t="n">
        <f aca="false">SUMIFS(transactions!$E$2:$E$2601,transactions!$J$2:$J$2601,A43,transactions!$D$2:$D$2601,"Sale")</f>
        <v>3115</v>
      </c>
      <c r="D43" s="28" t="n">
        <f aca="false">SUMIFS(transactions!$N$2:$N$2601,transactions!$J$2:$J$2601,A43)</f>
        <v>150690</v>
      </c>
      <c r="E43" s="28" t="n">
        <f aca="false">SUMIFS(transactions!$P$2:$P$2601,transactions!$J$2:$J$2601,A43)</f>
        <v>44970</v>
      </c>
      <c r="F43" s="26" t="n">
        <f aca="false">SUMIFS(transactions!$E$2:$E$2601,transactions!$J$2:$J$2601,A43,transactions!$D$2:$D$2601,"Purchase")</f>
        <v>1860</v>
      </c>
      <c r="G43" s="26" t="n">
        <f aca="false">COUNTIF(transactions!$J$2:$J$2601,A43)</f>
        <v>208</v>
      </c>
    </row>
    <row r="44" customFormat="false" ht="15" hidden="false" customHeight="false" outlineLevel="0" collapsed="false">
      <c r="A44" s="7" t="n">
        <v>2</v>
      </c>
      <c r="B44" s="7" t="s">
        <v>119</v>
      </c>
      <c r="C44" s="26" t="n">
        <f aca="false">SUMIFS(transactions!$E$2:$E$2601,transactions!$J$2:$J$2601,A44,transactions!$D$2:$D$2601,"Sale")</f>
        <v>3255</v>
      </c>
      <c r="D44" s="28" t="n">
        <f aca="false">SUMIFS(transactions!$N$2:$N$2601,transactions!$J$2:$J$2601,A44)</f>
        <v>157420</v>
      </c>
      <c r="E44" s="28" t="n">
        <f aca="false">SUMIFS(transactions!$P$2:$P$2601,transactions!$J$2:$J$2601,A44)</f>
        <v>46935</v>
      </c>
      <c r="F44" s="26" t="n">
        <f aca="false">SUMIFS(transactions!$E$2:$E$2601,transactions!$J$2:$J$2601,A44,transactions!$D$2:$D$2601,"Purchase")</f>
        <v>1895</v>
      </c>
      <c r="G44" s="26" t="n">
        <f aca="false">COUNTIF(transactions!$J$2:$J$2601,A44)</f>
        <v>221</v>
      </c>
    </row>
    <row r="45" customFormat="false" ht="15" hidden="false" customHeight="false" outlineLevel="0" collapsed="false">
      <c r="A45" s="7" t="n">
        <v>3</v>
      </c>
      <c r="B45" s="7" t="s">
        <v>120</v>
      </c>
      <c r="C45" s="26" t="n">
        <f aca="false">SUMIFS(transactions!$E$2:$E$2601,transactions!$J$2:$J$2601,A45,transactions!$D$2:$D$2601,"Sale")</f>
        <v>2800</v>
      </c>
      <c r="D45" s="28" t="n">
        <f aca="false">SUMIFS(transactions!$N$2:$N$2601,transactions!$J$2:$J$2601,A45)</f>
        <v>148170</v>
      </c>
      <c r="E45" s="28" t="n">
        <f aca="false">SUMIFS(transactions!$P$2:$P$2601,transactions!$J$2:$J$2601,A45)</f>
        <v>43205</v>
      </c>
      <c r="F45" s="26" t="n">
        <f aca="false">SUMIFS(transactions!$E$2:$E$2601,transactions!$J$2:$J$2601,A45,transactions!$D$2:$D$2601,"Purchase")</f>
        <v>1855</v>
      </c>
      <c r="G45" s="26" t="n">
        <f aca="false">COUNTIF(transactions!$J$2:$J$2601,A45)</f>
        <v>217</v>
      </c>
    </row>
    <row r="46" customFormat="false" ht="15" hidden="false" customHeight="false" outlineLevel="0" collapsed="false">
      <c r="A46" s="7" t="n">
        <v>4</v>
      </c>
      <c r="B46" s="7" t="s">
        <v>121</v>
      </c>
      <c r="C46" s="26" t="n">
        <f aca="false">SUMIFS(transactions!$E$2:$E$2601,transactions!$J$2:$J$2601,A46,transactions!$D$2:$D$2601,"Sale")</f>
        <v>3075</v>
      </c>
      <c r="D46" s="28" t="n">
        <f aca="false">SUMIFS(transactions!$N$2:$N$2601,transactions!$J$2:$J$2601,A46)</f>
        <v>157785</v>
      </c>
      <c r="E46" s="28" t="n">
        <f aca="false">SUMIFS(transactions!$P$2:$P$2601,transactions!$J$2:$J$2601,A46)</f>
        <v>46395</v>
      </c>
      <c r="F46" s="26" t="n">
        <f aca="false">SUMIFS(transactions!$E$2:$E$2601,transactions!$J$2:$J$2601,A46,transactions!$D$2:$D$2601,"Purchase")</f>
        <v>2145</v>
      </c>
      <c r="G46" s="26" t="n">
        <f aca="false">COUNTIF(transactions!$J$2:$J$2601,A46)</f>
        <v>230</v>
      </c>
    </row>
    <row r="47" customFormat="false" ht="15" hidden="false" customHeight="false" outlineLevel="0" collapsed="false">
      <c r="A47" s="7" t="n">
        <v>5</v>
      </c>
      <c r="B47" s="7" t="s">
        <v>122</v>
      </c>
      <c r="C47" s="26" t="n">
        <f aca="false">SUMIFS(transactions!$E$2:$E$2601,transactions!$J$2:$J$2601,A47,transactions!$D$2:$D$2601,"Sale")</f>
        <v>2995</v>
      </c>
      <c r="D47" s="28" t="n">
        <f aca="false">SUMIFS(transactions!$N$2:$N$2601,transactions!$J$2:$J$2601,A47)</f>
        <v>149040</v>
      </c>
      <c r="E47" s="28" t="n">
        <f aca="false">SUMIFS(transactions!$P$2:$P$2601,transactions!$J$2:$J$2601,A47)</f>
        <v>43810</v>
      </c>
      <c r="F47" s="26" t="n">
        <f aca="false">SUMIFS(transactions!$E$2:$E$2601,transactions!$J$2:$J$2601,A47,transactions!$D$2:$D$2601,"Purchase")</f>
        <v>1775</v>
      </c>
      <c r="G47" s="26" t="n">
        <f aca="false">COUNTIF(transactions!$J$2:$J$2601,A47)</f>
        <v>210</v>
      </c>
    </row>
    <row r="48" customFormat="false" ht="15" hidden="false" customHeight="false" outlineLevel="0" collapsed="false">
      <c r="A48" s="7" t="n">
        <v>6</v>
      </c>
      <c r="B48" s="7" t="s">
        <v>123</v>
      </c>
      <c r="C48" s="26" t="n">
        <f aca="false">SUMIFS(transactions!$E$2:$E$2601,transactions!$J$2:$J$2601,A48,transactions!$D$2:$D$2601,"Sale")</f>
        <v>3230</v>
      </c>
      <c r="D48" s="28" t="n">
        <f aca="false">SUMIFS(transactions!$N$2:$N$2601,transactions!$J$2:$J$2601,A48)</f>
        <v>138700</v>
      </c>
      <c r="E48" s="28" t="n">
        <f aca="false">SUMIFS(transactions!$P$2:$P$2601,transactions!$J$2:$J$2601,A48)</f>
        <v>41760</v>
      </c>
      <c r="F48" s="26" t="n">
        <f aca="false">SUMIFS(transactions!$E$2:$E$2601,transactions!$J$2:$J$2601,A48,transactions!$D$2:$D$2601,"Purchase")</f>
        <v>1965</v>
      </c>
      <c r="G48" s="26" t="n">
        <f aca="false">COUNTIF(transactions!$J$2:$J$2601,A48)</f>
        <v>220</v>
      </c>
    </row>
    <row r="49" customFormat="false" ht="15" hidden="false" customHeight="false" outlineLevel="0" collapsed="false">
      <c r="A49" s="7" t="n">
        <v>7</v>
      </c>
      <c r="B49" s="7" t="s">
        <v>124</v>
      </c>
      <c r="C49" s="26" t="n">
        <f aca="false">SUMIFS(transactions!$E$2:$E$2601,transactions!$J$2:$J$2601,A49,transactions!$D$2:$D$2601,"Sale")</f>
        <v>3135</v>
      </c>
      <c r="D49" s="28" t="n">
        <f aca="false">SUMIFS(transactions!$N$2:$N$2601,transactions!$J$2:$J$2601,A49)</f>
        <v>153385</v>
      </c>
      <c r="E49" s="28" t="n">
        <f aca="false">SUMIFS(transactions!$P$2:$P$2601,transactions!$J$2:$J$2601,A49)</f>
        <v>45175</v>
      </c>
      <c r="F49" s="26" t="n">
        <f aca="false">SUMIFS(transactions!$E$2:$E$2601,transactions!$J$2:$J$2601,A49,transactions!$D$2:$D$2601,"Purchase")</f>
        <v>1925</v>
      </c>
      <c r="G49" s="26" t="n">
        <f aca="false">COUNTIF(transactions!$J$2:$J$2601,A49)</f>
        <v>215</v>
      </c>
    </row>
    <row r="50" customFormat="false" ht="15" hidden="false" customHeight="false" outlineLevel="0" collapsed="false">
      <c r="A50" s="7" t="n">
        <v>8</v>
      </c>
      <c r="B50" s="7" t="s">
        <v>125</v>
      </c>
      <c r="C50" s="26" t="n">
        <f aca="false">SUMIFS(transactions!$E$2:$E$2601,transactions!$J$2:$J$2601,A50,transactions!$D$2:$D$2601,"Sale")</f>
        <v>3395</v>
      </c>
      <c r="D50" s="28" t="n">
        <f aca="false">SUMIFS(transactions!$N$2:$N$2601,transactions!$J$2:$J$2601,A50)</f>
        <v>138915</v>
      </c>
      <c r="E50" s="28" t="n">
        <f aca="false">SUMIFS(transactions!$P$2:$P$2601,transactions!$J$2:$J$2601,A50)</f>
        <v>42855</v>
      </c>
      <c r="F50" s="26" t="n">
        <f aca="false">SUMIFS(transactions!$E$2:$E$2601,transactions!$J$2:$J$2601,A50,transactions!$D$2:$D$2601,"Purchase")</f>
        <v>2415</v>
      </c>
      <c r="G50" s="26" t="n">
        <f aca="false">COUNTIF(transactions!$J$2:$J$2601,A50)</f>
        <v>238</v>
      </c>
    </row>
    <row r="51" customFormat="false" ht="15" hidden="false" customHeight="false" outlineLevel="0" collapsed="false">
      <c r="A51" s="7" t="n">
        <v>9</v>
      </c>
      <c r="B51" s="7" t="s">
        <v>126</v>
      </c>
      <c r="C51" s="26" t="n">
        <f aca="false">SUMIFS(transactions!$E$2:$E$2601,transactions!$J$2:$J$2601,A51,transactions!$D$2:$D$2601,"Sale")</f>
        <v>3030</v>
      </c>
      <c r="D51" s="28" t="n">
        <f aca="false">SUMIFS(transactions!$N$2:$N$2601,transactions!$J$2:$J$2601,A51)</f>
        <v>160650</v>
      </c>
      <c r="E51" s="28" t="n">
        <f aca="false">SUMIFS(transactions!$P$2:$P$2601,transactions!$J$2:$J$2601,A51)</f>
        <v>47555</v>
      </c>
      <c r="F51" s="26" t="n">
        <f aca="false">SUMIFS(transactions!$E$2:$E$2601,transactions!$J$2:$J$2601,A51,transactions!$D$2:$D$2601,"Purchase")</f>
        <v>2075</v>
      </c>
      <c r="G51" s="26" t="n">
        <f aca="false">COUNTIF(transactions!$J$2:$J$2601,A51)</f>
        <v>206</v>
      </c>
    </row>
    <row r="52" customFormat="false" ht="15" hidden="false" customHeight="false" outlineLevel="0" collapsed="false">
      <c r="A52" s="7" t="n">
        <v>10</v>
      </c>
      <c r="B52" s="7" t="s">
        <v>127</v>
      </c>
      <c r="C52" s="26" t="n">
        <f aca="false">SUMIFS(transactions!$E$2:$E$2601,transactions!$J$2:$J$2601,A52,transactions!$D$2:$D$2601,"Sale")</f>
        <v>3120</v>
      </c>
      <c r="D52" s="28" t="n">
        <f aca="false">SUMIFS(transactions!$N$2:$N$2601,transactions!$J$2:$J$2601,A52)</f>
        <v>153900</v>
      </c>
      <c r="E52" s="28" t="n">
        <f aca="false">SUMIFS(transactions!$P$2:$P$2601,transactions!$J$2:$J$2601,A52)</f>
        <v>45785</v>
      </c>
      <c r="F52" s="26" t="n">
        <f aca="false">SUMIFS(transactions!$E$2:$E$2601,transactions!$J$2:$J$2601,A52,transactions!$D$2:$D$2601,"Purchase")</f>
        <v>1750</v>
      </c>
      <c r="G52" s="26" t="n">
        <f aca="false">COUNTIF(transactions!$J$2:$J$2601,A52)</f>
        <v>204</v>
      </c>
    </row>
    <row r="53" customFormat="false" ht="15" hidden="false" customHeight="false" outlineLevel="0" collapsed="false">
      <c r="A53" s="7" t="n">
        <v>11</v>
      </c>
      <c r="B53" s="7" t="s">
        <v>128</v>
      </c>
      <c r="C53" s="26" t="n">
        <f aca="false">SUMIFS(transactions!$E$2:$E$2601,transactions!$J$2:$J$2601,A53,transactions!$D$2:$D$2601,"Sale")</f>
        <v>3220</v>
      </c>
      <c r="D53" s="28" t="n">
        <f aca="false">SUMIFS(transactions!$N$2:$N$2601,transactions!$J$2:$J$2601,A53)</f>
        <v>168135</v>
      </c>
      <c r="E53" s="28" t="n">
        <f aca="false">SUMIFS(transactions!$P$2:$P$2601,transactions!$J$2:$J$2601,A53)</f>
        <v>49970</v>
      </c>
      <c r="F53" s="26" t="n">
        <f aca="false">SUMIFS(transactions!$E$2:$E$2601,transactions!$J$2:$J$2601,A53,transactions!$D$2:$D$2601,"Purchase")</f>
        <v>1820</v>
      </c>
      <c r="G53" s="26" t="n">
        <f aca="false">COUNTIF(transactions!$J$2:$J$2601,A53)</f>
        <v>212</v>
      </c>
    </row>
    <row r="54" customFormat="false" ht="15" hidden="false" customHeight="false" outlineLevel="0" collapsed="false">
      <c r="A54" s="7" t="n">
        <v>12</v>
      </c>
      <c r="B54" s="7" t="s">
        <v>129</v>
      </c>
      <c r="C54" s="26" t="n">
        <f aca="false">SUMIFS(transactions!$E$2:$E$2601,transactions!$J$2:$J$2601,A54,transactions!$D$2:$D$2601,"Sale")</f>
        <v>2915</v>
      </c>
      <c r="D54" s="28" t="n">
        <f aca="false">SUMIFS(transactions!$N$2:$N$2601,transactions!$J$2:$J$2601,A54)</f>
        <v>134650</v>
      </c>
      <c r="E54" s="28" t="n">
        <f aca="false">SUMIFS(transactions!$P$2:$P$2601,transactions!$J$2:$J$2601,A54)</f>
        <v>40505</v>
      </c>
      <c r="F54" s="26" t="n">
        <f aca="false">SUMIFS(transactions!$E$2:$E$2601,transactions!$J$2:$J$2601,A54,transactions!$D$2:$D$2601,"Purchase")</f>
        <v>2115</v>
      </c>
      <c r="G54" s="26" t="n">
        <f aca="false">COUNTIF(transactions!$J$2:$J$2601,A54)</f>
        <v>219</v>
      </c>
    </row>
    <row r="55" customFormat="false" ht="15" hidden="false" customHeight="false" outlineLevel="0" collapsed="false">
      <c r="A55" s="29"/>
      <c r="B55" s="29" t="s">
        <v>111</v>
      </c>
      <c r="C55" s="30" t="n">
        <f aca="false">SUM(C43:C54)</f>
        <v>37285</v>
      </c>
      <c r="D55" s="32" t="n">
        <f aca="false">SUM(D43:D54)</f>
        <v>1811440</v>
      </c>
      <c r="E55" s="32" t="n">
        <f aca="false">SUM(E43:E54)</f>
        <v>538920</v>
      </c>
      <c r="F55" s="30" t="n">
        <f aca="false">SUM(F43:F54)</f>
        <v>23595</v>
      </c>
      <c r="G55" s="30" t="n">
        <f aca="false">SUM(G43:G54)</f>
        <v>2600</v>
      </c>
    </row>
    <row r="58" customFormat="false" ht="15" hidden="false" customHeight="false" outlineLevel="0" collapsed="false">
      <c r="A58" s="3" t="s">
        <v>130</v>
      </c>
      <c r="C58" s="20" t="s">
        <v>131</v>
      </c>
    </row>
    <row r="59" customFormat="false" ht="15" hidden="false" customHeight="false" outlineLevel="0" collapsed="false">
      <c r="A59" s="5" t="s">
        <v>132</v>
      </c>
      <c r="B59" s="5" t="s">
        <v>117</v>
      </c>
      <c r="C59" s="5" t="s">
        <v>133</v>
      </c>
      <c r="D59" s="5" t="s">
        <v>134</v>
      </c>
      <c r="E59" s="5" t="s">
        <v>135</v>
      </c>
      <c r="F59" s="5" t="s">
        <v>136</v>
      </c>
    </row>
    <row r="60" customFormat="false" ht="15" hidden="false" customHeight="false" outlineLevel="0" collapsed="false">
      <c r="A60" s="7" t="s">
        <v>137</v>
      </c>
      <c r="B60" s="26" t="n">
        <f aca="false">COUNTIF(transactions!$D$2:$D$2601,A60)</f>
        <v>1594</v>
      </c>
      <c r="C60" s="27" t="n">
        <f aca="false">B60/B$62</f>
        <v>0.613076923076923</v>
      </c>
      <c r="D60" s="26" t="n">
        <f aca="false">SUMIFS(transactions!$E$2:$E$2601,transactions!$D$2:$D$2601,A60)</f>
        <v>37285</v>
      </c>
      <c r="E60" s="33" t="n">
        <f aca="false">D60/B60</f>
        <v>23.3908406524467</v>
      </c>
      <c r="F60" s="28" t="n">
        <f aca="false">IF(A60="Sale",SUM(transactions!$N$2:$N$2601),SUM(transactions!$Q$2:$Q$2601))</f>
        <v>1811440</v>
      </c>
    </row>
    <row r="61" customFormat="false" ht="15" hidden="false" customHeight="false" outlineLevel="0" collapsed="false">
      <c r="A61" s="7" t="s">
        <v>138</v>
      </c>
      <c r="B61" s="26" t="n">
        <f aca="false">COUNTIF(transactions!$D$2:$D$2601,A61)</f>
        <v>1006</v>
      </c>
      <c r="C61" s="27" t="n">
        <f aca="false">B61/B$62</f>
        <v>0.386923076923077</v>
      </c>
      <c r="D61" s="26" t="n">
        <f aca="false">SUMIFS(transactions!$E$2:$E$2601,transactions!$D$2:$D$2601,A61)</f>
        <v>23595</v>
      </c>
      <c r="E61" s="33" t="n">
        <f aca="false">D61/B61</f>
        <v>23.4542743538767</v>
      </c>
      <c r="F61" s="28" t="n">
        <f aca="false">IF(A61="Sale",SUM(transactions!$N$2:$N$2601),SUM(transactions!$Q$2:$Q$2601))</f>
        <v>757815</v>
      </c>
    </row>
    <row r="62" customFormat="false" ht="15" hidden="false" customHeight="false" outlineLevel="0" collapsed="false">
      <c r="A62" s="29" t="s">
        <v>111</v>
      </c>
      <c r="B62" s="30" t="n">
        <f aca="false">SUM(B60:B61)</f>
        <v>2600</v>
      </c>
      <c r="C62" s="31" t="n">
        <f aca="false">SUM(C60:C61)</f>
        <v>1</v>
      </c>
      <c r="D62" s="30" t="n">
        <f aca="false">SUM(D60:D61)</f>
        <v>60880</v>
      </c>
      <c r="E62" s="34"/>
      <c r="F62" s="32"/>
    </row>
    <row r="66" customFormat="false" ht="15" hidden="false" customHeight="false" outlineLevel="0" collapsed="false">
      <c r="A66" s="3" t="s">
        <v>139</v>
      </c>
      <c r="C66" s="20" t="s">
        <v>140</v>
      </c>
    </row>
    <row r="67" customFormat="false" ht="15" hidden="false" customHeight="false" outlineLevel="0" collapsed="false">
      <c r="A67" s="5" t="s">
        <v>141</v>
      </c>
      <c r="B67" s="5" t="s">
        <v>142</v>
      </c>
      <c r="C67" s="5" t="s">
        <v>143</v>
      </c>
      <c r="D67" s="5" t="s">
        <v>47</v>
      </c>
      <c r="E67" s="5" t="s">
        <v>98</v>
      </c>
      <c r="F67" s="5" t="s">
        <v>96</v>
      </c>
    </row>
    <row r="68" customFormat="false" ht="15" hidden="false" customHeight="false" outlineLevel="0" collapsed="false">
      <c r="A68" s="7" t="n">
        <v>1</v>
      </c>
      <c r="B68" s="7" t="s">
        <v>144</v>
      </c>
      <c r="C68" s="7" t="str">
        <f aca="false">INDEX(medicine_master!$B$2:$B$26,MATCH($B68,medicine_master!$A$2:$A$26,0))</f>
        <v>Glimepiride 2mg</v>
      </c>
      <c r="D68" s="26" t="n">
        <f aca="false">INDEX(medicine_master!$O$2:$O$26,MATCH($B68,medicine_master!$A$2:$A$26,0))</f>
        <v>2050</v>
      </c>
      <c r="E68" s="28" t="n">
        <f aca="false">INDEX(medicine_master!$R$2:$R$26,MATCH($B68,medicine_master!$A$2:$A$26,0))</f>
        <v>106600</v>
      </c>
      <c r="F68" s="7" t="str">
        <f aca="false">INDEX(medicine_master!$C$2:$C$26,MATCH($B68,medicine_master!$A$2:$A$26,0))</f>
        <v>Diabetes</v>
      </c>
    </row>
    <row r="69" customFormat="false" ht="15" hidden="false" customHeight="false" outlineLevel="0" collapsed="false">
      <c r="A69" s="7" t="n">
        <v>2</v>
      </c>
      <c r="B69" s="7" t="s">
        <v>145</v>
      </c>
      <c r="C69" s="7" t="str">
        <f aca="false">INDEX(medicine_master!$B$2:$B$26,MATCH($B69,medicine_master!$A$2:$A$26,0))</f>
        <v>Clotrimazole Cream</v>
      </c>
      <c r="D69" s="26" t="n">
        <f aca="false">INDEX(medicine_master!$O$2:$O$26,MATCH($B69,medicine_master!$A$2:$A$26,0))</f>
        <v>1945</v>
      </c>
      <c r="E69" s="28" t="n">
        <f aca="false">INDEX(medicine_master!$R$2:$R$26,MATCH($B69,medicine_master!$A$2:$A$26,0))</f>
        <v>93360</v>
      </c>
      <c r="F69" s="7" t="str">
        <f aca="false">INDEX(medicine_master!$C$2:$C$26,MATCH($B69,medicine_master!$A$2:$A$26,0))</f>
        <v>Dermatology</v>
      </c>
    </row>
    <row r="70" customFormat="false" ht="15" hidden="false" customHeight="false" outlineLevel="0" collapsed="false">
      <c r="A70" s="7" t="n">
        <v>3</v>
      </c>
      <c r="B70" s="7" t="s">
        <v>146</v>
      </c>
      <c r="C70" s="7" t="str">
        <f aca="false">INDEX(medicine_master!$B$2:$B$26,MATCH($B70,medicine_master!$A$2:$A$26,0))</f>
        <v>Diclofenac Gel</v>
      </c>
      <c r="D70" s="26" t="n">
        <f aca="false">INDEX(medicine_master!$O$2:$O$26,MATCH($B70,medicine_master!$A$2:$A$26,0))</f>
        <v>1900</v>
      </c>
      <c r="E70" s="28" t="n">
        <f aca="false">INDEX(medicine_master!$R$2:$R$26,MATCH($B70,medicine_master!$A$2:$A$26,0))</f>
        <v>104500</v>
      </c>
      <c r="F70" s="7" t="str">
        <f aca="false">INDEX(medicine_master!$C$2:$C$26,MATCH($B70,medicine_master!$A$2:$A$26,0))</f>
        <v>Pain Relief</v>
      </c>
    </row>
    <row r="71" customFormat="false" ht="15" hidden="false" customHeight="false" outlineLevel="0" collapsed="false">
      <c r="A71" s="7" t="n">
        <v>4</v>
      </c>
      <c r="B71" s="7" t="s">
        <v>147</v>
      </c>
      <c r="C71" s="7" t="str">
        <f aca="false">INDEX(medicine_master!$B$2:$B$26,MATCH($B71,medicine_master!$A$2:$A$26,0))</f>
        <v>Insulin Injection</v>
      </c>
      <c r="D71" s="26" t="n">
        <f aca="false">INDEX(medicine_master!$O$2:$O$26,MATCH($B71,medicine_master!$A$2:$A$26,0))</f>
        <v>1680</v>
      </c>
      <c r="E71" s="28" t="n">
        <f aca="false">INDEX(medicine_master!$R$2:$R$26,MATCH($B71,medicine_master!$A$2:$A$26,0))</f>
        <v>378000</v>
      </c>
      <c r="F71" s="7" t="str">
        <f aca="false">INDEX(medicine_master!$C$2:$C$26,MATCH($B71,medicine_master!$A$2:$A$26,0))</f>
        <v>Diabetes</v>
      </c>
    </row>
    <row r="72" customFormat="false" ht="15" hidden="false" customHeight="false" outlineLevel="0" collapsed="false">
      <c r="A72" s="7" t="n">
        <v>5</v>
      </c>
      <c r="B72" s="7" t="s">
        <v>148</v>
      </c>
      <c r="C72" s="7" t="str">
        <f aca="false">INDEX(medicine_master!$B$2:$B$26,MATCH($B72,medicine_master!$A$2:$A$26,0))</f>
        <v>Dextromethorphan Syrup</v>
      </c>
      <c r="D72" s="26" t="n">
        <f aca="false">INDEX(medicine_master!$O$2:$O$26,MATCH($B72,medicine_master!$A$2:$A$26,0))</f>
        <v>1600</v>
      </c>
      <c r="E72" s="28" t="n">
        <f aca="false">INDEX(medicine_master!$R$2:$R$26,MATCH($B72,medicine_master!$A$2:$A$26,0))</f>
        <v>128000</v>
      </c>
      <c r="F72" s="7" t="str">
        <f aca="false">INDEX(medicine_master!$C$2:$C$26,MATCH($B72,medicine_master!$A$2:$A$26,0))</f>
        <v>Cold &amp; Cough</v>
      </c>
    </row>
    <row r="73" customFormat="false" ht="15" hidden="false" customHeight="false" outlineLevel="0" collapsed="false">
      <c r="A73" s="7" t="n">
        <v>6</v>
      </c>
      <c r="B73" s="7" t="s">
        <v>149</v>
      </c>
      <c r="C73" s="7" t="str">
        <f aca="false">INDEX(medicine_master!$B$2:$B$26,MATCH($B73,medicine_master!$A$2:$A$26,0))</f>
        <v>Azithromycin 500mg</v>
      </c>
      <c r="D73" s="26" t="n">
        <f aca="false">INDEX(medicine_master!$O$2:$O$26,MATCH($B73,medicine_master!$A$2:$A$26,0))</f>
        <v>1560</v>
      </c>
      <c r="E73" s="28" t="n">
        <f aca="false">INDEX(medicine_master!$R$2:$R$26,MATCH($B73,medicine_master!$A$2:$A$26,0))</f>
        <v>78000</v>
      </c>
      <c r="F73" s="7" t="str">
        <f aca="false">INDEX(medicine_master!$C$2:$C$26,MATCH($B73,medicine_master!$A$2:$A$26,0))</f>
        <v>Antibiotic</v>
      </c>
    </row>
    <row r="74" customFormat="false" ht="15" hidden="false" customHeight="false" outlineLevel="0" collapsed="false">
      <c r="A74" s="7" t="n">
        <v>7</v>
      </c>
      <c r="B74" s="7" t="s">
        <v>150</v>
      </c>
      <c r="C74" s="7" t="str">
        <f aca="false">INDEX(medicine_master!$B$2:$B$26,MATCH($B74,medicine_master!$A$2:$A$26,0))</f>
        <v>Pantoprazole 40mg</v>
      </c>
      <c r="D74" s="26" t="n">
        <f aca="false">INDEX(medicine_master!$O$2:$O$26,MATCH($B74,medicine_master!$A$2:$A$26,0))</f>
        <v>1545</v>
      </c>
      <c r="E74" s="28" t="n">
        <f aca="false">INDEX(medicine_master!$R$2:$R$26,MATCH($B74,medicine_master!$A$2:$A$26,0))</f>
        <v>54075</v>
      </c>
      <c r="F74" s="7" t="str">
        <f aca="false">INDEX(medicine_master!$C$2:$C$26,MATCH($B74,medicine_master!$A$2:$A$26,0))</f>
        <v>Gastric</v>
      </c>
    </row>
    <row r="75" customFormat="false" ht="15" hidden="false" customHeight="false" outlineLevel="0" collapsed="false">
      <c r="A75" s="7" t="n">
        <v>8</v>
      </c>
      <c r="B75" s="7" t="s">
        <v>151</v>
      </c>
      <c r="C75" s="7" t="str">
        <f aca="false">INDEX(medicine_master!$B$2:$B$26,MATCH($B75,medicine_master!$A$2:$A$26,0))</f>
        <v>Cetirizine 10mg</v>
      </c>
      <c r="D75" s="26" t="n">
        <f aca="false">INDEX(medicine_master!$O$2:$O$26,MATCH($B75,medicine_master!$A$2:$A$26,0))</f>
        <v>1540</v>
      </c>
      <c r="E75" s="28" t="n">
        <f aca="false">INDEX(medicine_master!$R$2:$R$26,MATCH($B75,medicine_master!$A$2:$A$26,0))</f>
        <v>20020</v>
      </c>
      <c r="F75" s="7" t="str">
        <f aca="false">INDEX(medicine_master!$C$2:$C$26,MATCH($B75,medicine_master!$A$2:$A$26,0))</f>
        <v>Allergy</v>
      </c>
    </row>
    <row r="76" customFormat="false" ht="15" hidden="false" customHeight="false" outlineLevel="0" collapsed="false">
      <c r="A76" s="7" t="n">
        <v>9</v>
      </c>
      <c r="B76" s="7" t="s">
        <v>152</v>
      </c>
      <c r="C76" s="7" t="str">
        <f aca="false">INDEX(medicine_master!$B$2:$B$26,MATCH($B76,medicine_master!$A$2:$A$26,0))</f>
        <v>Amoxicillin 500mg</v>
      </c>
      <c r="D76" s="26" t="n">
        <f aca="false">INDEX(medicine_master!$O$2:$O$26,MATCH($B76,medicine_master!$A$2:$A$26,0))</f>
        <v>1500</v>
      </c>
      <c r="E76" s="28" t="n">
        <f aca="false">INDEX(medicine_master!$R$2:$R$26,MATCH($B76,medicine_master!$A$2:$A$26,0))</f>
        <v>60000</v>
      </c>
      <c r="F76" s="7" t="str">
        <f aca="false">INDEX(medicine_master!$C$2:$C$26,MATCH($B76,medicine_master!$A$2:$A$26,0))</f>
        <v>Antibiotic</v>
      </c>
    </row>
    <row r="77" customFormat="false" ht="15" hidden="false" customHeight="false" outlineLevel="0" collapsed="false">
      <c r="A77" s="7" t="n">
        <v>10</v>
      </c>
      <c r="B77" s="7" t="s">
        <v>153</v>
      </c>
      <c r="C77" s="7" t="str">
        <f aca="false">INDEX(medicine_master!$B$2:$B$26,MATCH($B77,medicine_master!$A$2:$A$26,0))</f>
        <v>Atorvastatin 10mg</v>
      </c>
      <c r="D77" s="26" t="n">
        <f aca="false">INDEX(medicine_master!$O$2:$O$26,MATCH($B77,medicine_master!$A$2:$A$26,0))</f>
        <v>1500</v>
      </c>
      <c r="E77" s="28" t="n">
        <f aca="false">INDEX(medicine_master!$R$2:$R$26,MATCH($B77,medicine_master!$A$2:$A$26,0))</f>
        <v>42000</v>
      </c>
      <c r="F77" s="7" t="str">
        <f aca="false">INDEX(medicine_master!$C$2:$C$26,MATCH($B77,medicine_master!$A$2:$A$26,0))</f>
        <v>Cardiac</v>
      </c>
    </row>
    <row r="78" customFormat="false" ht="15" hidden="false" customHeight="false" outlineLevel="0" collapsed="false">
      <c r="A78" s="20" t="s">
        <v>154</v>
      </c>
    </row>
    <row r="80" customFormat="false" ht="15" hidden="false" customHeight="false" outlineLevel="0" collapsed="false">
      <c r="A80" s="3" t="s">
        <v>155</v>
      </c>
      <c r="C80" s="20" t="s">
        <v>156</v>
      </c>
    </row>
    <row r="81" customFormat="false" ht="15" hidden="false" customHeight="false" outlineLevel="0" collapsed="false">
      <c r="A81" s="5" t="s">
        <v>141</v>
      </c>
      <c r="B81" s="5" t="s">
        <v>142</v>
      </c>
      <c r="C81" s="5" t="s">
        <v>143</v>
      </c>
      <c r="D81" s="5" t="s">
        <v>47</v>
      </c>
      <c r="E81" s="5" t="s">
        <v>98</v>
      </c>
      <c r="F81" s="5" t="s">
        <v>96</v>
      </c>
    </row>
    <row r="82" customFormat="false" ht="15" hidden="false" customHeight="false" outlineLevel="0" collapsed="false">
      <c r="A82" s="7" t="n">
        <v>1</v>
      </c>
      <c r="B82" s="7" t="s">
        <v>147</v>
      </c>
      <c r="C82" s="7" t="str">
        <f aca="false">INDEX(medicine_master!$B$2:$B$26,MATCH($B82,medicine_master!$A$2:$A$26,0))</f>
        <v>Insulin Injection</v>
      </c>
      <c r="D82" s="26" t="n">
        <f aca="false">INDEX(medicine_master!$O$2:$O$26,MATCH($B82,medicine_master!$A$2:$A$26,0))</f>
        <v>1680</v>
      </c>
      <c r="E82" s="28" t="n">
        <f aca="false">INDEX(medicine_master!$R$2:$R$26,MATCH($B82,medicine_master!$A$2:$A$26,0))</f>
        <v>378000</v>
      </c>
      <c r="F82" s="7" t="str">
        <f aca="false">INDEX(medicine_master!$C$2:$C$26,MATCH($B82,medicine_master!$A$2:$A$26,0))</f>
        <v>Diabetes</v>
      </c>
    </row>
    <row r="83" customFormat="false" ht="15" hidden="false" customHeight="false" outlineLevel="0" collapsed="false">
      <c r="A83" s="7" t="n">
        <v>2</v>
      </c>
      <c r="B83" s="7" t="s">
        <v>157</v>
      </c>
      <c r="C83" s="7" t="str">
        <f aca="false">INDEX(medicine_master!$B$2:$B$26,MATCH($B83,medicine_master!$A$2:$A$26,0))</f>
        <v>Multivitamin Tablets</v>
      </c>
      <c r="D83" s="26" t="n">
        <f aca="false">INDEX(medicine_master!$O$2:$O$26,MATCH($B83,medicine_master!$A$2:$A$26,0))</f>
        <v>1350</v>
      </c>
      <c r="E83" s="28" t="n">
        <f aca="false">INDEX(medicine_master!$R$2:$R$26,MATCH($B83,medicine_master!$A$2:$A$26,0))</f>
        <v>141750</v>
      </c>
      <c r="F83" s="7" t="str">
        <f aca="false">INDEX(medicine_master!$C$2:$C$26,MATCH($B83,medicine_master!$A$2:$A$26,0))</f>
        <v>Vitamin</v>
      </c>
    </row>
    <row r="84" customFormat="false" ht="15" hidden="false" customHeight="false" outlineLevel="0" collapsed="false">
      <c r="A84" s="7" t="n">
        <v>3</v>
      </c>
      <c r="B84" s="7" t="s">
        <v>148</v>
      </c>
      <c r="C84" s="7" t="str">
        <f aca="false">INDEX(medicine_master!$B$2:$B$26,MATCH($B84,medicine_master!$A$2:$A$26,0))</f>
        <v>Dextromethorphan Syrup</v>
      </c>
      <c r="D84" s="26" t="n">
        <f aca="false">INDEX(medicine_master!$O$2:$O$26,MATCH($B84,medicine_master!$A$2:$A$26,0))</f>
        <v>1600</v>
      </c>
      <c r="E84" s="28" t="n">
        <f aca="false">INDEX(medicine_master!$R$2:$R$26,MATCH($B84,medicine_master!$A$2:$A$26,0))</f>
        <v>128000</v>
      </c>
      <c r="F84" s="7" t="str">
        <f aca="false">INDEX(medicine_master!$C$2:$C$26,MATCH($B84,medicine_master!$A$2:$A$26,0))</f>
        <v>Cold &amp; Cough</v>
      </c>
    </row>
    <row r="85" customFormat="false" ht="15" hidden="false" customHeight="false" outlineLevel="0" collapsed="false">
      <c r="A85" s="7" t="n">
        <v>4</v>
      </c>
      <c r="B85" s="7" t="s">
        <v>144</v>
      </c>
      <c r="C85" s="7" t="str">
        <f aca="false">INDEX(medicine_master!$B$2:$B$26,MATCH($B85,medicine_master!$A$2:$A$26,0))</f>
        <v>Glimepiride 2mg</v>
      </c>
      <c r="D85" s="26" t="n">
        <f aca="false">INDEX(medicine_master!$O$2:$O$26,MATCH($B85,medicine_master!$A$2:$A$26,0))</f>
        <v>2050</v>
      </c>
      <c r="E85" s="28" t="n">
        <f aca="false">INDEX(medicine_master!$R$2:$R$26,MATCH($B85,medicine_master!$A$2:$A$26,0))</f>
        <v>106600</v>
      </c>
      <c r="F85" s="7" t="str">
        <f aca="false">INDEX(medicine_master!$C$2:$C$26,MATCH($B85,medicine_master!$A$2:$A$26,0))</f>
        <v>Diabetes</v>
      </c>
    </row>
    <row r="86" customFormat="false" ht="15" hidden="false" customHeight="false" outlineLevel="0" collapsed="false">
      <c r="A86" s="7" t="n">
        <v>5</v>
      </c>
      <c r="B86" s="7" t="s">
        <v>158</v>
      </c>
      <c r="C86" s="7" t="str">
        <f aca="false">INDEX(medicine_master!$B$2:$B$26,MATCH($B86,medicine_master!$A$2:$A$26,0))</f>
        <v>Cough Syrup 100ml</v>
      </c>
      <c r="D86" s="26" t="n">
        <f aca="false">INDEX(medicine_master!$O$2:$O$26,MATCH($B86,medicine_master!$A$2:$A$26,0))</f>
        <v>1455</v>
      </c>
      <c r="E86" s="28" t="n">
        <f aca="false">INDEX(medicine_master!$R$2:$R$26,MATCH($B86,medicine_master!$A$2:$A$26,0))</f>
        <v>104760</v>
      </c>
      <c r="F86" s="7" t="str">
        <f aca="false">INDEX(medicine_master!$C$2:$C$26,MATCH($B86,medicine_master!$A$2:$A$26,0))</f>
        <v>Cold &amp; Cough</v>
      </c>
    </row>
    <row r="87" customFormat="false" ht="15" hidden="false" customHeight="false" outlineLevel="0" collapsed="false">
      <c r="A87" s="7" t="n">
        <v>6</v>
      </c>
      <c r="B87" s="7" t="s">
        <v>146</v>
      </c>
      <c r="C87" s="7" t="str">
        <f aca="false">INDEX(medicine_master!$B$2:$B$26,MATCH($B87,medicine_master!$A$2:$A$26,0))</f>
        <v>Diclofenac Gel</v>
      </c>
      <c r="D87" s="26" t="n">
        <f aca="false">INDEX(medicine_master!$O$2:$O$26,MATCH($B87,medicine_master!$A$2:$A$26,0))</f>
        <v>1900</v>
      </c>
      <c r="E87" s="28" t="n">
        <f aca="false">INDEX(medicine_master!$R$2:$R$26,MATCH($B87,medicine_master!$A$2:$A$26,0))</f>
        <v>104500</v>
      </c>
      <c r="F87" s="7" t="str">
        <f aca="false">INDEX(medicine_master!$C$2:$C$26,MATCH($B87,medicine_master!$A$2:$A$26,0))</f>
        <v>Pain Relief</v>
      </c>
    </row>
    <row r="88" customFormat="false" ht="15" hidden="false" customHeight="false" outlineLevel="0" collapsed="false">
      <c r="A88" s="7" t="n">
        <v>7</v>
      </c>
      <c r="B88" s="7" t="s">
        <v>145</v>
      </c>
      <c r="C88" s="7" t="str">
        <f aca="false">INDEX(medicine_master!$B$2:$B$26,MATCH($B88,medicine_master!$A$2:$A$26,0))</f>
        <v>Clotrimazole Cream</v>
      </c>
      <c r="D88" s="26" t="n">
        <f aca="false">INDEX(medicine_master!$O$2:$O$26,MATCH($B88,medicine_master!$A$2:$A$26,0))</f>
        <v>1945</v>
      </c>
      <c r="E88" s="28" t="n">
        <f aca="false">INDEX(medicine_master!$R$2:$R$26,MATCH($B88,medicine_master!$A$2:$A$26,0))</f>
        <v>93360</v>
      </c>
      <c r="F88" s="7" t="str">
        <f aca="false">INDEX(medicine_master!$C$2:$C$26,MATCH($B88,medicine_master!$A$2:$A$26,0))</f>
        <v>Dermatology</v>
      </c>
    </row>
    <row r="89" customFormat="false" ht="15" hidden="false" customHeight="false" outlineLevel="0" collapsed="false">
      <c r="A89" s="7" t="n">
        <v>8</v>
      </c>
      <c r="B89" s="7" t="s">
        <v>159</v>
      </c>
      <c r="C89" s="7" t="str">
        <f aca="false">INDEX(medicine_master!$B$2:$B$26,MATCH($B89,medicine_master!$A$2:$A$26,0))</f>
        <v>Antiseptic Liquid 100ml</v>
      </c>
      <c r="D89" s="26" t="n">
        <f aca="false">INDEX(medicine_master!$O$2:$O$26,MATCH($B89,medicine_master!$A$2:$A$26,0))</f>
        <v>1360</v>
      </c>
      <c r="E89" s="28" t="n">
        <f aca="false">INDEX(medicine_master!$R$2:$R$26,MATCH($B89,medicine_master!$A$2:$A$26,0))</f>
        <v>88400</v>
      </c>
      <c r="F89" s="7" t="str">
        <f aca="false">INDEX(medicine_master!$C$2:$C$26,MATCH($B89,medicine_master!$A$2:$A$26,0))</f>
        <v>First Aid</v>
      </c>
    </row>
    <row r="90" customFormat="false" ht="15" hidden="false" customHeight="false" outlineLevel="0" collapsed="false">
      <c r="A90" s="7" t="n">
        <v>9</v>
      </c>
      <c r="B90" s="7" t="s">
        <v>149</v>
      </c>
      <c r="C90" s="7" t="str">
        <f aca="false">INDEX(medicine_master!$B$2:$B$26,MATCH($B90,medicine_master!$A$2:$A$26,0))</f>
        <v>Azithromycin 500mg</v>
      </c>
      <c r="D90" s="26" t="n">
        <f aca="false">INDEX(medicine_master!$O$2:$O$26,MATCH($B90,medicine_master!$A$2:$A$26,0))</f>
        <v>1560</v>
      </c>
      <c r="E90" s="28" t="n">
        <f aca="false">INDEX(medicine_master!$R$2:$R$26,MATCH($B90,medicine_master!$A$2:$A$26,0))</f>
        <v>78000</v>
      </c>
      <c r="F90" s="7" t="str">
        <f aca="false">INDEX(medicine_master!$C$2:$C$26,MATCH($B90,medicine_master!$A$2:$A$26,0))</f>
        <v>Antibiotic</v>
      </c>
    </row>
    <row r="91" customFormat="false" ht="15" hidden="false" customHeight="false" outlineLevel="0" collapsed="false">
      <c r="A91" s="7" t="n">
        <v>10</v>
      </c>
      <c r="B91" s="7" t="s">
        <v>160</v>
      </c>
      <c r="C91" s="7" t="str">
        <f aca="false">INDEX(medicine_master!$B$2:$B$26,MATCH($B91,medicine_master!$A$2:$A$26,0))</f>
        <v>Calamine Lotion</v>
      </c>
      <c r="D91" s="26" t="n">
        <f aca="false">INDEX(medicine_master!$O$2:$O$26,MATCH($B91,medicine_master!$A$2:$A$26,0))</f>
        <v>1160</v>
      </c>
      <c r="E91" s="28" t="n">
        <f aca="false">INDEX(medicine_master!$R$2:$R$26,MATCH($B91,medicine_master!$A$2:$A$26,0))</f>
        <v>69600</v>
      </c>
      <c r="F91" s="7" t="str">
        <f aca="false">INDEX(medicine_master!$C$2:$C$26,MATCH($B91,medicine_master!$A$2:$A$26,0))</f>
        <v>Dermatology</v>
      </c>
    </row>
    <row r="92" customFormat="false" ht="15" hidden="false" customHeight="false" outlineLevel="0" collapsed="false">
      <c r="A92" s="20" t="s">
        <v>161</v>
      </c>
    </row>
    <row r="94" customFormat="false" ht="15" hidden="false" customHeight="false" outlineLevel="0" collapsed="false">
      <c r="A94" s="3" t="s">
        <v>162</v>
      </c>
      <c r="C94" s="20" t="s">
        <v>163</v>
      </c>
    </row>
    <row r="95" customFormat="false" ht="15" hidden="false" customHeight="false" outlineLevel="0" collapsed="false">
      <c r="A95" s="5" t="s">
        <v>141</v>
      </c>
      <c r="B95" s="5" t="s">
        <v>142</v>
      </c>
      <c r="C95" s="5" t="s">
        <v>143</v>
      </c>
      <c r="D95" s="5" t="s">
        <v>116</v>
      </c>
      <c r="E95" s="5" t="s">
        <v>47</v>
      </c>
      <c r="F95" s="5" t="s">
        <v>164</v>
      </c>
      <c r="G95" s="5" t="s">
        <v>165</v>
      </c>
      <c r="H95" s="5" t="s">
        <v>166</v>
      </c>
    </row>
    <row r="96" customFormat="false" ht="15" hidden="false" customHeight="false" outlineLevel="0" collapsed="false">
      <c r="A96" s="7" t="n">
        <v>1</v>
      </c>
      <c r="B96" s="7" t="s">
        <v>144</v>
      </c>
      <c r="C96" s="7" t="str">
        <f aca="false">INDEX(medicine_master!$B$2:$B$26,MATCH($B96,medicine_master!$A$2:$A$26,0))</f>
        <v>Glimepiride 2mg</v>
      </c>
      <c r="D96" s="26" t="n">
        <f aca="false">INDEX(medicine_master!$N$2:$N$26,MATCH($B96,medicine_master!$A$2:$A$26,0))</f>
        <v>755</v>
      </c>
      <c r="E96" s="26" t="n">
        <f aca="false">INDEX(medicine_master!$O$2:$O$26,MATCH($B96,medicine_master!$A$2:$A$26,0))</f>
        <v>2050</v>
      </c>
      <c r="F96" s="35" t="n">
        <f aca="false">INDEX(medicine_master!$P$2:$P$26,MATCH($B96,medicine_master!$A$2:$A$26,0))</f>
        <v>-1295</v>
      </c>
      <c r="G96" s="36" t="n">
        <f aca="false">INDEX(medicine_master!$Q$2:$Q$26,MATCH($B96,medicine_master!$A$2:$A$26,0))</f>
        <v>2.71523178807947</v>
      </c>
      <c r="H96" s="7" t="str">
        <f aca="false">INDEX(medicine_master!$T$2:$T$26,MATCH($B96,medicine_master!$A$2:$A$26,0))</f>
        <v>High</v>
      </c>
    </row>
    <row r="97" customFormat="false" ht="15" hidden="false" customHeight="false" outlineLevel="0" collapsed="false">
      <c r="A97" s="7" t="n">
        <v>2</v>
      </c>
      <c r="B97" s="7" t="s">
        <v>146</v>
      </c>
      <c r="C97" s="7" t="str">
        <f aca="false">INDEX(medicine_master!$B$2:$B$26,MATCH($B97,medicine_master!$A$2:$A$26,0))</f>
        <v>Diclofenac Gel</v>
      </c>
      <c r="D97" s="26" t="n">
        <f aca="false">INDEX(medicine_master!$N$2:$N$26,MATCH($B97,medicine_master!$A$2:$A$26,0))</f>
        <v>730</v>
      </c>
      <c r="E97" s="26" t="n">
        <f aca="false">INDEX(medicine_master!$O$2:$O$26,MATCH($B97,medicine_master!$A$2:$A$26,0))</f>
        <v>1900</v>
      </c>
      <c r="F97" s="35" t="n">
        <f aca="false">INDEX(medicine_master!$P$2:$P$26,MATCH($B97,medicine_master!$A$2:$A$26,0))</f>
        <v>-1170</v>
      </c>
      <c r="G97" s="36" t="n">
        <f aca="false">INDEX(medicine_master!$Q$2:$Q$26,MATCH($B97,medicine_master!$A$2:$A$26,0))</f>
        <v>2.6027397260274</v>
      </c>
      <c r="H97" s="7" t="str">
        <f aca="false">INDEX(medicine_master!$T$2:$T$26,MATCH($B97,medicine_master!$A$2:$A$26,0))</f>
        <v>High</v>
      </c>
    </row>
    <row r="98" customFormat="false" ht="15" hidden="false" customHeight="false" outlineLevel="0" collapsed="false">
      <c r="A98" s="7" t="n">
        <v>3</v>
      </c>
      <c r="B98" s="7" t="s">
        <v>151</v>
      </c>
      <c r="C98" s="7" t="str">
        <f aca="false">INDEX(medicine_master!$B$2:$B$26,MATCH($B98,medicine_master!$A$2:$A$26,0))</f>
        <v>Cetirizine 10mg</v>
      </c>
      <c r="D98" s="26" t="n">
        <f aca="false">INDEX(medicine_master!$N$2:$N$26,MATCH($B98,medicine_master!$A$2:$A$26,0))</f>
        <v>695</v>
      </c>
      <c r="E98" s="26" t="n">
        <f aca="false">INDEX(medicine_master!$O$2:$O$26,MATCH($B98,medicine_master!$A$2:$A$26,0))</f>
        <v>1540</v>
      </c>
      <c r="F98" s="35" t="n">
        <f aca="false">INDEX(medicine_master!$P$2:$P$26,MATCH($B98,medicine_master!$A$2:$A$26,0))</f>
        <v>-845</v>
      </c>
      <c r="G98" s="36" t="n">
        <f aca="false">INDEX(medicine_master!$Q$2:$Q$26,MATCH($B98,medicine_master!$A$2:$A$26,0))</f>
        <v>2.2158273381295</v>
      </c>
      <c r="H98" s="7" t="str">
        <f aca="false">INDEX(medicine_master!$T$2:$T$26,MATCH($B98,medicine_master!$A$2:$A$26,0))</f>
        <v>High</v>
      </c>
    </row>
    <row r="99" customFormat="false" ht="15" hidden="false" customHeight="false" outlineLevel="0" collapsed="false">
      <c r="A99" s="7" t="n">
        <v>4</v>
      </c>
      <c r="B99" s="7" t="s">
        <v>149</v>
      </c>
      <c r="C99" s="7" t="str">
        <f aca="false">INDEX(medicine_master!$B$2:$B$26,MATCH($B99,medicine_master!$A$2:$A$26,0))</f>
        <v>Azithromycin 500mg</v>
      </c>
      <c r="D99" s="26" t="n">
        <f aca="false">INDEX(medicine_master!$N$2:$N$26,MATCH($B99,medicine_master!$A$2:$A$26,0))</f>
        <v>710</v>
      </c>
      <c r="E99" s="26" t="n">
        <f aca="false">INDEX(medicine_master!$O$2:$O$26,MATCH($B99,medicine_master!$A$2:$A$26,0))</f>
        <v>1560</v>
      </c>
      <c r="F99" s="35" t="n">
        <f aca="false">INDEX(medicine_master!$P$2:$P$26,MATCH($B99,medicine_master!$A$2:$A$26,0))</f>
        <v>-850</v>
      </c>
      <c r="G99" s="36" t="n">
        <f aca="false">INDEX(medicine_master!$Q$2:$Q$26,MATCH($B99,medicine_master!$A$2:$A$26,0))</f>
        <v>2.19718309859155</v>
      </c>
      <c r="H99" s="7" t="str">
        <f aca="false">INDEX(medicine_master!$T$2:$T$26,MATCH($B99,medicine_master!$A$2:$A$26,0))</f>
        <v>High</v>
      </c>
    </row>
    <row r="100" customFormat="false" ht="15" hidden="false" customHeight="false" outlineLevel="0" collapsed="false">
      <c r="A100" s="7" t="n">
        <v>5</v>
      </c>
      <c r="B100" s="7" t="s">
        <v>158</v>
      </c>
      <c r="C100" s="7" t="str">
        <f aca="false">INDEX(medicine_master!$B$2:$B$26,MATCH($B100,medicine_master!$A$2:$A$26,0))</f>
        <v>Cough Syrup 100ml</v>
      </c>
      <c r="D100" s="26" t="n">
        <f aca="false">INDEX(medicine_master!$N$2:$N$26,MATCH($B100,medicine_master!$A$2:$A$26,0))</f>
        <v>755</v>
      </c>
      <c r="E100" s="26" t="n">
        <f aca="false">INDEX(medicine_master!$O$2:$O$26,MATCH($B100,medicine_master!$A$2:$A$26,0))</f>
        <v>1455</v>
      </c>
      <c r="F100" s="35" t="n">
        <f aca="false">INDEX(medicine_master!$P$2:$P$26,MATCH($B100,medicine_master!$A$2:$A$26,0))</f>
        <v>-700</v>
      </c>
      <c r="G100" s="36" t="n">
        <f aca="false">INDEX(medicine_master!$Q$2:$Q$26,MATCH($B100,medicine_master!$A$2:$A$26,0))</f>
        <v>1.92715231788079</v>
      </c>
      <c r="H100" s="7" t="str">
        <f aca="false">INDEX(medicine_master!$T$2:$T$26,MATCH($B100,medicine_master!$A$2:$A$26,0))</f>
        <v>High</v>
      </c>
    </row>
    <row r="101" customFormat="false" ht="15" hidden="false" customHeight="false" outlineLevel="0" collapsed="false">
      <c r="A101" s="7" t="n">
        <v>6</v>
      </c>
      <c r="B101" s="7" t="s">
        <v>148</v>
      </c>
      <c r="C101" s="7" t="str">
        <f aca="false">INDEX(medicine_master!$B$2:$B$26,MATCH($B101,medicine_master!$A$2:$A$26,0))</f>
        <v>Dextromethorphan Syrup</v>
      </c>
      <c r="D101" s="26" t="n">
        <f aca="false">INDEX(medicine_master!$N$2:$N$26,MATCH($B101,medicine_master!$A$2:$A$26,0))</f>
        <v>835</v>
      </c>
      <c r="E101" s="26" t="n">
        <f aca="false">INDEX(medicine_master!$O$2:$O$26,MATCH($B101,medicine_master!$A$2:$A$26,0))</f>
        <v>1600</v>
      </c>
      <c r="F101" s="35" t="n">
        <f aca="false">INDEX(medicine_master!$P$2:$P$26,MATCH($B101,medicine_master!$A$2:$A$26,0))</f>
        <v>-765</v>
      </c>
      <c r="G101" s="36" t="n">
        <f aca="false">INDEX(medicine_master!$Q$2:$Q$26,MATCH($B101,medicine_master!$A$2:$A$26,0))</f>
        <v>1.91616766467066</v>
      </c>
      <c r="H101" s="7" t="str">
        <f aca="false">INDEX(medicine_master!$T$2:$T$26,MATCH($B101,medicine_master!$A$2:$A$26,0))</f>
        <v>High</v>
      </c>
    </row>
    <row r="102" customFormat="false" ht="15" hidden="false" customHeight="false" outlineLevel="0" collapsed="false">
      <c r="A102" s="7" t="n">
        <v>7</v>
      </c>
      <c r="B102" s="7" t="s">
        <v>153</v>
      </c>
      <c r="C102" s="7" t="str">
        <f aca="false">INDEX(medicine_master!$B$2:$B$26,MATCH($B102,medicine_master!$A$2:$A$26,0))</f>
        <v>Atorvastatin 10mg</v>
      </c>
      <c r="D102" s="26" t="n">
        <f aca="false">INDEX(medicine_master!$N$2:$N$26,MATCH($B102,medicine_master!$A$2:$A$26,0))</f>
        <v>785</v>
      </c>
      <c r="E102" s="26" t="n">
        <f aca="false">INDEX(medicine_master!$O$2:$O$26,MATCH($B102,medicine_master!$A$2:$A$26,0))</f>
        <v>1500</v>
      </c>
      <c r="F102" s="35" t="n">
        <f aca="false">INDEX(medicine_master!$P$2:$P$26,MATCH($B102,medicine_master!$A$2:$A$26,0))</f>
        <v>-715</v>
      </c>
      <c r="G102" s="36" t="n">
        <f aca="false">INDEX(medicine_master!$Q$2:$Q$26,MATCH($B102,medicine_master!$A$2:$A$26,0))</f>
        <v>1.91082802547771</v>
      </c>
      <c r="H102" s="7" t="str">
        <f aca="false">INDEX(medicine_master!$T$2:$T$26,MATCH($B102,medicine_master!$A$2:$A$26,0))</f>
        <v>High</v>
      </c>
    </row>
    <row r="103" customFormat="false" ht="15" hidden="false" customHeight="false" outlineLevel="0" collapsed="false">
      <c r="A103" s="7" t="n">
        <v>8</v>
      </c>
      <c r="B103" s="7" t="s">
        <v>145</v>
      </c>
      <c r="C103" s="7" t="str">
        <f aca="false">INDEX(medicine_master!$B$2:$B$26,MATCH($B103,medicine_master!$A$2:$A$26,0))</f>
        <v>Clotrimazole Cream</v>
      </c>
      <c r="D103" s="26" t="n">
        <f aca="false">INDEX(medicine_master!$N$2:$N$26,MATCH($B103,medicine_master!$A$2:$A$26,0))</f>
        <v>1070</v>
      </c>
      <c r="E103" s="26" t="n">
        <f aca="false">INDEX(medicine_master!$O$2:$O$26,MATCH($B103,medicine_master!$A$2:$A$26,0))</f>
        <v>1945</v>
      </c>
      <c r="F103" s="35" t="n">
        <f aca="false">INDEX(medicine_master!$P$2:$P$26,MATCH($B103,medicine_master!$A$2:$A$26,0))</f>
        <v>-875</v>
      </c>
      <c r="G103" s="36" t="n">
        <f aca="false">INDEX(medicine_master!$Q$2:$Q$26,MATCH($B103,medicine_master!$A$2:$A$26,0))</f>
        <v>1.81775700934579</v>
      </c>
      <c r="H103" s="7" t="str">
        <f aca="false">INDEX(medicine_master!$T$2:$T$26,MATCH($B103,medicine_master!$A$2:$A$26,0))</f>
        <v>High</v>
      </c>
    </row>
    <row r="104" customFormat="false" ht="15" hidden="false" customHeight="false" outlineLevel="0" collapsed="false">
      <c r="A104" s="7" t="n">
        <v>9</v>
      </c>
      <c r="B104" s="7" t="s">
        <v>157</v>
      </c>
      <c r="C104" s="7" t="str">
        <f aca="false">INDEX(medicine_master!$B$2:$B$26,MATCH($B104,medicine_master!$A$2:$A$26,0))</f>
        <v>Multivitamin Tablets</v>
      </c>
      <c r="D104" s="26" t="n">
        <f aca="false">INDEX(medicine_master!$N$2:$N$26,MATCH($B104,medicine_master!$A$2:$A$26,0))</f>
        <v>765</v>
      </c>
      <c r="E104" s="26" t="n">
        <f aca="false">INDEX(medicine_master!$O$2:$O$26,MATCH($B104,medicine_master!$A$2:$A$26,0))</f>
        <v>1350</v>
      </c>
      <c r="F104" s="35" t="n">
        <f aca="false">INDEX(medicine_master!$P$2:$P$26,MATCH($B104,medicine_master!$A$2:$A$26,0))</f>
        <v>-585</v>
      </c>
      <c r="G104" s="36" t="n">
        <f aca="false">INDEX(medicine_master!$Q$2:$Q$26,MATCH($B104,medicine_master!$A$2:$A$26,0))</f>
        <v>1.76470588235294</v>
      </c>
      <c r="H104" s="7" t="str">
        <f aca="false">INDEX(medicine_master!$T$2:$T$26,MATCH($B104,medicine_master!$A$2:$A$26,0))</f>
        <v>High</v>
      </c>
    </row>
    <row r="105" customFormat="false" ht="15" hidden="false" customHeight="false" outlineLevel="0" collapsed="false">
      <c r="A105" s="7" t="n">
        <v>10</v>
      </c>
      <c r="B105" s="7" t="s">
        <v>167</v>
      </c>
      <c r="C105" s="7" t="str">
        <f aca="false">INDEX(medicine_master!$B$2:$B$26,MATCH($B105,medicine_master!$A$2:$A$26,0))</f>
        <v>Amlodipine 5mg</v>
      </c>
      <c r="D105" s="26" t="n">
        <f aca="false">INDEX(medicine_master!$N$2:$N$26,MATCH($B105,medicine_master!$A$2:$A$26,0))</f>
        <v>875</v>
      </c>
      <c r="E105" s="26" t="n">
        <f aca="false">INDEX(medicine_master!$O$2:$O$26,MATCH($B105,medicine_master!$A$2:$A$26,0))</f>
        <v>1500</v>
      </c>
      <c r="F105" s="35" t="n">
        <f aca="false">INDEX(medicine_master!$P$2:$P$26,MATCH($B105,medicine_master!$A$2:$A$26,0))</f>
        <v>-625</v>
      </c>
      <c r="G105" s="36" t="n">
        <f aca="false">INDEX(medicine_master!$Q$2:$Q$26,MATCH($B105,medicine_master!$A$2:$A$26,0))</f>
        <v>1.71428571428571</v>
      </c>
      <c r="H105" s="7" t="str">
        <f aca="false">INDEX(medicine_master!$T$2:$T$26,MATCH($B105,medicine_master!$A$2:$A$26,0))</f>
        <v>Medium</v>
      </c>
    </row>
    <row r="108" customFormat="false" ht="15" hidden="false" customHeight="false" outlineLevel="0" collapsed="false">
      <c r="A108" s="3" t="s">
        <v>168</v>
      </c>
      <c r="C108" s="20" t="s">
        <v>169</v>
      </c>
    </row>
    <row r="109" customFormat="false" ht="15" hidden="false" customHeight="false" outlineLevel="0" collapsed="false">
      <c r="A109" s="5" t="s">
        <v>166</v>
      </c>
      <c r="B109" s="5" t="s">
        <v>48</v>
      </c>
      <c r="C109" s="5" t="s">
        <v>97</v>
      </c>
    </row>
    <row r="110" customFormat="false" ht="15" hidden="false" customHeight="false" outlineLevel="0" collapsed="false">
      <c r="A110" s="7" t="s">
        <v>170</v>
      </c>
      <c r="B110" s="26" t="n">
        <f aca="false">COUNTIF(medicine_master!$T$2:$T$26,A110)</f>
        <v>9</v>
      </c>
      <c r="C110" s="27" t="n">
        <f aca="false">B110/Analysis!$B$17</f>
        <v>0.36</v>
      </c>
    </row>
    <row r="111" customFormat="false" ht="15" hidden="false" customHeight="false" outlineLevel="0" collapsed="false">
      <c r="A111" s="7" t="s">
        <v>171</v>
      </c>
      <c r="B111" s="26" t="n">
        <f aca="false">COUNTIF(medicine_master!$T$2:$T$26,A111)</f>
        <v>9</v>
      </c>
      <c r="C111" s="27" t="n">
        <f aca="false">B111/Analysis!$B$17</f>
        <v>0.36</v>
      </c>
    </row>
    <row r="112" customFormat="false" ht="15" hidden="false" customHeight="false" outlineLevel="0" collapsed="false">
      <c r="A112" s="7" t="s">
        <v>172</v>
      </c>
      <c r="B112" s="26" t="n">
        <f aca="false">COUNTIF(medicine_master!$T$2:$T$26,A112)</f>
        <v>7</v>
      </c>
      <c r="C112" s="27" t="n">
        <f aca="false">B112/Analysis!$B$17</f>
        <v>0.28</v>
      </c>
    </row>
    <row r="115" customFormat="false" ht="15" hidden="false" customHeight="false" outlineLevel="0" collapsed="false">
      <c r="A115" s="3" t="s">
        <v>173</v>
      </c>
      <c r="C115" s="20" t="s">
        <v>174</v>
      </c>
    </row>
    <row r="116" customFormat="false" ht="15" hidden="false" customHeight="false" outlineLevel="0" collapsed="false">
      <c r="A116" s="5" t="s">
        <v>175</v>
      </c>
      <c r="B116" s="5" t="s">
        <v>142</v>
      </c>
      <c r="C116" s="5" t="s">
        <v>143</v>
      </c>
      <c r="D116" s="5" t="s">
        <v>47</v>
      </c>
      <c r="E116" s="5" t="s">
        <v>98</v>
      </c>
      <c r="F116" s="5" t="s">
        <v>176</v>
      </c>
    </row>
    <row r="117" customFormat="false" ht="15" hidden="false" customHeight="false" outlineLevel="0" collapsed="false">
      <c r="A117" s="7" t="n">
        <v>1</v>
      </c>
      <c r="B117" s="7" t="s">
        <v>160</v>
      </c>
      <c r="C117" s="7" t="str">
        <f aca="false">INDEX(medicine_master!$B$2:$B$26,MATCH($B117,medicine_master!$A$2:$A$26,0))</f>
        <v>Calamine Lotion</v>
      </c>
      <c r="D117" s="26" t="n">
        <f aca="false">INDEX(medicine_master!$O$2:$O$26,MATCH($B117,medicine_master!$A$2:$A$26,0))</f>
        <v>1160</v>
      </c>
      <c r="E117" s="28" t="n">
        <f aca="false">INDEX(medicine_master!$R$2:$R$26,MATCH($B117,medicine_master!$A$2:$A$26,0))</f>
        <v>69600</v>
      </c>
      <c r="F117" s="7" t="str">
        <f aca="false">INDEX(medicine_master!$W$2:$W$26,MATCH($B117,medicine_master!$A$2:$A$26,0))</f>
        <v>Slow</v>
      </c>
    </row>
    <row r="118" customFormat="false" ht="15" hidden="false" customHeight="false" outlineLevel="0" collapsed="false">
      <c r="A118" s="7" t="n">
        <v>2</v>
      </c>
      <c r="B118" s="7" t="s">
        <v>177</v>
      </c>
      <c r="C118" s="7" t="str">
        <f aca="false">INDEX(medicine_master!$B$2:$B$26,MATCH($B118,medicine_master!$A$2:$A$26,0))</f>
        <v>Bandage Roll</v>
      </c>
      <c r="D118" s="26" t="n">
        <f aca="false">INDEX(medicine_master!$O$2:$O$26,MATCH($B118,medicine_master!$A$2:$A$26,0))</f>
        <v>1190</v>
      </c>
      <c r="E118" s="28" t="n">
        <f aca="false">INDEX(medicine_master!$R$2:$R$26,MATCH($B118,medicine_master!$A$2:$A$26,0))</f>
        <v>29750</v>
      </c>
      <c r="F118" s="7" t="str">
        <f aca="false">INDEX(medicine_master!$W$2:$W$26,MATCH($B118,medicine_master!$A$2:$A$26,0))</f>
        <v>Slow</v>
      </c>
    </row>
    <row r="119" customFormat="false" ht="15" hidden="false" customHeight="false" outlineLevel="0" collapsed="false">
      <c r="A119" s="7" t="n">
        <v>3</v>
      </c>
      <c r="B119" s="7" t="s">
        <v>178</v>
      </c>
      <c r="C119" s="7" t="str">
        <f aca="false">INDEX(medicine_master!$B$2:$B$26,MATCH($B119,medicine_master!$A$2:$A$26,0))</f>
        <v>Aspirin 75mg</v>
      </c>
      <c r="D119" s="26" t="n">
        <f aca="false">INDEX(medicine_master!$O$2:$O$26,MATCH($B119,medicine_master!$A$2:$A$26,0))</f>
        <v>1285</v>
      </c>
      <c r="E119" s="28" t="n">
        <f aca="false">INDEX(medicine_master!$R$2:$R$26,MATCH($B119,medicine_master!$A$2:$A$26,0))</f>
        <v>19275</v>
      </c>
      <c r="F119" s="7" t="str">
        <f aca="false">INDEX(medicine_master!$W$2:$W$26,MATCH($B119,medicine_master!$A$2:$A$26,0))</f>
        <v>Slow</v>
      </c>
    </row>
    <row r="120" customFormat="false" ht="15" hidden="false" customHeight="false" outlineLevel="0" collapsed="false">
      <c r="A120" s="7" t="n">
        <v>4</v>
      </c>
      <c r="B120" s="7" t="s">
        <v>179</v>
      </c>
      <c r="C120" s="7" t="str">
        <f aca="false">INDEX(medicine_master!$B$2:$B$26,MATCH($B120,medicine_master!$A$2:$A$26,0))</f>
        <v>Ibuprofen 400mg</v>
      </c>
      <c r="D120" s="26" t="n">
        <f aca="false">INDEX(medicine_master!$O$2:$O$26,MATCH($B120,medicine_master!$A$2:$A$26,0))</f>
        <v>1285</v>
      </c>
      <c r="E120" s="28" t="n">
        <f aca="false">INDEX(medicine_master!$R$2:$R$26,MATCH($B120,medicine_master!$A$2:$A$26,0))</f>
        <v>38550</v>
      </c>
      <c r="F120" s="7" t="str">
        <f aca="false">INDEX(medicine_master!$W$2:$W$26,MATCH($B120,medicine_master!$A$2:$A$26,0))</f>
        <v>Slow</v>
      </c>
    </row>
    <row r="121" customFormat="false" ht="15" hidden="false" customHeight="false" outlineLevel="0" collapsed="false">
      <c r="A121" s="7" t="n">
        <v>5</v>
      </c>
      <c r="B121" s="7" t="s">
        <v>180</v>
      </c>
      <c r="C121" s="7" t="str">
        <f aca="false">INDEX(medicine_master!$B$2:$B$26,MATCH($B121,medicine_master!$A$2:$A$26,0))</f>
        <v>Vitamin C 500mg</v>
      </c>
      <c r="D121" s="26" t="n">
        <f aca="false">INDEX(medicine_master!$O$2:$O$26,MATCH($B121,medicine_master!$A$2:$A$26,0))</f>
        <v>1345</v>
      </c>
      <c r="E121" s="28" t="n">
        <f aca="false">INDEX(medicine_master!$R$2:$R$26,MATCH($B121,medicine_master!$A$2:$A$26,0))</f>
        <v>29590</v>
      </c>
      <c r="F121" s="7" t="str">
        <f aca="false">INDEX(medicine_master!$W$2:$W$26,MATCH($B121,medicine_master!$A$2:$A$26,0))</f>
        <v>Slow</v>
      </c>
    </row>
    <row r="124" customFormat="false" ht="15" hidden="false" customHeight="false" outlineLevel="0" collapsed="false">
      <c r="A124" s="3" t="s">
        <v>181</v>
      </c>
      <c r="C124" s="20" t="s">
        <v>182</v>
      </c>
    </row>
    <row r="125" customFormat="false" ht="15" hidden="false" customHeight="false" outlineLevel="0" collapsed="false">
      <c r="A125" s="5" t="s">
        <v>183</v>
      </c>
      <c r="B125" s="5" t="s">
        <v>48</v>
      </c>
      <c r="C125" s="5" t="s">
        <v>97</v>
      </c>
    </row>
    <row r="126" customFormat="false" ht="15" hidden="false" customHeight="false" outlineLevel="0" collapsed="false">
      <c r="A126" s="7" t="s">
        <v>184</v>
      </c>
      <c r="B126" s="26" t="n">
        <f aca="false">COUNTIF(medicine_master!$M$2:$M$26,A126)</f>
        <v>0</v>
      </c>
      <c r="C126" s="27" t="n">
        <f aca="false">B126/Analysis!$B$17</f>
        <v>0</v>
      </c>
    </row>
    <row r="127" customFormat="false" ht="15" hidden="false" customHeight="false" outlineLevel="0" collapsed="false">
      <c r="A127" s="7" t="s">
        <v>185</v>
      </c>
      <c r="B127" s="26" t="n">
        <f aca="false">COUNTIF(medicine_master!$M$2:$M$26,A127)</f>
        <v>0</v>
      </c>
      <c r="C127" s="27" t="n">
        <f aca="false">B127/Analysis!$B$17</f>
        <v>0</v>
      </c>
    </row>
    <row r="128" customFormat="false" ht="15" hidden="false" customHeight="false" outlineLevel="0" collapsed="false">
      <c r="A128" s="7" t="s">
        <v>186</v>
      </c>
      <c r="B128" s="26" t="n">
        <f aca="false">COUNTIF(medicine_master!$M$2:$M$26,A128)</f>
        <v>1</v>
      </c>
      <c r="C128" s="27" t="n">
        <f aca="false">B128/Analysis!$B$17</f>
        <v>0.04</v>
      </c>
    </row>
    <row r="129" customFormat="false" ht="15" hidden="false" customHeight="false" outlineLevel="0" collapsed="false">
      <c r="A129" s="7" t="s">
        <v>187</v>
      </c>
      <c r="B129" s="26" t="n">
        <f aca="false">COUNTIF(medicine_master!$M$2:$M$26,A129)</f>
        <v>10</v>
      </c>
      <c r="C129" s="27" t="n">
        <f aca="false">B129/Analysis!$B$17</f>
        <v>0.4</v>
      </c>
    </row>
    <row r="130" customFormat="false" ht="15" hidden="false" customHeight="false" outlineLevel="0" collapsed="false">
      <c r="A130" s="7" t="s">
        <v>188</v>
      </c>
      <c r="B130" s="26" t="n">
        <f aca="false">COUNTIF(medicine_master!$M$2:$M$26,A130)</f>
        <v>14</v>
      </c>
      <c r="C130" s="27" t="n">
        <f aca="false">B130/Analysis!$B$17</f>
        <v>0.56</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30"/>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5"/>
    <col collapsed="false" customWidth="true" hidden="false" outlineLevel="0" max="2" min="2" style="0" width="26"/>
    <col collapsed="false" customWidth="true" hidden="false" outlineLevel="0" max="3" min="3" style="0" width="95"/>
    <col collapsed="false" customWidth="true" hidden="false" outlineLevel="0" max="4" min="4" style="0" width="34"/>
  </cols>
  <sheetData>
    <row r="1" customFormat="false" ht="19.7" hidden="false" customHeight="false" outlineLevel="0" collapsed="false">
      <c r="A1" s="1" t="s">
        <v>189</v>
      </c>
    </row>
    <row r="2" customFormat="false" ht="15" hidden="false" customHeight="false" outlineLevel="0" collapsed="false">
      <c r="A2" s="20" t="s">
        <v>190</v>
      </c>
    </row>
    <row r="4" customFormat="false" ht="15" hidden="false" customHeight="false" outlineLevel="0" collapsed="false">
      <c r="A4" s="5" t="s">
        <v>191</v>
      </c>
      <c r="B4" s="5" t="s">
        <v>192</v>
      </c>
      <c r="C4" s="5" t="s">
        <v>193</v>
      </c>
      <c r="D4" s="5" t="s">
        <v>194</v>
      </c>
    </row>
    <row r="5" customFormat="false" ht="31.5" hidden="false" customHeight="true" outlineLevel="0" collapsed="false">
      <c r="A5" s="37" t="n">
        <v>1</v>
      </c>
      <c r="B5" s="38" t="s">
        <v>195</v>
      </c>
      <c r="C5" s="37" t="s">
        <v>196</v>
      </c>
      <c r="D5" s="37" t="s">
        <v>197</v>
      </c>
    </row>
    <row r="6" customFormat="false" ht="31.5" hidden="false" customHeight="true" outlineLevel="0" collapsed="false">
      <c r="A6" s="37" t="n">
        <v>2</v>
      </c>
      <c r="B6" s="38" t="s">
        <v>198</v>
      </c>
      <c r="C6" s="37" t="s">
        <v>199</v>
      </c>
      <c r="D6" s="37" t="s">
        <v>200</v>
      </c>
    </row>
    <row r="7" customFormat="false" ht="31.5" hidden="false" customHeight="true" outlineLevel="0" collapsed="false">
      <c r="A7" s="37" t="n">
        <v>3</v>
      </c>
      <c r="B7" s="38" t="s">
        <v>201</v>
      </c>
      <c r="C7" s="37" t="s">
        <v>202</v>
      </c>
      <c r="D7" s="37" t="s">
        <v>203</v>
      </c>
    </row>
    <row r="8" customFormat="false" ht="31.5" hidden="false" customHeight="true" outlineLevel="0" collapsed="false">
      <c r="A8" s="37" t="n">
        <v>4</v>
      </c>
      <c r="B8" s="38" t="s">
        <v>204</v>
      </c>
      <c r="C8" s="37" t="s">
        <v>205</v>
      </c>
      <c r="D8" s="37" t="s">
        <v>206</v>
      </c>
    </row>
    <row r="9" customFormat="false" ht="31.5" hidden="false" customHeight="true" outlineLevel="0" collapsed="false">
      <c r="A9" s="37" t="n">
        <v>5</v>
      </c>
      <c r="B9" s="38" t="s">
        <v>207</v>
      </c>
      <c r="C9" s="37" t="s">
        <v>208</v>
      </c>
      <c r="D9" s="37" t="s">
        <v>209</v>
      </c>
    </row>
    <row r="10" customFormat="false" ht="31.5" hidden="false" customHeight="true" outlineLevel="0" collapsed="false">
      <c r="A10" s="37" t="n">
        <v>6</v>
      </c>
      <c r="B10" s="38" t="s">
        <v>210</v>
      </c>
      <c r="C10" s="37" t="s">
        <v>211</v>
      </c>
      <c r="D10" s="37" t="s">
        <v>209</v>
      </c>
    </row>
    <row r="11" customFormat="false" ht="45" hidden="false" customHeight="true" outlineLevel="0" collapsed="false">
      <c r="A11" s="37" t="n">
        <v>7</v>
      </c>
      <c r="B11" s="38" t="s">
        <v>212</v>
      </c>
      <c r="C11" s="37" t="s">
        <v>213</v>
      </c>
      <c r="D11" s="37" t="s">
        <v>214</v>
      </c>
    </row>
    <row r="12" customFormat="false" ht="60" hidden="false" customHeight="true" outlineLevel="0" collapsed="false">
      <c r="A12" s="37" t="n">
        <v>8</v>
      </c>
      <c r="B12" s="38" t="s">
        <v>215</v>
      </c>
      <c r="C12" s="37" t="s">
        <v>216</v>
      </c>
      <c r="D12" s="37" t="s">
        <v>217</v>
      </c>
    </row>
    <row r="13" customFormat="false" ht="45" hidden="false" customHeight="true" outlineLevel="0" collapsed="false">
      <c r="A13" s="37" t="n">
        <v>9</v>
      </c>
      <c r="B13" s="38" t="s">
        <v>218</v>
      </c>
      <c r="C13" s="37" t="s">
        <v>219</v>
      </c>
      <c r="D13" s="37" t="s">
        <v>220</v>
      </c>
    </row>
    <row r="14" customFormat="false" ht="45" hidden="false" customHeight="true" outlineLevel="0" collapsed="false">
      <c r="A14" s="37" t="n">
        <v>10</v>
      </c>
      <c r="B14" s="38" t="s">
        <v>221</v>
      </c>
      <c r="C14" s="37" t="s">
        <v>222</v>
      </c>
      <c r="D14" s="37" t="s">
        <v>223</v>
      </c>
    </row>
    <row r="15" customFormat="false" ht="45" hidden="false" customHeight="true" outlineLevel="0" collapsed="false">
      <c r="A15" s="37" t="n">
        <v>11</v>
      </c>
      <c r="B15" s="38" t="s">
        <v>224</v>
      </c>
      <c r="C15" s="37" t="s">
        <v>225</v>
      </c>
      <c r="D15" s="37" t="s">
        <v>226</v>
      </c>
    </row>
    <row r="17" customFormat="false" ht="15" hidden="false" customHeight="false" outlineLevel="0" collapsed="false">
      <c r="A17" s="3" t="s">
        <v>227</v>
      </c>
    </row>
    <row r="18" customFormat="false" ht="15" hidden="false" customHeight="false" outlineLevel="0" collapsed="false">
      <c r="A18" s="5" t="s">
        <v>191</v>
      </c>
      <c r="B18" s="5" t="s">
        <v>228</v>
      </c>
      <c r="C18" s="5" t="s">
        <v>229</v>
      </c>
      <c r="D18" s="5" t="s">
        <v>230</v>
      </c>
    </row>
    <row r="19" customFormat="false" ht="31.5" hidden="false" customHeight="true" outlineLevel="0" collapsed="false">
      <c r="A19" s="37" t="n">
        <v>1</v>
      </c>
      <c r="B19" s="38" t="s">
        <v>231</v>
      </c>
      <c r="C19" s="37" t="s">
        <v>232</v>
      </c>
      <c r="D19" s="37" t="s">
        <v>233</v>
      </c>
    </row>
    <row r="20" customFormat="false" ht="31.5" hidden="false" customHeight="true" outlineLevel="0" collapsed="false">
      <c r="A20" s="37" t="n">
        <v>2</v>
      </c>
      <c r="B20" s="38" t="s">
        <v>234</v>
      </c>
      <c r="C20" s="37" t="s">
        <v>235</v>
      </c>
      <c r="D20" s="37" t="s">
        <v>236</v>
      </c>
    </row>
    <row r="21" customFormat="false" ht="31.5" hidden="false" customHeight="true" outlineLevel="0" collapsed="false">
      <c r="A21" s="37" t="n">
        <v>3</v>
      </c>
      <c r="B21" s="38" t="s">
        <v>237</v>
      </c>
      <c r="C21" s="37" t="s">
        <v>238</v>
      </c>
      <c r="D21" s="37" t="s">
        <v>239</v>
      </c>
    </row>
    <row r="22" customFormat="false" ht="31.5" hidden="false" customHeight="true" outlineLevel="0" collapsed="false">
      <c r="A22" s="37" t="n">
        <v>4</v>
      </c>
      <c r="B22" s="38" t="s">
        <v>240</v>
      </c>
      <c r="C22" s="37" t="s">
        <v>241</v>
      </c>
      <c r="D22" s="37" t="s">
        <v>242</v>
      </c>
    </row>
    <row r="23" customFormat="false" ht="31.5" hidden="false" customHeight="true" outlineLevel="0" collapsed="false">
      <c r="A23" s="37" t="n">
        <v>5</v>
      </c>
      <c r="B23" s="38" t="s">
        <v>243</v>
      </c>
      <c r="C23" s="37" t="s">
        <v>244</v>
      </c>
      <c r="D23" s="37" t="s">
        <v>245</v>
      </c>
    </row>
    <row r="24" customFormat="false" ht="31.5" hidden="false" customHeight="true" outlineLevel="0" collapsed="false">
      <c r="A24" s="37" t="n">
        <v>6</v>
      </c>
      <c r="B24" s="38" t="s">
        <v>246</v>
      </c>
      <c r="C24" s="37" t="s">
        <v>247</v>
      </c>
      <c r="D24" s="37" t="s">
        <v>248</v>
      </c>
    </row>
    <row r="25" customFormat="false" ht="31.5" hidden="false" customHeight="true" outlineLevel="0" collapsed="false">
      <c r="A25" s="37" t="n">
        <v>7</v>
      </c>
      <c r="B25" s="38" t="s">
        <v>249</v>
      </c>
      <c r="C25" s="37" t="s">
        <v>250</v>
      </c>
      <c r="D25" s="37" t="s">
        <v>251</v>
      </c>
    </row>
    <row r="27" customFormat="false" ht="15" hidden="false" customHeight="false" outlineLevel="0" collapsed="false">
      <c r="A27" s="3" t="s">
        <v>252</v>
      </c>
    </row>
    <row r="28" customFormat="false" ht="15" hidden="false" customHeight="false" outlineLevel="0" collapsed="false">
      <c r="A28" s="39" t="n">
        <v>1</v>
      </c>
      <c r="B28" s="9" t="s">
        <v>253</v>
      </c>
      <c r="C28" s="9"/>
      <c r="D28" s="9"/>
    </row>
    <row r="29" customFormat="false" ht="15" hidden="false" customHeight="false" outlineLevel="0" collapsed="false">
      <c r="A29" s="39" t="n">
        <v>2</v>
      </c>
      <c r="B29" s="9" t="s">
        <v>254</v>
      </c>
      <c r="C29" s="9"/>
      <c r="D29" s="9"/>
    </row>
    <row r="30" customFormat="false" ht="15" hidden="false" customHeight="false" outlineLevel="0" collapsed="false">
      <c r="A30" s="39" t="n">
        <v>3</v>
      </c>
      <c r="B30" s="9" t="s">
        <v>255</v>
      </c>
      <c r="C30" s="9"/>
      <c r="D30" s="9"/>
    </row>
  </sheetData>
  <mergeCells count="3">
    <mergeCell ref="B28:D28"/>
    <mergeCell ref="B29:D29"/>
    <mergeCell ref="B30:D30"/>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29"/>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5"/>
    <col collapsed="false" customWidth="true" hidden="false" outlineLevel="0" max="2" min="2" style="0" width="52"/>
    <col collapsed="false" customWidth="true" hidden="false" outlineLevel="0" max="4" min="3" style="0" width="14"/>
    <col collapsed="false" customWidth="true" hidden="false" outlineLevel="0" max="5" min="5" style="0" width="12"/>
    <col collapsed="false" customWidth="true" hidden="false" outlineLevel="0" max="6" min="6" style="0" width="78"/>
  </cols>
  <sheetData>
    <row r="1" customFormat="false" ht="19.7" hidden="false" customHeight="false" outlineLevel="0" collapsed="false">
      <c r="A1" s="1" t="s">
        <v>256</v>
      </c>
    </row>
    <row r="2" customFormat="false" ht="15" hidden="false" customHeight="false" outlineLevel="0" collapsed="false">
      <c r="A2" s="20" t="s">
        <v>257</v>
      </c>
    </row>
    <row r="4" customFormat="false" ht="15" hidden="false" customHeight="false" outlineLevel="0" collapsed="false">
      <c r="A4" s="5" t="s">
        <v>191</v>
      </c>
      <c r="B4" s="5" t="s">
        <v>258</v>
      </c>
      <c r="C4" s="5" t="s">
        <v>259</v>
      </c>
      <c r="D4" s="5" t="s">
        <v>260</v>
      </c>
      <c r="E4" s="5" t="s">
        <v>261</v>
      </c>
      <c r="F4" s="5" t="s">
        <v>262</v>
      </c>
    </row>
    <row r="5" customFormat="false" ht="15" hidden="false" customHeight="false" outlineLevel="0" collapsed="false">
      <c r="A5" s="40" t="n">
        <v>1</v>
      </c>
      <c r="B5" s="40" t="s">
        <v>263</v>
      </c>
      <c r="C5" s="41" t="n">
        <f aca="false">COUNTA(transactions!$A$2:$A$2601)</f>
        <v>2600</v>
      </c>
      <c r="D5" s="42" t="n">
        <v>2600</v>
      </c>
      <c r="E5" s="43" t="str">
        <f aca="false">IF(C5=D5,"PASS","FAIL")</f>
        <v>PASS</v>
      </c>
      <c r="F5" s="40" t="s">
        <v>264</v>
      </c>
    </row>
    <row r="6" customFormat="false" ht="15" hidden="false" customHeight="false" outlineLevel="0" collapsed="false">
      <c r="A6" s="40" t="n">
        <v>2</v>
      </c>
      <c r="B6" s="40" t="s">
        <v>265</v>
      </c>
      <c r="C6" s="41" t="n">
        <f aca="false">COUNTBLANK(transactions!$A$2:$E$2601)</f>
        <v>0</v>
      </c>
      <c r="D6" s="42" t="n">
        <v>0</v>
      </c>
      <c r="E6" s="43" t="str">
        <f aca="false">IF(C6=D6,"PASS","FAIL")</f>
        <v>PASS</v>
      </c>
      <c r="F6" s="40" t="s">
        <v>266</v>
      </c>
    </row>
    <row r="7" customFormat="false" ht="15" hidden="false" customHeight="false" outlineLevel="0" collapsed="false">
      <c r="A7" s="40" t="n">
        <v>3</v>
      </c>
      <c r="B7" s="40" t="s">
        <v>267</v>
      </c>
      <c r="C7" s="41" t="n">
        <f aca="false">COUNTBLANK(medicine_master!$A$2:$I$26)</f>
        <v>0</v>
      </c>
      <c r="D7" s="42" t="n">
        <v>0</v>
      </c>
      <c r="E7" s="43" t="str">
        <f aca="false">IF(C7=D7,"PASS","FAIL")</f>
        <v>PASS</v>
      </c>
      <c r="F7" s="40" t="s">
        <v>268</v>
      </c>
    </row>
    <row r="8" customFormat="false" ht="15" hidden="false" customHeight="false" outlineLevel="0" collapsed="false">
      <c r="A8" s="40" t="n">
        <v>4</v>
      </c>
      <c r="B8" s="40" t="s">
        <v>269</v>
      </c>
      <c r="C8" s="41" t="n">
        <f aca="false">SUMPRODUCT((COUNTIF(transactions!$A$2:$A$2601,transactions!$A$2:$A$2601)&gt;1)*1)</f>
        <v>0</v>
      </c>
      <c r="D8" s="42" t="n">
        <v>0</v>
      </c>
      <c r="E8" s="43" t="str">
        <f aca="false">IF(C8=D8,"PASS","FAIL")</f>
        <v>PASS</v>
      </c>
      <c r="F8" s="40" t="s">
        <v>270</v>
      </c>
    </row>
    <row r="9" customFormat="false" ht="15" hidden="false" customHeight="false" outlineLevel="0" collapsed="false">
      <c r="A9" s="40" t="n">
        <v>5</v>
      </c>
      <c r="B9" s="40" t="s">
        <v>271</v>
      </c>
      <c r="C9" s="41" t="n">
        <f aca="false">SUMPRODUCT((COUNTIF(medicine_master!$A$2:$A$26,medicine_master!$A$2:$A$26)&gt;1)*1)</f>
        <v>0</v>
      </c>
      <c r="D9" s="42" t="n">
        <v>0</v>
      </c>
      <c r="E9" s="43" t="str">
        <f aca="false">IF(C9=D9,"PASS","FAIL")</f>
        <v>PASS</v>
      </c>
      <c r="F9" s="40" t="s">
        <v>272</v>
      </c>
    </row>
    <row r="10" customFormat="false" ht="15" hidden="false" customHeight="false" outlineLevel="0" collapsed="false">
      <c r="A10" s="40" t="n">
        <v>6</v>
      </c>
      <c r="B10" s="40" t="s">
        <v>273</v>
      </c>
      <c r="C10" s="41" t="n">
        <f aca="false">COUNTIF(transactions!$F$2:$F$2601,"Invalid")</f>
        <v>0</v>
      </c>
      <c r="D10" s="42" t="n">
        <v>0</v>
      </c>
      <c r="E10" s="43" t="str">
        <f aca="false">IF(C10=D10,"PASS","FAIL")</f>
        <v>PASS</v>
      </c>
      <c r="F10" s="40" t="s">
        <v>274</v>
      </c>
    </row>
    <row r="11" customFormat="false" ht="15" hidden="false" customHeight="false" outlineLevel="0" collapsed="false">
      <c r="A11" s="40" t="n">
        <v>7</v>
      </c>
      <c r="B11" s="40" t="s">
        <v>275</v>
      </c>
      <c r="C11" s="41" t="n">
        <f aca="false">COUNTIF(transactions!$E$2:$E$2601,"&lt;=0")+ROWS(transactions!$E$2:$E$2601)-COUNT(transactions!$E$2:$E$2601)</f>
        <v>0</v>
      </c>
      <c r="D11" s="42" t="n">
        <v>0</v>
      </c>
      <c r="E11" s="43" t="str">
        <f aca="false">IF(C11=D11,"PASS","FAIL")</f>
        <v>PASS</v>
      </c>
      <c r="F11" s="40" t="s">
        <v>276</v>
      </c>
    </row>
    <row r="12" customFormat="false" ht="15" hidden="false" customHeight="false" outlineLevel="0" collapsed="false">
      <c r="A12" s="40" t="n">
        <v>8</v>
      </c>
      <c r="B12" s="40" t="s">
        <v>277</v>
      </c>
      <c r="C12" s="41" t="n">
        <f aca="false">ROWS(transactions!$B$2:$B$2601)-COUNT(transactions!$B$2:$B$2601)</f>
        <v>0</v>
      </c>
      <c r="D12" s="42" t="n">
        <v>0</v>
      </c>
      <c r="E12" s="43" t="str">
        <f aca="false">IF(C12=D12,"PASS","FAIL")</f>
        <v>PASS</v>
      </c>
      <c r="F12" s="40" t="s">
        <v>278</v>
      </c>
    </row>
    <row r="13" customFormat="false" ht="15" hidden="false" customHeight="false" outlineLevel="0" collapsed="false">
      <c r="A13" s="40" t="n">
        <v>9</v>
      </c>
      <c r="B13" s="40" t="s">
        <v>279</v>
      </c>
      <c r="C13" s="41" t="n">
        <f aca="false">ROWS(transactions!$I$2:$I$2601)-COUNTIF(transactions!$I$2:$I$2601,2026)</f>
        <v>0</v>
      </c>
      <c r="D13" s="42" t="n">
        <v>0</v>
      </c>
      <c r="E13" s="43" t="str">
        <f aca="false">IF(C13=D13,"PASS","FAIL")</f>
        <v>PASS</v>
      </c>
      <c r="F13" s="40" t="s">
        <v>280</v>
      </c>
    </row>
    <row r="14" customFormat="false" ht="15" hidden="false" customHeight="false" outlineLevel="0" collapsed="false">
      <c r="A14" s="40" t="n">
        <v>10</v>
      </c>
      <c r="B14" s="40" t="s">
        <v>281</v>
      </c>
      <c r="C14" s="41" t="n">
        <f aca="false">ROWS(transactions!$D$2:$D$2601)-COUNTIF(transactions!$D$2:$D$2601,"Sale")-COUNTIF(transactions!$D$2:$D$2601,"Purchase")</f>
        <v>0</v>
      </c>
      <c r="D14" s="42" t="n">
        <v>0</v>
      </c>
      <c r="E14" s="43" t="str">
        <f aca="false">IF(C14=D14,"PASS","FAIL")</f>
        <v>PASS</v>
      </c>
      <c r="F14" s="40" t="s">
        <v>282</v>
      </c>
    </row>
    <row r="15" customFormat="false" ht="15" hidden="false" customHeight="false" outlineLevel="0" collapsed="false">
      <c r="A15" s="40" t="n">
        <v>11</v>
      </c>
      <c r="B15" s="40" t="s">
        <v>283</v>
      </c>
      <c r="C15" s="41" t="n">
        <f aca="false">COUNTIF(medicine_master!$G$2:$G$26,"&lt;=0")+COUNTIF(medicine_master!$H$2:$H$26,"&lt;=0")+COUNTIF(medicine_master!$I$2:$I$26,"&lt;=0")</f>
        <v>0</v>
      </c>
      <c r="D15" s="42" t="n">
        <v>0</v>
      </c>
      <c r="E15" s="43" t="str">
        <f aca="false">IF(C15=D15,"PASS","FAIL")</f>
        <v>PASS</v>
      </c>
      <c r="F15" s="40" t="s">
        <v>284</v>
      </c>
    </row>
    <row r="16" customFormat="false" ht="23.85" hidden="false" customHeight="false" outlineLevel="0" collapsed="false">
      <c r="A16" s="40" t="n">
        <v>12</v>
      </c>
      <c r="B16" s="40" t="s">
        <v>285</v>
      </c>
      <c r="C16" s="41" t="n">
        <f aca="false">SUMPRODUCT(--((medicine_master!$G$2:$G$26&gt;=medicine_master!$I$2:$I$26)+(medicine_master!$I$2:$I$26&gt;medicine_master!$H$2:$H$26)&gt;0))</f>
        <v>0</v>
      </c>
      <c r="D16" s="42" t="n">
        <v>0</v>
      </c>
      <c r="E16" s="43" t="str">
        <f aca="false">IF(C16=D16,"PASS","FAIL")</f>
        <v>PASS</v>
      </c>
      <c r="F16" s="40" t="s">
        <v>286</v>
      </c>
    </row>
    <row r="17" customFormat="false" ht="15" hidden="false" customHeight="false" outlineLevel="0" collapsed="false">
      <c r="A17" s="40" t="n">
        <v>13</v>
      </c>
      <c r="B17" s="40" t="s">
        <v>287</v>
      </c>
      <c r="C17" s="41" t="n">
        <f aca="false">SUMPRODUCT(--(LEN(medicine_master!$B$2:$B$26)&lt;&gt;LEN(TRIM(medicine_master!$B$2:$B$26))))+SUMPRODUCT(--(LEN(medicine_master!$C$2:$C$26)&lt;&gt;LEN(TRIM(medicine_master!$C$2:$C$26))))</f>
        <v>0</v>
      </c>
      <c r="D17" s="42" t="n">
        <v>0</v>
      </c>
      <c r="E17" s="43" t="str">
        <f aca="false">IF(C17=D17,"PASS","FAIL")</f>
        <v>PASS</v>
      </c>
      <c r="F17" s="40" t="s">
        <v>288</v>
      </c>
    </row>
    <row r="18" customFormat="false" ht="23.85" hidden="false" customHeight="false" outlineLevel="0" collapsed="false">
      <c r="A18" s="40" t="n">
        <v>14</v>
      </c>
      <c r="B18" s="40" t="s">
        <v>83</v>
      </c>
      <c r="C18" s="41" t="n">
        <f aca="false">SUMPRODUCT(1/COUNTIF(medicine_master!$C$2:$C$26,medicine_master!$C$2:$C$26))</f>
        <v>10</v>
      </c>
      <c r="D18" s="42" t="n">
        <v>10</v>
      </c>
      <c r="E18" s="43" t="str">
        <f aca="false">IF(C18=D18,"PASS","FAIL")</f>
        <v>PASS</v>
      </c>
      <c r="F18" s="40" t="s">
        <v>289</v>
      </c>
    </row>
    <row r="19" customFormat="false" ht="15" hidden="false" customHeight="false" outlineLevel="0" collapsed="false">
      <c r="A19" s="40" t="n">
        <v>15</v>
      </c>
      <c r="B19" s="40" t="s">
        <v>290</v>
      </c>
      <c r="C19" s="41" t="n">
        <f aca="false">COUNTIF(medicine_master!$L$2:$L$26,"&lt;0")</f>
        <v>0</v>
      </c>
      <c r="D19" s="42" t="n">
        <v>0</v>
      </c>
      <c r="E19" s="43" t="str">
        <f aca="false">IF(C19=D19,"PASS","REVIEW")</f>
        <v>PASS</v>
      </c>
      <c r="F19" s="40" t="s">
        <v>291</v>
      </c>
    </row>
    <row r="20" customFormat="false" ht="23.85" hidden="false" customHeight="false" outlineLevel="0" collapsed="false">
      <c r="A20" s="40" t="n">
        <v>16</v>
      </c>
      <c r="B20" s="40" t="s">
        <v>292</v>
      </c>
      <c r="C20" s="41" t="n">
        <f aca="false">COUNTIF(transactions!$B$2:$B$2601,"&gt;"&amp;Overview!$C$22)</f>
        <v>609</v>
      </c>
      <c r="D20" s="42" t="n">
        <v>0</v>
      </c>
      <c r="E20" s="43" t="str">
        <f aca="false">IF(C20=D20,"PASS","REVIEW")</f>
        <v>REVIEW</v>
      </c>
      <c r="F20" s="40" t="s">
        <v>293</v>
      </c>
    </row>
    <row r="21" customFormat="false" ht="23.85" hidden="false" customHeight="false" outlineLevel="0" collapsed="false">
      <c r="A21" s="40" t="n">
        <v>17</v>
      </c>
      <c r="B21" s="40" t="s">
        <v>294</v>
      </c>
      <c r="C21" s="41" t="n">
        <f aca="false">ROUND(SUM(transactions!$N$2:$N$2601),0)</f>
        <v>1811440</v>
      </c>
      <c r="D21" s="42" t="n">
        <v>1811440</v>
      </c>
      <c r="E21" s="43" t="str">
        <f aca="false">IF(C21=D21,"PASS","FAIL")</f>
        <v>PASS</v>
      </c>
      <c r="F21" s="40" t="s">
        <v>295</v>
      </c>
    </row>
    <row r="22" customFormat="false" ht="23.85" hidden="false" customHeight="false" outlineLevel="0" collapsed="false">
      <c r="A22" s="40" t="n">
        <v>18</v>
      </c>
      <c r="B22" s="40" t="s">
        <v>296</v>
      </c>
      <c r="C22" s="41" t="n">
        <f aca="false">ROUND(SUM(transactions!$O$2:$O$2601),0)</f>
        <v>1272520</v>
      </c>
      <c r="D22" s="42" t="n">
        <v>1272520</v>
      </c>
      <c r="E22" s="43" t="str">
        <f aca="false">IF(C22=D22,"PASS","FAIL")</f>
        <v>PASS</v>
      </c>
      <c r="F22" s="40" t="s">
        <v>297</v>
      </c>
    </row>
    <row r="24" customFormat="false" ht="15" hidden="false" customHeight="false" outlineLevel="0" collapsed="false">
      <c r="B24" s="3" t="s">
        <v>298</v>
      </c>
    </row>
    <row r="25" customFormat="false" ht="27.75" hidden="false" customHeight="true" outlineLevel="0" collapsed="false">
      <c r="B25" s="4" t="s">
        <v>299</v>
      </c>
      <c r="C25" s="4"/>
      <c r="D25" s="4"/>
      <c r="E25" s="4"/>
      <c r="F25" s="4"/>
    </row>
    <row r="26" customFormat="false" ht="27.75" hidden="false" customHeight="true" outlineLevel="0" collapsed="false">
      <c r="B26" s="4" t="s">
        <v>300</v>
      </c>
      <c r="C26" s="4"/>
      <c r="D26" s="4"/>
      <c r="E26" s="4"/>
      <c r="F26" s="4"/>
    </row>
    <row r="27" customFormat="false" ht="27.75" hidden="false" customHeight="true" outlineLevel="0" collapsed="false">
      <c r="B27" s="4" t="s">
        <v>301</v>
      </c>
      <c r="C27" s="4"/>
      <c r="D27" s="4"/>
      <c r="E27" s="4"/>
      <c r="F27" s="4"/>
    </row>
    <row r="28" customFormat="false" ht="27.75" hidden="false" customHeight="true" outlineLevel="0" collapsed="false">
      <c r="B28" s="4" t="s">
        <v>302</v>
      </c>
      <c r="C28" s="4"/>
      <c r="D28" s="4"/>
      <c r="E28" s="4"/>
      <c r="F28" s="4"/>
    </row>
    <row r="29" customFormat="false" ht="27.75" hidden="false" customHeight="true" outlineLevel="0" collapsed="false">
      <c r="B29" s="4" t="s">
        <v>303</v>
      </c>
      <c r="C29" s="4"/>
      <c r="D29" s="4"/>
      <c r="E29" s="4"/>
      <c r="F29" s="4"/>
    </row>
  </sheetData>
  <mergeCells count="5">
    <mergeCell ref="B25:F25"/>
    <mergeCell ref="B26:F26"/>
    <mergeCell ref="B27:F27"/>
    <mergeCell ref="B28:F28"/>
    <mergeCell ref="B29:F29"/>
  </mergeCells>
  <conditionalFormatting sqref="E5:E22">
    <cfRule type="cellIs" priority="2" operator="equal" aboveAverage="0" equalAverage="0" bottom="0" percent="0" rank="0" text="" dxfId="0">
      <formula>"PASS"</formula>
    </cfRule>
    <cfRule type="cellIs" priority="3" operator="equal" aboveAverage="0" equalAverage="0" bottom="0" percent="0" rank="0" text="" dxfId="1">
      <formula>"REVIEW"</formula>
    </cfRule>
    <cfRule type="cellIs" priority="4" operator="equal" aboveAverage="0" equalAverage="0" bottom="0" percent="0" rank="0" text="" dxfId="2">
      <formula>"FAIL"</formula>
    </cfRule>
  </conditionalFormatting>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S260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14"/>
    <col collapsed="false" customWidth="true" hidden="false" outlineLevel="0" max="3" min="2" style="0" width="12"/>
    <col collapsed="false" customWidth="true" hidden="false" outlineLevel="0" max="4" min="4" style="0" width="16"/>
    <col collapsed="false" customWidth="true" hidden="false" outlineLevel="0" max="6" min="5" style="0" width="10"/>
    <col collapsed="false" customWidth="true" hidden="false" outlineLevel="0" max="7" min="7" style="0" width="24"/>
    <col collapsed="false" customWidth="true" hidden="false" outlineLevel="0" max="8" min="8" style="0" width="14"/>
    <col collapsed="false" customWidth="true" hidden="false" outlineLevel="0" max="9" min="9" style="0" width="7"/>
    <col collapsed="false" customWidth="true" hidden="false" outlineLevel="0" max="11" min="10" style="0" width="11"/>
    <col collapsed="false" customWidth="true" hidden="false" outlineLevel="0" max="12" min="12" style="0" width="12"/>
    <col collapsed="false" customWidth="true" hidden="false" outlineLevel="0" max="14" min="13" style="0" width="13"/>
    <col collapsed="false" customWidth="true" hidden="false" outlineLevel="0" max="15" min="15" style="0" width="16"/>
    <col collapsed="false" customWidth="true" hidden="false" outlineLevel="0" max="16" min="16" style="0" width="12"/>
    <col collapsed="false" customWidth="true" hidden="false" outlineLevel="0" max="17" min="17" style="0" width="14"/>
  </cols>
  <sheetData>
    <row r="1" customFormat="false" ht="30" hidden="false" customHeight="true" outlineLevel="0" collapsed="false">
      <c r="A1" s="5" t="s">
        <v>304</v>
      </c>
      <c r="B1" s="5" t="s">
        <v>305</v>
      </c>
      <c r="C1" s="5" t="s">
        <v>142</v>
      </c>
      <c r="D1" s="5" t="s">
        <v>306</v>
      </c>
      <c r="E1" s="5" t="s">
        <v>307</v>
      </c>
      <c r="F1" s="5" t="s">
        <v>308</v>
      </c>
      <c r="G1" s="5" t="s">
        <v>309</v>
      </c>
      <c r="H1" s="5" t="s">
        <v>96</v>
      </c>
      <c r="I1" s="5" t="s">
        <v>310</v>
      </c>
      <c r="J1" s="5" t="s">
        <v>311</v>
      </c>
      <c r="K1" s="5" t="s">
        <v>312</v>
      </c>
      <c r="L1" s="5" t="s">
        <v>313</v>
      </c>
      <c r="M1" s="5" t="s">
        <v>314</v>
      </c>
      <c r="N1" s="5" t="s">
        <v>315</v>
      </c>
      <c r="O1" s="5" t="s">
        <v>316</v>
      </c>
      <c r="P1" s="5" t="s">
        <v>317</v>
      </c>
      <c r="Q1" s="5" t="s">
        <v>318</v>
      </c>
      <c r="S1" s="20" t="s">
        <v>319</v>
      </c>
    </row>
    <row r="2" customFormat="false" ht="15" hidden="false" customHeight="false" outlineLevel="0" collapsed="false">
      <c r="A2" s="39" t="s">
        <v>320</v>
      </c>
      <c r="B2" s="44" t="n">
        <v>46336</v>
      </c>
      <c r="C2" s="39" t="s">
        <v>321</v>
      </c>
      <c r="D2" s="39" t="s">
        <v>138</v>
      </c>
      <c r="E2" s="39" t="n">
        <v>5</v>
      </c>
      <c r="F2" s="39" t="str">
        <f aca="false">IF(COUNTIF(medicine_master!$A$2:$A$26,C2)&gt;0,"Valid","Invalid")</f>
        <v>Valid</v>
      </c>
      <c r="G2" s="39" t="str">
        <f aca="false">IFERROR(INDEX(medicine_master!$B$2:$B$26,MATCH($C2,medicine_master!$A$2:$A$26,0)),"Not found")</f>
        <v>Levocetirizine 5mg</v>
      </c>
      <c r="H2" s="39" t="str">
        <f aca="false">IFERROR(INDEX(medicine_master!$C$2:$C$26,MATCH($C2,medicine_master!$A$2:$A$26,0)),"Not found")</f>
        <v>Allergy</v>
      </c>
      <c r="I2" s="39" t="n">
        <f aca="false">YEAR(B2)</f>
        <v>2026</v>
      </c>
      <c r="J2" s="39" t="n">
        <f aca="false">MONTH(B2)</f>
        <v>11</v>
      </c>
      <c r="K2" s="39" t="str">
        <f aca="false">TEXT(B2,"mmm")</f>
        <v>Nov</v>
      </c>
      <c r="L2" s="45" t="n">
        <f aca="false">IFERROR(INDEX(medicine_master!$I$2:$I$26,MATCH($C2,medicine_master!$A$2:$A$26,0)),0)</f>
        <v>22</v>
      </c>
      <c r="M2" s="45" t="n">
        <f aca="false">IFERROR(INDEX(medicine_master!$G$2:$G$26,MATCH($C2,medicine_master!$A$2:$A$26,0)),0)</f>
        <v>14</v>
      </c>
      <c r="N2" s="45" t="n">
        <f aca="false">IF(D2="Sale",E2*L2,0)</f>
        <v>0</v>
      </c>
      <c r="O2" s="45" t="n">
        <f aca="false">IF(D2="Sale",E2*M2,0)</f>
        <v>0</v>
      </c>
      <c r="P2" s="45" t="n">
        <f aca="false">N2-O2</f>
        <v>0</v>
      </c>
      <c r="Q2" s="45" t="n">
        <f aca="false">IF(D2="Purchase",E2*M2,0)</f>
        <v>70</v>
      </c>
    </row>
    <row r="3" customFormat="false" ht="15" hidden="false" customHeight="false" outlineLevel="0" collapsed="false">
      <c r="A3" s="39" t="s">
        <v>322</v>
      </c>
      <c r="B3" s="44" t="n">
        <v>46081</v>
      </c>
      <c r="C3" s="39" t="s">
        <v>150</v>
      </c>
      <c r="D3" s="39" t="s">
        <v>138</v>
      </c>
      <c r="E3" s="39" t="n">
        <v>50</v>
      </c>
      <c r="F3" s="39" t="str">
        <f aca="false">IF(COUNTIF(medicine_master!$A$2:$A$26,C3)&gt;0,"Valid","Invalid")</f>
        <v>Valid</v>
      </c>
      <c r="G3" s="39" t="str">
        <f aca="false">IFERROR(INDEX(medicine_master!$B$2:$B$26,MATCH($C3,medicine_master!$A$2:$A$26,0)),"Not found")</f>
        <v>Pantoprazole 40mg</v>
      </c>
      <c r="H3" s="39" t="str">
        <f aca="false">IFERROR(INDEX(medicine_master!$C$2:$C$26,MATCH($C3,medicine_master!$A$2:$A$26,0)),"Not found")</f>
        <v>Gastric</v>
      </c>
      <c r="I3" s="39" t="n">
        <f aca="false">YEAR(B3)</f>
        <v>2026</v>
      </c>
      <c r="J3" s="39" t="n">
        <f aca="false">MONTH(B3)</f>
        <v>2</v>
      </c>
      <c r="K3" s="39" t="str">
        <f aca="false">TEXT(B3,"mmm")</f>
        <v>Feb</v>
      </c>
      <c r="L3" s="45" t="n">
        <f aca="false">IFERROR(INDEX(medicine_master!$I$2:$I$26,MATCH($C3,medicine_master!$A$2:$A$26,0)),0)</f>
        <v>35</v>
      </c>
      <c r="M3" s="45" t="n">
        <f aca="false">IFERROR(INDEX(medicine_master!$G$2:$G$26,MATCH($C3,medicine_master!$A$2:$A$26,0)),0)</f>
        <v>24</v>
      </c>
      <c r="N3" s="45" t="n">
        <f aca="false">IF(D3="Sale",E3*L3,0)</f>
        <v>0</v>
      </c>
      <c r="O3" s="45" t="n">
        <f aca="false">IF(D3="Sale",E3*M3,0)</f>
        <v>0</v>
      </c>
      <c r="P3" s="45" t="n">
        <f aca="false">N3-O3</f>
        <v>0</v>
      </c>
      <c r="Q3" s="45" t="n">
        <f aca="false">IF(D3="Purchase",E3*M3,0)</f>
        <v>1200</v>
      </c>
    </row>
    <row r="4" customFormat="false" ht="15" hidden="false" customHeight="false" outlineLevel="0" collapsed="false">
      <c r="A4" s="39" t="s">
        <v>323</v>
      </c>
      <c r="B4" s="44" t="n">
        <v>46293</v>
      </c>
      <c r="C4" s="39" t="s">
        <v>159</v>
      </c>
      <c r="D4" s="39" t="s">
        <v>137</v>
      </c>
      <c r="E4" s="39" t="n">
        <v>20</v>
      </c>
      <c r="F4" s="39" t="str">
        <f aca="false">IF(COUNTIF(medicine_master!$A$2:$A$26,C4)&gt;0,"Valid","Invalid")</f>
        <v>Valid</v>
      </c>
      <c r="G4" s="39" t="str">
        <f aca="false">IFERROR(INDEX(medicine_master!$B$2:$B$26,MATCH($C4,medicine_master!$A$2:$A$26,0)),"Not found")</f>
        <v>Antiseptic Liquid 100ml</v>
      </c>
      <c r="H4" s="39" t="str">
        <f aca="false">IFERROR(INDEX(medicine_master!$C$2:$C$26,MATCH($C4,medicine_master!$A$2:$A$26,0)),"Not found")</f>
        <v>First Aid</v>
      </c>
      <c r="I4" s="39" t="n">
        <f aca="false">YEAR(B4)</f>
        <v>2026</v>
      </c>
      <c r="J4" s="39" t="n">
        <f aca="false">MONTH(B4)</f>
        <v>9</v>
      </c>
      <c r="K4" s="39" t="str">
        <f aca="false">TEXT(B4,"mmm")</f>
        <v>Sep</v>
      </c>
      <c r="L4" s="45" t="n">
        <f aca="false">IFERROR(INDEX(medicine_master!$I$2:$I$26,MATCH($C4,medicine_master!$A$2:$A$26,0)),0)</f>
        <v>65</v>
      </c>
      <c r="M4" s="45" t="n">
        <f aca="false">IFERROR(INDEX(medicine_master!$G$2:$G$26,MATCH($C4,medicine_master!$A$2:$A$26,0)),0)</f>
        <v>48</v>
      </c>
      <c r="N4" s="45" t="n">
        <f aca="false">IF(D4="Sale",E4*L4,0)</f>
        <v>1300</v>
      </c>
      <c r="O4" s="45" t="n">
        <f aca="false">IF(D4="Sale",E4*M4,0)</f>
        <v>960</v>
      </c>
      <c r="P4" s="45" t="n">
        <f aca="false">N4-O4</f>
        <v>340</v>
      </c>
      <c r="Q4" s="45" t="n">
        <f aca="false">IF(D4="Purchase",E4*M4,0)</f>
        <v>0</v>
      </c>
    </row>
    <row r="5" customFormat="false" ht="15" hidden="false" customHeight="false" outlineLevel="0" collapsed="false">
      <c r="A5" s="39" t="s">
        <v>324</v>
      </c>
      <c r="B5" s="44" t="n">
        <v>46266</v>
      </c>
      <c r="C5" s="39" t="s">
        <v>178</v>
      </c>
      <c r="D5" s="39" t="s">
        <v>138</v>
      </c>
      <c r="E5" s="39" t="n">
        <v>25</v>
      </c>
      <c r="F5" s="39" t="str">
        <f aca="false">IF(COUNTIF(medicine_master!$A$2:$A$26,C5)&gt;0,"Valid","Invalid")</f>
        <v>Valid</v>
      </c>
      <c r="G5" s="39" t="str">
        <f aca="false">IFERROR(INDEX(medicine_master!$B$2:$B$26,MATCH($C5,medicine_master!$A$2:$A$26,0)),"Not found")</f>
        <v>Aspirin 75mg</v>
      </c>
      <c r="H5" s="39" t="str">
        <f aca="false">IFERROR(INDEX(medicine_master!$C$2:$C$26,MATCH($C5,medicine_master!$A$2:$A$26,0)),"Not found")</f>
        <v>Cardiac</v>
      </c>
      <c r="I5" s="39" t="n">
        <f aca="false">YEAR(B5)</f>
        <v>2026</v>
      </c>
      <c r="J5" s="39" t="n">
        <f aca="false">MONTH(B5)</f>
        <v>9</v>
      </c>
      <c r="K5" s="39" t="str">
        <f aca="false">TEXT(B5,"mmm")</f>
        <v>Sep</v>
      </c>
      <c r="L5" s="45" t="n">
        <f aca="false">IFERROR(INDEX(medicine_master!$I$2:$I$26,MATCH($C5,medicine_master!$A$2:$A$26,0)),0)</f>
        <v>15</v>
      </c>
      <c r="M5" s="45" t="n">
        <f aca="false">IFERROR(INDEX(medicine_master!$G$2:$G$26,MATCH($C5,medicine_master!$A$2:$A$26,0)),0)</f>
        <v>10</v>
      </c>
      <c r="N5" s="45" t="n">
        <f aca="false">IF(D5="Sale",E5*L5,0)</f>
        <v>0</v>
      </c>
      <c r="O5" s="45" t="n">
        <f aca="false">IF(D5="Sale",E5*M5,0)</f>
        <v>0</v>
      </c>
      <c r="P5" s="45" t="n">
        <f aca="false">N5-O5</f>
        <v>0</v>
      </c>
      <c r="Q5" s="45" t="n">
        <f aca="false">IF(D5="Purchase",E5*M5,0)</f>
        <v>250</v>
      </c>
    </row>
    <row r="6" customFormat="false" ht="15" hidden="false" customHeight="false" outlineLevel="0" collapsed="false">
      <c r="A6" s="39" t="s">
        <v>325</v>
      </c>
      <c r="B6" s="44" t="n">
        <v>46043</v>
      </c>
      <c r="C6" s="39" t="s">
        <v>326</v>
      </c>
      <c r="D6" s="39" t="s">
        <v>138</v>
      </c>
      <c r="E6" s="39" t="n">
        <v>50</v>
      </c>
      <c r="F6" s="39" t="str">
        <f aca="false">IF(COUNTIF(medicine_master!$A$2:$A$26,C6)&gt;0,"Valid","Invalid")</f>
        <v>Valid</v>
      </c>
      <c r="G6" s="39" t="str">
        <f aca="false">IFERROR(INDEX(medicine_master!$B$2:$B$26,MATCH($C6,medicine_master!$A$2:$A$26,0)),"Not found")</f>
        <v>Omeprazole 20mg</v>
      </c>
      <c r="H6" s="39" t="str">
        <f aca="false">IFERROR(INDEX(medicine_master!$C$2:$C$26,MATCH($C6,medicine_master!$A$2:$A$26,0)),"Not found")</f>
        <v>Gastric</v>
      </c>
      <c r="I6" s="39" t="n">
        <f aca="false">YEAR(B6)</f>
        <v>2026</v>
      </c>
      <c r="J6" s="39" t="n">
        <f aca="false">MONTH(B6)</f>
        <v>1</v>
      </c>
      <c r="K6" s="39" t="str">
        <f aca="false">TEXT(B6,"mmm")</f>
        <v>Jan</v>
      </c>
      <c r="L6" s="45" t="n">
        <f aca="false">IFERROR(INDEX(medicine_master!$I$2:$I$26,MATCH($C6,medicine_master!$A$2:$A$26,0)),0)</f>
        <v>26</v>
      </c>
      <c r="M6" s="45" t="n">
        <f aca="false">IFERROR(INDEX(medicine_master!$G$2:$G$26,MATCH($C6,medicine_master!$A$2:$A$26,0)),0)</f>
        <v>18</v>
      </c>
      <c r="N6" s="45" t="n">
        <f aca="false">IF(D6="Sale",E6*L6,0)</f>
        <v>0</v>
      </c>
      <c r="O6" s="45" t="n">
        <f aca="false">IF(D6="Sale",E6*M6,0)</f>
        <v>0</v>
      </c>
      <c r="P6" s="45" t="n">
        <f aca="false">N6-O6</f>
        <v>0</v>
      </c>
      <c r="Q6" s="45" t="n">
        <f aca="false">IF(D6="Purchase",E6*M6,0)</f>
        <v>900</v>
      </c>
    </row>
    <row r="7" customFormat="false" ht="15" hidden="false" customHeight="false" outlineLevel="0" collapsed="false">
      <c r="A7" s="39" t="s">
        <v>327</v>
      </c>
      <c r="B7" s="44" t="n">
        <v>46338</v>
      </c>
      <c r="C7" s="39" t="s">
        <v>153</v>
      </c>
      <c r="D7" s="39" t="s">
        <v>137</v>
      </c>
      <c r="E7" s="39" t="n">
        <v>15</v>
      </c>
      <c r="F7" s="39" t="str">
        <f aca="false">IF(COUNTIF(medicine_master!$A$2:$A$26,C7)&gt;0,"Valid","Invalid")</f>
        <v>Valid</v>
      </c>
      <c r="G7" s="39" t="str">
        <f aca="false">IFERROR(INDEX(medicine_master!$B$2:$B$26,MATCH($C7,medicine_master!$A$2:$A$26,0)),"Not found")</f>
        <v>Atorvastatin 10mg</v>
      </c>
      <c r="H7" s="39" t="str">
        <f aca="false">IFERROR(INDEX(medicine_master!$C$2:$C$26,MATCH($C7,medicine_master!$A$2:$A$26,0)),"Not found")</f>
        <v>Cardiac</v>
      </c>
      <c r="I7" s="39" t="n">
        <f aca="false">YEAR(B7)</f>
        <v>2026</v>
      </c>
      <c r="J7" s="39" t="n">
        <f aca="false">MONTH(B7)</f>
        <v>11</v>
      </c>
      <c r="K7" s="39" t="str">
        <f aca="false">TEXT(B7,"mmm")</f>
        <v>Nov</v>
      </c>
      <c r="L7" s="45" t="n">
        <f aca="false">IFERROR(INDEX(medicine_master!$I$2:$I$26,MATCH($C7,medicine_master!$A$2:$A$26,0)),0)</f>
        <v>28</v>
      </c>
      <c r="M7" s="45" t="n">
        <f aca="false">IFERROR(INDEX(medicine_master!$G$2:$G$26,MATCH($C7,medicine_master!$A$2:$A$26,0)),0)</f>
        <v>19</v>
      </c>
      <c r="N7" s="45" t="n">
        <f aca="false">IF(D7="Sale",E7*L7,0)</f>
        <v>420</v>
      </c>
      <c r="O7" s="45" t="n">
        <f aca="false">IF(D7="Sale",E7*M7,0)</f>
        <v>285</v>
      </c>
      <c r="P7" s="45" t="n">
        <f aca="false">N7-O7</f>
        <v>135</v>
      </c>
      <c r="Q7" s="45" t="n">
        <f aca="false">IF(D7="Purchase",E7*M7,0)</f>
        <v>0</v>
      </c>
    </row>
    <row r="8" customFormat="false" ht="15" hidden="false" customHeight="false" outlineLevel="0" collapsed="false">
      <c r="A8" s="39" t="s">
        <v>328</v>
      </c>
      <c r="B8" s="44" t="n">
        <v>46075</v>
      </c>
      <c r="C8" s="39" t="s">
        <v>179</v>
      </c>
      <c r="D8" s="39" t="s">
        <v>137</v>
      </c>
      <c r="E8" s="39" t="n">
        <v>20</v>
      </c>
      <c r="F8" s="39" t="str">
        <f aca="false">IF(COUNTIF(medicine_master!$A$2:$A$26,C8)&gt;0,"Valid","Invalid")</f>
        <v>Valid</v>
      </c>
      <c r="G8" s="39" t="str">
        <f aca="false">IFERROR(INDEX(medicine_master!$B$2:$B$26,MATCH($C8,medicine_master!$A$2:$A$26,0)),"Not found")</f>
        <v>Ibuprofen 400mg</v>
      </c>
      <c r="H8" s="39" t="str">
        <f aca="false">IFERROR(INDEX(medicine_master!$C$2:$C$26,MATCH($C8,medicine_master!$A$2:$A$26,0)),"Not found")</f>
        <v>Pain Relief</v>
      </c>
      <c r="I8" s="39" t="n">
        <f aca="false">YEAR(B8)</f>
        <v>2026</v>
      </c>
      <c r="J8" s="39" t="n">
        <f aca="false">MONTH(B8)</f>
        <v>2</v>
      </c>
      <c r="K8" s="39" t="str">
        <f aca="false">TEXT(B8,"mmm")</f>
        <v>Feb</v>
      </c>
      <c r="L8" s="45" t="n">
        <f aca="false">IFERROR(INDEX(medicine_master!$I$2:$I$26,MATCH($C8,medicine_master!$A$2:$A$26,0)),0)</f>
        <v>30</v>
      </c>
      <c r="M8" s="45" t="n">
        <f aca="false">IFERROR(INDEX(medicine_master!$G$2:$G$26,MATCH($C8,medicine_master!$A$2:$A$26,0)),0)</f>
        <v>22</v>
      </c>
      <c r="N8" s="45" t="n">
        <f aca="false">IF(D8="Sale",E8*L8,0)</f>
        <v>600</v>
      </c>
      <c r="O8" s="45" t="n">
        <f aca="false">IF(D8="Sale",E8*M8,0)</f>
        <v>440</v>
      </c>
      <c r="P8" s="45" t="n">
        <f aca="false">N8-O8</f>
        <v>160</v>
      </c>
      <c r="Q8" s="45" t="n">
        <f aca="false">IF(D8="Purchase",E8*M8,0)</f>
        <v>0</v>
      </c>
    </row>
    <row r="9" customFormat="false" ht="15" hidden="false" customHeight="false" outlineLevel="0" collapsed="false">
      <c r="A9" s="39" t="s">
        <v>329</v>
      </c>
      <c r="B9" s="44" t="n">
        <v>46286</v>
      </c>
      <c r="C9" s="39" t="s">
        <v>159</v>
      </c>
      <c r="D9" s="39" t="s">
        <v>138</v>
      </c>
      <c r="E9" s="39" t="n">
        <v>20</v>
      </c>
      <c r="F9" s="39" t="str">
        <f aca="false">IF(COUNTIF(medicine_master!$A$2:$A$26,C9)&gt;0,"Valid","Invalid")</f>
        <v>Valid</v>
      </c>
      <c r="G9" s="39" t="str">
        <f aca="false">IFERROR(INDEX(medicine_master!$B$2:$B$26,MATCH($C9,medicine_master!$A$2:$A$26,0)),"Not found")</f>
        <v>Antiseptic Liquid 100ml</v>
      </c>
      <c r="H9" s="39" t="str">
        <f aca="false">IFERROR(INDEX(medicine_master!$C$2:$C$26,MATCH($C9,medicine_master!$A$2:$A$26,0)),"Not found")</f>
        <v>First Aid</v>
      </c>
      <c r="I9" s="39" t="n">
        <f aca="false">YEAR(B9)</f>
        <v>2026</v>
      </c>
      <c r="J9" s="39" t="n">
        <f aca="false">MONTH(B9)</f>
        <v>9</v>
      </c>
      <c r="K9" s="39" t="str">
        <f aca="false">TEXT(B9,"mmm")</f>
        <v>Sep</v>
      </c>
      <c r="L9" s="45" t="n">
        <f aca="false">IFERROR(INDEX(medicine_master!$I$2:$I$26,MATCH($C9,medicine_master!$A$2:$A$26,0)),0)</f>
        <v>65</v>
      </c>
      <c r="M9" s="45" t="n">
        <f aca="false">IFERROR(INDEX(medicine_master!$G$2:$G$26,MATCH($C9,medicine_master!$A$2:$A$26,0)),0)</f>
        <v>48</v>
      </c>
      <c r="N9" s="45" t="n">
        <f aca="false">IF(D9="Sale",E9*L9,0)</f>
        <v>0</v>
      </c>
      <c r="O9" s="45" t="n">
        <f aca="false">IF(D9="Sale",E9*M9,0)</f>
        <v>0</v>
      </c>
      <c r="P9" s="45" t="n">
        <f aca="false">N9-O9</f>
        <v>0</v>
      </c>
      <c r="Q9" s="45" t="n">
        <f aca="false">IF(D9="Purchase",E9*M9,0)</f>
        <v>960</v>
      </c>
    </row>
    <row r="10" customFormat="false" ht="15" hidden="false" customHeight="false" outlineLevel="0" collapsed="false">
      <c r="A10" s="39" t="s">
        <v>330</v>
      </c>
      <c r="B10" s="44" t="n">
        <v>46072</v>
      </c>
      <c r="C10" s="39" t="s">
        <v>157</v>
      </c>
      <c r="D10" s="39" t="s">
        <v>137</v>
      </c>
      <c r="E10" s="39" t="n">
        <v>20</v>
      </c>
      <c r="F10" s="39" t="str">
        <f aca="false">IF(COUNTIF(medicine_master!$A$2:$A$26,C10)&gt;0,"Valid","Invalid")</f>
        <v>Valid</v>
      </c>
      <c r="G10" s="39" t="str">
        <f aca="false">IFERROR(INDEX(medicine_master!$B$2:$B$26,MATCH($C10,medicine_master!$A$2:$A$26,0)),"Not found")</f>
        <v>Multivitamin Tablets</v>
      </c>
      <c r="H10" s="39" t="str">
        <f aca="false">IFERROR(INDEX(medicine_master!$C$2:$C$26,MATCH($C10,medicine_master!$A$2:$A$26,0)),"Not found")</f>
        <v>Vitamin</v>
      </c>
      <c r="I10" s="39" t="n">
        <f aca="false">YEAR(B10)</f>
        <v>2026</v>
      </c>
      <c r="J10" s="39" t="n">
        <f aca="false">MONTH(B10)</f>
        <v>2</v>
      </c>
      <c r="K10" s="39" t="str">
        <f aca="false">TEXT(B10,"mmm")</f>
        <v>Feb</v>
      </c>
      <c r="L10" s="45" t="n">
        <f aca="false">IFERROR(INDEX(medicine_master!$I$2:$I$26,MATCH($C10,medicine_master!$A$2:$A$26,0)),0)</f>
        <v>105</v>
      </c>
      <c r="M10" s="45" t="n">
        <f aca="false">IFERROR(INDEX(medicine_master!$G$2:$G$26,MATCH($C10,medicine_master!$A$2:$A$26,0)),0)</f>
        <v>72</v>
      </c>
      <c r="N10" s="45" t="n">
        <f aca="false">IF(D10="Sale",E10*L10,0)</f>
        <v>2100</v>
      </c>
      <c r="O10" s="45" t="n">
        <f aca="false">IF(D10="Sale",E10*M10,0)</f>
        <v>1440</v>
      </c>
      <c r="P10" s="45" t="n">
        <f aca="false">N10-O10</f>
        <v>660</v>
      </c>
      <c r="Q10" s="45" t="n">
        <f aca="false">IF(D10="Purchase",E10*M10,0)</f>
        <v>0</v>
      </c>
    </row>
    <row r="11" customFormat="false" ht="15" hidden="false" customHeight="false" outlineLevel="0" collapsed="false">
      <c r="A11" s="39" t="s">
        <v>331</v>
      </c>
      <c r="B11" s="44" t="n">
        <v>46076</v>
      </c>
      <c r="C11" s="39" t="s">
        <v>150</v>
      </c>
      <c r="D11" s="39" t="s">
        <v>137</v>
      </c>
      <c r="E11" s="39" t="n">
        <v>5</v>
      </c>
      <c r="F11" s="39" t="str">
        <f aca="false">IF(COUNTIF(medicine_master!$A$2:$A$26,C11)&gt;0,"Valid","Invalid")</f>
        <v>Valid</v>
      </c>
      <c r="G11" s="39" t="str">
        <f aca="false">IFERROR(INDEX(medicine_master!$B$2:$B$26,MATCH($C11,medicine_master!$A$2:$A$26,0)),"Not found")</f>
        <v>Pantoprazole 40mg</v>
      </c>
      <c r="H11" s="39" t="str">
        <f aca="false">IFERROR(INDEX(medicine_master!$C$2:$C$26,MATCH($C11,medicine_master!$A$2:$A$26,0)),"Not found")</f>
        <v>Gastric</v>
      </c>
      <c r="I11" s="39" t="n">
        <f aca="false">YEAR(B11)</f>
        <v>2026</v>
      </c>
      <c r="J11" s="39" t="n">
        <f aca="false">MONTH(B11)</f>
        <v>2</v>
      </c>
      <c r="K11" s="39" t="str">
        <f aca="false">TEXT(B11,"mmm")</f>
        <v>Feb</v>
      </c>
      <c r="L11" s="45" t="n">
        <f aca="false">IFERROR(INDEX(medicine_master!$I$2:$I$26,MATCH($C11,medicine_master!$A$2:$A$26,0)),0)</f>
        <v>35</v>
      </c>
      <c r="M11" s="45" t="n">
        <f aca="false">IFERROR(INDEX(medicine_master!$G$2:$G$26,MATCH($C11,medicine_master!$A$2:$A$26,0)),0)</f>
        <v>24</v>
      </c>
      <c r="N11" s="45" t="n">
        <f aca="false">IF(D11="Sale",E11*L11,0)</f>
        <v>175</v>
      </c>
      <c r="O11" s="45" t="n">
        <f aca="false">IF(D11="Sale",E11*M11,0)</f>
        <v>120</v>
      </c>
      <c r="P11" s="45" t="n">
        <f aca="false">N11-O11</f>
        <v>55</v>
      </c>
      <c r="Q11" s="45" t="n">
        <f aca="false">IF(D11="Purchase",E11*M11,0)</f>
        <v>0</v>
      </c>
    </row>
    <row r="12" customFormat="false" ht="15" hidden="false" customHeight="false" outlineLevel="0" collapsed="false">
      <c r="A12" s="39" t="s">
        <v>332</v>
      </c>
      <c r="B12" s="44" t="n">
        <v>46240</v>
      </c>
      <c r="C12" s="39" t="s">
        <v>144</v>
      </c>
      <c r="D12" s="39" t="s">
        <v>137</v>
      </c>
      <c r="E12" s="39" t="n">
        <v>40</v>
      </c>
      <c r="F12" s="39" t="str">
        <f aca="false">IF(COUNTIF(medicine_master!$A$2:$A$26,C12)&gt;0,"Valid","Invalid")</f>
        <v>Valid</v>
      </c>
      <c r="G12" s="39" t="str">
        <f aca="false">IFERROR(INDEX(medicine_master!$B$2:$B$26,MATCH($C12,medicine_master!$A$2:$A$26,0)),"Not found")</f>
        <v>Glimepiride 2mg</v>
      </c>
      <c r="H12" s="39" t="str">
        <f aca="false">IFERROR(INDEX(medicine_master!$C$2:$C$26,MATCH($C12,medicine_master!$A$2:$A$26,0)),"Not found")</f>
        <v>Diabetes</v>
      </c>
      <c r="I12" s="39" t="n">
        <f aca="false">YEAR(B12)</f>
        <v>2026</v>
      </c>
      <c r="J12" s="39" t="n">
        <f aca="false">MONTH(B12)</f>
        <v>8</v>
      </c>
      <c r="K12" s="39" t="str">
        <f aca="false">TEXT(B12,"mmm")</f>
        <v>Aug</v>
      </c>
      <c r="L12" s="45" t="n">
        <f aca="false">IFERROR(INDEX(medicine_master!$I$2:$I$26,MATCH($C12,medicine_master!$A$2:$A$26,0)),0)</f>
        <v>52</v>
      </c>
      <c r="M12" s="45" t="n">
        <f aca="false">IFERROR(INDEX(medicine_master!$G$2:$G$26,MATCH($C12,medicine_master!$A$2:$A$26,0)),0)</f>
        <v>38</v>
      </c>
      <c r="N12" s="45" t="n">
        <f aca="false">IF(D12="Sale",E12*L12,0)</f>
        <v>2080</v>
      </c>
      <c r="O12" s="45" t="n">
        <f aca="false">IF(D12="Sale",E12*M12,0)</f>
        <v>1520</v>
      </c>
      <c r="P12" s="45" t="n">
        <f aca="false">N12-O12</f>
        <v>560</v>
      </c>
      <c r="Q12" s="45" t="n">
        <f aca="false">IF(D12="Purchase",E12*M12,0)</f>
        <v>0</v>
      </c>
    </row>
    <row r="13" customFormat="false" ht="15" hidden="false" customHeight="false" outlineLevel="0" collapsed="false">
      <c r="A13" s="39" t="s">
        <v>333</v>
      </c>
      <c r="B13" s="44" t="n">
        <v>46292</v>
      </c>
      <c r="C13" s="39" t="s">
        <v>177</v>
      </c>
      <c r="D13" s="39" t="s">
        <v>138</v>
      </c>
      <c r="E13" s="39" t="n">
        <v>25</v>
      </c>
      <c r="F13" s="39" t="str">
        <f aca="false">IF(COUNTIF(medicine_master!$A$2:$A$26,C13)&gt;0,"Valid","Invalid")</f>
        <v>Valid</v>
      </c>
      <c r="G13" s="39" t="str">
        <f aca="false">IFERROR(INDEX(medicine_master!$B$2:$B$26,MATCH($C13,medicine_master!$A$2:$A$26,0)),"Not found")</f>
        <v>Bandage Roll</v>
      </c>
      <c r="H13" s="39" t="str">
        <f aca="false">IFERROR(INDEX(medicine_master!$C$2:$C$26,MATCH($C13,medicine_master!$A$2:$A$26,0)),"Not found")</f>
        <v>First Aid</v>
      </c>
      <c r="I13" s="39" t="n">
        <f aca="false">YEAR(B13)</f>
        <v>2026</v>
      </c>
      <c r="J13" s="39" t="n">
        <f aca="false">MONTH(B13)</f>
        <v>9</v>
      </c>
      <c r="K13" s="39" t="str">
        <f aca="false">TEXT(B13,"mmm")</f>
        <v>Sep</v>
      </c>
      <c r="L13" s="45" t="n">
        <f aca="false">IFERROR(INDEX(medicine_master!$I$2:$I$26,MATCH($C13,medicine_master!$A$2:$A$26,0)),0)</f>
        <v>25</v>
      </c>
      <c r="M13" s="45" t="n">
        <f aca="false">IFERROR(INDEX(medicine_master!$G$2:$G$26,MATCH($C13,medicine_master!$A$2:$A$26,0)),0)</f>
        <v>15</v>
      </c>
      <c r="N13" s="45" t="n">
        <f aca="false">IF(D13="Sale",E13*L13,0)</f>
        <v>0</v>
      </c>
      <c r="O13" s="45" t="n">
        <f aca="false">IF(D13="Sale",E13*M13,0)</f>
        <v>0</v>
      </c>
      <c r="P13" s="45" t="n">
        <f aca="false">N13-O13</f>
        <v>0</v>
      </c>
      <c r="Q13" s="45" t="n">
        <f aca="false">IF(D13="Purchase",E13*M13,0)</f>
        <v>375</v>
      </c>
    </row>
    <row r="14" customFormat="false" ht="15" hidden="false" customHeight="false" outlineLevel="0" collapsed="false">
      <c r="A14" s="39" t="s">
        <v>334</v>
      </c>
      <c r="B14" s="44" t="n">
        <v>46274</v>
      </c>
      <c r="C14" s="39" t="s">
        <v>178</v>
      </c>
      <c r="D14" s="39" t="s">
        <v>137</v>
      </c>
      <c r="E14" s="39" t="n">
        <v>40</v>
      </c>
      <c r="F14" s="39" t="str">
        <f aca="false">IF(COUNTIF(medicine_master!$A$2:$A$26,C14)&gt;0,"Valid","Invalid")</f>
        <v>Valid</v>
      </c>
      <c r="G14" s="39" t="str">
        <f aca="false">IFERROR(INDEX(medicine_master!$B$2:$B$26,MATCH($C14,medicine_master!$A$2:$A$26,0)),"Not found")</f>
        <v>Aspirin 75mg</v>
      </c>
      <c r="H14" s="39" t="str">
        <f aca="false">IFERROR(INDEX(medicine_master!$C$2:$C$26,MATCH($C14,medicine_master!$A$2:$A$26,0)),"Not found")</f>
        <v>Cardiac</v>
      </c>
      <c r="I14" s="39" t="n">
        <f aca="false">YEAR(B14)</f>
        <v>2026</v>
      </c>
      <c r="J14" s="39" t="n">
        <f aca="false">MONTH(B14)</f>
        <v>9</v>
      </c>
      <c r="K14" s="39" t="str">
        <f aca="false">TEXT(B14,"mmm")</f>
        <v>Sep</v>
      </c>
      <c r="L14" s="45" t="n">
        <f aca="false">IFERROR(INDEX(medicine_master!$I$2:$I$26,MATCH($C14,medicine_master!$A$2:$A$26,0)),0)</f>
        <v>15</v>
      </c>
      <c r="M14" s="45" t="n">
        <f aca="false">IFERROR(INDEX(medicine_master!$G$2:$G$26,MATCH($C14,medicine_master!$A$2:$A$26,0)),0)</f>
        <v>10</v>
      </c>
      <c r="N14" s="45" t="n">
        <f aca="false">IF(D14="Sale",E14*L14,0)</f>
        <v>600</v>
      </c>
      <c r="O14" s="45" t="n">
        <f aca="false">IF(D14="Sale",E14*M14,0)</f>
        <v>400</v>
      </c>
      <c r="P14" s="45" t="n">
        <f aca="false">N14-O14</f>
        <v>200</v>
      </c>
      <c r="Q14" s="45" t="n">
        <f aca="false">IF(D14="Purchase",E14*M14,0)</f>
        <v>0</v>
      </c>
    </row>
    <row r="15" customFormat="false" ht="15" hidden="false" customHeight="false" outlineLevel="0" collapsed="false">
      <c r="A15" s="39" t="s">
        <v>335</v>
      </c>
      <c r="B15" s="44" t="n">
        <v>46259</v>
      </c>
      <c r="C15" s="39" t="s">
        <v>160</v>
      </c>
      <c r="D15" s="39" t="s">
        <v>137</v>
      </c>
      <c r="E15" s="39" t="n">
        <v>25</v>
      </c>
      <c r="F15" s="39" t="str">
        <f aca="false">IF(COUNTIF(medicine_master!$A$2:$A$26,C15)&gt;0,"Valid","Invalid")</f>
        <v>Valid</v>
      </c>
      <c r="G15" s="39" t="str">
        <f aca="false">IFERROR(INDEX(medicine_master!$B$2:$B$26,MATCH($C15,medicine_master!$A$2:$A$26,0)),"Not found")</f>
        <v>Calamine Lotion</v>
      </c>
      <c r="H15" s="39" t="str">
        <f aca="false">IFERROR(INDEX(medicine_master!$C$2:$C$26,MATCH($C15,medicine_master!$A$2:$A$26,0)),"Not found")</f>
        <v>Dermatology</v>
      </c>
      <c r="I15" s="39" t="n">
        <f aca="false">YEAR(B15)</f>
        <v>2026</v>
      </c>
      <c r="J15" s="39" t="n">
        <f aca="false">MONTH(B15)</f>
        <v>8</v>
      </c>
      <c r="K15" s="39" t="str">
        <f aca="false">TEXT(B15,"mmm")</f>
        <v>Aug</v>
      </c>
      <c r="L15" s="45" t="n">
        <f aca="false">IFERROR(INDEX(medicine_master!$I$2:$I$26,MATCH($C15,medicine_master!$A$2:$A$26,0)),0)</f>
        <v>60</v>
      </c>
      <c r="M15" s="45" t="n">
        <f aca="false">IFERROR(INDEX(medicine_master!$G$2:$G$26,MATCH($C15,medicine_master!$A$2:$A$26,0)),0)</f>
        <v>42</v>
      </c>
      <c r="N15" s="45" t="n">
        <f aca="false">IF(D15="Sale",E15*L15,0)</f>
        <v>1500</v>
      </c>
      <c r="O15" s="45" t="n">
        <f aca="false">IF(D15="Sale",E15*M15,0)</f>
        <v>1050</v>
      </c>
      <c r="P15" s="45" t="n">
        <f aca="false">N15-O15</f>
        <v>450</v>
      </c>
      <c r="Q15" s="45" t="n">
        <f aca="false">IF(D15="Purchase",E15*M15,0)</f>
        <v>0</v>
      </c>
    </row>
    <row r="16" customFormat="false" ht="15" hidden="false" customHeight="false" outlineLevel="0" collapsed="false">
      <c r="A16" s="39" t="s">
        <v>336</v>
      </c>
      <c r="B16" s="44" t="n">
        <v>46239</v>
      </c>
      <c r="C16" s="39" t="s">
        <v>167</v>
      </c>
      <c r="D16" s="39" t="s">
        <v>138</v>
      </c>
      <c r="E16" s="39" t="n">
        <v>30</v>
      </c>
      <c r="F16" s="39" t="str">
        <f aca="false">IF(COUNTIF(medicine_master!$A$2:$A$26,C16)&gt;0,"Valid","Invalid")</f>
        <v>Valid</v>
      </c>
      <c r="G16" s="39" t="str">
        <f aca="false">IFERROR(INDEX(medicine_master!$B$2:$B$26,MATCH($C16,medicine_master!$A$2:$A$26,0)),"Not found")</f>
        <v>Amlodipine 5mg</v>
      </c>
      <c r="H16" s="39" t="str">
        <f aca="false">IFERROR(INDEX(medicine_master!$C$2:$C$26,MATCH($C16,medicine_master!$A$2:$A$26,0)),"Not found")</f>
        <v>Cardiac</v>
      </c>
      <c r="I16" s="39" t="n">
        <f aca="false">YEAR(B16)</f>
        <v>2026</v>
      </c>
      <c r="J16" s="39" t="n">
        <f aca="false">MONTH(B16)</f>
        <v>8</v>
      </c>
      <c r="K16" s="39" t="str">
        <f aca="false">TEXT(B16,"mmm")</f>
        <v>Aug</v>
      </c>
      <c r="L16" s="45" t="n">
        <f aca="false">IFERROR(INDEX(medicine_master!$I$2:$I$26,MATCH($C16,medicine_master!$A$2:$A$26,0)),0)</f>
        <v>19</v>
      </c>
      <c r="M16" s="45" t="n">
        <f aca="false">IFERROR(INDEX(medicine_master!$G$2:$G$26,MATCH($C16,medicine_master!$A$2:$A$26,0)),0)</f>
        <v>13</v>
      </c>
      <c r="N16" s="45" t="n">
        <f aca="false">IF(D16="Sale",E16*L16,0)</f>
        <v>0</v>
      </c>
      <c r="O16" s="45" t="n">
        <f aca="false">IF(D16="Sale",E16*M16,0)</f>
        <v>0</v>
      </c>
      <c r="P16" s="45" t="n">
        <f aca="false">N16-O16</f>
        <v>0</v>
      </c>
      <c r="Q16" s="45" t="n">
        <f aca="false">IF(D16="Purchase",E16*M16,0)</f>
        <v>390</v>
      </c>
    </row>
    <row r="17" customFormat="false" ht="15" hidden="false" customHeight="false" outlineLevel="0" collapsed="false">
      <c r="A17" s="39" t="s">
        <v>337</v>
      </c>
      <c r="B17" s="44" t="n">
        <v>46087</v>
      </c>
      <c r="C17" s="39" t="s">
        <v>178</v>
      </c>
      <c r="D17" s="39" t="s">
        <v>137</v>
      </c>
      <c r="E17" s="39" t="n">
        <v>30</v>
      </c>
      <c r="F17" s="39" t="str">
        <f aca="false">IF(COUNTIF(medicine_master!$A$2:$A$26,C17)&gt;0,"Valid","Invalid")</f>
        <v>Valid</v>
      </c>
      <c r="G17" s="39" t="str">
        <f aca="false">IFERROR(INDEX(medicine_master!$B$2:$B$26,MATCH($C17,medicine_master!$A$2:$A$26,0)),"Not found")</f>
        <v>Aspirin 75mg</v>
      </c>
      <c r="H17" s="39" t="str">
        <f aca="false">IFERROR(INDEX(medicine_master!$C$2:$C$26,MATCH($C17,medicine_master!$A$2:$A$26,0)),"Not found")</f>
        <v>Cardiac</v>
      </c>
      <c r="I17" s="39" t="n">
        <f aca="false">YEAR(B17)</f>
        <v>2026</v>
      </c>
      <c r="J17" s="39" t="n">
        <f aca="false">MONTH(B17)</f>
        <v>3</v>
      </c>
      <c r="K17" s="39" t="str">
        <f aca="false">TEXT(B17,"mmm")</f>
        <v>Mar</v>
      </c>
      <c r="L17" s="45" t="n">
        <f aca="false">IFERROR(INDEX(medicine_master!$I$2:$I$26,MATCH($C17,medicine_master!$A$2:$A$26,0)),0)</f>
        <v>15</v>
      </c>
      <c r="M17" s="45" t="n">
        <f aca="false">IFERROR(INDEX(medicine_master!$G$2:$G$26,MATCH($C17,medicine_master!$A$2:$A$26,0)),0)</f>
        <v>10</v>
      </c>
      <c r="N17" s="45" t="n">
        <f aca="false">IF(D17="Sale",E17*L17,0)</f>
        <v>450</v>
      </c>
      <c r="O17" s="45" t="n">
        <f aca="false">IF(D17="Sale",E17*M17,0)</f>
        <v>300</v>
      </c>
      <c r="P17" s="45" t="n">
        <f aca="false">N17-O17</f>
        <v>150</v>
      </c>
      <c r="Q17" s="45" t="n">
        <f aca="false">IF(D17="Purchase",E17*M17,0)</f>
        <v>0</v>
      </c>
    </row>
    <row r="18" customFormat="false" ht="15" hidden="false" customHeight="false" outlineLevel="0" collapsed="false">
      <c r="A18" s="39" t="s">
        <v>338</v>
      </c>
      <c r="B18" s="44" t="n">
        <v>46158</v>
      </c>
      <c r="C18" s="39" t="s">
        <v>147</v>
      </c>
      <c r="D18" s="39" t="s">
        <v>138</v>
      </c>
      <c r="E18" s="39" t="n">
        <v>10</v>
      </c>
      <c r="F18" s="39" t="str">
        <f aca="false">IF(COUNTIF(medicine_master!$A$2:$A$26,C18)&gt;0,"Valid","Invalid")</f>
        <v>Valid</v>
      </c>
      <c r="G18" s="39" t="str">
        <f aca="false">IFERROR(INDEX(medicine_master!$B$2:$B$26,MATCH($C18,medicine_master!$A$2:$A$26,0)),"Not found")</f>
        <v>Insulin Injection</v>
      </c>
      <c r="H18" s="39" t="str">
        <f aca="false">IFERROR(INDEX(medicine_master!$C$2:$C$26,MATCH($C18,medicine_master!$A$2:$A$26,0)),"Not found")</f>
        <v>Diabetes</v>
      </c>
      <c r="I18" s="39" t="n">
        <f aca="false">YEAR(B18)</f>
        <v>2026</v>
      </c>
      <c r="J18" s="39" t="n">
        <f aca="false">MONTH(B18)</f>
        <v>5</v>
      </c>
      <c r="K18" s="39" t="str">
        <f aca="false">TEXT(B18,"mmm")</f>
        <v>May</v>
      </c>
      <c r="L18" s="45" t="n">
        <f aca="false">IFERROR(INDEX(medicine_master!$I$2:$I$26,MATCH($C18,medicine_master!$A$2:$A$26,0)),0)</f>
        <v>225</v>
      </c>
      <c r="M18" s="45" t="n">
        <f aca="false">IFERROR(INDEX(medicine_master!$G$2:$G$26,MATCH($C18,medicine_master!$A$2:$A$26,0)),0)</f>
        <v>165</v>
      </c>
      <c r="N18" s="45" t="n">
        <f aca="false">IF(D18="Sale",E18*L18,0)</f>
        <v>0</v>
      </c>
      <c r="O18" s="45" t="n">
        <f aca="false">IF(D18="Sale",E18*M18,0)</f>
        <v>0</v>
      </c>
      <c r="P18" s="45" t="n">
        <f aca="false">N18-O18</f>
        <v>0</v>
      </c>
      <c r="Q18" s="45" t="n">
        <f aca="false">IF(D18="Purchase",E18*M18,0)</f>
        <v>1650</v>
      </c>
    </row>
    <row r="19" customFormat="false" ht="15" hidden="false" customHeight="false" outlineLevel="0" collapsed="false">
      <c r="A19" s="39" t="s">
        <v>339</v>
      </c>
      <c r="B19" s="44" t="n">
        <v>46185</v>
      </c>
      <c r="C19" s="39" t="s">
        <v>151</v>
      </c>
      <c r="D19" s="39" t="s">
        <v>137</v>
      </c>
      <c r="E19" s="39" t="n">
        <v>5</v>
      </c>
      <c r="F19" s="39" t="str">
        <f aca="false">IF(COUNTIF(medicine_master!$A$2:$A$26,C19)&gt;0,"Valid","Invalid")</f>
        <v>Valid</v>
      </c>
      <c r="G19" s="39" t="str">
        <f aca="false">IFERROR(INDEX(medicine_master!$B$2:$B$26,MATCH($C19,medicine_master!$A$2:$A$26,0)),"Not found")</f>
        <v>Cetirizine 10mg</v>
      </c>
      <c r="H19" s="39" t="str">
        <f aca="false">IFERROR(INDEX(medicine_master!$C$2:$C$26,MATCH($C19,medicine_master!$A$2:$A$26,0)),"Not found")</f>
        <v>Allergy</v>
      </c>
      <c r="I19" s="39" t="n">
        <f aca="false">YEAR(B19)</f>
        <v>2026</v>
      </c>
      <c r="J19" s="39" t="n">
        <f aca="false">MONTH(B19)</f>
        <v>6</v>
      </c>
      <c r="K19" s="39" t="str">
        <f aca="false">TEXT(B19,"mmm")</f>
        <v>Jun</v>
      </c>
      <c r="L19" s="45" t="n">
        <f aca="false">IFERROR(INDEX(medicine_master!$I$2:$I$26,MATCH($C19,medicine_master!$A$2:$A$26,0)),0)</f>
        <v>13</v>
      </c>
      <c r="M19" s="45" t="n">
        <f aca="false">IFERROR(INDEX(medicine_master!$G$2:$G$26,MATCH($C19,medicine_master!$A$2:$A$26,0)),0)</f>
        <v>8</v>
      </c>
      <c r="N19" s="45" t="n">
        <f aca="false">IF(D19="Sale",E19*L19,0)</f>
        <v>65</v>
      </c>
      <c r="O19" s="45" t="n">
        <f aca="false">IF(D19="Sale",E19*M19,0)</f>
        <v>40</v>
      </c>
      <c r="P19" s="45" t="n">
        <f aca="false">N19-O19</f>
        <v>25</v>
      </c>
      <c r="Q19" s="45" t="n">
        <f aca="false">IF(D19="Purchase",E19*M19,0)</f>
        <v>0</v>
      </c>
    </row>
    <row r="20" customFormat="false" ht="15" hidden="false" customHeight="false" outlineLevel="0" collapsed="false">
      <c r="A20" s="39" t="s">
        <v>340</v>
      </c>
      <c r="B20" s="44" t="n">
        <v>46253</v>
      </c>
      <c r="C20" s="39" t="s">
        <v>326</v>
      </c>
      <c r="D20" s="39" t="s">
        <v>137</v>
      </c>
      <c r="E20" s="39" t="n">
        <v>40</v>
      </c>
      <c r="F20" s="39" t="str">
        <f aca="false">IF(COUNTIF(medicine_master!$A$2:$A$26,C20)&gt;0,"Valid","Invalid")</f>
        <v>Valid</v>
      </c>
      <c r="G20" s="39" t="str">
        <f aca="false">IFERROR(INDEX(medicine_master!$B$2:$B$26,MATCH($C20,medicine_master!$A$2:$A$26,0)),"Not found")</f>
        <v>Omeprazole 20mg</v>
      </c>
      <c r="H20" s="39" t="str">
        <f aca="false">IFERROR(INDEX(medicine_master!$C$2:$C$26,MATCH($C20,medicine_master!$A$2:$A$26,0)),"Not found")</f>
        <v>Gastric</v>
      </c>
      <c r="I20" s="39" t="n">
        <f aca="false">YEAR(B20)</f>
        <v>2026</v>
      </c>
      <c r="J20" s="39" t="n">
        <f aca="false">MONTH(B20)</f>
        <v>8</v>
      </c>
      <c r="K20" s="39" t="str">
        <f aca="false">TEXT(B20,"mmm")</f>
        <v>Aug</v>
      </c>
      <c r="L20" s="45" t="n">
        <f aca="false">IFERROR(INDEX(medicine_master!$I$2:$I$26,MATCH($C20,medicine_master!$A$2:$A$26,0)),0)</f>
        <v>26</v>
      </c>
      <c r="M20" s="45" t="n">
        <f aca="false">IFERROR(INDEX(medicine_master!$G$2:$G$26,MATCH($C20,medicine_master!$A$2:$A$26,0)),0)</f>
        <v>18</v>
      </c>
      <c r="N20" s="45" t="n">
        <f aca="false">IF(D20="Sale",E20*L20,0)</f>
        <v>1040</v>
      </c>
      <c r="O20" s="45" t="n">
        <f aca="false">IF(D20="Sale",E20*M20,0)</f>
        <v>720</v>
      </c>
      <c r="P20" s="45" t="n">
        <f aca="false">N20-O20</f>
        <v>320</v>
      </c>
      <c r="Q20" s="45" t="n">
        <f aca="false">IF(D20="Purchase",E20*M20,0)</f>
        <v>0</v>
      </c>
    </row>
    <row r="21" customFormat="false" ht="15" hidden="false" customHeight="false" outlineLevel="0" collapsed="false">
      <c r="A21" s="39" t="s">
        <v>341</v>
      </c>
      <c r="B21" s="44" t="n">
        <v>46290</v>
      </c>
      <c r="C21" s="39" t="s">
        <v>179</v>
      </c>
      <c r="D21" s="39" t="s">
        <v>138</v>
      </c>
      <c r="E21" s="39" t="n">
        <v>20</v>
      </c>
      <c r="F21" s="39" t="str">
        <f aca="false">IF(COUNTIF(medicine_master!$A$2:$A$26,C21)&gt;0,"Valid","Invalid")</f>
        <v>Valid</v>
      </c>
      <c r="G21" s="39" t="str">
        <f aca="false">IFERROR(INDEX(medicine_master!$B$2:$B$26,MATCH($C21,medicine_master!$A$2:$A$26,0)),"Not found")</f>
        <v>Ibuprofen 400mg</v>
      </c>
      <c r="H21" s="39" t="str">
        <f aca="false">IFERROR(INDEX(medicine_master!$C$2:$C$26,MATCH($C21,medicine_master!$A$2:$A$26,0)),"Not found")</f>
        <v>Pain Relief</v>
      </c>
      <c r="I21" s="39" t="n">
        <f aca="false">YEAR(B21)</f>
        <v>2026</v>
      </c>
      <c r="J21" s="39" t="n">
        <f aca="false">MONTH(B21)</f>
        <v>9</v>
      </c>
      <c r="K21" s="39" t="str">
        <f aca="false">TEXT(B21,"mmm")</f>
        <v>Sep</v>
      </c>
      <c r="L21" s="45" t="n">
        <f aca="false">IFERROR(INDEX(medicine_master!$I$2:$I$26,MATCH($C21,medicine_master!$A$2:$A$26,0)),0)</f>
        <v>30</v>
      </c>
      <c r="M21" s="45" t="n">
        <f aca="false">IFERROR(INDEX(medicine_master!$G$2:$G$26,MATCH($C21,medicine_master!$A$2:$A$26,0)),0)</f>
        <v>22</v>
      </c>
      <c r="N21" s="45" t="n">
        <f aca="false">IF(D21="Sale",E21*L21,0)</f>
        <v>0</v>
      </c>
      <c r="O21" s="45" t="n">
        <f aca="false">IF(D21="Sale",E21*M21,0)</f>
        <v>0</v>
      </c>
      <c r="P21" s="45" t="n">
        <f aca="false">N21-O21</f>
        <v>0</v>
      </c>
      <c r="Q21" s="45" t="n">
        <f aca="false">IF(D21="Purchase",E21*M21,0)</f>
        <v>440</v>
      </c>
    </row>
    <row r="22" customFormat="false" ht="15" hidden="false" customHeight="false" outlineLevel="0" collapsed="false">
      <c r="A22" s="39" t="s">
        <v>342</v>
      </c>
      <c r="B22" s="44" t="n">
        <v>46084</v>
      </c>
      <c r="C22" s="39" t="s">
        <v>147</v>
      </c>
      <c r="D22" s="39" t="s">
        <v>137</v>
      </c>
      <c r="E22" s="39" t="n">
        <v>25</v>
      </c>
      <c r="F22" s="39" t="str">
        <f aca="false">IF(COUNTIF(medicine_master!$A$2:$A$26,C22)&gt;0,"Valid","Invalid")</f>
        <v>Valid</v>
      </c>
      <c r="G22" s="39" t="str">
        <f aca="false">IFERROR(INDEX(medicine_master!$B$2:$B$26,MATCH($C22,medicine_master!$A$2:$A$26,0)),"Not found")</f>
        <v>Insulin Injection</v>
      </c>
      <c r="H22" s="39" t="str">
        <f aca="false">IFERROR(INDEX(medicine_master!$C$2:$C$26,MATCH($C22,medicine_master!$A$2:$A$26,0)),"Not found")</f>
        <v>Diabetes</v>
      </c>
      <c r="I22" s="39" t="n">
        <f aca="false">YEAR(B22)</f>
        <v>2026</v>
      </c>
      <c r="J22" s="39" t="n">
        <f aca="false">MONTH(B22)</f>
        <v>3</v>
      </c>
      <c r="K22" s="39" t="str">
        <f aca="false">TEXT(B22,"mmm")</f>
        <v>Mar</v>
      </c>
      <c r="L22" s="45" t="n">
        <f aca="false">IFERROR(INDEX(medicine_master!$I$2:$I$26,MATCH($C22,medicine_master!$A$2:$A$26,0)),0)</f>
        <v>225</v>
      </c>
      <c r="M22" s="45" t="n">
        <f aca="false">IFERROR(INDEX(medicine_master!$G$2:$G$26,MATCH($C22,medicine_master!$A$2:$A$26,0)),0)</f>
        <v>165</v>
      </c>
      <c r="N22" s="45" t="n">
        <f aca="false">IF(D22="Sale",E22*L22,0)</f>
        <v>5625</v>
      </c>
      <c r="O22" s="45" t="n">
        <f aca="false">IF(D22="Sale",E22*M22,0)</f>
        <v>4125</v>
      </c>
      <c r="P22" s="45" t="n">
        <f aca="false">N22-O22</f>
        <v>1500</v>
      </c>
      <c r="Q22" s="45" t="n">
        <f aca="false">IF(D22="Purchase",E22*M22,0)</f>
        <v>0</v>
      </c>
    </row>
    <row r="23" customFormat="false" ht="15" hidden="false" customHeight="false" outlineLevel="0" collapsed="false">
      <c r="A23" s="39" t="s">
        <v>343</v>
      </c>
      <c r="B23" s="44" t="n">
        <v>46236</v>
      </c>
      <c r="C23" s="39" t="s">
        <v>151</v>
      </c>
      <c r="D23" s="39" t="s">
        <v>137</v>
      </c>
      <c r="E23" s="39" t="n">
        <v>10</v>
      </c>
      <c r="F23" s="39" t="str">
        <f aca="false">IF(COUNTIF(medicine_master!$A$2:$A$26,C23)&gt;0,"Valid","Invalid")</f>
        <v>Valid</v>
      </c>
      <c r="G23" s="39" t="str">
        <f aca="false">IFERROR(INDEX(medicine_master!$B$2:$B$26,MATCH($C23,medicine_master!$A$2:$A$26,0)),"Not found")</f>
        <v>Cetirizine 10mg</v>
      </c>
      <c r="H23" s="39" t="str">
        <f aca="false">IFERROR(INDEX(medicine_master!$C$2:$C$26,MATCH($C23,medicine_master!$A$2:$A$26,0)),"Not found")</f>
        <v>Allergy</v>
      </c>
      <c r="I23" s="39" t="n">
        <f aca="false">YEAR(B23)</f>
        <v>2026</v>
      </c>
      <c r="J23" s="39" t="n">
        <f aca="false">MONTH(B23)</f>
        <v>8</v>
      </c>
      <c r="K23" s="39" t="str">
        <f aca="false">TEXT(B23,"mmm")</f>
        <v>Aug</v>
      </c>
      <c r="L23" s="45" t="n">
        <f aca="false">IFERROR(INDEX(medicine_master!$I$2:$I$26,MATCH($C23,medicine_master!$A$2:$A$26,0)),0)</f>
        <v>13</v>
      </c>
      <c r="M23" s="45" t="n">
        <f aca="false">IFERROR(INDEX(medicine_master!$G$2:$G$26,MATCH($C23,medicine_master!$A$2:$A$26,0)),0)</f>
        <v>8</v>
      </c>
      <c r="N23" s="45" t="n">
        <f aca="false">IF(D23="Sale",E23*L23,0)</f>
        <v>130</v>
      </c>
      <c r="O23" s="45" t="n">
        <f aca="false">IF(D23="Sale",E23*M23,0)</f>
        <v>80</v>
      </c>
      <c r="P23" s="45" t="n">
        <f aca="false">N23-O23</f>
        <v>50</v>
      </c>
      <c r="Q23" s="45" t="n">
        <f aca="false">IF(D23="Purchase",E23*M23,0)</f>
        <v>0</v>
      </c>
    </row>
    <row r="24" customFormat="false" ht="15" hidden="false" customHeight="false" outlineLevel="0" collapsed="false">
      <c r="A24" s="39" t="s">
        <v>344</v>
      </c>
      <c r="B24" s="44" t="n">
        <v>46153</v>
      </c>
      <c r="C24" s="39" t="s">
        <v>345</v>
      </c>
      <c r="D24" s="39" t="s">
        <v>137</v>
      </c>
      <c r="E24" s="39" t="n">
        <v>15</v>
      </c>
      <c r="F24" s="39" t="str">
        <f aca="false">IF(COUNTIF(medicine_master!$A$2:$A$26,C24)&gt;0,"Valid","Invalid")</f>
        <v>Valid</v>
      </c>
      <c r="G24" s="39" t="str">
        <f aca="false">IFERROR(INDEX(medicine_master!$B$2:$B$26,MATCH($C24,medicine_master!$A$2:$A$26,0)),"Not found")</f>
        <v>Paracetamol 500mg</v>
      </c>
      <c r="H24" s="39" t="str">
        <f aca="false">IFERROR(INDEX(medicine_master!$C$2:$C$26,MATCH($C24,medicine_master!$A$2:$A$26,0)),"Not found")</f>
        <v>Pain Relief</v>
      </c>
      <c r="I24" s="39" t="n">
        <f aca="false">YEAR(B24)</f>
        <v>2026</v>
      </c>
      <c r="J24" s="39" t="n">
        <f aca="false">MONTH(B24)</f>
        <v>5</v>
      </c>
      <c r="K24" s="39" t="str">
        <f aca="false">TEXT(B24,"mmm")</f>
        <v>May</v>
      </c>
      <c r="L24" s="45" t="n">
        <f aca="false">IFERROR(INDEX(medicine_master!$I$2:$I$26,MATCH($C24,medicine_master!$A$2:$A$26,0)),0)</f>
        <v>18</v>
      </c>
      <c r="M24" s="45" t="n">
        <f aca="false">IFERROR(INDEX(medicine_master!$G$2:$G$26,MATCH($C24,medicine_master!$A$2:$A$26,0)),0)</f>
        <v>12</v>
      </c>
      <c r="N24" s="45" t="n">
        <f aca="false">IF(D24="Sale",E24*L24,0)</f>
        <v>270</v>
      </c>
      <c r="O24" s="45" t="n">
        <f aca="false">IF(D24="Sale",E24*M24,0)</f>
        <v>180</v>
      </c>
      <c r="P24" s="45" t="n">
        <f aca="false">N24-O24</f>
        <v>90</v>
      </c>
      <c r="Q24" s="45" t="n">
        <f aca="false">IF(D24="Purchase",E24*M24,0)</f>
        <v>0</v>
      </c>
    </row>
    <row r="25" customFormat="false" ht="15" hidden="false" customHeight="false" outlineLevel="0" collapsed="false">
      <c r="A25" s="39" t="s">
        <v>346</v>
      </c>
      <c r="B25" s="44" t="n">
        <v>46381</v>
      </c>
      <c r="C25" s="39" t="s">
        <v>326</v>
      </c>
      <c r="D25" s="39" t="s">
        <v>137</v>
      </c>
      <c r="E25" s="39" t="n">
        <v>10</v>
      </c>
      <c r="F25" s="39" t="str">
        <f aca="false">IF(COUNTIF(medicine_master!$A$2:$A$26,C25)&gt;0,"Valid","Invalid")</f>
        <v>Valid</v>
      </c>
      <c r="G25" s="39" t="str">
        <f aca="false">IFERROR(INDEX(medicine_master!$B$2:$B$26,MATCH($C25,medicine_master!$A$2:$A$26,0)),"Not found")</f>
        <v>Omeprazole 20mg</v>
      </c>
      <c r="H25" s="39" t="str">
        <f aca="false">IFERROR(INDEX(medicine_master!$C$2:$C$26,MATCH($C25,medicine_master!$A$2:$A$26,0)),"Not found")</f>
        <v>Gastric</v>
      </c>
      <c r="I25" s="39" t="n">
        <f aca="false">YEAR(B25)</f>
        <v>2026</v>
      </c>
      <c r="J25" s="39" t="n">
        <f aca="false">MONTH(B25)</f>
        <v>12</v>
      </c>
      <c r="K25" s="39" t="str">
        <f aca="false">TEXT(B25,"mmm")</f>
        <v>Dec</v>
      </c>
      <c r="L25" s="45" t="n">
        <f aca="false">IFERROR(INDEX(medicine_master!$I$2:$I$26,MATCH($C25,medicine_master!$A$2:$A$26,0)),0)</f>
        <v>26</v>
      </c>
      <c r="M25" s="45" t="n">
        <f aca="false">IFERROR(INDEX(medicine_master!$G$2:$G$26,MATCH($C25,medicine_master!$A$2:$A$26,0)),0)</f>
        <v>18</v>
      </c>
      <c r="N25" s="45" t="n">
        <f aca="false">IF(D25="Sale",E25*L25,0)</f>
        <v>260</v>
      </c>
      <c r="O25" s="45" t="n">
        <f aca="false">IF(D25="Sale",E25*M25,0)</f>
        <v>180</v>
      </c>
      <c r="P25" s="45" t="n">
        <f aca="false">N25-O25</f>
        <v>80</v>
      </c>
      <c r="Q25" s="45" t="n">
        <f aca="false">IF(D25="Purchase",E25*M25,0)</f>
        <v>0</v>
      </c>
    </row>
    <row r="26" customFormat="false" ht="15" hidden="false" customHeight="false" outlineLevel="0" collapsed="false">
      <c r="A26" s="39" t="s">
        <v>347</v>
      </c>
      <c r="B26" s="44" t="n">
        <v>46201</v>
      </c>
      <c r="C26" s="39" t="s">
        <v>180</v>
      </c>
      <c r="D26" s="39" t="s">
        <v>137</v>
      </c>
      <c r="E26" s="39" t="n">
        <v>25</v>
      </c>
      <c r="F26" s="39" t="str">
        <f aca="false">IF(COUNTIF(medicine_master!$A$2:$A$26,C26)&gt;0,"Valid","Invalid")</f>
        <v>Valid</v>
      </c>
      <c r="G26" s="39" t="str">
        <f aca="false">IFERROR(INDEX(medicine_master!$B$2:$B$26,MATCH($C26,medicine_master!$A$2:$A$26,0)),"Not found")</f>
        <v>Vitamin C 500mg</v>
      </c>
      <c r="H26" s="39" t="str">
        <f aca="false">IFERROR(INDEX(medicine_master!$C$2:$C$26,MATCH($C26,medicine_master!$A$2:$A$26,0)),"Not found")</f>
        <v>Vitamin</v>
      </c>
      <c r="I26" s="39" t="n">
        <f aca="false">YEAR(B26)</f>
        <v>2026</v>
      </c>
      <c r="J26" s="39" t="n">
        <f aca="false">MONTH(B26)</f>
        <v>6</v>
      </c>
      <c r="K26" s="39" t="str">
        <f aca="false">TEXT(B26,"mmm")</f>
        <v>Jun</v>
      </c>
      <c r="L26" s="45" t="n">
        <f aca="false">IFERROR(INDEX(medicine_master!$I$2:$I$26,MATCH($C26,medicine_master!$A$2:$A$26,0)),0)</f>
        <v>22</v>
      </c>
      <c r="M26" s="45" t="n">
        <f aca="false">IFERROR(INDEX(medicine_master!$G$2:$G$26,MATCH($C26,medicine_master!$A$2:$A$26,0)),0)</f>
        <v>14</v>
      </c>
      <c r="N26" s="45" t="n">
        <f aca="false">IF(D26="Sale",E26*L26,0)</f>
        <v>550</v>
      </c>
      <c r="O26" s="45" t="n">
        <f aca="false">IF(D26="Sale",E26*M26,0)</f>
        <v>350</v>
      </c>
      <c r="P26" s="45" t="n">
        <f aca="false">N26-O26</f>
        <v>200</v>
      </c>
      <c r="Q26" s="45" t="n">
        <f aca="false">IF(D26="Purchase",E26*M26,0)</f>
        <v>0</v>
      </c>
    </row>
    <row r="27" customFormat="false" ht="15" hidden="false" customHeight="false" outlineLevel="0" collapsed="false">
      <c r="A27" s="39" t="s">
        <v>348</v>
      </c>
      <c r="B27" s="44" t="n">
        <v>46244</v>
      </c>
      <c r="C27" s="39" t="s">
        <v>152</v>
      </c>
      <c r="D27" s="39" t="s">
        <v>138</v>
      </c>
      <c r="E27" s="39" t="n">
        <v>20</v>
      </c>
      <c r="F27" s="39" t="str">
        <f aca="false">IF(COUNTIF(medicine_master!$A$2:$A$26,C27)&gt;0,"Valid","Invalid")</f>
        <v>Valid</v>
      </c>
      <c r="G27" s="39" t="str">
        <f aca="false">IFERROR(INDEX(medicine_master!$B$2:$B$26,MATCH($C27,medicine_master!$A$2:$A$26,0)),"Not found")</f>
        <v>Amoxicillin 500mg</v>
      </c>
      <c r="H27" s="39" t="str">
        <f aca="false">IFERROR(INDEX(medicine_master!$C$2:$C$26,MATCH($C27,medicine_master!$A$2:$A$26,0)),"Not found")</f>
        <v>Antibiotic</v>
      </c>
      <c r="I27" s="39" t="n">
        <f aca="false">YEAR(B27)</f>
        <v>2026</v>
      </c>
      <c r="J27" s="39" t="n">
        <f aca="false">MONTH(B27)</f>
        <v>8</v>
      </c>
      <c r="K27" s="39" t="str">
        <f aca="false">TEXT(B27,"mmm")</f>
        <v>Aug</v>
      </c>
      <c r="L27" s="45" t="n">
        <f aca="false">IFERROR(INDEX(medicine_master!$I$2:$I$26,MATCH($C27,medicine_master!$A$2:$A$26,0)),0)</f>
        <v>40</v>
      </c>
      <c r="M27" s="45" t="n">
        <f aca="false">IFERROR(INDEX(medicine_master!$G$2:$G$26,MATCH($C27,medicine_master!$A$2:$A$26,0)),0)</f>
        <v>28</v>
      </c>
      <c r="N27" s="45" t="n">
        <f aca="false">IF(D27="Sale",E27*L27,0)</f>
        <v>0</v>
      </c>
      <c r="O27" s="45" t="n">
        <f aca="false">IF(D27="Sale",E27*M27,0)</f>
        <v>0</v>
      </c>
      <c r="P27" s="45" t="n">
        <f aca="false">N27-O27</f>
        <v>0</v>
      </c>
      <c r="Q27" s="45" t="n">
        <f aca="false">IF(D27="Purchase",E27*M27,0)</f>
        <v>560</v>
      </c>
    </row>
    <row r="28" customFormat="false" ht="15" hidden="false" customHeight="false" outlineLevel="0" collapsed="false">
      <c r="A28" s="39" t="s">
        <v>349</v>
      </c>
      <c r="B28" s="44" t="n">
        <v>46193</v>
      </c>
      <c r="C28" s="39" t="s">
        <v>149</v>
      </c>
      <c r="D28" s="39" t="s">
        <v>137</v>
      </c>
      <c r="E28" s="39" t="n">
        <v>25</v>
      </c>
      <c r="F28" s="39" t="str">
        <f aca="false">IF(COUNTIF(medicine_master!$A$2:$A$26,C28)&gt;0,"Valid","Invalid")</f>
        <v>Valid</v>
      </c>
      <c r="G28" s="39" t="str">
        <f aca="false">IFERROR(INDEX(medicine_master!$B$2:$B$26,MATCH($C28,medicine_master!$A$2:$A$26,0)),"Not found")</f>
        <v>Azithromycin 500mg</v>
      </c>
      <c r="H28" s="39" t="str">
        <f aca="false">IFERROR(INDEX(medicine_master!$C$2:$C$26,MATCH($C28,medicine_master!$A$2:$A$26,0)),"Not found")</f>
        <v>Antibiotic</v>
      </c>
      <c r="I28" s="39" t="n">
        <f aca="false">YEAR(B28)</f>
        <v>2026</v>
      </c>
      <c r="J28" s="39" t="n">
        <f aca="false">MONTH(B28)</f>
        <v>6</v>
      </c>
      <c r="K28" s="39" t="str">
        <f aca="false">TEXT(B28,"mmm")</f>
        <v>Jun</v>
      </c>
      <c r="L28" s="45" t="n">
        <f aca="false">IFERROR(INDEX(medicine_master!$I$2:$I$26,MATCH($C28,medicine_master!$A$2:$A$26,0)),0)</f>
        <v>50</v>
      </c>
      <c r="M28" s="45" t="n">
        <f aca="false">IFERROR(INDEX(medicine_master!$G$2:$G$26,MATCH($C28,medicine_master!$A$2:$A$26,0)),0)</f>
        <v>35</v>
      </c>
      <c r="N28" s="45" t="n">
        <f aca="false">IF(D28="Sale",E28*L28,0)</f>
        <v>1250</v>
      </c>
      <c r="O28" s="45" t="n">
        <f aca="false">IF(D28="Sale",E28*M28,0)</f>
        <v>875</v>
      </c>
      <c r="P28" s="45" t="n">
        <f aca="false">N28-O28</f>
        <v>375</v>
      </c>
      <c r="Q28" s="45" t="n">
        <f aca="false">IF(D28="Purchase",E28*M28,0)</f>
        <v>0</v>
      </c>
    </row>
    <row r="29" customFormat="false" ht="15" hidden="false" customHeight="false" outlineLevel="0" collapsed="false">
      <c r="A29" s="39" t="s">
        <v>350</v>
      </c>
      <c r="B29" s="44" t="n">
        <v>46265</v>
      </c>
      <c r="C29" s="39" t="s">
        <v>321</v>
      </c>
      <c r="D29" s="39" t="s">
        <v>137</v>
      </c>
      <c r="E29" s="39" t="n">
        <v>25</v>
      </c>
      <c r="F29" s="39" t="str">
        <f aca="false">IF(COUNTIF(medicine_master!$A$2:$A$26,C29)&gt;0,"Valid","Invalid")</f>
        <v>Valid</v>
      </c>
      <c r="G29" s="39" t="str">
        <f aca="false">IFERROR(INDEX(medicine_master!$B$2:$B$26,MATCH($C29,medicine_master!$A$2:$A$26,0)),"Not found")</f>
        <v>Levocetirizine 5mg</v>
      </c>
      <c r="H29" s="39" t="str">
        <f aca="false">IFERROR(INDEX(medicine_master!$C$2:$C$26,MATCH($C29,medicine_master!$A$2:$A$26,0)),"Not found")</f>
        <v>Allergy</v>
      </c>
      <c r="I29" s="39" t="n">
        <f aca="false">YEAR(B29)</f>
        <v>2026</v>
      </c>
      <c r="J29" s="39" t="n">
        <f aca="false">MONTH(B29)</f>
        <v>8</v>
      </c>
      <c r="K29" s="39" t="str">
        <f aca="false">TEXT(B29,"mmm")</f>
        <v>Aug</v>
      </c>
      <c r="L29" s="45" t="n">
        <f aca="false">IFERROR(INDEX(medicine_master!$I$2:$I$26,MATCH($C29,medicine_master!$A$2:$A$26,0)),0)</f>
        <v>22</v>
      </c>
      <c r="M29" s="45" t="n">
        <f aca="false">IFERROR(INDEX(medicine_master!$G$2:$G$26,MATCH($C29,medicine_master!$A$2:$A$26,0)),0)</f>
        <v>14</v>
      </c>
      <c r="N29" s="45" t="n">
        <f aca="false">IF(D29="Sale",E29*L29,0)</f>
        <v>550</v>
      </c>
      <c r="O29" s="45" t="n">
        <f aca="false">IF(D29="Sale",E29*M29,0)</f>
        <v>350</v>
      </c>
      <c r="P29" s="45" t="n">
        <f aca="false">N29-O29</f>
        <v>200</v>
      </c>
      <c r="Q29" s="45" t="n">
        <f aca="false">IF(D29="Purchase",E29*M29,0)</f>
        <v>0</v>
      </c>
    </row>
    <row r="30" customFormat="false" ht="15" hidden="false" customHeight="false" outlineLevel="0" collapsed="false">
      <c r="A30" s="39" t="s">
        <v>351</v>
      </c>
      <c r="B30" s="44" t="n">
        <v>46084</v>
      </c>
      <c r="C30" s="39" t="s">
        <v>178</v>
      </c>
      <c r="D30" s="39" t="s">
        <v>138</v>
      </c>
      <c r="E30" s="39" t="n">
        <v>20</v>
      </c>
      <c r="F30" s="39" t="str">
        <f aca="false">IF(COUNTIF(medicine_master!$A$2:$A$26,C30)&gt;0,"Valid","Invalid")</f>
        <v>Valid</v>
      </c>
      <c r="G30" s="39" t="str">
        <f aca="false">IFERROR(INDEX(medicine_master!$B$2:$B$26,MATCH($C30,medicine_master!$A$2:$A$26,0)),"Not found")</f>
        <v>Aspirin 75mg</v>
      </c>
      <c r="H30" s="39" t="str">
        <f aca="false">IFERROR(INDEX(medicine_master!$C$2:$C$26,MATCH($C30,medicine_master!$A$2:$A$26,0)),"Not found")</f>
        <v>Cardiac</v>
      </c>
      <c r="I30" s="39" t="n">
        <f aca="false">YEAR(B30)</f>
        <v>2026</v>
      </c>
      <c r="J30" s="39" t="n">
        <f aca="false">MONTH(B30)</f>
        <v>3</v>
      </c>
      <c r="K30" s="39" t="str">
        <f aca="false">TEXT(B30,"mmm")</f>
        <v>Mar</v>
      </c>
      <c r="L30" s="45" t="n">
        <f aca="false">IFERROR(INDEX(medicine_master!$I$2:$I$26,MATCH($C30,medicine_master!$A$2:$A$26,0)),0)</f>
        <v>15</v>
      </c>
      <c r="M30" s="45" t="n">
        <f aca="false">IFERROR(INDEX(medicine_master!$G$2:$G$26,MATCH($C30,medicine_master!$A$2:$A$26,0)),0)</f>
        <v>10</v>
      </c>
      <c r="N30" s="45" t="n">
        <f aca="false">IF(D30="Sale",E30*L30,0)</f>
        <v>0</v>
      </c>
      <c r="O30" s="45" t="n">
        <f aca="false">IF(D30="Sale",E30*M30,0)</f>
        <v>0</v>
      </c>
      <c r="P30" s="45" t="n">
        <f aca="false">N30-O30</f>
        <v>0</v>
      </c>
      <c r="Q30" s="45" t="n">
        <f aca="false">IF(D30="Purchase",E30*M30,0)</f>
        <v>200</v>
      </c>
    </row>
    <row r="31" customFormat="false" ht="15" hidden="false" customHeight="false" outlineLevel="0" collapsed="false">
      <c r="A31" s="39" t="s">
        <v>352</v>
      </c>
      <c r="B31" s="44" t="n">
        <v>46130</v>
      </c>
      <c r="C31" s="39" t="s">
        <v>144</v>
      </c>
      <c r="D31" s="39" t="s">
        <v>137</v>
      </c>
      <c r="E31" s="39" t="n">
        <v>40</v>
      </c>
      <c r="F31" s="39" t="str">
        <f aca="false">IF(COUNTIF(medicine_master!$A$2:$A$26,C31)&gt;0,"Valid","Invalid")</f>
        <v>Valid</v>
      </c>
      <c r="G31" s="39" t="str">
        <f aca="false">IFERROR(INDEX(medicine_master!$B$2:$B$26,MATCH($C31,medicine_master!$A$2:$A$26,0)),"Not found")</f>
        <v>Glimepiride 2mg</v>
      </c>
      <c r="H31" s="39" t="str">
        <f aca="false">IFERROR(INDEX(medicine_master!$C$2:$C$26,MATCH($C31,medicine_master!$A$2:$A$26,0)),"Not found")</f>
        <v>Diabetes</v>
      </c>
      <c r="I31" s="39" t="n">
        <f aca="false">YEAR(B31)</f>
        <v>2026</v>
      </c>
      <c r="J31" s="39" t="n">
        <f aca="false">MONTH(B31)</f>
        <v>4</v>
      </c>
      <c r="K31" s="39" t="str">
        <f aca="false">TEXT(B31,"mmm")</f>
        <v>Apr</v>
      </c>
      <c r="L31" s="45" t="n">
        <f aca="false">IFERROR(INDEX(medicine_master!$I$2:$I$26,MATCH($C31,medicine_master!$A$2:$A$26,0)),0)</f>
        <v>52</v>
      </c>
      <c r="M31" s="45" t="n">
        <f aca="false">IFERROR(INDEX(medicine_master!$G$2:$G$26,MATCH($C31,medicine_master!$A$2:$A$26,0)),0)</f>
        <v>38</v>
      </c>
      <c r="N31" s="45" t="n">
        <f aca="false">IF(D31="Sale",E31*L31,0)</f>
        <v>2080</v>
      </c>
      <c r="O31" s="45" t="n">
        <f aca="false">IF(D31="Sale",E31*M31,0)</f>
        <v>1520</v>
      </c>
      <c r="P31" s="45" t="n">
        <f aca="false">N31-O31</f>
        <v>560</v>
      </c>
      <c r="Q31" s="45" t="n">
        <f aca="false">IF(D31="Purchase",E31*M31,0)</f>
        <v>0</v>
      </c>
    </row>
    <row r="32" customFormat="false" ht="15" hidden="false" customHeight="false" outlineLevel="0" collapsed="false">
      <c r="A32" s="39" t="s">
        <v>353</v>
      </c>
      <c r="B32" s="44" t="n">
        <v>46150</v>
      </c>
      <c r="C32" s="39" t="s">
        <v>148</v>
      </c>
      <c r="D32" s="39" t="s">
        <v>137</v>
      </c>
      <c r="E32" s="39" t="n">
        <v>15</v>
      </c>
      <c r="F32" s="39" t="str">
        <f aca="false">IF(COUNTIF(medicine_master!$A$2:$A$26,C32)&gt;0,"Valid","Invalid")</f>
        <v>Valid</v>
      </c>
      <c r="G32" s="39" t="str">
        <f aca="false">IFERROR(INDEX(medicine_master!$B$2:$B$26,MATCH($C32,medicine_master!$A$2:$A$26,0)),"Not found")</f>
        <v>Dextromethorphan Syrup</v>
      </c>
      <c r="H32" s="39" t="str">
        <f aca="false">IFERROR(INDEX(medicine_master!$C$2:$C$26,MATCH($C32,medicine_master!$A$2:$A$26,0)),"Not found")</f>
        <v>Cold &amp; Cough</v>
      </c>
      <c r="I32" s="39" t="n">
        <f aca="false">YEAR(B32)</f>
        <v>2026</v>
      </c>
      <c r="J32" s="39" t="n">
        <f aca="false">MONTH(B32)</f>
        <v>5</v>
      </c>
      <c r="K32" s="39" t="str">
        <f aca="false">TEXT(B32,"mmm")</f>
        <v>May</v>
      </c>
      <c r="L32" s="45" t="n">
        <f aca="false">IFERROR(INDEX(medicine_master!$I$2:$I$26,MATCH($C32,medicine_master!$A$2:$A$26,0)),0)</f>
        <v>80</v>
      </c>
      <c r="M32" s="45" t="n">
        <f aca="false">IFERROR(INDEX(medicine_master!$G$2:$G$26,MATCH($C32,medicine_master!$A$2:$A$26,0)),0)</f>
        <v>58</v>
      </c>
      <c r="N32" s="45" t="n">
        <f aca="false">IF(D32="Sale",E32*L32,0)</f>
        <v>1200</v>
      </c>
      <c r="O32" s="45" t="n">
        <f aca="false">IF(D32="Sale",E32*M32,0)</f>
        <v>870</v>
      </c>
      <c r="P32" s="45" t="n">
        <f aca="false">N32-O32</f>
        <v>330</v>
      </c>
      <c r="Q32" s="45" t="n">
        <f aca="false">IF(D32="Purchase",E32*M32,0)</f>
        <v>0</v>
      </c>
    </row>
    <row r="33" customFormat="false" ht="15" hidden="false" customHeight="false" outlineLevel="0" collapsed="false">
      <c r="A33" s="39" t="s">
        <v>354</v>
      </c>
      <c r="B33" s="44" t="n">
        <v>46247</v>
      </c>
      <c r="C33" s="39" t="s">
        <v>345</v>
      </c>
      <c r="D33" s="39" t="s">
        <v>138</v>
      </c>
      <c r="E33" s="39" t="n">
        <v>20</v>
      </c>
      <c r="F33" s="39" t="str">
        <f aca="false">IF(COUNTIF(medicine_master!$A$2:$A$26,C33)&gt;0,"Valid","Invalid")</f>
        <v>Valid</v>
      </c>
      <c r="G33" s="39" t="str">
        <f aca="false">IFERROR(INDEX(medicine_master!$B$2:$B$26,MATCH($C33,medicine_master!$A$2:$A$26,0)),"Not found")</f>
        <v>Paracetamol 500mg</v>
      </c>
      <c r="H33" s="39" t="str">
        <f aca="false">IFERROR(INDEX(medicine_master!$C$2:$C$26,MATCH($C33,medicine_master!$A$2:$A$26,0)),"Not found")</f>
        <v>Pain Relief</v>
      </c>
      <c r="I33" s="39" t="n">
        <f aca="false">YEAR(B33)</f>
        <v>2026</v>
      </c>
      <c r="J33" s="39" t="n">
        <f aca="false">MONTH(B33)</f>
        <v>8</v>
      </c>
      <c r="K33" s="39" t="str">
        <f aca="false">TEXT(B33,"mmm")</f>
        <v>Aug</v>
      </c>
      <c r="L33" s="45" t="n">
        <f aca="false">IFERROR(INDEX(medicine_master!$I$2:$I$26,MATCH($C33,medicine_master!$A$2:$A$26,0)),0)</f>
        <v>18</v>
      </c>
      <c r="M33" s="45" t="n">
        <f aca="false">IFERROR(INDEX(medicine_master!$G$2:$G$26,MATCH($C33,medicine_master!$A$2:$A$26,0)),0)</f>
        <v>12</v>
      </c>
      <c r="N33" s="45" t="n">
        <f aca="false">IF(D33="Sale",E33*L33,0)</f>
        <v>0</v>
      </c>
      <c r="O33" s="45" t="n">
        <f aca="false">IF(D33="Sale",E33*M33,0)</f>
        <v>0</v>
      </c>
      <c r="P33" s="45" t="n">
        <f aca="false">N33-O33</f>
        <v>0</v>
      </c>
      <c r="Q33" s="45" t="n">
        <f aca="false">IF(D33="Purchase",E33*M33,0)</f>
        <v>240</v>
      </c>
    </row>
    <row r="34" customFormat="false" ht="15" hidden="false" customHeight="false" outlineLevel="0" collapsed="false">
      <c r="A34" s="39" t="s">
        <v>355</v>
      </c>
      <c r="B34" s="44" t="n">
        <v>46138</v>
      </c>
      <c r="C34" s="39" t="s">
        <v>167</v>
      </c>
      <c r="D34" s="39" t="s">
        <v>137</v>
      </c>
      <c r="E34" s="39" t="n">
        <v>5</v>
      </c>
      <c r="F34" s="39" t="str">
        <f aca="false">IF(COUNTIF(medicine_master!$A$2:$A$26,C34)&gt;0,"Valid","Invalid")</f>
        <v>Valid</v>
      </c>
      <c r="G34" s="39" t="str">
        <f aca="false">IFERROR(INDEX(medicine_master!$B$2:$B$26,MATCH($C34,medicine_master!$A$2:$A$26,0)),"Not found")</f>
        <v>Amlodipine 5mg</v>
      </c>
      <c r="H34" s="39" t="str">
        <f aca="false">IFERROR(INDEX(medicine_master!$C$2:$C$26,MATCH($C34,medicine_master!$A$2:$A$26,0)),"Not found")</f>
        <v>Cardiac</v>
      </c>
      <c r="I34" s="39" t="n">
        <f aca="false">YEAR(B34)</f>
        <v>2026</v>
      </c>
      <c r="J34" s="39" t="n">
        <f aca="false">MONTH(B34)</f>
        <v>4</v>
      </c>
      <c r="K34" s="39" t="str">
        <f aca="false">TEXT(B34,"mmm")</f>
        <v>Apr</v>
      </c>
      <c r="L34" s="45" t="n">
        <f aca="false">IFERROR(INDEX(medicine_master!$I$2:$I$26,MATCH($C34,medicine_master!$A$2:$A$26,0)),0)</f>
        <v>19</v>
      </c>
      <c r="M34" s="45" t="n">
        <f aca="false">IFERROR(INDEX(medicine_master!$G$2:$G$26,MATCH($C34,medicine_master!$A$2:$A$26,0)),0)</f>
        <v>13</v>
      </c>
      <c r="N34" s="45" t="n">
        <f aca="false">IF(D34="Sale",E34*L34,0)</f>
        <v>95</v>
      </c>
      <c r="O34" s="45" t="n">
        <f aca="false">IF(D34="Sale",E34*M34,0)</f>
        <v>65</v>
      </c>
      <c r="P34" s="45" t="n">
        <f aca="false">N34-O34</f>
        <v>30</v>
      </c>
      <c r="Q34" s="45" t="n">
        <f aca="false">IF(D34="Purchase",E34*M34,0)</f>
        <v>0</v>
      </c>
    </row>
    <row r="35" customFormat="false" ht="15" hidden="false" customHeight="false" outlineLevel="0" collapsed="false">
      <c r="A35" s="39" t="s">
        <v>356</v>
      </c>
      <c r="B35" s="44" t="n">
        <v>46159</v>
      </c>
      <c r="C35" s="39" t="s">
        <v>152</v>
      </c>
      <c r="D35" s="39" t="s">
        <v>137</v>
      </c>
      <c r="E35" s="39" t="n">
        <v>15</v>
      </c>
      <c r="F35" s="39" t="str">
        <f aca="false">IF(COUNTIF(medicine_master!$A$2:$A$26,C35)&gt;0,"Valid","Invalid")</f>
        <v>Valid</v>
      </c>
      <c r="G35" s="39" t="str">
        <f aca="false">IFERROR(INDEX(medicine_master!$B$2:$B$26,MATCH($C35,medicine_master!$A$2:$A$26,0)),"Not found")</f>
        <v>Amoxicillin 500mg</v>
      </c>
      <c r="H35" s="39" t="str">
        <f aca="false">IFERROR(INDEX(medicine_master!$C$2:$C$26,MATCH($C35,medicine_master!$A$2:$A$26,0)),"Not found")</f>
        <v>Antibiotic</v>
      </c>
      <c r="I35" s="39" t="n">
        <f aca="false">YEAR(B35)</f>
        <v>2026</v>
      </c>
      <c r="J35" s="39" t="n">
        <f aca="false">MONTH(B35)</f>
        <v>5</v>
      </c>
      <c r="K35" s="39" t="str">
        <f aca="false">TEXT(B35,"mmm")</f>
        <v>May</v>
      </c>
      <c r="L35" s="45" t="n">
        <f aca="false">IFERROR(INDEX(medicine_master!$I$2:$I$26,MATCH($C35,medicine_master!$A$2:$A$26,0)),0)</f>
        <v>40</v>
      </c>
      <c r="M35" s="45" t="n">
        <f aca="false">IFERROR(INDEX(medicine_master!$G$2:$G$26,MATCH($C35,medicine_master!$A$2:$A$26,0)),0)</f>
        <v>28</v>
      </c>
      <c r="N35" s="45" t="n">
        <f aca="false">IF(D35="Sale",E35*L35,0)</f>
        <v>600</v>
      </c>
      <c r="O35" s="45" t="n">
        <f aca="false">IF(D35="Sale",E35*M35,0)</f>
        <v>420</v>
      </c>
      <c r="P35" s="45" t="n">
        <f aca="false">N35-O35</f>
        <v>180</v>
      </c>
      <c r="Q35" s="45" t="n">
        <f aca="false">IF(D35="Purchase",E35*M35,0)</f>
        <v>0</v>
      </c>
    </row>
    <row r="36" customFormat="false" ht="15" hidden="false" customHeight="false" outlineLevel="0" collapsed="false">
      <c r="A36" s="39" t="s">
        <v>357</v>
      </c>
      <c r="B36" s="44" t="n">
        <v>46174</v>
      </c>
      <c r="C36" s="39" t="s">
        <v>159</v>
      </c>
      <c r="D36" s="39" t="s">
        <v>138</v>
      </c>
      <c r="E36" s="39" t="n">
        <v>15</v>
      </c>
      <c r="F36" s="39" t="str">
        <f aca="false">IF(COUNTIF(medicine_master!$A$2:$A$26,C36)&gt;0,"Valid","Invalid")</f>
        <v>Valid</v>
      </c>
      <c r="G36" s="39" t="str">
        <f aca="false">IFERROR(INDEX(medicine_master!$B$2:$B$26,MATCH($C36,medicine_master!$A$2:$A$26,0)),"Not found")</f>
        <v>Antiseptic Liquid 100ml</v>
      </c>
      <c r="H36" s="39" t="str">
        <f aca="false">IFERROR(INDEX(medicine_master!$C$2:$C$26,MATCH($C36,medicine_master!$A$2:$A$26,0)),"Not found")</f>
        <v>First Aid</v>
      </c>
      <c r="I36" s="39" t="n">
        <f aca="false">YEAR(B36)</f>
        <v>2026</v>
      </c>
      <c r="J36" s="39" t="n">
        <f aca="false">MONTH(B36)</f>
        <v>6</v>
      </c>
      <c r="K36" s="39" t="str">
        <f aca="false">TEXT(B36,"mmm")</f>
        <v>Jun</v>
      </c>
      <c r="L36" s="45" t="n">
        <f aca="false">IFERROR(INDEX(medicine_master!$I$2:$I$26,MATCH($C36,medicine_master!$A$2:$A$26,0)),0)</f>
        <v>65</v>
      </c>
      <c r="M36" s="45" t="n">
        <f aca="false">IFERROR(INDEX(medicine_master!$G$2:$G$26,MATCH($C36,medicine_master!$A$2:$A$26,0)),0)</f>
        <v>48</v>
      </c>
      <c r="N36" s="45" t="n">
        <f aca="false">IF(D36="Sale",E36*L36,0)</f>
        <v>0</v>
      </c>
      <c r="O36" s="45" t="n">
        <f aca="false">IF(D36="Sale",E36*M36,0)</f>
        <v>0</v>
      </c>
      <c r="P36" s="45" t="n">
        <f aca="false">N36-O36</f>
        <v>0</v>
      </c>
      <c r="Q36" s="45" t="n">
        <f aca="false">IF(D36="Purchase",E36*M36,0)</f>
        <v>720</v>
      </c>
    </row>
    <row r="37" customFormat="false" ht="15" hidden="false" customHeight="false" outlineLevel="0" collapsed="false">
      <c r="A37" s="39" t="s">
        <v>358</v>
      </c>
      <c r="B37" s="44" t="n">
        <v>46255</v>
      </c>
      <c r="C37" s="39" t="s">
        <v>146</v>
      </c>
      <c r="D37" s="39" t="s">
        <v>138</v>
      </c>
      <c r="E37" s="39" t="n">
        <v>50</v>
      </c>
      <c r="F37" s="39" t="str">
        <f aca="false">IF(COUNTIF(medicine_master!$A$2:$A$26,C37)&gt;0,"Valid","Invalid")</f>
        <v>Valid</v>
      </c>
      <c r="G37" s="39" t="str">
        <f aca="false">IFERROR(INDEX(medicine_master!$B$2:$B$26,MATCH($C37,medicine_master!$A$2:$A$26,0)),"Not found")</f>
        <v>Diclofenac Gel</v>
      </c>
      <c r="H37" s="39" t="str">
        <f aca="false">IFERROR(INDEX(medicine_master!$C$2:$C$26,MATCH($C37,medicine_master!$A$2:$A$26,0)),"Not found")</f>
        <v>Pain Relief</v>
      </c>
      <c r="I37" s="39" t="n">
        <f aca="false">YEAR(B37)</f>
        <v>2026</v>
      </c>
      <c r="J37" s="39" t="n">
        <f aca="false">MONTH(B37)</f>
        <v>8</v>
      </c>
      <c r="K37" s="39" t="str">
        <f aca="false">TEXT(B37,"mmm")</f>
        <v>Aug</v>
      </c>
      <c r="L37" s="45" t="n">
        <f aca="false">IFERROR(INDEX(medicine_master!$I$2:$I$26,MATCH($C37,medicine_master!$A$2:$A$26,0)),0)</f>
        <v>55</v>
      </c>
      <c r="M37" s="45" t="n">
        <f aca="false">IFERROR(INDEX(medicine_master!$G$2:$G$26,MATCH($C37,medicine_master!$A$2:$A$26,0)),0)</f>
        <v>38</v>
      </c>
      <c r="N37" s="45" t="n">
        <f aca="false">IF(D37="Sale",E37*L37,0)</f>
        <v>0</v>
      </c>
      <c r="O37" s="45" t="n">
        <f aca="false">IF(D37="Sale",E37*M37,0)</f>
        <v>0</v>
      </c>
      <c r="P37" s="45" t="n">
        <f aca="false">N37-O37</f>
        <v>0</v>
      </c>
      <c r="Q37" s="45" t="n">
        <f aca="false">IF(D37="Purchase",E37*M37,0)</f>
        <v>1900</v>
      </c>
    </row>
    <row r="38" customFormat="false" ht="15" hidden="false" customHeight="false" outlineLevel="0" collapsed="false">
      <c r="A38" s="39" t="s">
        <v>359</v>
      </c>
      <c r="B38" s="44" t="n">
        <v>46074</v>
      </c>
      <c r="C38" s="39" t="s">
        <v>144</v>
      </c>
      <c r="D38" s="39" t="s">
        <v>138</v>
      </c>
      <c r="E38" s="39" t="n">
        <v>20</v>
      </c>
      <c r="F38" s="39" t="str">
        <f aca="false">IF(COUNTIF(medicine_master!$A$2:$A$26,C38)&gt;0,"Valid","Invalid")</f>
        <v>Valid</v>
      </c>
      <c r="G38" s="39" t="str">
        <f aca="false">IFERROR(INDEX(medicine_master!$B$2:$B$26,MATCH($C38,medicine_master!$A$2:$A$26,0)),"Not found")</f>
        <v>Glimepiride 2mg</v>
      </c>
      <c r="H38" s="39" t="str">
        <f aca="false">IFERROR(INDEX(medicine_master!$C$2:$C$26,MATCH($C38,medicine_master!$A$2:$A$26,0)),"Not found")</f>
        <v>Diabetes</v>
      </c>
      <c r="I38" s="39" t="n">
        <f aca="false">YEAR(B38)</f>
        <v>2026</v>
      </c>
      <c r="J38" s="39" t="n">
        <f aca="false">MONTH(B38)</f>
        <v>2</v>
      </c>
      <c r="K38" s="39" t="str">
        <f aca="false">TEXT(B38,"mmm")</f>
        <v>Feb</v>
      </c>
      <c r="L38" s="45" t="n">
        <f aca="false">IFERROR(INDEX(medicine_master!$I$2:$I$26,MATCH($C38,medicine_master!$A$2:$A$26,0)),0)</f>
        <v>52</v>
      </c>
      <c r="M38" s="45" t="n">
        <f aca="false">IFERROR(INDEX(medicine_master!$G$2:$G$26,MATCH($C38,medicine_master!$A$2:$A$26,0)),0)</f>
        <v>38</v>
      </c>
      <c r="N38" s="45" t="n">
        <f aca="false">IF(D38="Sale",E38*L38,0)</f>
        <v>0</v>
      </c>
      <c r="O38" s="45" t="n">
        <f aca="false">IF(D38="Sale",E38*M38,0)</f>
        <v>0</v>
      </c>
      <c r="P38" s="45" t="n">
        <f aca="false">N38-O38</f>
        <v>0</v>
      </c>
      <c r="Q38" s="45" t="n">
        <f aca="false">IF(D38="Purchase",E38*M38,0)</f>
        <v>760</v>
      </c>
    </row>
    <row r="39" customFormat="false" ht="15" hidden="false" customHeight="false" outlineLevel="0" collapsed="false">
      <c r="A39" s="39" t="s">
        <v>360</v>
      </c>
      <c r="B39" s="44" t="n">
        <v>46135</v>
      </c>
      <c r="C39" s="39" t="s">
        <v>152</v>
      </c>
      <c r="D39" s="39" t="s">
        <v>138</v>
      </c>
      <c r="E39" s="39" t="n">
        <v>5</v>
      </c>
      <c r="F39" s="39" t="str">
        <f aca="false">IF(COUNTIF(medicine_master!$A$2:$A$26,C39)&gt;0,"Valid","Invalid")</f>
        <v>Valid</v>
      </c>
      <c r="G39" s="39" t="str">
        <f aca="false">IFERROR(INDEX(medicine_master!$B$2:$B$26,MATCH($C39,medicine_master!$A$2:$A$26,0)),"Not found")</f>
        <v>Amoxicillin 500mg</v>
      </c>
      <c r="H39" s="39" t="str">
        <f aca="false">IFERROR(INDEX(medicine_master!$C$2:$C$26,MATCH($C39,medicine_master!$A$2:$A$26,0)),"Not found")</f>
        <v>Antibiotic</v>
      </c>
      <c r="I39" s="39" t="n">
        <f aca="false">YEAR(B39)</f>
        <v>2026</v>
      </c>
      <c r="J39" s="39" t="n">
        <f aca="false">MONTH(B39)</f>
        <v>4</v>
      </c>
      <c r="K39" s="39" t="str">
        <f aca="false">TEXT(B39,"mmm")</f>
        <v>Apr</v>
      </c>
      <c r="L39" s="45" t="n">
        <f aca="false">IFERROR(INDEX(medicine_master!$I$2:$I$26,MATCH($C39,medicine_master!$A$2:$A$26,0)),0)</f>
        <v>40</v>
      </c>
      <c r="M39" s="45" t="n">
        <f aca="false">IFERROR(INDEX(medicine_master!$G$2:$G$26,MATCH($C39,medicine_master!$A$2:$A$26,0)),0)</f>
        <v>28</v>
      </c>
      <c r="N39" s="45" t="n">
        <f aca="false">IF(D39="Sale",E39*L39,0)</f>
        <v>0</v>
      </c>
      <c r="O39" s="45" t="n">
        <f aca="false">IF(D39="Sale",E39*M39,0)</f>
        <v>0</v>
      </c>
      <c r="P39" s="45" t="n">
        <f aca="false">N39-O39</f>
        <v>0</v>
      </c>
      <c r="Q39" s="45" t="n">
        <f aca="false">IF(D39="Purchase",E39*M39,0)</f>
        <v>140</v>
      </c>
    </row>
    <row r="40" customFormat="false" ht="15" hidden="false" customHeight="false" outlineLevel="0" collapsed="false">
      <c r="A40" s="39" t="s">
        <v>361</v>
      </c>
      <c r="B40" s="44" t="n">
        <v>46135</v>
      </c>
      <c r="C40" s="39" t="s">
        <v>179</v>
      </c>
      <c r="D40" s="39" t="s">
        <v>137</v>
      </c>
      <c r="E40" s="39" t="n">
        <v>5</v>
      </c>
      <c r="F40" s="39" t="str">
        <f aca="false">IF(COUNTIF(medicine_master!$A$2:$A$26,C40)&gt;0,"Valid","Invalid")</f>
        <v>Valid</v>
      </c>
      <c r="G40" s="39" t="str">
        <f aca="false">IFERROR(INDEX(medicine_master!$B$2:$B$26,MATCH($C40,medicine_master!$A$2:$A$26,0)),"Not found")</f>
        <v>Ibuprofen 400mg</v>
      </c>
      <c r="H40" s="39" t="str">
        <f aca="false">IFERROR(INDEX(medicine_master!$C$2:$C$26,MATCH($C40,medicine_master!$A$2:$A$26,0)),"Not found")</f>
        <v>Pain Relief</v>
      </c>
      <c r="I40" s="39" t="n">
        <f aca="false">YEAR(B40)</f>
        <v>2026</v>
      </c>
      <c r="J40" s="39" t="n">
        <f aca="false">MONTH(B40)</f>
        <v>4</v>
      </c>
      <c r="K40" s="39" t="str">
        <f aca="false">TEXT(B40,"mmm")</f>
        <v>Apr</v>
      </c>
      <c r="L40" s="45" t="n">
        <f aca="false">IFERROR(INDEX(medicine_master!$I$2:$I$26,MATCH($C40,medicine_master!$A$2:$A$26,0)),0)</f>
        <v>30</v>
      </c>
      <c r="M40" s="45" t="n">
        <f aca="false">IFERROR(INDEX(medicine_master!$G$2:$G$26,MATCH($C40,medicine_master!$A$2:$A$26,0)),0)</f>
        <v>22</v>
      </c>
      <c r="N40" s="45" t="n">
        <f aca="false">IF(D40="Sale",E40*L40,0)</f>
        <v>150</v>
      </c>
      <c r="O40" s="45" t="n">
        <f aca="false">IF(D40="Sale",E40*M40,0)</f>
        <v>110</v>
      </c>
      <c r="P40" s="45" t="n">
        <f aca="false">N40-O40</f>
        <v>40</v>
      </c>
      <c r="Q40" s="45" t="n">
        <f aca="false">IF(D40="Purchase",E40*M40,0)</f>
        <v>0</v>
      </c>
    </row>
    <row r="41" customFormat="false" ht="15" hidden="false" customHeight="false" outlineLevel="0" collapsed="false">
      <c r="A41" s="39" t="s">
        <v>362</v>
      </c>
      <c r="B41" s="44" t="n">
        <v>46246</v>
      </c>
      <c r="C41" s="39" t="s">
        <v>345</v>
      </c>
      <c r="D41" s="39" t="s">
        <v>137</v>
      </c>
      <c r="E41" s="39" t="n">
        <v>25</v>
      </c>
      <c r="F41" s="39" t="str">
        <f aca="false">IF(COUNTIF(medicine_master!$A$2:$A$26,C41)&gt;0,"Valid","Invalid")</f>
        <v>Valid</v>
      </c>
      <c r="G41" s="39" t="str">
        <f aca="false">IFERROR(INDEX(medicine_master!$B$2:$B$26,MATCH($C41,medicine_master!$A$2:$A$26,0)),"Not found")</f>
        <v>Paracetamol 500mg</v>
      </c>
      <c r="H41" s="39" t="str">
        <f aca="false">IFERROR(INDEX(medicine_master!$C$2:$C$26,MATCH($C41,medicine_master!$A$2:$A$26,0)),"Not found")</f>
        <v>Pain Relief</v>
      </c>
      <c r="I41" s="39" t="n">
        <f aca="false">YEAR(B41)</f>
        <v>2026</v>
      </c>
      <c r="J41" s="39" t="n">
        <f aca="false">MONTH(B41)</f>
        <v>8</v>
      </c>
      <c r="K41" s="39" t="str">
        <f aca="false">TEXT(B41,"mmm")</f>
        <v>Aug</v>
      </c>
      <c r="L41" s="45" t="n">
        <f aca="false">IFERROR(INDEX(medicine_master!$I$2:$I$26,MATCH($C41,medicine_master!$A$2:$A$26,0)),0)</f>
        <v>18</v>
      </c>
      <c r="M41" s="45" t="n">
        <f aca="false">IFERROR(INDEX(medicine_master!$G$2:$G$26,MATCH($C41,medicine_master!$A$2:$A$26,0)),0)</f>
        <v>12</v>
      </c>
      <c r="N41" s="45" t="n">
        <f aca="false">IF(D41="Sale",E41*L41,0)</f>
        <v>450</v>
      </c>
      <c r="O41" s="45" t="n">
        <f aca="false">IF(D41="Sale",E41*M41,0)</f>
        <v>300</v>
      </c>
      <c r="P41" s="45" t="n">
        <f aca="false">N41-O41</f>
        <v>150</v>
      </c>
      <c r="Q41" s="45" t="n">
        <f aca="false">IF(D41="Purchase",E41*M41,0)</f>
        <v>0</v>
      </c>
    </row>
    <row r="42" customFormat="false" ht="15" hidden="false" customHeight="false" outlineLevel="0" collapsed="false">
      <c r="A42" s="39" t="s">
        <v>363</v>
      </c>
      <c r="B42" s="44" t="n">
        <v>46075</v>
      </c>
      <c r="C42" s="39" t="s">
        <v>144</v>
      </c>
      <c r="D42" s="39" t="s">
        <v>137</v>
      </c>
      <c r="E42" s="39" t="n">
        <v>25</v>
      </c>
      <c r="F42" s="39" t="str">
        <f aca="false">IF(COUNTIF(medicine_master!$A$2:$A$26,C42)&gt;0,"Valid","Invalid")</f>
        <v>Valid</v>
      </c>
      <c r="G42" s="39" t="str">
        <f aca="false">IFERROR(INDEX(medicine_master!$B$2:$B$26,MATCH($C42,medicine_master!$A$2:$A$26,0)),"Not found")</f>
        <v>Glimepiride 2mg</v>
      </c>
      <c r="H42" s="39" t="str">
        <f aca="false">IFERROR(INDEX(medicine_master!$C$2:$C$26,MATCH($C42,medicine_master!$A$2:$A$26,0)),"Not found")</f>
        <v>Diabetes</v>
      </c>
      <c r="I42" s="39" t="n">
        <f aca="false">YEAR(B42)</f>
        <v>2026</v>
      </c>
      <c r="J42" s="39" t="n">
        <f aca="false">MONTH(B42)</f>
        <v>2</v>
      </c>
      <c r="K42" s="39" t="str">
        <f aca="false">TEXT(B42,"mmm")</f>
        <v>Feb</v>
      </c>
      <c r="L42" s="45" t="n">
        <f aca="false">IFERROR(INDEX(medicine_master!$I$2:$I$26,MATCH($C42,medicine_master!$A$2:$A$26,0)),0)</f>
        <v>52</v>
      </c>
      <c r="M42" s="45" t="n">
        <f aca="false">IFERROR(INDEX(medicine_master!$G$2:$G$26,MATCH($C42,medicine_master!$A$2:$A$26,0)),0)</f>
        <v>38</v>
      </c>
      <c r="N42" s="45" t="n">
        <f aca="false">IF(D42="Sale",E42*L42,0)</f>
        <v>1300</v>
      </c>
      <c r="O42" s="45" t="n">
        <f aca="false">IF(D42="Sale",E42*M42,0)</f>
        <v>950</v>
      </c>
      <c r="P42" s="45" t="n">
        <f aca="false">N42-O42</f>
        <v>350</v>
      </c>
      <c r="Q42" s="45" t="n">
        <f aca="false">IF(D42="Purchase",E42*M42,0)</f>
        <v>0</v>
      </c>
    </row>
    <row r="43" customFormat="false" ht="15" hidden="false" customHeight="false" outlineLevel="0" collapsed="false">
      <c r="A43" s="39" t="s">
        <v>364</v>
      </c>
      <c r="B43" s="44" t="n">
        <v>46269</v>
      </c>
      <c r="C43" s="39" t="s">
        <v>149</v>
      </c>
      <c r="D43" s="39" t="s">
        <v>138</v>
      </c>
      <c r="E43" s="39" t="n">
        <v>20</v>
      </c>
      <c r="F43" s="39" t="str">
        <f aca="false">IF(COUNTIF(medicine_master!$A$2:$A$26,C43)&gt;0,"Valid","Invalid")</f>
        <v>Valid</v>
      </c>
      <c r="G43" s="39" t="str">
        <f aca="false">IFERROR(INDEX(medicine_master!$B$2:$B$26,MATCH($C43,medicine_master!$A$2:$A$26,0)),"Not found")</f>
        <v>Azithromycin 500mg</v>
      </c>
      <c r="H43" s="39" t="str">
        <f aca="false">IFERROR(INDEX(medicine_master!$C$2:$C$26,MATCH($C43,medicine_master!$A$2:$A$26,0)),"Not found")</f>
        <v>Antibiotic</v>
      </c>
      <c r="I43" s="39" t="n">
        <f aca="false">YEAR(B43)</f>
        <v>2026</v>
      </c>
      <c r="J43" s="39" t="n">
        <f aca="false">MONTH(B43)</f>
        <v>9</v>
      </c>
      <c r="K43" s="39" t="str">
        <f aca="false">TEXT(B43,"mmm")</f>
        <v>Sep</v>
      </c>
      <c r="L43" s="45" t="n">
        <f aca="false">IFERROR(INDEX(medicine_master!$I$2:$I$26,MATCH($C43,medicine_master!$A$2:$A$26,0)),0)</f>
        <v>50</v>
      </c>
      <c r="M43" s="45" t="n">
        <f aca="false">IFERROR(INDEX(medicine_master!$G$2:$G$26,MATCH($C43,medicine_master!$A$2:$A$26,0)),0)</f>
        <v>35</v>
      </c>
      <c r="N43" s="45" t="n">
        <f aca="false">IF(D43="Sale",E43*L43,0)</f>
        <v>0</v>
      </c>
      <c r="O43" s="45" t="n">
        <f aca="false">IF(D43="Sale",E43*M43,0)</f>
        <v>0</v>
      </c>
      <c r="P43" s="45" t="n">
        <f aca="false">N43-O43</f>
        <v>0</v>
      </c>
      <c r="Q43" s="45" t="n">
        <f aca="false">IF(D43="Purchase",E43*M43,0)</f>
        <v>700</v>
      </c>
    </row>
    <row r="44" customFormat="false" ht="15" hidden="false" customHeight="false" outlineLevel="0" collapsed="false">
      <c r="A44" s="39" t="s">
        <v>365</v>
      </c>
      <c r="B44" s="44" t="n">
        <v>46277</v>
      </c>
      <c r="C44" s="39" t="s">
        <v>158</v>
      </c>
      <c r="D44" s="39" t="s">
        <v>138</v>
      </c>
      <c r="E44" s="39" t="n">
        <v>25</v>
      </c>
      <c r="F44" s="39" t="str">
        <f aca="false">IF(COUNTIF(medicine_master!$A$2:$A$26,C44)&gt;0,"Valid","Invalid")</f>
        <v>Valid</v>
      </c>
      <c r="G44" s="39" t="str">
        <f aca="false">IFERROR(INDEX(medicine_master!$B$2:$B$26,MATCH($C44,medicine_master!$A$2:$A$26,0)),"Not found")</f>
        <v>Cough Syrup 100ml</v>
      </c>
      <c r="H44" s="39" t="str">
        <f aca="false">IFERROR(INDEX(medicine_master!$C$2:$C$26,MATCH($C44,medicine_master!$A$2:$A$26,0)),"Not found")</f>
        <v>Cold &amp; Cough</v>
      </c>
      <c r="I44" s="39" t="n">
        <f aca="false">YEAR(B44)</f>
        <v>2026</v>
      </c>
      <c r="J44" s="39" t="n">
        <f aca="false">MONTH(B44)</f>
        <v>9</v>
      </c>
      <c r="K44" s="39" t="str">
        <f aca="false">TEXT(B44,"mmm")</f>
        <v>Sep</v>
      </c>
      <c r="L44" s="45" t="n">
        <f aca="false">IFERROR(INDEX(medicine_master!$I$2:$I$26,MATCH($C44,medicine_master!$A$2:$A$26,0)),0)</f>
        <v>72</v>
      </c>
      <c r="M44" s="45" t="n">
        <f aca="false">IFERROR(INDEX(medicine_master!$G$2:$G$26,MATCH($C44,medicine_master!$A$2:$A$26,0)),0)</f>
        <v>52</v>
      </c>
      <c r="N44" s="45" t="n">
        <f aca="false">IF(D44="Sale",E44*L44,0)</f>
        <v>0</v>
      </c>
      <c r="O44" s="45" t="n">
        <f aca="false">IF(D44="Sale",E44*M44,0)</f>
        <v>0</v>
      </c>
      <c r="P44" s="45" t="n">
        <f aca="false">N44-O44</f>
        <v>0</v>
      </c>
      <c r="Q44" s="45" t="n">
        <f aca="false">IF(D44="Purchase",E44*M44,0)</f>
        <v>1300</v>
      </c>
    </row>
    <row r="45" customFormat="false" ht="15" hidden="false" customHeight="false" outlineLevel="0" collapsed="false">
      <c r="A45" s="39" t="s">
        <v>366</v>
      </c>
      <c r="B45" s="44" t="n">
        <v>46220</v>
      </c>
      <c r="C45" s="39" t="s">
        <v>321</v>
      </c>
      <c r="D45" s="39" t="s">
        <v>137</v>
      </c>
      <c r="E45" s="39" t="n">
        <v>10</v>
      </c>
      <c r="F45" s="39" t="str">
        <f aca="false">IF(COUNTIF(medicine_master!$A$2:$A$26,C45)&gt;0,"Valid","Invalid")</f>
        <v>Valid</v>
      </c>
      <c r="G45" s="39" t="str">
        <f aca="false">IFERROR(INDEX(medicine_master!$B$2:$B$26,MATCH($C45,medicine_master!$A$2:$A$26,0)),"Not found")</f>
        <v>Levocetirizine 5mg</v>
      </c>
      <c r="H45" s="39" t="str">
        <f aca="false">IFERROR(INDEX(medicine_master!$C$2:$C$26,MATCH($C45,medicine_master!$A$2:$A$26,0)),"Not found")</f>
        <v>Allergy</v>
      </c>
      <c r="I45" s="39" t="n">
        <f aca="false">YEAR(B45)</f>
        <v>2026</v>
      </c>
      <c r="J45" s="39" t="n">
        <f aca="false">MONTH(B45)</f>
        <v>7</v>
      </c>
      <c r="K45" s="39" t="str">
        <f aca="false">TEXT(B45,"mmm")</f>
        <v>Jul</v>
      </c>
      <c r="L45" s="45" t="n">
        <f aca="false">IFERROR(INDEX(medicine_master!$I$2:$I$26,MATCH($C45,medicine_master!$A$2:$A$26,0)),0)</f>
        <v>22</v>
      </c>
      <c r="M45" s="45" t="n">
        <f aca="false">IFERROR(INDEX(medicine_master!$G$2:$G$26,MATCH($C45,medicine_master!$A$2:$A$26,0)),0)</f>
        <v>14</v>
      </c>
      <c r="N45" s="45" t="n">
        <f aca="false">IF(D45="Sale",E45*L45,0)</f>
        <v>220</v>
      </c>
      <c r="O45" s="45" t="n">
        <f aca="false">IF(D45="Sale",E45*M45,0)</f>
        <v>140</v>
      </c>
      <c r="P45" s="45" t="n">
        <f aca="false">N45-O45</f>
        <v>80</v>
      </c>
      <c r="Q45" s="45" t="n">
        <f aca="false">IF(D45="Purchase",E45*M45,0)</f>
        <v>0</v>
      </c>
    </row>
    <row r="46" customFormat="false" ht="15" hidden="false" customHeight="false" outlineLevel="0" collapsed="false">
      <c r="A46" s="39" t="s">
        <v>367</v>
      </c>
      <c r="B46" s="44" t="n">
        <v>46119</v>
      </c>
      <c r="C46" s="39" t="s">
        <v>326</v>
      </c>
      <c r="D46" s="39" t="s">
        <v>138</v>
      </c>
      <c r="E46" s="39" t="n">
        <v>10</v>
      </c>
      <c r="F46" s="39" t="str">
        <f aca="false">IF(COUNTIF(medicine_master!$A$2:$A$26,C46)&gt;0,"Valid","Invalid")</f>
        <v>Valid</v>
      </c>
      <c r="G46" s="39" t="str">
        <f aca="false">IFERROR(INDEX(medicine_master!$B$2:$B$26,MATCH($C46,medicine_master!$A$2:$A$26,0)),"Not found")</f>
        <v>Omeprazole 20mg</v>
      </c>
      <c r="H46" s="39" t="str">
        <f aca="false">IFERROR(INDEX(medicine_master!$C$2:$C$26,MATCH($C46,medicine_master!$A$2:$A$26,0)),"Not found")</f>
        <v>Gastric</v>
      </c>
      <c r="I46" s="39" t="n">
        <f aca="false">YEAR(B46)</f>
        <v>2026</v>
      </c>
      <c r="J46" s="39" t="n">
        <f aca="false">MONTH(B46)</f>
        <v>4</v>
      </c>
      <c r="K46" s="39" t="str">
        <f aca="false">TEXT(B46,"mmm")</f>
        <v>Apr</v>
      </c>
      <c r="L46" s="45" t="n">
        <f aca="false">IFERROR(INDEX(medicine_master!$I$2:$I$26,MATCH($C46,medicine_master!$A$2:$A$26,0)),0)</f>
        <v>26</v>
      </c>
      <c r="M46" s="45" t="n">
        <f aca="false">IFERROR(INDEX(medicine_master!$G$2:$G$26,MATCH($C46,medicine_master!$A$2:$A$26,0)),0)</f>
        <v>18</v>
      </c>
      <c r="N46" s="45" t="n">
        <f aca="false">IF(D46="Sale",E46*L46,0)</f>
        <v>0</v>
      </c>
      <c r="O46" s="45" t="n">
        <f aca="false">IF(D46="Sale",E46*M46,0)</f>
        <v>0</v>
      </c>
      <c r="P46" s="45" t="n">
        <f aca="false">N46-O46</f>
        <v>0</v>
      </c>
      <c r="Q46" s="45" t="n">
        <f aca="false">IF(D46="Purchase",E46*M46,0)</f>
        <v>180</v>
      </c>
    </row>
    <row r="47" customFormat="false" ht="15" hidden="false" customHeight="false" outlineLevel="0" collapsed="false">
      <c r="A47" s="39" t="s">
        <v>368</v>
      </c>
      <c r="B47" s="44" t="n">
        <v>46371</v>
      </c>
      <c r="C47" s="39" t="s">
        <v>151</v>
      </c>
      <c r="D47" s="39" t="s">
        <v>137</v>
      </c>
      <c r="E47" s="39" t="n">
        <v>25</v>
      </c>
      <c r="F47" s="39" t="str">
        <f aca="false">IF(COUNTIF(medicine_master!$A$2:$A$26,C47)&gt;0,"Valid","Invalid")</f>
        <v>Valid</v>
      </c>
      <c r="G47" s="39" t="str">
        <f aca="false">IFERROR(INDEX(medicine_master!$B$2:$B$26,MATCH($C47,medicine_master!$A$2:$A$26,0)),"Not found")</f>
        <v>Cetirizine 10mg</v>
      </c>
      <c r="H47" s="39" t="str">
        <f aca="false">IFERROR(INDEX(medicine_master!$C$2:$C$26,MATCH($C47,medicine_master!$A$2:$A$26,0)),"Not found")</f>
        <v>Allergy</v>
      </c>
      <c r="I47" s="39" t="n">
        <f aca="false">YEAR(B47)</f>
        <v>2026</v>
      </c>
      <c r="J47" s="39" t="n">
        <f aca="false">MONTH(B47)</f>
        <v>12</v>
      </c>
      <c r="K47" s="39" t="str">
        <f aca="false">TEXT(B47,"mmm")</f>
        <v>Dec</v>
      </c>
      <c r="L47" s="45" t="n">
        <f aca="false">IFERROR(INDEX(medicine_master!$I$2:$I$26,MATCH($C47,medicine_master!$A$2:$A$26,0)),0)</f>
        <v>13</v>
      </c>
      <c r="M47" s="45" t="n">
        <f aca="false">IFERROR(INDEX(medicine_master!$G$2:$G$26,MATCH($C47,medicine_master!$A$2:$A$26,0)),0)</f>
        <v>8</v>
      </c>
      <c r="N47" s="45" t="n">
        <f aca="false">IF(D47="Sale",E47*L47,0)</f>
        <v>325</v>
      </c>
      <c r="O47" s="45" t="n">
        <f aca="false">IF(D47="Sale",E47*M47,0)</f>
        <v>200</v>
      </c>
      <c r="P47" s="45" t="n">
        <f aca="false">N47-O47</f>
        <v>125</v>
      </c>
      <c r="Q47" s="45" t="n">
        <f aca="false">IF(D47="Purchase",E47*M47,0)</f>
        <v>0</v>
      </c>
    </row>
    <row r="48" customFormat="false" ht="15" hidden="false" customHeight="false" outlineLevel="0" collapsed="false">
      <c r="A48" s="39" t="s">
        <v>369</v>
      </c>
      <c r="B48" s="44" t="n">
        <v>46368</v>
      </c>
      <c r="C48" s="39" t="s">
        <v>151</v>
      </c>
      <c r="D48" s="39" t="s">
        <v>137</v>
      </c>
      <c r="E48" s="39" t="n">
        <v>15</v>
      </c>
      <c r="F48" s="39" t="str">
        <f aca="false">IF(COUNTIF(medicine_master!$A$2:$A$26,C48)&gt;0,"Valid","Invalid")</f>
        <v>Valid</v>
      </c>
      <c r="G48" s="39" t="str">
        <f aca="false">IFERROR(INDEX(medicine_master!$B$2:$B$26,MATCH($C48,medicine_master!$A$2:$A$26,0)),"Not found")</f>
        <v>Cetirizine 10mg</v>
      </c>
      <c r="H48" s="39" t="str">
        <f aca="false">IFERROR(INDEX(medicine_master!$C$2:$C$26,MATCH($C48,medicine_master!$A$2:$A$26,0)),"Not found")</f>
        <v>Allergy</v>
      </c>
      <c r="I48" s="39" t="n">
        <f aca="false">YEAR(B48)</f>
        <v>2026</v>
      </c>
      <c r="J48" s="39" t="n">
        <f aca="false">MONTH(B48)</f>
        <v>12</v>
      </c>
      <c r="K48" s="39" t="str">
        <f aca="false">TEXT(B48,"mmm")</f>
        <v>Dec</v>
      </c>
      <c r="L48" s="45" t="n">
        <f aca="false">IFERROR(INDEX(medicine_master!$I$2:$I$26,MATCH($C48,medicine_master!$A$2:$A$26,0)),0)</f>
        <v>13</v>
      </c>
      <c r="M48" s="45" t="n">
        <f aca="false">IFERROR(INDEX(medicine_master!$G$2:$G$26,MATCH($C48,medicine_master!$A$2:$A$26,0)),0)</f>
        <v>8</v>
      </c>
      <c r="N48" s="45" t="n">
        <f aca="false">IF(D48="Sale",E48*L48,0)</f>
        <v>195</v>
      </c>
      <c r="O48" s="45" t="n">
        <f aca="false">IF(D48="Sale",E48*M48,0)</f>
        <v>120</v>
      </c>
      <c r="P48" s="45" t="n">
        <f aca="false">N48-O48</f>
        <v>75</v>
      </c>
      <c r="Q48" s="45" t="n">
        <f aca="false">IF(D48="Purchase",E48*M48,0)</f>
        <v>0</v>
      </c>
    </row>
    <row r="49" customFormat="false" ht="15" hidden="false" customHeight="false" outlineLevel="0" collapsed="false">
      <c r="A49" s="39" t="s">
        <v>370</v>
      </c>
      <c r="B49" s="44" t="n">
        <v>46221</v>
      </c>
      <c r="C49" s="39" t="s">
        <v>146</v>
      </c>
      <c r="D49" s="39" t="s">
        <v>137</v>
      </c>
      <c r="E49" s="39" t="n">
        <v>20</v>
      </c>
      <c r="F49" s="39" t="str">
        <f aca="false">IF(COUNTIF(medicine_master!$A$2:$A$26,C49)&gt;0,"Valid","Invalid")</f>
        <v>Valid</v>
      </c>
      <c r="G49" s="39" t="str">
        <f aca="false">IFERROR(INDEX(medicine_master!$B$2:$B$26,MATCH($C49,medicine_master!$A$2:$A$26,0)),"Not found")</f>
        <v>Diclofenac Gel</v>
      </c>
      <c r="H49" s="39" t="str">
        <f aca="false">IFERROR(INDEX(medicine_master!$C$2:$C$26,MATCH($C49,medicine_master!$A$2:$A$26,0)),"Not found")</f>
        <v>Pain Relief</v>
      </c>
      <c r="I49" s="39" t="n">
        <f aca="false">YEAR(B49)</f>
        <v>2026</v>
      </c>
      <c r="J49" s="39" t="n">
        <f aca="false">MONTH(B49)</f>
        <v>7</v>
      </c>
      <c r="K49" s="39" t="str">
        <f aca="false">TEXT(B49,"mmm")</f>
        <v>Jul</v>
      </c>
      <c r="L49" s="45" t="n">
        <f aca="false">IFERROR(INDEX(medicine_master!$I$2:$I$26,MATCH($C49,medicine_master!$A$2:$A$26,0)),0)</f>
        <v>55</v>
      </c>
      <c r="M49" s="45" t="n">
        <f aca="false">IFERROR(INDEX(medicine_master!$G$2:$G$26,MATCH($C49,medicine_master!$A$2:$A$26,0)),0)</f>
        <v>38</v>
      </c>
      <c r="N49" s="45" t="n">
        <f aca="false">IF(D49="Sale",E49*L49,0)</f>
        <v>1100</v>
      </c>
      <c r="O49" s="45" t="n">
        <f aca="false">IF(D49="Sale",E49*M49,0)</f>
        <v>760</v>
      </c>
      <c r="P49" s="45" t="n">
        <f aca="false">N49-O49</f>
        <v>340</v>
      </c>
      <c r="Q49" s="45" t="n">
        <f aca="false">IF(D49="Purchase",E49*M49,0)</f>
        <v>0</v>
      </c>
    </row>
    <row r="50" customFormat="false" ht="15" hidden="false" customHeight="false" outlineLevel="0" collapsed="false">
      <c r="A50" s="39" t="s">
        <v>371</v>
      </c>
      <c r="B50" s="44" t="n">
        <v>46061</v>
      </c>
      <c r="C50" s="39" t="s">
        <v>160</v>
      </c>
      <c r="D50" s="39" t="s">
        <v>137</v>
      </c>
      <c r="E50" s="39" t="n">
        <v>25</v>
      </c>
      <c r="F50" s="39" t="str">
        <f aca="false">IF(COUNTIF(medicine_master!$A$2:$A$26,C50)&gt;0,"Valid","Invalid")</f>
        <v>Valid</v>
      </c>
      <c r="G50" s="39" t="str">
        <f aca="false">IFERROR(INDEX(medicine_master!$B$2:$B$26,MATCH($C50,medicine_master!$A$2:$A$26,0)),"Not found")</f>
        <v>Calamine Lotion</v>
      </c>
      <c r="H50" s="39" t="str">
        <f aca="false">IFERROR(INDEX(medicine_master!$C$2:$C$26,MATCH($C50,medicine_master!$A$2:$A$26,0)),"Not found")</f>
        <v>Dermatology</v>
      </c>
      <c r="I50" s="39" t="n">
        <f aca="false">YEAR(B50)</f>
        <v>2026</v>
      </c>
      <c r="J50" s="39" t="n">
        <f aca="false">MONTH(B50)</f>
        <v>2</v>
      </c>
      <c r="K50" s="39" t="str">
        <f aca="false">TEXT(B50,"mmm")</f>
        <v>Feb</v>
      </c>
      <c r="L50" s="45" t="n">
        <f aca="false">IFERROR(INDEX(medicine_master!$I$2:$I$26,MATCH($C50,medicine_master!$A$2:$A$26,0)),0)</f>
        <v>60</v>
      </c>
      <c r="M50" s="45" t="n">
        <f aca="false">IFERROR(INDEX(medicine_master!$G$2:$G$26,MATCH($C50,medicine_master!$A$2:$A$26,0)),0)</f>
        <v>42</v>
      </c>
      <c r="N50" s="45" t="n">
        <f aca="false">IF(D50="Sale",E50*L50,0)</f>
        <v>1500</v>
      </c>
      <c r="O50" s="45" t="n">
        <f aca="false">IF(D50="Sale",E50*M50,0)</f>
        <v>1050</v>
      </c>
      <c r="P50" s="45" t="n">
        <f aca="false">N50-O50</f>
        <v>450</v>
      </c>
      <c r="Q50" s="45" t="n">
        <f aca="false">IF(D50="Purchase",E50*M50,0)</f>
        <v>0</v>
      </c>
    </row>
    <row r="51" customFormat="false" ht="15" hidden="false" customHeight="false" outlineLevel="0" collapsed="false">
      <c r="A51" s="39" t="s">
        <v>372</v>
      </c>
      <c r="B51" s="44" t="n">
        <v>46173</v>
      </c>
      <c r="C51" s="39" t="s">
        <v>150</v>
      </c>
      <c r="D51" s="39" t="s">
        <v>138</v>
      </c>
      <c r="E51" s="39" t="n">
        <v>25</v>
      </c>
      <c r="F51" s="39" t="str">
        <f aca="false">IF(COUNTIF(medicine_master!$A$2:$A$26,C51)&gt;0,"Valid","Invalid")</f>
        <v>Valid</v>
      </c>
      <c r="G51" s="39" t="str">
        <f aca="false">IFERROR(INDEX(medicine_master!$B$2:$B$26,MATCH($C51,medicine_master!$A$2:$A$26,0)),"Not found")</f>
        <v>Pantoprazole 40mg</v>
      </c>
      <c r="H51" s="39" t="str">
        <f aca="false">IFERROR(INDEX(medicine_master!$C$2:$C$26,MATCH($C51,medicine_master!$A$2:$A$26,0)),"Not found")</f>
        <v>Gastric</v>
      </c>
      <c r="I51" s="39" t="n">
        <f aca="false">YEAR(B51)</f>
        <v>2026</v>
      </c>
      <c r="J51" s="39" t="n">
        <f aca="false">MONTH(B51)</f>
        <v>5</v>
      </c>
      <c r="K51" s="39" t="str">
        <f aca="false">TEXT(B51,"mmm")</f>
        <v>May</v>
      </c>
      <c r="L51" s="45" t="n">
        <f aca="false">IFERROR(INDEX(medicine_master!$I$2:$I$26,MATCH($C51,medicine_master!$A$2:$A$26,0)),0)</f>
        <v>35</v>
      </c>
      <c r="M51" s="45" t="n">
        <f aca="false">IFERROR(INDEX(medicine_master!$G$2:$G$26,MATCH($C51,medicine_master!$A$2:$A$26,0)),0)</f>
        <v>24</v>
      </c>
      <c r="N51" s="45" t="n">
        <f aca="false">IF(D51="Sale",E51*L51,0)</f>
        <v>0</v>
      </c>
      <c r="O51" s="45" t="n">
        <f aca="false">IF(D51="Sale",E51*M51,0)</f>
        <v>0</v>
      </c>
      <c r="P51" s="45" t="n">
        <f aca="false">N51-O51</f>
        <v>0</v>
      </c>
      <c r="Q51" s="45" t="n">
        <f aca="false">IF(D51="Purchase",E51*M51,0)</f>
        <v>600</v>
      </c>
    </row>
    <row r="52" customFormat="false" ht="15" hidden="false" customHeight="false" outlineLevel="0" collapsed="false">
      <c r="A52" s="39" t="s">
        <v>373</v>
      </c>
      <c r="B52" s="44" t="n">
        <v>46368</v>
      </c>
      <c r="C52" s="39" t="s">
        <v>177</v>
      </c>
      <c r="D52" s="39" t="s">
        <v>137</v>
      </c>
      <c r="E52" s="39" t="n">
        <v>20</v>
      </c>
      <c r="F52" s="39" t="str">
        <f aca="false">IF(COUNTIF(medicine_master!$A$2:$A$26,C52)&gt;0,"Valid","Invalid")</f>
        <v>Valid</v>
      </c>
      <c r="G52" s="39" t="str">
        <f aca="false">IFERROR(INDEX(medicine_master!$B$2:$B$26,MATCH($C52,medicine_master!$A$2:$A$26,0)),"Not found")</f>
        <v>Bandage Roll</v>
      </c>
      <c r="H52" s="39" t="str">
        <f aca="false">IFERROR(INDEX(medicine_master!$C$2:$C$26,MATCH($C52,medicine_master!$A$2:$A$26,0)),"Not found")</f>
        <v>First Aid</v>
      </c>
      <c r="I52" s="39" t="n">
        <f aca="false">YEAR(B52)</f>
        <v>2026</v>
      </c>
      <c r="J52" s="39" t="n">
        <f aca="false">MONTH(B52)</f>
        <v>12</v>
      </c>
      <c r="K52" s="39" t="str">
        <f aca="false">TEXT(B52,"mmm")</f>
        <v>Dec</v>
      </c>
      <c r="L52" s="45" t="n">
        <f aca="false">IFERROR(INDEX(medicine_master!$I$2:$I$26,MATCH($C52,medicine_master!$A$2:$A$26,0)),0)</f>
        <v>25</v>
      </c>
      <c r="M52" s="45" t="n">
        <f aca="false">IFERROR(INDEX(medicine_master!$G$2:$G$26,MATCH($C52,medicine_master!$A$2:$A$26,0)),0)</f>
        <v>15</v>
      </c>
      <c r="N52" s="45" t="n">
        <f aca="false">IF(D52="Sale",E52*L52,0)</f>
        <v>500</v>
      </c>
      <c r="O52" s="45" t="n">
        <f aca="false">IF(D52="Sale",E52*M52,0)</f>
        <v>300</v>
      </c>
      <c r="P52" s="45" t="n">
        <f aca="false">N52-O52</f>
        <v>200</v>
      </c>
      <c r="Q52" s="45" t="n">
        <f aca="false">IF(D52="Purchase",E52*M52,0)</f>
        <v>0</v>
      </c>
    </row>
    <row r="53" customFormat="false" ht="15" hidden="false" customHeight="false" outlineLevel="0" collapsed="false">
      <c r="A53" s="39" t="s">
        <v>374</v>
      </c>
      <c r="B53" s="44" t="n">
        <v>46024</v>
      </c>
      <c r="C53" s="39" t="s">
        <v>345</v>
      </c>
      <c r="D53" s="39" t="s">
        <v>138</v>
      </c>
      <c r="E53" s="39" t="n">
        <v>40</v>
      </c>
      <c r="F53" s="39" t="str">
        <f aca="false">IF(COUNTIF(medicine_master!$A$2:$A$26,C53)&gt;0,"Valid","Invalid")</f>
        <v>Valid</v>
      </c>
      <c r="G53" s="39" t="str">
        <f aca="false">IFERROR(INDEX(medicine_master!$B$2:$B$26,MATCH($C53,medicine_master!$A$2:$A$26,0)),"Not found")</f>
        <v>Paracetamol 500mg</v>
      </c>
      <c r="H53" s="39" t="str">
        <f aca="false">IFERROR(INDEX(medicine_master!$C$2:$C$26,MATCH($C53,medicine_master!$A$2:$A$26,0)),"Not found")</f>
        <v>Pain Relief</v>
      </c>
      <c r="I53" s="39" t="n">
        <f aca="false">YEAR(B53)</f>
        <v>2026</v>
      </c>
      <c r="J53" s="39" t="n">
        <f aca="false">MONTH(B53)</f>
        <v>1</v>
      </c>
      <c r="K53" s="39" t="str">
        <f aca="false">TEXT(B53,"mmm")</f>
        <v>Jan</v>
      </c>
      <c r="L53" s="45" t="n">
        <f aca="false">IFERROR(INDEX(medicine_master!$I$2:$I$26,MATCH($C53,medicine_master!$A$2:$A$26,0)),0)</f>
        <v>18</v>
      </c>
      <c r="M53" s="45" t="n">
        <f aca="false">IFERROR(INDEX(medicine_master!$G$2:$G$26,MATCH($C53,medicine_master!$A$2:$A$26,0)),0)</f>
        <v>12</v>
      </c>
      <c r="N53" s="45" t="n">
        <f aca="false">IF(D53="Sale",E53*L53,0)</f>
        <v>0</v>
      </c>
      <c r="O53" s="45" t="n">
        <f aca="false">IF(D53="Sale",E53*M53,0)</f>
        <v>0</v>
      </c>
      <c r="P53" s="45" t="n">
        <f aca="false">N53-O53</f>
        <v>0</v>
      </c>
      <c r="Q53" s="45" t="n">
        <f aca="false">IF(D53="Purchase",E53*M53,0)</f>
        <v>480</v>
      </c>
    </row>
    <row r="54" customFormat="false" ht="15" hidden="false" customHeight="false" outlineLevel="0" collapsed="false">
      <c r="A54" s="39" t="s">
        <v>375</v>
      </c>
      <c r="B54" s="44" t="n">
        <v>46059</v>
      </c>
      <c r="C54" s="39" t="s">
        <v>148</v>
      </c>
      <c r="D54" s="39" t="s">
        <v>138</v>
      </c>
      <c r="E54" s="39" t="n">
        <v>15</v>
      </c>
      <c r="F54" s="39" t="str">
        <f aca="false">IF(COUNTIF(medicine_master!$A$2:$A$26,C54)&gt;0,"Valid","Invalid")</f>
        <v>Valid</v>
      </c>
      <c r="G54" s="39" t="str">
        <f aca="false">IFERROR(INDEX(medicine_master!$B$2:$B$26,MATCH($C54,medicine_master!$A$2:$A$26,0)),"Not found")</f>
        <v>Dextromethorphan Syrup</v>
      </c>
      <c r="H54" s="39" t="str">
        <f aca="false">IFERROR(INDEX(medicine_master!$C$2:$C$26,MATCH($C54,medicine_master!$A$2:$A$26,0)),"Not found")</f>
        <v>Cold &amp; Cough</v>
      </c>
      <c r="I54" s="39" t="n">
        <f aca="false">YEAR(B54)</f>
        <v>2026</v>
      </c>
      <c r="J54" s="39" t="n">
        <f aca="false">MONTH(B54)</f>
        <v>2</v>
      </c>
      <c r="K54" s="39" t="str">
        <f aca="false">TEXT(B54,"mmm")</f>
        <v>Feb</v>
      </c>
      <c r="L54" s="45" t="n">
        <f aca="false">IFERROR(INDEX(medicine_master!$I$2:$I$26,MATCH($C54,medicine_master!$A$2:$A$26,0)),0)</f>
        <v>80</v>
      </c>
      <c r="M54" s="45" t="n">
        <f aca="false">IFERROR(INDEX(medicine_master!$G$2:$G$26,MATCH($C54,medicine_master!$A$2:$A$26,0)),0)</f>
        <v>58</v>
      </c>
      <c r="N54" s="45" t="n">
        <f aca="false">IF(D54="Sale",E54*L54,0)</f>
        <v>0</v>
      </c>
      <c r="O54" s="45" t="n">
        <f aca="false">IF(D54="Sale",E54*M54,0)</f>
        <v>0</v>
      </c>
      <c r="P54" s="45" t="n">
        <f aca="false">N54-O54</f>
        <v>0</v>
      </c>
      <c r="Q54" s="45" t="n">
        <f aca="false">IF(D54="Purchase",E54*M54,0)</f>
        <v>870</v>
      </c>
    </row>
    <row r="55" customFormat="false" ht="15" hidden="false" customHeight="false" outlineLevel="0" collapsed="false">
      <c r="A55" s="39" t="s">
        <v>376</v>
      </c>
      <c r="B55" s="44" t="n">
        <v>46326</v>
      </c>
      <c r="C55" s="39" t="s">
        <v>177</v>
      </c>
      <c r="D55" s="39" t="s">
        <v>137</v>
      </c>
      <c r="E55" s="39" t="n">
        <v>40</v>
      </c>
      <c r="F55" s="39" t="str">
        <f aca="false">IF(COUNTIF(medicine_master!$A$2:$A$26,C55)&gt;0,"Valid","Invalid")</f>
        <v>Valid</v>
      </c>
      <c r="G55" s="39" t="str">
        <f aca="false">IFERROR(INDEX(medicine_master!$B$2:$B$26,MATCH($C55,medicine_master!$A$2:$A$26,0)),"Not found")</f>
        <v>Bandage Roll</v>
      </c>
      <c r="H55" s="39" t="str">
        <f aca="false">IFERROR(INDEX(medicine_master!$C$2:$C$26,MATCH($C55,medicine_master!$A$2:$A$26,0)),"Not found")</f>
        <v>First Aid</v>
      </c>
      <c r="I55" s="39" t="n">
        <f aca="false">YEAR(B55)</f>
        <v>2026</v>
      </c>
      <c r="J55" s="39" t="n">
        <f aca="false">MONTH(B55)</f>
        <v>10</v>
      </c>
      <c r="K55" s="39" t="str">
        <f aca="false">TEXT(B55,"mmm")</f>
        <v>Oct</v>
      </c>
      <c r="L55" s="45" t="n">
        <f aca="false">IFERROR(INDEX(medicine_master!$I$2:$I$26,MATCH($C55,medicine_master!$A$2:$A$26,0)),0)</f>
        <v>25</v>
      </c>
      <c r="M55" s="45" t="n">
        <f aca="false">IFERROR(INDEX(medicine_master!$G$2:$G$26,MATCH($C55,medicine_master!$A$2:$A$26,0)),0)</f>
        <v>15</v>
      </c>
      <c r="N55" s="45" t="n">
        <f aca="false">IF(D55="Sale",E55*L55,0)</f>
        <v>1000</v>
      </c>
      <c r="O55" s="45" t="n">
        <f aca="false">IF(D55="Sale",E55*M55,0)</f>
        <v>600</v>
      </c>
      <c r="P55" s="45" t="n">
        <f aca="false">N55-O55</f>
        <v>400</v>
      </c>
      <c r="Q55" s="45" t="n">
        <f aca="false">IF(D55="Purchase",E55*M55,0)</f>
        <v>0</v>
      </c>
    </row>
    <row r="56" customFormat="false" ht="15" hidden="false" customHeight="false" outlineLevel="0" collapsed="false">
      <c r="A56" s="39" t="s">
        <v>377</v>
      </c>
      <c r="B56" s="44" t="n">
        <v>46142</v>
      </c>
      <c r="C56" s="39" t="s">
        <v>345</v>
      </c>
      <c r="D56" s="39" t="s">
        <v>137</v>
      </c>
      <c r="E56" s="39" t="n">
        <v>10</v>
      </c>
      <c r="F56" s="39" t="str">
        <f aca="false">IF(COUNTIF(medicine_master!$A$2:$A$26,C56)&gt;0,"Valid","Invalid")</f>
        <v>Valid</v>
      </c>
      <c r="G56" s="39" t="str">
        <f aca="false">IFERROR(INDEX(medicine_master!$B$2:$B$26,MATCH($C56,medicine_master!$A$2:$A$26,0)),"Not found")</f>
        <v>Paracetamol 500mg</v>
      </c>
      <c r="H56" s="39" t="str">
        <f aca="false">IFERROR(INDEX(medicine_master!$C$2:$C$26,MATCH($C56,medicine_master!$A$2:$A$26,0)),"Not found")</f>
        <v>Pain Relief</v>
      </c>
      <c r="I56" s="39" t="n">
        <f aca="false">YEAR(B56)</f>
        <v>2026</v>
      </c>
      <c r="J56" s="39" t="n">
        <f aca="false">MONTH(B56)</f>
        <v>4</v>
      </c>
      <c r="K56" s="39" t="str">
        <f aca="false">TEXT(B56,"mmm")</f>
        <v>Apr</v>
      </c>
      <c r="L56" s="45" t="n">
        <f aca="false">IFERROR(INDEX(medicine_master!$I$2:$I$26,MATCH($C56,medicine_master!$A$2:$A$26,0)),0)</f>
        <v>18</v>
      </c>
      <c r="M56" s="45" t="n">
        <f aca="false">IFERROR(INDEX(medicine_master!$G$2:$G$26,MATCH($C56,medicine_master!$A$2:$A$26,0)),0)</f>
        <v>12</v>
      </c>
      <c r="N56" s="45" t="n">
        <f aca="false">IF(D56="Sale",E56*L56,0)</f>
        <v>180</v>
      </c>
      <c r="O56" s="45" t="n">
        <f aca="false">IF(D56="Sale",E56*M56,0)</f>
        <v>120</v>
      </c>
      <c r="P56" s="45" t="n">
        <f aca="false">N56-O56</f>
        <v>60</v>
      </c>
      <c r="Q56" s="45" t="n">
        <f aca="false">IF(D56="Purchase",E56*M56,0)</f>
        <v>0</v>
      </c>
    </row>
    <row r="57" customFormat="false" ht="15" hidden="false" customHeight="false" outlineLevel="0" collapsed="false">
      <c r="A57" s="39" t="s">
        <v>378</v>
      </c>
      <c r="B57" s="44" t="n">
        <v>46126</v>
      </c>
      <c r="C57" s="39" t="s">
        <v>146</v>
      </c>
      <c r="D57" s="39" t="s">
        <v>137</v>
      </c>
      <c r="E57" s="39" t="n">
        <v>20</v>
      </c>
      <c r="F57" s="39" t="str">
        <f aca="false">IF(COUNTIF(medicine_master!$A$2:$A$26,C57)&gt;0,"Valid","Invalid")</f>
        <v>Valid</v>
      </c>
      <c r="G57" s="39" t="str">
        <f aca="false">IFERROR(INDEX(medicine_master!$B$2:$B$26,MATCH($C57,medicine_master!$A$2:$A$26,0)),"Not found")</f>
        <v>Diclofenac Gel</v>
      </c>
      <c r="H57" s="39" t="str">
        <f aca="false">IFERROR(INDEX(medicine_master!$C$2:$C$26,MATCH($C57,medicine_master!$A$2:$A$26,0)),"Not found")</f>
        <v>Pain Relief</v>
      </c>
      <c r="I57" s="39" t="n">
        <f aca="false">YEAR(B57)</f>
        <v>2026</v>
      </c>
      <c r="J57" s="39" t="n">
        <f aca="false">MONTH(B57)</f>
        <v>4</v>
      </c>
      <c r="K57" s="39" t="str">
        <f aca="false">TEXT(B57,"mmm")</f>
        <v>Apr</v>
      </c>
      <c r="L57" s="45" t="n">
        <f aca="false">IFERROR(INDEX(medicine_master!$I$2:$I$26,MATCH($C57,medicine_master!$A$2:$A$26,0)),0)</f>
        <v>55</v>
      </c>
      <c r="M57" s="45" t="n">
        <f aca="false">IFERROR(INDEX(medicine_master!$G$2:$G$26,MATCH($C57,medicine_master!$A$2:$A$26,0)),0)</f>
        <v>38</v>
      </c>
      <c r="N57" s="45" t="n">
        <f aca="false">IF(D57="Sale",E57*L57,0)</f>
        <v>1100</v>
      </c>
      <c r="O57" s="45" t="n">
        <f aca="false">IF(D57="Sale",E57*M57,0)</f>
        <v>760</v>
      </c>
      <c r="P57" s="45" t="n">
        <f aca="false">N57-O57</f>
        <v>340</v>
      </c>
      <c r="Q57" s="45" t="n">
        <f aca="false">IF(D57="Purchase",E57*M57,0)</f>
        <v>0</v>
      </c>
    </row>
    <row r="58" customFormat="false" ht="15" hidden="false" customHeight="false" outlineLevel="0" collapsed="false">
      <c r="A58" s="39" t="s">
        <v>379</v>
      </c>
      <c r="B58" s="44" t="n">
        <v>46121</v>
      </c>
      <c r="C58" s="39" t="s">
        <v>178</v>
      </c>
      <c r="D58" s="39" t="s">
        <v>138</v>
      </c>
      <c r="E58" s="39" t="n">
        <v>10</v>
      </c>
      <c r="F58" s="39" t="str">
        <f aca="false">IF(COUNTIF(medicine_master!$A$2:$A$26,C58)&gt;0,"Valid","Invalid")</f>
        <v>Valid</v>
      </c>
      <c r="G58" s="39" t="str">
        <f aca="false">IFERROR(INDEX(medicine_master!$B$2:$B$26,MATCH($C58,medicine_master!$A$2:$A$26,0)),"Not found")</f>
        <v>Aspirin 75mg</v>
      </c>
      <c r="H58" s="39" t="str">
        <f aca="false">IFERROR(INDEX(medicine_master!$C$2:$C$26,MATCH($C58,medicine_master!$A$2:$A$26,0)),"Not found")</f>
        <v>Cardiac</v>
      </c>
      <c r="I58" s="39" t="n">
        <f aca="false">YEAR(B58)</f>
        <v>2026</v>
      </c>
      <c r="J58" s="39" t="n">
        <f aca="false">MONTH(B58)</f>
        <v>4</v>
      </c>
      <c r="K58" s="39" t="str">
        <f aca="false">TEXT(B58,"mmm")</f>
        <v>Apr</v>
      </c>
      <c r="L58" s="45" t="n">
        <f aca="false">IFERROR(INDEX(medicine_master!$I$2:$I$26,MATCH($C58,medicine_master!$A$2:$A$26,0)),0)</f>
        <v>15</v>
      </c>
      <c r="M58" s="45" t="n">
        <f aca="false">IFERROR(INDEX(medicine_master!$G$2:$G$26,MATCH($C58,medicine_master!$A$2:$A$26,0)),0)</f>
        <v>10</v>
      </c>
      <c r="N58" s="45" t="n">
        <f aca="false">IF(D58="Sale",E58*L58,0)</f>
        <v>0</v>
      </c>
      <c r="O58" s="45" t="n">
        <f aca="false">IF(D58="Sale",E58*M58,0)</f>
        <v>0</v>
      </c>
      <c r="P58" s="45" t="n">
        <f aca="false">N58-O58</f>
        <v>0</v>
      </c>
      <c r="Q58" s="45" t="n">
        <f aca="false">IF(D58="Purchase",E58*M58,0)</f>
        <v>100</v>
      </c>
    </row>
    <row r="59" customFormat="false" ht="15" hidden="false" customHeight="false" outlineLevel="0" collapsed="false">
      <c r="A59" s="39" t="s">
        <v>380</v>
      </c>
      <c r="B59" s="44" t="n">
        <v>46360</v>
      </c>
      <c r="C59" s="39" t="s">
        <v>179</v>
      </c>
      <c r="D59" s="39" t="s">
        <v>137</v>
      </c>
      <c r="E59" s="39" t="n">
        <v>25</v>
      </c>
      <c r="F59" s="39" t="str">
        <f aca="false">IF(COUNTIF(medicine_master!$A$2:$A$26,C59)&gt;0,"Valid","Invalid")</f>
        <v>Valid</v>
      </c>
      <c r="G59" s="39" t="str">
        <f aca="false">IFERROR(INDEX(medicine_master!$B$2:$B$26,MATCH($C59,medicine_master!$A$2:$A$26,0)),"Not found")</f>
        <v>Ibuprofen 400mg</v>
      </c>
      <c r="H59" s="39" t="str">
        <f aca="false">IFERROR(INDEX(medicine_master!$C$2:$C$26,MATCH($C59,medicine_master!$A$2:$A$26,0)),"Not found")</f>
        <v>Pain Relief</v>
      </c>
      <c r="I59" s="39" t="n">
        <f aca="false">YEAR(B59)</f>
        <v>2026</v>
      </c>
      <c r="J59" s="39" t="n">
        <f aca="false">MONTH(B59)</f>
        <v>12</v>
      </c>
      <c r="K59" s="39" t="str">
        <f aca="false">TEXT(B59,"mmm")</f>
        <v>Dec</v>
      </c>
      <c r="L59" s="45" t="n">
        <f aca="false">IFERROR(INDEX(medicine_master!$I$2:$I$26,MATCH($C59,medicine_master!$A$2:$A$26,0)),0)</f>
        <v>30</v>
      </c>
      <c r="M59" s="45" t="n">
        <f aca="false">IFERROR(INDEX(medicine_master!$G$2:$G$26,MATCH($C59,medicine_master!$A$2:$A$26,0)),0)</f>
        <v>22</v>
      </c>
      <c r="N59" s="45" t="n">
        <f aca="false">IF(D59="Sale",E59*L59,0)</f>
        <v>750</v>
      </c>
      <c r="O59" s="45" t="n">
        <f aca="false">IF(D59="Sale",E59*M59,0)</f>
        <v>550</v>
      </c>
      <c r="P59" s="45" t="n">
        <f aca="false">N59-O59</f>
        <v>200</v>
      </c>
      <c r="Q59" s="45" t="n">
        <f aca="false">IF(D59="Purchase",E59*M59,0)</f>
        <v>0</v>
      </c>
    </row>
    <row r="60" customFormat="false" ht="15" hidden="false" customHeight="false" outlineLevel="0" collapsed="false">
      <c r="A60" s="39" t="s">
        <v>381</v>
      </c>
      <c r="B60" s="44" t="n">
        <v>46191</v>
      </c>
      <c r="C60" s="39" t="s">
        <v>149</v>
      </c>
      <c r="D60" s="39" t="s">
        <v>137</v>
      </c>
      <c r="E60" s="39" t="n">
        <v>15</v>
      </c>
      <c r="F60" s="39" t="str">
        <f aca="false">IF(COUNTIF(medicine_master!$A$2:$A$26,C60)&gt;0,"Valid","Invalid")</f>
        <v>Valid</v>
      </c>
      <c r="G60" s="39" t="str">
        <f aca="false">IFERROR(INDEX(medicine_master!$B$2:$B$26,MATCH($C60,medicine_master!$A$2:$A$26,0)),"Not found")</f>
        <v>Azithromycin 500mg</v>
      </c>
      <c r="H60" s="39" t="str">
        <f aca="false">IFERROR(INDEX(medicine_master!$C$2:$C$26,MATCH($C60,medicine_master!$A$2:$A$26,0)),"Not found")</f>
        <v>Antibiotic</v>
      </c>
      <c r="I60" s="39" t="n">
        <f aca="false">YEAR(B60)</f>
        <v>2026</v>
      </c>
      <c r="J60" s="39" t="n">
        <f aca="false">MONTH(B60)</f>
        <v>6</v>
      </c>
      <c r="K60" s="39" t="str">
        <f aca="false">TEXT(B60,"mmm")</f>
        <v>Jun</v>
      </c>
      <c r="L60" s="45" t="n">
        <f aca="false">IFERROR(INDEX(medicine_master!$I$2:$I$26,MATCH($C60,medicine_master!$A$2:$A$26,0)),0)</f>
        <v>50</v>
      </c>
      <c r="M60" s="45" t="n">
        <f aca="false">IFERROR(INDEX(medicine_master!$G$2:$G$26,MATCH($C60,medicine_master!$A$2:$A$26,0)),0)</f>
        <v>35</v>
      </c>
      <c r="N60" s="45" t="n">
        <f aca="false">IF(D60="Sale",E60*L60,0)</f>
        <v>750</v>
      </c>
      <c r="O60" s="45" t="n">
        <f aca="false">IF(D60="Sale",E60*M60,0)</f>
        <v>525</v>
      </c>
      <c r="P60" s="45" t="n">
        <f aca="false">N60-O60</f>
        <v>225</v>
      </c>
      <c r="Q60" s="45" t="n">
        <f aca="false">IF(D60="Purchase",E60*M60,0)</f>
        <v>0</v>
      </c>
    </row>
    <row r="61" customFormat="false" ht="15" hidden="false" customHeight="false" outlineLevel="0" collapsed="false">
      <c r="A61" s="39" t="s">
        <v>382</v>
      </c>
      <c r="B61" s="44" t="n">
        <v>46299</v>
      </c>
      <c r="C61" s="39" t="s">
        <v>177</v>
      </c>
      <c r="D61" s="39" t="s">
        <v>137</v>
      </c>
      <c r="E61" s="39" t="n">
        <v>25</v>
      </c>
      <c r="F61" s="39" t="str">
        <f aca="false">IF(COUNTIF(medicine_master!$A$2:$A$26,C61)&gt;0,"Valid","Invalid")</f>
        <v>Valid</v>
      </c>
      <c r="G61" s="39" t="str">
        <f aca="false">IFERROR(INDEX(medicine_master!$B$2:$B$26,MATCH($C61,medicine_master!$A$2:$A$26,0)),"Not found")</f>
        <v>Bandage Roll</v>
      </c>
      <c r="H61" s="39" t="str">
        <f aca="false">IFERROR(INDEX(medicine_master!$C$2:$C$26,MATCH($C61,medicine_master!$A$2:$A$26,0)),"Not found")</f>
        <v>First Aid</v>
      </c>
      <c r="I61" s="39" t="n">
        <f aca="false">YEAR(B61)</f>
        <v>2026</v>
      </c>
      <c r="J61" s="39" t="n">
        <f aca="false">MONTH(B61)</f>
        <v>10</v>
      </c>
      <c r="K61" s="39" t="str">
        <f aca="false">TEXT(B61,"mmm")</f>
        <v>Oct</v>
      </c>
      <c r="L61" s="45" t="n">
        <f aca="false">IFERROR(INDEX(medicine_master!$I$2:$I$26,MATCH($C61,medicine_master!$A$2:$A$26,0)),0)</f>
        <v>25</v>
      </c>
      <c r="M61" s="45" t="n">
        <f aca="false">IFERROR(INDEX(medicine_master!$G$2:$G$26,MATCH($C61,medicine_master!$A$2:$A$26,0)),0)</f>
        <v>15</v>
      </c>
      <c r="N61" s="45" t="n">
        <f aca="false">IF(D61="Sale",E61*L61,0)</f>
        <v>625</v>
      </c>
      <c r="O61" s="45" t="n">
        <f aca="false">IF(D61="Sale",E61*M61,0)</f>
        <v>375</v>
      </c>
      <c r="P61" s="45" t="n">
        <f aca="false">N61-O61</f>
        <v>250</v>
      </c>
      <c r="Q61" s="45" t="n">
        <f aca="false">IF(D61="Purchase",E61*M61,0)</f>
        <v>0</v>
      </c>
    </row>
    <row r="62" customFormat="false" ht="15" hidden="false" customHeight="false" outlineLevel="0" collapsed="false">
      <c r="A62" s="39" t="s">
        <v>383</v>
      </c>
      <c r="B62" s="44" t="n">
        <v>46157</v>
      </c>
      <c r="C62" s="39" t="s">
        <v>151</v>
      </c>
      <c r="D62" s="39" t="s">
        <v>137</v>
      </c>
      <c r="E62" s="39" t="n">
        <v>25</v>
      </c>
      <c r="F62" s="39" t="str">
        <f aca="false">IF(COUNTIF(medicine_master!$A$2:$A$26,C62)&gt;0,"Valid","Invalid")</f>
        <v>Valid</v>
      </c>
      <c r="G62" s="39" t="str">
        <f aca="false">IFERROR(INDEX(medicine_master!$B$2:$B$26,MATCH($C62,medicine_master!$A$2:$A$26,0)),"Not found")</f>
        <v>Cetirizine 10mg</v>
      </c>
      <c r="H62" s="39" t="str">
        <f aca="false">IFERROR(INDEX(medicine_master!$C$2:$C$26,MATCH($C62,medicine_master!$A$2:$A$26,0)),"Not found")</f>
        <v>Allergy</v>
      </c>
      <c r="I62" s="39" t="n">
        <f aca="false">YEAR(B62)</f>
        <v>2026</v>
      </c>
      <c r="J62" s="39" t="n">
        <f aca="false">MONTH(B62)</f>
        <v>5</v>
      </c>
      <c r="K62" s="39" t="str">
        <f aca="false">TEXT(B62,"mmm")</f>
        <v>May</v>
      </c>
      <c r="L62" s="45" t="n">
        <f aca="false">IFERROR(INDEX(medicine_master!$I$2:$I$26,MATCH($C62,medicine_master!$A$2:$A$26,0)),0)</f>
        <v>13</v>
      </c>
      <c r="M62" s="45" t="n">
        <f aca="false">IFERROR(INDEX(medicine_master!$G$2:$G$26,MATCH($C62,medicine_master!$A$2:$A$26,0)),0)</f>
        <v>8</v>
      </c>
      <c r="N62" s="45" t="n">
        <f aca="false">IF(D62="Sale",E62*L62,0)</f>
        <v>325</v>
      </c>
      <c r="O62" s="45" t="n">
        <f aca="false">IF(D62="Sale",E62*M62,0)</f>
        <v>200</v>
      </c>
      <c r="P62" s="45" t="n">
        <f aca="false">N62-O62</f>
        <v>125</v>
      </c>
      <c r="Q62" s="45" t="n">
        <f aca="false">IF(D62="Purchase",E62*M62,0)</f>
        <v>0</v>
      </c>
    </row>
    <row r="63" customFormat="false" ht="15" hidden="false" customHeight="false" outlineLevel="0" collapsed="false">
      <c r="A63" s="39" t="s">
        <v>384</v>
      </c>
      <c r="B63" s="44" t="n">
        <v>46044</v>
      </c>
      <c r="C63" s="39" t="s">
        <v>153</v>
      </c>
      <c r="D63" s="39" t="s">
        <v>137</v>
      </c>
      <c r="E63" s="39" t="n">
        <v>50</v>
      </c>
      <c r="F63" s="39" t="str">
        <f aca="false">IF(COUNTIF(medicine_master!$A$2:$A$26,C63)&gt;0,"Valid","Invalid")</f>
        <v>Valid</v>
      </c>
      <c r="G63" s="39" t="str">
        <f aca="false">IFERROR(INDEX(medicine_master!$B$2:$B$26,MATCH($C63,medicine_master!$A$2:$A$26,0)),"Not found")</f>
        <v>Atorvastatin 10mg</v>
      </c>
      <c r="H63" s="39" t="str">
        <f aca="false">IFERROR(INDEX(medicine_master!$C$2:$C$26,MATCH($C63,medicine_master!$A$2:$A$26,0)),"Not found")</f>
        <v>Cardiac</v>
      </c>
      <c r="I63" s="39" t="n">
        <f aca="false">YEAR(B63)</f>
        <v>2026</v>
      </c>
      <c r="J63" s="39" t="n">
        <f aca="false">MONTH(B63)</f>
        <v>1</v>
      </c>
      <c r="K63" s="39" t="str">
        <f aca="false">TEXT(B63,"mmm")</f>
        <v>Jan</v>
      </c>
      <c r="L63" s="45" t="n">
        <f aca="false">IFERROR(INDEX(medicine_master!$I$2:$I$26,MATCH($C63,medicine_master!$A$2:$A$26,0)),0)</f>
        <v>28</v>
      </c>
      <c r="M63" s="45" t="n">
        <f aca="false">IFERROR(INDEX(medicine_master!$G$2:$G$26,MATCH($C63,medicine_master!$A$2:$A$26,0)),0)</f>
        <v>19</v>
      </c>
      <c r="N63" s="45" t="n">
        <f aca="false">IF(D63="Sale",E63*L63,0)</f>
        <v>1400</v>
      </c>
      <c r="O63" s="45" t="n">
        <f aca="false">IF(D63="Sale",E63*M63,0)</f>
        <v>950</v>
      </c>
      <c r="P63" s="45" t="n">
        <f aca="false">N63-O63</f>
        <v>450</v>
      </c>
      <c r="Q63" s="45" t="n">
        <f aca="false">IF(D63="Purchase",E63*M63,0)</f>
        <v>0</v>
      </c>
    </row>
    <row r="64" customFormat="false" ht="15" hidden="false" customHeight="false" outlineLevel="0" collapsed="false">
      <c r="A64" s="39" t="s">
        <v>385</v>
      </c>
      <c r="B64" s="44" t="n">
        <v>46073</v>
      </c>
      <c r="C64" s="39" t="s">
        <v>321</v>
      </c>
      <c r="D64" s="39" t="s">
        <v>137</v>
      </c>
      <c r="E64" s="39" t="n">
        <v>20</v>
      </c>
      <c r="F64" s="39" t="str">
        <f aca="false">IF(COUNTIF(medicine_master!$A$2:$A$26,C64)&gt;0,"Valid","Invalid")</f>
        <v>Valid</v>
      </c>
      <c r="G64" s="39" t="str">
        <f aca="false">IFERROR(INDEX(medicine_master!$B$2:$B$26,MATCH($C64,medicine_master!$A$2:$A$26,0)),"Not found")</f>
        <v>Levocetirizine 5mg</v>
      </c>
      <c r="H64" s="39" t="str">
        <f aca="false">IFERROR(INDEX(medicine_master!$C$2:$C$26,MATCH($C64,medicine_master!$A$2:$A$26,0)),"Not found")</f>
        <v>Allergy</v>
      </c>
      <c r="I64" s="39" t="n">
        <f aca="false">YEAR(B64)</f>
        <v>2026</v>
      </c>
      <c r="J64" s="39" t="n">
        <f aca="false">MONTH(B64)</f>
        <v>2</v>
      </c>
      <c r="K64" s="39" t="str">
        <f aca="false">TEXT(B64,"mmm")</f>
        <v>Feb</v>
      </c>
      <c r="L64" s="45" t="n">
        <f aca="false">IFERROR(INDEX(medicine_master!$I$2:$I$26,MATCH($C64,medicine_master!$A$2:$A$26,0)),0)</f>
        <v>22</v>
      </c>
      <c r="M64" s="45" t="n">
        <f aca="false">IFERROR(INDEX(medicine_master!$G$2:$G$26,MATCH($C64,medicine_master!$A$2:$A$26,0)),0)</f>
        <v>14</v>
      </c>
      <c r="N64" s="45" t="n">
        <f aca="false">IF(D64="Sale",E64*L64,0)</f>
        <v>440</v>
      </c>
      <c r="O64" s="45" t="n">
        <f aca="false">IF(D64="Sale",E64*M64,0)</f>
        <v>280</v>
      </c>
      <c r="P64" s="45" t="n">
        <f aca="false">N64-O64</f>
        <v>160</v>
      </c>
      <c r="Q64" s="45" t="n">
        <f aca="false">IF(D64="Purchase",E64*M64,0)</f>
        <v>0</v>
      </c>
    </row>
    <row r="65" customFormat="false" ht="15" hidden="false" customHeight="false" outlineLevel="0" collapsed="false">
      <c r="A65" s="39" t="s">
        <v>386</v>
      </c>
      <c r="B65" s="44" t="n">
        <v>46299</v>
      </c>
      <c r="C65" s="39" t="s">
        <v>345</v>
      </c>
      <c r="D65" s="39" t="s">
        <v>137</v>
      </c>
      <c r="E65" s="39" t="n">
        <v>20</v>
      </c>
      <c r="F65" s="39" t="str">
        <f aca="false">IF(COUNTIF(medicine_master!$A$2:$A$26,C65)&gt;0,"Valid","Invalid")</f>
        <v>Valid</v>
      </c>
      <c r="G65" s="39" t="str">
        <f aca="false">IFERROR(INDEX(medicine_master!$B$2:$B$26,MATCH($C65,medicine_master!$A$2:$A$26,0)),"Not found")</f>
        <v>Paracetamol 500mg</v>
      </c>
      <c r="H65" s="39" t="str">
        <f aca="false">IFERROR(INDEX(medicine_master!$C$2:$C$26,MATCH($C65,medicine_master!$A$2:$A$26,0)),"Not found")</f>
        <v>Pain Relief</v>
      </c>
      <c r="I65" s="39" t="n">
        <f aca="false">YEAR(B65)</f>
        <v>2026</v>
      </c>
      <c r="J65" s="39" t="n">
        <f aca="false">MONTH(B65)</f>
        <v>10</v>
      </c>
      <c r="K65" s="39" t="str">
        <f aca="false">TEXT(B65,"mmm")</f>
        <v>Oct</v>
      </c>
      <c r="L65" s="45" t="n">
        <f aca="false">IFERROR(INDEX(medicine_master!$I$2:$I$26,MATCH($C65,medicine_master!$A$2:$A$26,0)),0)</f>
        <v>18</v>
      </c>
      <c r="M65" s="45" t="n">
        <f aca="false">IFERROR(INDEX(medicine_master!$G$2:$G$26,MATCH($C65,medicine_master!$A$2:$A$26,0)),0)</f>
        <v>12</v>
      </c>
      <c r="N65" s="45" t="n">
        <f aca="false">IF(D65="Sale",E65*L65,0)</f>
        <v>360</v>
      </c>
      <c r="O65" s="45" t="n">
        <f aca="false">IF(D65="Sale",E65*M65,0)</f>
        <v>240</v>
      </c>
      <c r="P65" s="45" t="n">
        <f aca="false">N65-O65</f>
        <v>120</v>
      </c>
      <c r="Q65" s="45" t="n">
        <f aca="false">IF(D65="Purchase",E65*M65,0)</f>
        <v>0</v>
      </c>
    </row>
    <row r="66" customFormat="false" ht="15" hidden="false" customHeight="false" outlineLevel="0" collapsed="false">
      <c r="A66" s="39" t="s">
        <v>387</v>
      </c>
      <c r="B66" s="44" t="n">
        <v>46339</v>
      </c>
      <c r="C66" s="39" t="s">
        <v>177</v>
      </c>
      <c r="D66" s="39" t="s">
        <v>138</v>
      </c>
      <c r="E66" s="39" t="n">
        <v>5</v>
      </c>
      <c r="F66" s="39" t="str">
        <f aca="false">IF(COUNTIF(medicine_master!$A$2:$A$26,C66)&gt;0,"Valid","Invalid")</f>
        <v>Valid</v>
      </c>
      <c r="G66" s="39" t="str">
        <f aca="false">IFERROR(INDEX(medicine_master!$B$2:$B$26,MATCH($C66,medicine_master!$A$2:$A$26,0)),"Not found")</f>
        <v>Bandage Roll</v>
      </c>
      <c r="H66" s="39" t="str">
        <f aca="false">IFERROR(INDEX(medicine_master!$C$2:$C$26,MATCH($C66,medicine_master!$A$2:$A$26,0)),"Not found")</f>
        <v>First Aid</v>
      </c>
      <c r="I66" s="39" t="n">
        <f aca="false">YEAR(B66)</f>
        <v>2026</v>
      </c>
      <c r="J66" s="39" t="n">
        <f aca="false">MONTH(B66)</f>
        <v>11</v>
      </c>
      <c r="K66" s="39" t="str">
        <f aca="false">TEXT(B66,"mmm")</f>
        <v>Nov</v>
      </c>
      <c r="L66" s="45" t="n">
        <f aca="false">IFERROR(INDEX(medicine_master!$I$2:$I$26,MATCH($C66,medicine_master!$A$2:$A$26,0)),0)</f>
        <v>25</v>
      </c>
      <c r="M66" s="45" t="n">
        <f aca="false">IFERROR(INDEX(medicine_master!$G$2:$G$26,MATCH($C66,medicine_master!$A$2:$A$26,0)),0)</f>
        <v>15</v>
      </c>
      <c r="N66" s="45" t="n">
        <f aca="false">IF(D66="Sale",E66*L66,0)</f>
        <v>0</v>
      </c>
      <c r="O66" s="45" t="n">
        <f aca="false">IF(D66="Sale",E66*M66,0)</f>
        <v>0</v>
      </c>
      <c r="P66" s="45" t="n">
        <f aca="false">N66-O66</f>
        <v>0</v>
      </c>
      <c r="Q66" s="45" t="n">
        <f aca="false">IF(D66="Purchase",E66*M66,0)</f>
        <v>75</v>
      </c>
    </row>
    <row r="67" customFormat="false" ht="15" hidden="false" customHeight="false" outlineLevel="0" collapsed="false">
      <c r="A67" s="39" t="s">
        <v>388</v>
      </c>
      <c r="B67" s="44" t="n">
        <v>46071</v>
      </c>
      <c r="C67" s="39" t="s">
        <v>145</v>
      </c>
      <c r="D67" s="39" t="s">
        <v>137</v>
      </c>
      <c r="E67" s="39" t="n">
        <v>20</v>
      </c>
      <c r="F67" s="39" t="str">
        <f aca="false">IF(COUNTIF(medicine_master!$A$2:$A$26,C67)&gt;0,"Valid","Invalid")</f>
        <v>Valid</v>
      </c>
      <c r="G67" s="39" t="str">
        <f aca="false">IFERROR(INDEX(medicine_master!$B$2:$B$26,MATCH($C67,medicine_master!$A$2:$A$26,0)),"Not found")</f>
        <v>Clotrimazole Cream</v>
      </c>
      <c r="H67" s="39" t="str">
        <f aca="false">IFERROR(INDEX(medicine_master!$C$2:$C$26,MATCH($C67,medicine_master!$A$2:$A$26,0)),"Not found")</f>
        <v>Dermatology</v>
      </c>
      <c r="I67" s="39" t="n">
        <f aca="false">YEAR(B67)</f>
        <v>2026</v>
      </c>
      <c r="J67" s="39" t="n">
        <f aca="false">MONTH(B67)</f>
        <v>2</v>
      </c>
      <c r="K67" s="39" t="str">
        <f aca="false">TEXT(B67,"mmm")</f>
        <v>Feb</v>
      </c>
      <c r="L67" s="45" t="n">
        <f aca="false">IFERROR(INDEX(medicine_master!$I$2:$I$26,MATCH($C67,medicine_master!$A$2:$A$26,0)),0)</f>
        <v>48</v>
      </c>
      <c r="M67" s="45" t="n">
        <f aca="false">IFERROR(INDEX(medicine_master!$G$2:$G$26,MATCH($C67,medicine_master!$A$2:$A$26,0)),0)</f>
        <v>32</v>
      </c>
      <c r="N67" s="45" t="n">
        <f aca="false">IF(D67="Sale",E67*L67,0)</f>
        <v>960</v>
      </c>
      <c r="O67" s="45" t="n">
        <f aca="false">IF(D67="Sale",E67*M67,0)</f>
        <v>640</v>
      </c>
      <c r="P67" s="45" t="n">
        <f aca="false">N67-O67</f>
        <v>320</v>
      </c>
      <c r="Q67" s="45" t="n">
        <f aca="false">IF(D67="Purchase",E67*M67,0)</f>
        <v>0</v>
      </c>
    </row>
    <row r="68" customFormat="false" ht="15" hidden="false" customHeight="false" outlineLevel="0" collapsed="false">
      <c r="A68" s="39" t="s">
        <v>389</v>
      </c>
      <c r="B68" s="44" t="n">
        <v>46068</v>
      </c>
      <c r="C68" s="39" t="s">
        <v>390</v>
      </c>
      <c r="D68" s="39" t="s">
        <v>137</v>
      </c>
      <c r="E68" s="39" t="n">
        <v>30</v>
      </c>
      <c r="F68" s="39" t="str">
        <f aca="false">IF(COUNTIF(medicine_master!$A$2:$A$26,C68)&gt;0,"Valid","Invalid")</f>
        <v>Valid</v>
      </c>
      <c r="G68" s="39" t="str">
        <f aca="false">IFERROR(INDEX(medicine_master!$B$2:$B$26,MATCH($C68,medicine_master!$A$2:$A$26,0)),"Not found")</f>
        <v>Montelukast 10mg</v>
      </c>
      <c r="H68" s="39" t="str">
        <f aca="false">IFERROR(INDEX(medicine_master!$C$2:$C$26,MATCH($C68,medicine_master!$A$2:$A$26,0)),"Not found")</f>
        <v>Allergy</v>
      </c>
      <c r="I68" s="39" t="n">
        <f aca="false">YEAR(B68)</f>
        <v>2026</v>
      </c>
      <c r="J68" s="39" t="n">
        <f aca="false">MONTH(B68)</f>
        <v>2</v>
      </c>
      <c r="K68" s="39" t="str">
        <f aca="false">TEXT(B68,"mmm")</f>
        <v>Feb</v>
      </c>
      <c r="L68" s="45" t="n">
        <f aca="false">IFERROR(INDEX(medicine_master!$I$2:$I$26,MATCH($C68,medicine_master!$A$2:$A$26,0)),0)</f>
        <v>39</v>
      </c>
      <c r="M68" s="45" t="n">
        <f aca="false">IFERROR(INDEX(medicine_master!$G$2:$G$26,MATCH($C68,medicine_master!$A$2:$A$26,0)),0)</f>
        <v>27</v>
      </c>
      <c r="N68" s="45" t="n">
        <f aca="false">IF(D68="Sale",E68*L68,0)</f>
        <v>1170</v>
      </c>
      <c r="O68" s="45" t="n">
        <f aca="false">IF(D68="Sale",E68*M68,0)</f>
        <v>810</v>
      </c>
      <c r="P68" s="45" t="n">
        <f aca="false">N68-O68</f>
        <v>360</v>
      </c>
      <c r="Q68" s="45" t="n">
        <f aca="false">IF(D68="Purchase",E68*M68,0)</f>
        <v>0</v>
      </c>
    </row>
    <row r="69" customFormat="false" ht="15" hidden="false" customHeight="false" outlineLevel="0" collapsed="false">
      <c r="A69" s="39" t="s">
        <v>391</v>
      </c>
      <c r="B69" s="44" t="n">
        <v>46059</v>
      </c>
      <c r="C69" s="39" t="s">
        <v>147</v>
      </c>
      <c r="D69" s="39" t="s">
        <v>138</v>
      </c>
      <c r="E69" s="39" t="n">
        <v>25</v>
      </c>
      <c r="F69" s="39" t="str">
        <f aca="false">IF(COUNTIF(medicine_master!$A$2:$A$26,C69)&gt;0,"Valid","Invalid")</f>
        <v>Valid</v>
      </c>
      <c r="G69" s="39" t="str">
        <f aca="false">IFERROR(INDEX(medicine_master!$B$2:$B$26,MATCH($C69,medicine_master!$A$2:$A$26,0)),"Not found")</f>
        <v>Insulin Injection</v>
      </c>
      <c r="H69" s="39" t="str">
        <f aca="false">IFERROR(INDEX(medicine_master!$C$2:$C$26,MATCH($C69,medicine_master!$A$2:$A$26,0)),"Not found")</f>
        <v>Diabetes</v>
      </c>
      <c r="I69" s="39" t="n">
        <f aca="false">YEAR(B69)</f>
        <v>2026</v>
      </c>
      <c r="J69" s="39" t="n">
        <f aca="false">MONTH(B69)</f>
        <v>2</v>
      </c>
      <c r="K69" s="39" t="str">
        <f aca="false">TEXT(B69,"mmm")</f>
        <v>Feb</v>
      </c>
      <c r="L69" s="45" t="n">
        <f aca="false">IFERROR(INDEX(medicine_master!$I$2:$I$26,MATCH($C69,medicine_master!$A$2:$A$26,0)),0)</f>
        <v>225</v>
      </c>
      <c r="M69" s="45" t="n">
        <f aca="false">IFERROR(INDEX(medicine_master!$G$2:$G$26,MATCH($C69,medicine_master!$A$2:$A$26,0)),0)</f>
        <v>165</v>
      </c>
      <c r="N69" s="45" t="n">
        <f aca="false">IF(D69="Sale",E69*L69,0)</f>
        <v>0</v>
      </c>
      <c r="O69" s="45" t="n">
        <f aca="false">IF(D69="Sale",E69*M69,0)</f>
        <v>0</v>
      </c>
      <c r="P69" s="45" t="n">
        <f aca="false">N69-O69</f>
        <v>0</v>
      </c>
      <c r="Q69" s="45" t="n">
        <f aca="false">IF(D69="Purchase",E69*M69,0)</f>
        <v>4125</v>
      </c>
    </row>
    <row r="70" customFormat="false" ht="15" hidden="false" customHeight="false" outlineLevel="0" collapsed="false">
      <c r="A70" s="39" t="s">
        <v>392</v>
      </c>
      <c r="B70" s="44" t="n">
        <v>46117</v>
      </c>
      <c r="C70" s="39" t="s">
        <v>151</v>
      </c>
      <c r="D70" s="39" t="s">
        <v>137</v>
      </c>
      <c r="E70" s="39" t="n">
        <v>5</v>
      </c>
      <c r="F70" s="39" t="str">
        <f aca="false">IF(COUNTIF(medicine_master!$A$2:$A$26,C70)&gt;0,"Valid","Invalid")</f>
        <v>Valid</v>
      </c>
      <c r="G70" s="39" t="str">
        <f aca="false">IFERROR(INDEX(medicine_master!$B$2:$B$26,MATCH($C70,medicine_master!$A$2:$A$26,0)),"Not found")</f>
        <v>Cetirizine 10mg</v>
      </c>
      <c r="H70" s="39" t="str">
        <f aca="false">IFERROR(INDEX(medicine_master!$C$2:$C$26,MATCH($C70,medicine_master!$A$2:$A$26,0)),"Not found")</f>
        <v>Allergy</v>
      </c>
      <c r="I70" s="39" t="n">
        <f aca="false">YEAR(B70)</f>
        <v>2026</v>
      </c>
      <c r="J70" s="39" t="n">
        <f aca="false">MONTH(B70)</f>
        <v>4</v>
      </c>
      <c r="K70" s="39" t="str">
        <f aca="false">TEXT(B70,"mmm")</f>
        <v>Apr</v>
      </c>
      <c r="L70" s="45" t="n">
        <f aca="false">IFERROR(INDEX(medicine_master!$I$2:$I$26,MATCH($C70,medicine_master!$A$2:$A$26,0)),0)</f>
        <v>13</v>
      </c>
      <c r="M70" s="45" t="n">
        <f aca="false">IFERROR(INDEX(medicine_master!$G$2:$G$26,MATCH($C70,medicine_master!$A$2:$A$26,0)),0)</f>
        <v>8</v>
      </c>
      <c r="N70" s="45" t="n">
        <f aca="false">IF(D70="Sale",E70*L70,0)</f>
        <v>65</v>
      </c>
      <c r="O70" s="45" t="n">
        <f aca="false">IF(D70="Sale",E70*M70,0)</f>
        <v>40</v>
      </c>
      <c r="P70" s="45" t="n">
        <f aca="false">N70-O70</f>
        <v>25</v>
      </c>
      <c r="Q70" s="45" t="n">
        <f aca="false">IF(D70="Purchase",E70*M70,0)</f>
        <v>0</v>
      </c>
    </row>
    <row r="71" customFormat="false" ht="15" hidden="false" customHeight="false" outlineLevel="0" collapsed="false">
      <c r="A71" s="39" t="s">
        <v>393</v>
      </c>
      <c r="B71" s="44" t="n">
        <v>46275</v>
      </c>
      <c r="C71" s="39" t="s">
        <v>390</v>
      </c>
      <c r="D71" s="39" t="s">
        <v>138</v>
      </c>
      <c r="E71" s="39" t="n">
        <v>15</v>
      </c>
      <c r="F71" s="39" t="str">
        <f aca="false">IF(COUNTIF(medicine_master!$A$2:$A$26,C71)&gt;0,"Valid","Invalid")</f>
        <v>Valid</v>
      </c>
      <c r="G71" s="39" t="str">
        <f aca="false">IFERROR(INDEX(medicine_master!$B$2:$B$26,MATCH($C71,medicine_master!$A$2:$A$26,0)),"Not found")</f>
        <v>Montelukast 10mg</v>
      </c>
      <c r="H71" s="39" t="str">
        <f aca="false">IFERROR(INDEX(medicine_master!$C$2:$C$26,MATCH($C71,medicine_master!$A$2:$A$26,0)),"Not found")</f>
        <v>Allergy</v>
      </c>
      <c r="I71" s="39" t="n">
        <f aca="false">YEAR(B71)</f>
        <v>2026</v>
      </c>
      <c r="J71" s="39" t="n">
        <f aca="false">MONTH(B71)</f>
        <v>9</v>
      </c>
      <c r="K71" s="39" t="str">
        <f aca="false">TEXT(B71,"mmm")</f>
        <v>Sep</v>
      </c>
      <c r="L71" s="45" t="n">
        <f aca="false">IFERROR(INDEX(medicine_master!$I$2:$I$26,MATCH($C71,medicine_master!$A$2:$A$26,0)),0)</f>
        <v>39</v>
      </c>
      <c r="M71" s="45" t="n">
        <f aca="false">IFERROR(INDEX(medicine_master!$G$2:$G$26,MATCH($C71,medicine_master!$A$2:$A$26,0)),0)</f>
        <v>27</v>
      </c>
      <c r="N71" s="45" t="n">
        <f aca="false">IF(D71="Sale",E71*L71,0)</f>
        <v>0</v>
      </c>
      <c r="O71" s="45" t="n">
        <f aca="false">IF(D71="Sale",E71*M71,0)</f>
        <v>0</v>
      </c>
      <c r="P71" s="45" t="n">
        <f aca="false">N71-O71</f>
        <v>0</v>
      </c>
      <c r="Q71" s="45" t="n">
        <f aca="false">IF(D71="Purchase",E71*M71,0)</f>
        <v>405</v>
      </c>
    </row>
    <row r="72" customFormat="false" ht="15" hidden="false" customHeight="false" outlineLevel="0" collapsed="false">
      <c r="A72" s="39" t="s">
        <v>394</v>
      </c>
      <c r="B72" s="44" t="n">
        <v>46345</v>
      </c>
      <c r="C72" s="39" t="s">
        <v>160</v>
      </c>
      <c r="D72" s="39" t="s">
        <v>137</v>
      </c>
      <c r="E72" s="39" t="n">
        <v>40</v>
      </c>
      <c r="F72" s="39" t="str">
        <f aca="false">IF(COUNTIF(medicine_master!$A$2:$A$26,C72)&gt;0,"Valid","Invalid")</f>
        <v>Valid</v>
      </c>
      <c r="G72" s="39" t="str">
        <f aca="false">IFERROR(INDEX(medicine_master!$B$2:$B$26,MATCH($C72,medicine_master!$A$2:$A$26,0)),"Not found")</f>
        <v>Calamine Lotion</v>
      </c>
      <c r="H72" s="39" t="str">
        <f aca="false">IFERROR(INDEX(medicine_master!$C$2:$C$26,MATCH($C72,medicine_master!$A$2:$A$26,0)),"Not found")</f>
        <v>Dermatology</v>
      </c>
      <c r="I72" s="39" t="n">
        <f aca="false">YEAR(B72)</f>
        <v>2026</v>
      </c>
      <c r="J72" s="39" t="n">
        <f aca="false">MONTH(B72)</f>
        <v>11</v>
      </c>
      <c r="K72" s="39" t="str">
        <f aca="false">TEXT(B72,"mmm")</f>
        <v>Nov</v>
      </c>
      <c r="L72" s="45" t="n">
        <f aca="false">IFERROR(INDEX(medicine_master!$I$2:$I$26,MATCH($C72,medicine_master!$A$2:$A$26,0)),0)</f>
        <v>60</v>
      </c>
      <c r="M72" s="45" t="n">
        <f aca="false">IFERROR(INDEX(medicine_master!$G$2:$G$26,MATCH($C72,medicine_master!$A$2:$A$26,0)),0)</f>
        <v>42</v>
      </c>
      <c r="N72" s="45" t="n">
        <f aca="false">IF(D72="Sale",E72*L72,0)</f>
        <v>2400</v>
      </c>
      <c r="O72" s="45" t="n">
        <f aca="false">IF(D72="Sale",E72*M72,0)</f>
        <v>1680</v>
      </c>
      <c r="P72" s="45" t="n">
        <f aca="false">N72-O72</f>
        <v>720</v>
      </c>
      <c r="Q72" s="45" t="n">
        <f aca="false">IF(D72="Purchase",E72*M72,0)</f>
        <v>0</v>
      </c>
    </row>
    <row r="73" customFormat="false" ht="15" hidden="false" customHeight="false" outlineLevel="0" collapsed="false">
      <c r="A73" s="39" t="s">
        <v>395</v>
      </c>
      <c r="B73" s="44" t="n">
        <v>46080</v>
      </c>
      <c r="C73" s="39" t="s">
        <v>151</v>
      </c>
      <c r="D73" s="39" t="s">
        <v>137</v>
      </c>
      <c r="E73" s="39" t="n">
        <v>10</v>
      </c>
      <c r="F73" s="39" t="str">
        <f aca="false">IF(COUNTIF(medicine_master!$A$2:$A$26,C73)&gt;0,"Valid","Invalid")</f>
        <v>Valid</v>
      </c>
      <c r="G73" s="39" t="str">
        <f aca="false">IFERROR(INDEX(medicine_master!$B$2:$B$26,MATCH($C73,medicine_master!$A$2:$A$26,0)),"Not found")</f>
        <v>Cetirizine 10mg</v>
      </c>
      <c r="H73" s="39" t="str">
        <f aca="false">IFERROR(INDEX(medicine_master!$C$2:$C$26,MATCH($C73,medicine_master!$A$2:$A$26,0)),"Not found")</f>
        <v>Allergy</v>
      </c>
      <c r="I73" s="39" t="n">
        <f aca="false">YEAR(B73)</f>
        <v>2026</v>
      </c>
      <c r="J73" s="39" t="n">
        <f aca="false">MONTH(B73)</f>
        <v>2</v>
      </c>
      <c r="K73" s="39" t="str">
        <f aca="false">TEXT(B73,"mmm")</f>
        <v>Feb</v>
      </c>
      <c r="L73" s="45" t="n">
        <f aca="false">IFERROR(INDEX(medicine_master!$I$2:$I$26,MATCH($C73,medicine_master!$A$2:$A$26,0)),0)</f>
        <v>13</v>
      </c>
      <c r="M73" s="45" t="n">
        <f aca="false">IFERROR(INDEX(medicine_master!$G$2:$G$26,MATCH($C73,medicine_master!$A$2:$A$26,0)),0)</f>
        <v>8</v>
      </c>
      <c r="N73" s="45" t="n">
        <f aca="false">IF(D73="Sale",E73*L73,0)</f>
        <v>130</v>
      </c>
      <c r="O73" s="45" t="n">
        <f aca="false">IF(D73="Sale",E73*M73,0)</f>
        <v>80</v>
      </c>
      <c r="P73" s="45" t="n">
        <f aca="false">N73-O73</f>
        <v>50</v>
      </c>
      <c r="Q73" s="45" t="n">
        <f aca="false">IF(D73="Purchase",E73*M73,0)</f>
        <v>0</v>
      </c>
    </row>
    <row r="74" customFormat="false" ht="15" hidden="false" customHeight="false" outlineLevel="0" collapsed="false">
      <c r="A74" s="39" t="s">
        <v>396</v>
      </c>
      <c r="B74" s="44" t="n">
        <v>46310</v>
      </c>
      <c r="C74" s="39" t="s">
        <v>159</v>
      </c>
      <c r="D74" s="39" t="s">
        <v>137</v>
      </c>
      <c r="E74" s="39" t="n">
        <v>10</v>
      </c>
      <c r="F74" s="39" t="str">
        <f aca="false">IF(COUNTIF(medicine_master!$A$2:$A$26,C74)&gt;0,"Valid","Invalid")</f>
        <v>Valid</v>
      </c>
      <c r="G74" s="39" t="str">
        <f aca="false">IFERROR(INDEX(medicine_master!$B$2:$B$26,MATCH($C74,medicine_master!$A$2:$A$26,0)),"Not found")</f>
        <v>Antiseptic Liquid 100ml</v>
      </c>
      <c r="H74" s="39" t="str">
        <f aca="false">IFERROR(INDEX(medicine_master!$C$2:$C$26,MATCH($C74,medicine_master!$A$2:$A$26,0)),"Not found")</f>
        <v>First Aid</v>
      </c>
      <c r="I74" s="39" t="n">
        <f aca="false">YEAR(B74)</f>
        <v>2026</v>
      </c>
      <c r="J74" s="39" t="n">
        <f aca="false">MONTH(B74)</f>
        <v>10</v>
      </c>
      <c r="K74" s="39" t="str">
        <f aca="false">TEXT(B74,"mmm")</f>
        <v>Oct</v>
      </c>
      <c r="L74" s="45" t="n">
        <f aca="false">IFERROR(INDEX(medicine_master!$I$2:$I$26,MATCH($C74,medicine_master!$A$2:$A$26,0)),0)</f>
        <v>65</v>
      </c>
      <c r="M74" s="45" t="n">
        <f aca="false">IFERROR(INDEX(medicine_master!$G$2:$G$26,MATCH($C74,medicine_master!$A$2:$A$26,0)),0)</f>
        <v>48</v>
      </c>
      <c r="N74" s="45" t="n">
        <f aca="false">IF(D74="Sale",E74*L74,0)</f>
        <v>650</v>
      </c>
      <c r="O74" s="45" t="n">
        <f aca="false">IF(D74="Sale",E74*M74,0)</f>
        <v>480</v>
      </c>
      <c r="P74" s="45" t="n">
        <f aca="false">N74-O74</f>
        <v>170</v>
      </c>
      <c r="Q74" s="45" t="n">
        <f aca="false">IF(D74="Purchase",E74*M74,0)</f>
        <v>0</v>
      </c>
    </row>
    <row r="75" customFormat="false" ht="15" hidden="false" customHeight="false" outlineLevel="0" collapsed="false">
      <c r="A75" s="39" t="s">
        <v>397</v>
      </c>
      <c r="B75" s="44" t="n">
        <v>46177</v>
      </c>
      <c r="C75" s="39" t="s">
        <v>150</v>
      </c>
      <c r="D75" s="39" t="s">
        <v>137</v>
      </c>
      <c r="E75" s="39" t="n">
        <v>30</v>
      </c>
      <c r="F75" s="39" t="str">
        <f aca="false">IF(COUNTIF(medicine_master!$A$2:$A$26,C75)&gt;0,"Valid","Invalid")</f>
        <v>Valid</v>
      </c>
      <c r="G75" s="39" t="str">
        <f aca="false">IFERROR(INDEX(medicine_master!$B$2:$B$26,MATCH($C75,medicine_master!$A$2:$A$26,0)),"Not found")</f>
        <v>Pantoprazole 40mg</v>
      </c>
      <c r="H75" s="39" t="str">
        <f aca="false">IFERROR(INDEX(medicine_master!$C$2:$C$26,MATCH($C75,medicine_master!$A$2:$A$26,0)),"Not found")</f>
        <v>Gastric</v>
      </c>
      <c r="I75" s="39" t="n">
        <f aca="false">YEAR(B75)</f>
        <v>2026</v>
      </c>
      <c r="J75" s="39" t="n">
        <f aca="false">MONTH(B75)</f>
        <v>6</v>
      </c>
      <c r="K75" s="39" t="str">
        <f aca="false">TEXT(B75,"mmm")</f>
        <v>Jun</v>
      </c>
      <c r="L75" s="45" t="n">
        <f aca="false">IFERROR(INDEX(medicine_master!$I$2:$I$26,MATCH($C75,medicine_master!$A$2:$A$26,0)),0)</f>
        <v>35</v>
      </c>
      <c r="M75" s="45" t="n">
        <f aca="false">IFERROR(INDEX(medicine_master!$G$2:$G$26,MATCH($C75,medicine_master!$A$2:$A$26,0)),0)</f>
        <v>24</v>
      </c>
      <c r="N75" s="45" t="n">
        <f aca="false">IF(D75="Sale",E75*L75,0)</f>
        <v>1050</v>
      </c>
      <c r="O75" s="45" t="n">
        <f aca="false">IF(D75="Sale",E75*M75,0)</f>
        <v>720</v>
      </c>
      <c r="P75" s="45" t="n">
        <f aca="false">N75-O75</f>
        <v>330</v>
      </c>
      <c r="Q75" s="45" t="n">
        <f aca="false">IF(D75="Purchase",E75*M75,0)</f>
        <v>0</v>
      </c>
    </row>
    <row r="76" customFormat="false" ht="15" hidden="false" customHeight="false" outlineLevel="0" collapsed="false">
      <c r="A76" s="39" t="s">
        <v>398</v>
      </c>
      <c r="B76" s="44" t="n">
        <v>46321</v>
      </c>
      <c r="C76" s="39" t="s">
        <v>321</v>
      </c>
      <c r="D76" s="39" t="s">
        <v>138</v>
      </c>
      <c r="E76" s="39" t="n">
        <v>15</v>
      </c>
      <c r="F76" s="39" t="str">
        <f aca="false">IF(COUNTIF(medicine_master!$A$2:$A$26,C76)&gt;0,"Valid","Invalid")</f>
        <v>Valid</v>
      </c>
      <c r="G76" s="39" t="str">
        <f aca="false">IFERROR(INDEX(medicine_master!$B$2:$B$26,MATCH($C76,medicine_master!$A$2:$A$26,0)),"Not found")</f>
        <v>Levocetirizine 5mg</v>
      </c>
      <c r="H76" s="39" t="str">
        <f aca="false">IFERROR(INDEX(medicine_master!$C$2:$C$26,MATCH($C76,medicine_master!$A$2:$A$26,0)),"Not found")</f>
        <v>Allergy</v>
      </c>
      <c r="I76" s="39" t="n">
        <f aca="false">YEAR(B76)</f>
        <v>2026</v>
      </c>
      <c r="J76" s="39" t="n">
        <f aca="false">MONTH(B76)</f>
        <v>10</v>
      </c>
      <c r="K76" s="39" t="str">
        <f aca="false">TEXT(B76,"mmm")</f>
        <v>Oct</v>
      </c>
      <c r="L76" s="45" t="n">
        <f aca="false">IFERROR(INDEX(medicine_master!$I$2:$I$26,MATCH($C76,medicine_master!$A$2:$A$26,0)),0)</f>
        <v>22</v>
      </c>
      <c r="M76" s="45" t="n">
        <f aca="false">IFERROR(INDEX(medicine_master!$G$2:$G$26,MATCH($C76,medicine_master!$A$2:$A$26,0)),0)</f>
        <v>14</v>
      </c>
      <c r="N76" s="45" t="n">
        <f aca="false">IF(D76="Sale",E76*L76,0)</f>
        <v>0</v>
      </c>
      <c r="O76" s="45" t="n">
        <f aca="false">IF(D76="Sale",E76*M76,0)</f>
        <v>0</v>
      </c>
      <c r="P76" s="45" t="n">
        <f aca="false">N76-O76</f>
        <v>0</v>
      </c>
      <c r="Q76" s="45" t="n">
        <f aca="false">IF(D76="Purchase",E76*M76,0)</f>
        <v>210</v>
      </c>
    </row>
    <row r="77" customFormat="false" ht="15" hidden="false" customHeight="false" outlineLevel="0" collapsed="false">
      <c r="A77" s="39" t="s">
        <v>399</v>
      </c>
      <c r="B77" s="44" t="n">
        <v>46269</v>
      </c>
      <c r="C77" s="39" t="s">
        <v>151</v>
      </c>
      <c r="D77" s="39" t="s">
        <v>138</v>
      </c>
      <c r="E77" s="39" t="n">
        <v>25</v>
      </c>
      <c r="F77" s="39" t="str">
        <f aca="false">IF(COUNTIF(medicine_master!$A$2:$A$26,C77)&gt;0,"Valid","Invalid")</f>
        <v>Valid</v>
      </c>
      <c r="G77" s="39" t="str">
        <f aca="false">IFERROR(INDEX(medicine_master!$B$2:$B$26,MATCH($C77,medicine_master!$A$2:$A$26,0)),"Not found")</f>
        <v>Cetirizine 10mg</v>
      </c>
      <c r="H77" s="39" t="str">
        <f aca="false">IFERROR(INDEX(medicine_master!$C$2:$C$26,MATCH($C77,medicine_master!$A$2:$A$26,0)),"Not found")</f>
        <v>Allergy</v>
      </c>
      <c r="I77" s="39" t="n">
        <f aca="false">YEAR(B77)</f>
        <v>2026</v>
      </c>
      <c r="J77" s="39" t="n">
        <f aca="false">MONTH(B77)</f>
        <v>9</v>
      </c>
      <c r="K77" s="39" t="str">
        <f aca="false">TEXT(B77,"mmm")</f>
        <v>Sep</v>
      </c>
      <c r="L77" s="45" t="n">
        <f aca="false">IFERROR(INDEX(medicine_master!$I$2:$I$26,MATCH($C77,medicine_master!$A$2:$A$26,0)),0)</f>
        <v>13</v>
      </c>
      <c r="M77" s="45" t="n">
        <f aca="false">IFERROR(INDEX(medicine_master!$G$2:$G$26,MATCH($C77,medicine_master!$A$2:$A$26,0)),0)</f>
        <v>8</v>
      </c>
      <c r="N77" s="45" t="n">
        <f aca="false">IF(D77="Sale",E77*L77,0)</f>
        <v>0</v>
      </c>
      <c r="O77" s="45" t="n">
        <f aca="false">IF(D77="Sale",E77*M77,0)</f>
        <v>0</v>
      </c>
      <c r="P77" s="45" t="n">
        <f aca="false">N77-O77</f>
        <v>0</v>
      </c>
      <c r="Q77" s="45" t="n">
        <f aca="false">IF(D77="Purchase",E77*M77,0)</f>
        <v>200</v>
      </c>
    </row>
    <row r="78" customFormat="false" ht="15" hidden="false" customHeight="false" outlineLevel="0" collapsed="false">
      <c r="A78" s="39" t="s">
        <v>400</v>
      </c>
      <c r="B78" s="44" t="n">
        <v>46338</v>
      </c>
      <c r="C78" s="39" t="s">
        <v>180</v>
      </c>
      <c r="D78" s="39" t="s">
        <v>137</v>
      </c>
      <c r="E78" s="39" t="n">
        <v>30</v>
      </c>
      <c r="F78" s="39" t="str">
        <f aca="false">IF(COUNTIF(medicine_master!$A$2:$A$26,C78)&gt;0,"Valid","Invalid")</f>
        <v>Valid</v>
      </c>
      <c r="G78" s="39" t="str">
        <f aca="false">IFERROR(INDEX(medicine_master!$B$2:$B$26,MATCH($C78,medicine_master!$A$2:$A$26,0)),"Not found")</f>
        <v>Vitamin C 500mg</v>
      </c>
      <c r="H78" s="39" t="str">
        <f aca="false">IFERROR(INDEX(medicine_master!$C$2:$C$26,MATCH($C78,medicine_master!$A$2:$A$26,0)),"Not found")</f>
        <v>Vitamin</v>
      </c>
      <c r="I78" s="39" t="n">
        <f aca="false">YEAR(B78)</f>
        <v>2026</v>
      </c>
      <c r="J78" s="39" t="n">
        <f aca="false">MONTH(B78)</f>
        <v>11</v>
      </c>
      <c r="K78" s="39" t="str">
        <f aca="false">TEXT(B78,"mmm")</f>
        <v>Nov</v>
      </c>
      <c r="L78" s="45" t="n">
        <f aca="false">IFERROR(INDEX(medicine_master!$I$2:$I$26,MATCH($C78,medicine_master!$A$2:$A$26,0)),0)</f>
        <v>22</v>
      </c>
      <c r="M78" s="45" t="n">
        <f aca="false">IFERROR(INDEX(medicine_master!$G$2:$G$26,MATCH($C78,medicine_master!$A$2:$A$26,0)),0)</f>
        <v>14</v>
      </c>
      <c r="N78" s="45" t="n">
        <f aca="false">IF(D78="Sale",E78*L78,0)</f>
        <v>660</v>
      </c>
      <c r="O78" s="45" t="n">
        <f aca="false">IF(D78="Sale",E78*M78,0)</f>
        <v>420</v>
      </c>
      <c r="P78" s="45" t="n">
        <f aca="false">N78-O78</f>
        <v>240</v>
      </c>
      <c r="Q78" s="45" t="n">
        <f aca="false">IF(D78="Purchase",E78*M78,0)</f>
        <v>0</v>
      </c>
    </row>
    <row r="79" customFormat="false" ht="15" hidden="false" customHeight="false" outlineLevel="0" collapsed="false">
      <c r="A79" s="39" t="s">
        <v>401</v>
      </c>
      <c r="B79" s="44" t="n">
        <v>46343</v>
      </c>
      <c r="C79" s="39" t="s">
        <v>157</v>
      </c>
      <c r="D79" s="39" t="s">
        <v>137</v>
      </c>
      <c r="E79" s="39" t="n">
        <v>30</v>
      </c>
      <c r="F79" s="39" t="str">
        <f aca="false">IF(COUNTIF(medicine_master!$A$2:$A$26,C79)&gt;0,"Valid","Invalid")</f>
        <v>Valid</v>
      </c>
      <c r="G79" s="39" t="str">
        <f aca="false">IFERROR(INDEX(medicine_master!$B$2:$B$26,MATCH($C79,medicine_master!$A$2:$A$26,0)),"Not found")</f>
        <v>Multivitamin Tablets</v>
      </c>
      <c r="H79" s="39" t="str">
        <f aca="false">IFERROR(INDEX(medicine_master!$C$2:$C$26,MATCH($C79,medicine_master!$A$2:$A$26,0)),"Not found")</f>
        <v>Vitamin</v>
      </c>
      <c r="I79" s="39" t="n">
        <f aca="false">YEAR(B79)</f>
        <v>2026</v>
      </c>
      <c r="J79" s="39" t="n">
        <f aca="false">MONTH(B79)</f>
        <v>11</v>
      </c>
      <c r="K79" s="39" t="str">
        <f aca="false">TEXT(B79,"mmm")</f>
        <v>Nov</v>
      </c>
      <c r="L79" s="45" t="n">
        <f aca="false">IFERROR(INDEX(medicine_master!$I$2:$I$26,MATCH($C79,medicine_master!$A$2:$A$26,0)),0)</f>
        <v>105</v>
      </c>
      <c r="M79" s="45" t="n">
        <f aca="false">IFERROR(INDEX(medicine_master!$G$2:$G$26,MATCH($C79,medicine_master!$A$2:$A$26,0)),0)</f>
        <v>72</v>
      </c>
      <c r="N79" s="45" t="n">
        <f aca="false">IF(D79="Sale",E79*L79,0)</f>
        <v>3150</v>
      </c>
      <c r="O79" s="45" t="n">
        <f aca="false">IF(D79="Sale",E79*M79,0)</f>
        <v>2160</v>
      </c>
      <c r="P79" s="45" t="n">
        <f aca="false">N79-O79</f>
        <v>990</v>
      </c>
      <c r="Q79" s="45" t="n">
        <f aca="false">IF(D79="Purchase",E79*M79,0)</f>
        <v>0</v>
      </c>
    </row>
    <row r="80" customFormat="false" ht="15" hidden="false" customHeight="false" outlineLevel="0" collapsed="false">
      <c r="A80" s="39" t="s">
        <v>402</v>
      </c>
      <c r="B80" s="44" t="n">
        <v>46165</v>
      </c>
      <c r="C80" s="39" t="s">
        <v>179</v>
      </c>
      <c r="D80" s="39" t="s">
        <v>138</v>
      </c>
      <c r="E80" s="39" t="n">
        <v>25</v>
      </c>
      <c r="F80" s="39" t="str">
        <f aca="false">IF(COUNTIF(medicine_master!$A$2:$A$26,C80)&gt;0,"Valid","Invalid")</f>
        <v>Valid</v>
      </c>
      <c r="G80" s="39" t="str">
        <f aca="false">IFERROR(INDEX(medicine_master!$B$2:$B$26,MATCH($C80,medicine_master!$A$2:$A$26,0)),"Not found")</f>
        <v>Ibuprofen 400mg</v>
      </c>
      <c r="H80" s="39" t="str">
        <f aca="false">IFERROR(INDEX(medicine_master!$C$2:$C$26,MATCH($C80,medicine_master!$A$2:$A$26,0)),"Not found")</f>
        <v>Pain Relief</v>
      </c>
      <c r="I80" s="39" t="n">
        <f aca="false">YEAR(B80)</f>
        <v>2026</v>
      </c>
      <c r="J80" s="39" t="n">
        <f aca="false">MONTH(B80)</f>
        <v>5</v>
      </c>
      <c r="K80" s="39" t="str">
        <f aca="false">TEXT(B80,"mmm")</f>
        <v>May</v>
      </c>
      <c r="L80" s="45" t="n">
        <f aca="false">IFERROR(INDEX(medicine_master!$I$2:$I$26,MATCH($C80,medicine_master!$A$2:$A$26,0)),0)</f>
        <v>30</v>
      </c>
      <c r="M80" s="45" t="n">
        <f aca="false">IFERROR(INDEX(medicine_master!$G$2:$G$26,MATCH($C80,medicine_master!$A$2:$A$26,0)),0)</f>
        <v>22</v>
      </c>
      <c r="N80" s="45" t="n">
        <f aca="false">IF(D80="Sale",E80*L80,0)</f>
        <v>0</v>
      </c>
      <c r="O80" s="45" t="n">
        <f aca="false">IF(D80="Sale",E80*M80,0)</f>
        <v>0</v>
      </c>
      <c r="P80" s="45" t="n">
        <f aca="false">N80-O80</f>
        <v>0</v>
      </c>
      <c r="Q80" s="45" t="n">
        <f aca="false">IF(D80="Purchase",E80*M80,0)</f>
        <v>550</v>
      </c>
    </row>
    <row r="81" customFormat="false" ht="15" hidden="false" customHeight="false" outlineLevel="0" collapsed="false">
      <c r="A81" s="39" t="s">
        <v>403</v>
      </c>
      <c r="B81" s="44" t="n">
        <v>46364</v>
      </c>
      <c r="C81" s="39" t="s">
        <v>404</v>
      </c>
      <c r="D81" s="39" t="s">
        <v>137</v>
      </c>
      <c r="E81" s="39" t="n">
        <v>25</v>
      </c>
      <c r="F81" s="39" t="str">
        <f aca="false">IF(COUNTIF(medicine_master!$A$2:$A$26,C81)&gt;0,"Valid","Invalid")</f>
        <v>Valid</v>
      </c>
      <c r="G81" s="39" t="str">
        <f aca="false">IFERROR(INDEX(medicine_master!$B$2:$B$26,MATCH($C81,medicine_master!$A$2:$A$26,0)),"Not found")</f>
        <v>ORS Sachet</v>
      </c>
      <c r="H81" s="39" t="str">
        <f aca="false">IFERROR(INDEX(medicine_master!$C$2:$C$26,MATCH($C81,medicine_master!$A$2:$A$26,0)),"Not found")</f>
        <v>First Aid</v>
      </c>
      <c r="I81" s="39" t="n">
        <f aca="false">YEAR(B81)</f>
        <v>2026</v>
      </c>
      <c r="J81" s="39" t="n">
        <f aca="false">MONTH(B81)</f>
        <v>12</v>
      </c>
      <c r="K81" s="39" t="str">
        <f aca="false">TEXT(B81,"mmm")</f>
        <v>Dec</v>
      </c>
      <c r="L81" s="45" t="n">
        <f aca="false">IFERROR(INDEX(medicine_master!$I$2:$I$26,MATCH($C81,medicine_master!$A$2:$A$26,0)),0)</f>
        <v>10</v>
      </c>
      <c r="M81" s="45" t="n">
        <f aca="false">IFERROR(INDEX(medicine_master!$G$2:$G$26,MATCH($C81,medicine_master!$A$2:$A$26,0)),0)</f>
        <v>6</v>
      </c>
      <c r="N81" s="45" t="n">
        <f aca="false">IF(D81="Sale",E81*L81,0)</f>
        <v>250</v>
      </c>
      <c r="O81" s="45" t="n">
        <f aca="false">IF(D81="Sale",E81*M81,0)</f>
        <v>150</v>
      </c>
      <c r="P81" s="45" t="n">
        <f aca="false">N81-O81</f>
        <v>100</v>
      </c>
      <c r="Q81" s="45" t="n">
        <f aca="false">IF(D81="Purchase",E81*M81,0)</f>
        <v>0</v>
      </c>
    </row>
    <row r="82" customFormat="false" ht="15" hidden="false" customHeight="false" outlineLevel="0" collapsed="false">
      <c r="A82" s="39" t="s">
        <v>405</v>
      </c>
      <c r="B82" s="44" t="n">
        <v>46147</v>
      </c>
      <c r="C82" s="39" t="s">
        <v>321</v>
      </c>
      <c r="D82" s="39" t="s">
        <v>137</v>
      </c>
      <c r="E82" s="39" t="n">
        <v>5</v>
      </c>
      <c r="F82" s="39" t="str">
        <f aca="false">IF(COUNTIF(medicine_master!$A$2:$A$26,C82)&gt;0,"Valid","Invalid")</f>
        <v>Valid</v>
      </c>
      <c r="G82" s="39" t="str">
        <f aca="false">IFERROR(INDEX(medicine_master!$B$2:$B$26,MATCH($C82,medicine_master!$A$2:$A$26,0)),"Not found")</f>
        <v>Levocetirizine 5mg</v>
      </c>
      <c r="H82" s="39" t="str">
        <f aca="false">IFERROR(INDEX(medicine_master!$C$2:$C$26,MATCH($C82,medicine_master!$A$2:$A$26,0)),"Not found")</f>
        <v>Allergy</v>
      </c>
      <c r="I82" s="39" t="n">
        <f aca="false">YEAR(B82)</f>
        <v>2026</v>
      </c>
      <c r="J82" s="39" t="n">
        <f aca="false">MONTH(B82)</f>
        <v>5</v>
      </c>
      <c r="K82" s="39" t="str">
        <f aca="false">TEXT(B82,"mmm")</f>
        <v>May</v>
      </c>
      <c r="L82" s="45" t="n">
        <f aca="false">IFERROR(INDEX(medicine_master!$I$2:$I$26,MATCH($C82,medicine_master!$A$2:$A$26,0)),0)</f>
        <v>22</v>
      </c>
      <c r="M82" s="45" t="n">
        <f aca="false">IFERROR(INDEX(medicine_master!$G$2:$G$26,MATCH($C82,medicine_master!$A$2:$A$26,0)),0)</f>
        <v>14</v>
      </c>
      <c r="N82" s="45" t="n">
        <f aca="false">IF(D82="Sale",E82*L82,0)</f>
        <v>110</v>
      </c>
      <c r="O82" s="45" t="n">
        <f aca="false">IF(D82="Sale",E82*M82,0)</f>
        <v>70</v>
      </c>
      <c r="P82" s="45" t="n">
        <f aca="false">N82-O82</f>
        <v>40</v>
      </c>
      <c r="Q82" s="45" t="n">
        <f aca="false">IF(D82="Purchase",E82*M82,0)</f>
        <v>0</v>
      </c>
    </row>
    <row r="83" customFormat="false" ht="15" hidden="false" customHeight="false" outlineLevel="0" collapsed="false">
      <c r="A83" s="39" t="s">
        <v>406</v>
      </c>
      <c r="B83" s="44" t="n">
        <v>46202</v>
      </c>
      <c r="C83" s="39" t="s">
        <v>150</v>
      </c>
      <c r="D83" s="39" t="s">
        <v>137</v>
      </c>
      <c r="E83" s="39" t="n">
        <v>20</v>
      </c>
      <c r="F83" s="39" t="str">
        <f aca="false">IF(COUNTIF(medicine_master!$A$2:$A$26,C83)&gt;0,"Valid","Invalid")</f>
        <v>Valid</v>
      </c>
      <c r="G83" s="39" t="str">
        <f aca="false">IFERROR(INDEX(medicine_master!$B$2:$B$26,MATCH($C83,medicine_master!$A$2:$A$26,0)),"Not found")</f>
        <v>Pantoprazole 40mg</v>
      </c>
      <c r="H83" s="39" t="str">
        <f aca="false">IFERROR(INDEX(medicine_master!$C$2:$C$26,MATCH($C83,medicine_master!$A$2:$A$26,0)),"Not found")</f>
        <v>Gastric</v>
      </c>
      <c r="I83" s="39" t="n">
        <f aca="false">YEAR(B83)</f>
        <v>2026</v>
      </c>
      <c r="J83" s="39" t="n">
        <f aca="false">MONTH(B83)</f>
        <v>6</v>
      </c>
      <c r="K83" s="39" t="str">
        <f aca="false">TEXT(B83,"mmm")</f>
        <v>Jun</v>
      </c>
      <c r="L83" s="45" t="n">
        <f aca="false">IFERROR(INDEX(medicine_master!$I$2:$I$26,MATCH($C83,medicine_master!$A$2:$A$26,0)),0)</f>
        <v>35</v>
      </c>
      <c r="M83" s="45" t="n">
        <f aca="false">IFERROR(INDEX(medicine_master!$G$2:$G$26,MATCH($C83,medicine_master!$A$2:$A$26,0)),0)</f>
        <v>24</v>
      </c>
      <c r="N83" s="45" t="n">
        <f aca="false">IF(D83="Sale",E83*L83,0)</f>
        <v>700</v>
      </c>
      <c r="O83" s="45" t="n">
        <f aca="false">IF(D83="Sale",E83*M83,0)</f>
        <v>480</v>
      </c>
      <c r="P83" s="45" t="n">
        <f aca="false">N83-O83</f>
        <v>220</v>
      </c>
      <c r="Q83" s="45" t="n">
        <f aca="false">IF(D83="Purchase",E83*M83,0)</f>
        <v>0</v>
      </c>
    </row>
    <row r="84" customFormat="false" ht="15" hidden="false" customHeight="false" outlineLevel="0" collapsed="false">
      <c r="A84" s="39" t="s">
        <v>407</v>
      </c>
      <c r="B84" s="44" t="n">
        <v>46123</v>
      </c>
      <c r="C84" s="39" t="s">
        <v>345</v>
      </c>
      <c r="D84" s="39" t="s">
        <v>137</v>
      </c>
      <c r="E84" s="39" t="n">
        <v>15</v>
      </c>
      <c r="F84" s="39" t="str">
        <f aca="false">IF(COUNTIF(medicine_master!$A$2:$A$26,C84)&gt;0,"Valid","Invalid")</f>
        <v>Valid</v>
      </c>
      <c r="G84" s="39" t="str">
        <f aca="false">IFERROR(INDEX(medicine_master!$B$2:$B$26,MATCH($C84,medicine_master!$A$2:$A$26,0)),"Not found")</f>
        <v>Paracetamol 500mg</v>
      </c>
      <c r="H84" s="39" t="str">
        <f aca="false">IFERROR(INDEX(medicine_master!$C$2:$C$26,MATCH($C84,medicine_master!$A$2:$A$26,0)),"Not found")</f>
        <v>Pain Relief</v>
      </c>
      <c r="I84" s="39" t="n">
        <f aca="false">YEAR(B84)</f>
        <v>2026</v>
      </c>
      <c r="J84" s="39" t="n">
        <f aca="false">MONTH(B84)</f>
        <v>4</v>
      </c>
      <c r="K84" s="39" t="str">
        <f aca="false">TEXT(B84,"mmm")</f>
        <v>Apr</v>
      </c>
      <c r="L84" s="45" t="n">
        <f aca="false">IFERROR(INDEX(medicine_master!$I$2:$I$26,MATCH($C84,medicine_master!$A$2:$A$26,0)),0)</f>
        <v>18</v>
      </c>
      <c r="M84" s="45" t="n">
        <f aca="false">IFERROR(INDEX(medicine_master!$G$2:$G$26,MATCH($C84,medicine_master!$A$2:$A$26,0)),0)</f>
        <v>12</v>
      </c>
      <c r="N84" s="45" t="n">
        <f aca="false">IF(D84="Sale",E84*L84,0)</f>
        <v>270</v>
      </c>
      <c r="O84" s="45" t="n">
        <f aca="false">IF(D84="Sale",E84*M84,0)</f>
        <v>180</v>
      </c>
      <c r="P84" s="45" t="n">
        <f aca="false">N84-O84</f>
        <v>90</v>
      </c>
      <c r="Q84" s="45" t="n">
        <f aca="false">IF(D84="Purchase",E84*M84,0)</f>
        <v>0</v>
      </c>
    </row>
    <row r="85" customFormat="false" ht="15" hidden="false" customHeight="false" outlineLevel="0" collapsed="false">
      <c r="A85" s="39" t="s">
        <v>408</v>
      </c>
      <c r="B85" s="44" t="n">
        <v>46130</v>
      </c>
      <c r="C85" s="39" t="s">
        <v>152</v>
      </c>
      <c r="D85" s="39" t="s">
        <v>137</v>
      </c>
      <c r="E85" s="39" t="n">
        <v>40</v>
      </c>
      <c r="F85" s="39" t="str">
        <f aca="false">IF(COUNTIF(medicine_master!$A$2:$A$26,C85)&gt;0,"Valid","Invalid")</f>
        <v>Valid</v>
      </c>
      <c r="G85" s="39" t="str">
        <f aca="false">IFERROR(INDEX(medicine_master!$B$2:$B$26,MATCH($C85,medicine_master!$A$2:$A$26,0)),"Not found")</f>
        <v>Amoxicillin 500mg</v>
      </c>
      <c r="H85" s="39" t="str">
        <f aca="false">IFERROR(INDEX(medicine_master!$C$2:$C$26,MATCH($C85,medicine_master!$A$2:$A$26,0)),"Not found")</f>
        <v>Antibiotic</v>
      </c>
      <c r="I85" s="39" t="n">
        <f aca="false">YEAR(B85)</f>
        <v>2026</v>
      </c>
      <c r="J85" s="39" t="n">
        <f aca="false">MONTH(B85)</f>
        <v>4</v>
      </c>
      <c r="K85" s="39" t="str">
        <f aca="false">TEXT(B85,"mmm")</f>
        <v>Apr</v>
      </c>
      <c r="L85" s="45" t="n">
        <f aca="false">IFERROR(INDEX(medicine_master!$I$2:$I$26,MATCH($C85,medicine_master!$A$2:$A$26,0)),0)</f>
        <v>40</v>
      </c>
      <c r="M85" s="45" t="n">
        <f aca="false">IFERROR(INDEX(medicine_master!$G$2:$G$26,MATCH($C85,medicine_master!$A$2:$A$26,0)),0)</f>
        <v>28</v>
      </c>
      <c r="N85" s="45" t="n">
        <f aca="false">IF(D85="Sale",E85*L85,0)</f>
        <v>1600</v>
      </c>
      <c r="O85" s="45" t="n">
        <f aca="false">IF(D85="Sale",E85*M85,0)</f>
        <v>1120</v>
      </c>
      <c r="P85" s="45" t="n">
        <f aca="false">N85-O85</f>
        <v>480</v>
      </c>
      <c r="Q85" s="45" t="n">
        <f aca="false">IF(D85="Purchase",E85*M85,0)</f>
        <v>0</v>
      </c>
    </row>
    <row r="86" customFormat="false" ht="15" hidden="false" customHeight="false" outlineLevel="0" collapsed="false">
      <c r="A86" s="39" t="s">
        <v>409</v>
      </c>
      <c r="B86" s="44" t="n">
        <v>46372</v>
      </c>
      <c r="C86" s="39" t="s">
        <v>159</v>
      </c>
      <c r="D86" s="39" t="s">
        <v>137</v>
      </c>
      <c r="E86" s="39" t="n">
        <v>10</v>
      </c>
      <c r="F86" s="39" t="str">
        <f aca="false">IF(COUNTIF(medicine_master!$A$2:$A$26,C86)&gt;0,"Valid","Invalid")</f>
        <v>Valid</v>
      </c>
      <c r="G86" s="39" t="str">
        <f aca="false">IFERROR(INDEX(medicine_master!$B$2:$B$26,MATCH($C86,medicine_master!$A$2:$A$26,0)),"Not found")</f>
        <v>Antiseptic Liquid 100ml</v>
      </c>
      <c r="H86" s="39" t="str">
        <f aca="false">IFERROR(INDEX(medicine_master!$C$2:$C$26,MATCH($C86,medicine_master!$A$2:$A$26,0)),"Not found")</f>
        <v>First Aid</v>
      </c>
      <c r="I86" s="39" t="n">
        <f aca="false">YEAR(B86)</f>
        <v>2026</v>
      </c>
      <c r="J86" s="39" t="n">
        <f aca="false">MONTH(B86)</f>
        <v>12</v>
      </c>
      <c r="K86" s="39" t="str">
        <f aca="false">TEXT(B86,"mmm")</f>
        <v>Dec</v>
      </c>
      <c r="L86" s="45" t="n">
        <f aca="false">IFERROR(INDEX(medicine_master!$I$2:$I$26,MATCH($C86,medicine_master!$A$2:$A$26,0)),0)</f>
        <v>65</v>
      </c>
      <c r="M86" s="45" t="n">
        <f aca="false">IFERROR(INDEX(medicine_master!$G$2:$G$26,MATCH($C86,medicine_master!$A$2:$A$26,0)),0)</f>
        <v>48</v>
      </c>
      <c r="N86" s="45" t="n">
        <f aca="false">IF(D86="Sale",E86*L86,0)</f>
        <v>650</v>
      </c>
      <c r="O86" s="45" t="n">
        <f aca="false">IF(D86="Sale",E86*M86,0)</f>
        <v>480</v>
      </c>
      <c r="P86" s="45" t="n">
        <f aca="false">N86-O86</f>
        <v>170</v>
      </c>
      <c r="Q86" s="45" t="n">
        <f aca="false">IF(D86="Purchase",E86*M86,0)</f>
        <v>0</v>
      </c>
    </row>
    <row r="87" customFormat="false" ht="15" hidden="false" customHeight="false" outlineLevel="0" collapsed="false">
      <c r="A87" s="39" t="s">
        <v>410</v>
      </c>
      <c r="B87" s="44" t="n">
        <v>46166</v>
      </c>
      <c r="C87" s="39" t="s">
        <v>167</v>
      </c>
      <c r="D87" s="39" t="s">
        <v>137</v>
      </c>
      <c r="E87" s="39" t="n">
        <v>30</v>
      </c>
      <c r="F87" s="39" t="str">
        <f aca="false">IF(COUNTIF(medicine_master!$A$2:$A$26,C87)&gt;0,"Valid","Invalid")</f>
        <v>Valid</v>
      </c>
      <c r="G87" s="39" t="str">
        <f aca="false">IFERROR(INDEX(medicine_master!$B$2:$B$26,MATCH($C87,medicine_master!$A$2:$A$26,0)),"Not found")</f>
        <v>Amlodipine 5mg</v>
      </c>
      <c r="H87" s="39" t="str">
        <f aca="false">IFERROR(INDEX(medicine_master!$C$2:$C$26,MATCH($C87,medicine_master!$A$2:$A$26,0)),"Not found")</f>
        <v>Cardiac</v>
      </c>
      <c r="I87" s="39" t="n">
        <f aca="false">YEAR(B87)</f>
        <v>2026</v>
      </c>
      <c r="J87" s="39" t="n">
        <f aca="false">MONTH(B87)</f>
        <v>5</v>
      </c>
      <c r="K87" s="39" t="str">
        <f aca="false">TEXT(B87,"mmm")</f>
        <v>May</v>
      </c>
      <c r="L87" s="45" t="n">
        <f aca="false">IFERROR(INDEX(medicine_master!$I$2:$I$26,MATCH($C87,medicine_master!$A$2:$A$26,0)),0)</f>
        <v>19</v>
      </c>
      <c r="M87" s="45" t="n">
        <f aca="false">IFERROR(INDEX(medicine_master!$G$2:$G$26,MATCH($C87,medicine_master!$A$2:$A$26,0)),0)</f>
        <v>13</v>
      </c>
      <c r="N87" s="45" t="n">
        <f aca="false">IF(D87="Sale",E87*L87,0)</f>
        <v>570</v>
      </c>
      <c r="O87" s="45" t="n">
        <f aca="false">IF(D87="Sale",E87*M87,0)</f>
        <v>390</v>
      </c>
      <c r="P87" s="45" t="n">
        <f aca="false">N87-O87</f>
        <v>180</v>
      </c>
      <c r="Q87" s="45" t="n">
        <f aca="false">IF(D87="Purchase",E87*M87,0)</f>
        <v>0</v>
      </c>
    </row>
    <row r="88" customFormat="false" ht="15" hidden="false" customHeight="false" outlineLevel="0" collapsed="false">
      <c r="A88" s="39" t="s">
        <v>411</v>
      </c>
      <c r="B88" s="44" t="n">
        <v>46169</v>
      </c>
      <c r="C88" s="39" t="s">
        <v>145</v>
      </c>
      <c r="D88" s="39" t="s">
        <v>137</v>
      </c>
      <c r="E88" s="39" t="n">
        <v>20</v>
      </c>
      <c r="F88" s="39" t="str">
        <f aca="false">IF(COUNTIF(medicine_master!$A$2:$A$26,C88)&gt;0,"Valid","Invalid")</f>
        <v>Valid</v>
      </c>
      <c r="G88" s="39" t="str">
        <f aca="false">IFERROR(INDEX(medicine_master!$B$2:$B$26,MATCH($C88,medicine_master!$A$2:$A$26,0)),"Not found")</f>
        <v>Clotrimazole Cream</v>
      </c>
      <c r="H88" s="39" t="str">
        <f aca="false">IFERROR(INDEX(medicine_master!$C$2:$C$26,MATCH($C88,medicine_master!$A$2:$A$26,0)),"Not found")</f>
        <v>Dermatology</v>
      </c>
      <c r="I88" s="39" t="n">
        <f aca="false">YEAR(B88)</f>
        <v>2026</v>
      </c>
      <c r="J88" s="39" t="n">
        <f aca="false">MONTH(B88)</f>
        <v>5</v>
      </c>
      <c r="K88" s="39" t="str">
        <f aca="false">TEXT(B88,"mmm")</f>
        <v>May</v>
      </c>
      <c r="L88" s="45" t="n">
        <f aca="false">IFERROR(INDEX(medicine_master!$I$2:$I$26,MATCH($C88,medicine_master!$A$2:$A$26,0)),0)</f>
        <v>48</v>
      </c>
      <c r="M88" s="45" t="n">
        <f aca="false">IFERROR(INDEX(medicine_master!$G$2:$G$26,MATCH($C88,medicine_master!$A$2:$A$26,0)),0)</f>
        <v>32</v>
      </c>
      <c r="N88" s="45" t="n">
        <f aca="false">IF(D88="Sale",E88*L88,0)</f>
        <v>960</v>
      </c>
      <c r="O88" s="45" t="n">
        <f aca="false">IF(D88="Sale",E88*M88,0)</f>
        <v>640</v>
      </c>
      <c r="P88" s="45" t="n">
        <f aca="false">N88-O88</f>
        <v>320</v>
      </c>
      <c r="Q88" s="45" t="n">
        <f aca="false">IF(D88="Purchase",E88*M88,0)</f>
        <v>0</v>
      </c>
    </row>
    <row r="89" customFormat="false" ht="15" hidden="false" customHeight="false" outlineLevel="0" collapsed="false">
      <c r="A89" s="39" t="s">
        <v>412</v>
      </c>
      <c r="B89" s="44" t="n">
        <v>46080</v>
      </c>
      <c r="C89" s="39" t="s">
        <v>148</v>
      </c>
      <c r="D89" s="39" t="s">
        <v>138</v>
      </c>
      <c r="E89" s="39" t="n">
        <v>10</v>
      </c>
      <c r="F89" s="39" t="str">
        <f aca="false">IF(COUNTIF(medicine_master!$A$2:$A$26,C89)&gt;0,"Valid","Invalid")</f>
        <v>Valid</v>
      </c>
      <c r="G89" s="39" t="str">
        <f aca="false">IFERROR(INDEX(medicine_master!$B$2:$B$26,MATCH($C89,medicine_master!$A$2:$A$26,0)),"Not found")</f>
        <v>Dextromethorphan Syrup</v>
      </c>
      <c r="H89" s="39" t="str">
        <f aca="false">IFERROR(INDEX(medicine_master!$C$2:$C$26,MATCH($C89,medicine_master!$A$2:$A$26,0)),"Not found")</f>
        <v>Cold &amp; Cough</v>
      </c>
      <c r="I89" s="39" t="n">
        <f aca="false">YEAR(B89)</f>
        <v>2026</v>
      </c>
      <c r="J89" s="39" t="n">
        <f aca="false">MONTH(B89)</f>
        <v>2</v>
      </c>
      <c r="K89" s="39" t="str">
        <f aca="false">TEXT(B89,"mmm")</f>
        <v>Feb</v>
      </c>
      <c r="L89" s="45" t="n">
        <f aca="false">IFERROR(INDEX(medicine_master!$I$2:$I$26,MATCH($C89,medicine_master!$A$2:$A$26,0)),0)</f>
        <v>80</v>
      </c>
      <c r="M89" s="45" t="n">
        <f aca="false">IFERROR(INDEX(medicine_master!$G$2:$G$26,MATCH($C89,medicine_master!$A$2:$A$26,0)),0)</f>
        <v>58</v>
      </c>
      <c r="N89" s="45" t="n">
        <f aca="false">IF(D89="Sale",E89*L89,0)</f>
        <v>0</v>
      </c>
      <c r="O89" s="45" t="n">
        <f aca="false">IF(D89="Sale",E89*M89,0)</f>
        <v>0</v>
      </c>
      <c r="P89" s="45" t="n">
        <f aca="false">N89-O89</f>
        <v>0</v>
      </c>
      <c r="Q89" s="45" t="n">
        <f aca="false">IF(D89="Purchase",E89*M89,0)</f>
        <v>580</v>
      </c>
    </row>
    <row r="90" customFormat="false" ht="15" hidden="false" customHeight="false" outlineLevel="0" collapsed="false">
      <c r="A90" s="39" t="s">
        <v>413</v>
      </c>
      <c r="B90" s="44" t="n">
        <v>46340</v>
      </c>
      <c r="C90" s="39" t="s">
        <v>148</v>
      </c>
      <c r="D90" s="39" t="s">
        <v>137</v>
      </c>
      <c r="E90" s="39" t="n">
        <v>25</v>
      </c>
      <c r="F90" s="39" t="str">
        <f aca="false">IF(COUNTIF(medicine_master!$A$2:$A$26,C90)&gt;0,"Valid","Invalid")</f>
        <v>Valid</v>
      </c>
      <c r="G90" s="39" t="str">
        <f aca="false">IFERROR(INDEX(medicine_master!$B$2:$B$26,MATCH($C90,medicine_master!$A$2:$A$26,0)),"Not found")</f>
        <v>Dextromethorphan Syrup</v>
      </c>
      <c r="H90" s="39" t="str">
        <f aca="false">IFERROR(INDEX(medicine_master!$C$2:$C$26,MATCH($C90,medicine_master!$A$2:$A$26,0)),"Not found")</f>
        <v>Cold &amp; Cough</v>
      </c>
      <c r="I90" s="39" t="n">
        <f aca="false">YEAR(B90)</f>
        <v>2026</v>
      </c>
      <c r="J90" s="39" t="n">
        <f aca="false">MONTH(B90)</f>
        <v>11</v>
      </c>
      <c r="K90" s="39" t="str">
        <f aca="false">TEXT(B90,"mmm")</f>
        <v>Nov</v>
      </c>
      <c r="L90" s="45" t="n">
        <f aca="false">IFERROR(INDEX(medicine_master!$I$2:$I$26,MATCH($C90,medicine_master!$A$2:$A$26,0)),0)</f>
        <v>80</v>
      </c>
      <c r="M90" s="45" t="n">
        <f aca="false">IFERROR(INDEX(medicine_master!$G$2:$G$26,MATCH($C90,medicine_master!$A$2:$A$26,0)),0)</f>
        <v>58</v>
      </c>
      <c r="N90" s="45" t="n">
        <f aca="false">IF(D90="Sale",E90*L90,0)</f>
        <v>2000</v>
      </c>
      <c r="O90" s="45" t="n">
        <f aca="false">IF(D90="Sale",E90*M90,0)</f>
        <v>1450</v>
      </c>
      <c r="P90" s="45" t="n">
        <f aca="false">N90-O90</f>
        <v>550</v>
      </c>
      <c r="Q90" s="45" t="n">
        <f aca="false">IF(D90="Purchase",E90*M90,0)</f>
        <v>0</v>
      </c>
    </row>
    <row r="91" customFormat="false" ht="15" hidden="false" customHeight="false" outlineLevel="0" collapsed="false">
      <c r="A91" s="39" t="s">
        <v>414</v>
      </c>
      <c r="B91" s="44" t="n">
        <v>46151</v>
      </c>
      <c r="C91" s="39" t="s">
        <v>345</v>
      </c>
      <c r="D91" s="39" t="s">
        <v>137</v>
      </c>
      <c r="E91" s="39" t="n">
        <v>15</v>
      </c>
      <c r="F91" s="39" t="str">
        <f aca="false">IF(COUNTIF(medicine_master!$A$2:$A$26,C91)&gt;0,"Valid","Invalid")</f>
        <v>Valid</v>
      </c>
      <c r="G91" s="39" t="str">
        <f aca="false">IFERROR(INDEX(medicine_master!$B$2:$B$26,MATCH($C91,medicine_master!$A$2:$A$26,0)),"Not found")</f>
        <v>Paracetamol 500mg</v>
      </c>
      <c r="H91" s="39" t="str">
        <f aca="false">IFERROR(INDEX(medicine_master!$C$2:$C$26,MATCH($C91,medicine_master!$A$2:$A$26,0)),"Not found")</f>
        <v>Pain Relief</v>
      </c>
      <c r="I91" s="39" t="n">
        <f aca="false">YEAR(B91)</f>
        <v>2026</v>
      </c>
      <c r="J91" s="39" t="n">
        <f aca="false">MONTH(B91)</f>
        <v>5</v>
      </c>
      <c r="K91" s="39" t="str">
        <f aca="false">TEXT(B91,"mmm")</f>
        <v>May</v>
      </c>
      <c r="L91" s="45" t="n">
        <f aca="false">IFERROR(INDEX(medicine_master!$I$2:$I$26,MATCH($C91,medicine_master!$A$2:$A$26,0)),0)</f>
        <v>18</v>
      </c>
      <c r="M91" s="45" t="n">
        <f aca="false">IFERROR(INDEX(medicine_master!$G$2:$G$26,MATCH($C91,medicine_master!$A$2:$A$26,0)),0)</f>
        <v>12</v>
      </c>
      <c r="N91" s="45" t="n">
        <f aca="false">IF(D91="Sale",E91*L91,0)</f>
        <v>270</v>
      </c>
      <c r="O91" s="45" t="n">
        <f aca="false">IF(D91="Sale",E91*M91,0)</f>
        <v>180</v>
      </c>
      <c r="P91" s="45" t="n">
        <f aca="false">N91-O91</f>
        <v>90</v>
      </c>
      <c r="Q91" s="45" t="n">
        <f aca="false">IF(D91="Purchase",E91*M91,0)</f>
        <v>0</v>
      </c>
    </row>
    <row r="92" customFormat="false" ht="15" hidden="false" customHeight="false" outlineLevel="0" collapsed="false">
      <c r="A92" s="39" t="s">
        <v>415</v>
      </c>
      <c r="B92" s="44" t="n">
        <v>46140</v>
      </c>
      <c r="C92" s="39" t="s">
        <v>177</v>
      </c>
      <c r="D92" s="39" t="s">
        <v>138</v>
      </c>
      <c r="E92" s="39" t="n">
        <v>40</v>
      </c>
      <c r="F92" s="39" t="str">
        <f aca="false">IF(COUNTIF(medicine_master!$A$2:$A$26,C92)&gt;0,"Valid","Invalid")</f>
        <v>Valid</v>
      </c>
      <c r="G92" s="39" t="str">
        <f aca="false">IFERROR(INDEX(medicine_master!$B$2:$B$26,MATCH($C92,medicine_master!$A$2:$A$26,0)),"Not found")</f>
        <v>Bandage Roll</v>
      </c>
      <c r="H92" s="39" t="str">
        <f aca="false">IFERROR(INDEX(medicine_master!$C$2:$C$26,MATCH($C92,medicine_master!$A$2:$A$26,0)),"Not found")</f>
        <v>First Aid</v>
      </c>
      <c r="I92" s="39" t="n">
        <f aca="false">YEAR(B92)</f>
        <v>2026</v>
      </c>
      <c r="J92" s="39" t="n">
        <f aca="false">MONTH(B92)</f>
        <v>4</v>
      </c>
      <c r="K92" s="39" t="str">
        <f aca="false">TEXT(B92,"mmm")</f>
        <v>Apr</v>
      </c>
      <c r="L92" s="45" t="n">
        <f aca="false">IFERROR(INDEX(medicine_master!$I$2:$I$26,MATCH($C92,medicine_master!$A$2:$A$26,0)),0)</f>
        <v>25</v>
      </c>
      <c r="M92" s="45" t="n">
        <f aca="false">IFERROR(INDEX(medicine_master!$G$2:$G$26,MATCH($C92,medicine_master!$A$2:$A$26,0)),0)</f>
        <v>15</v>
      </c>
      <c r="N92" s="45" t="n">
        <f aca="false">IF(D92="Sale",E92*L92,0)</f>
        <v>0</v>
      </c>
      <c r="O92" s="45" t="n">
        <f aca="false">IF(D92="Sale",E92*M92,0)</f>
        <v>0</v>
      </c>
      <c r="P92" s="45" t="n">
        <f aca="false">N92-O92</f>
        <v>0</v>
      </c>
      <c r="Q92" s="45" t="n">
        <f aca="false">IF(D92="Purchase",E92*M92,0)</f>
        <v>600</v>
      </c>
    </row>
    <row r="93" customFormat="false" ht="15" hidden="false" customHeight="false" outlineLevel="0" collapsed="false">
      <c r="A93" s="39" t="s">
        <v>416</v>
      </c>
      <c r="B93" s="44" t="n">
        <v>46294</v>
      </c>
      <c r="C93" s="39" t="s">
        <v>180</v>
      </c>
      <c r="D93" s="39" t="s">
        <v>137</v>
      </c>
      <c r="E93" s="39" t="n">
        <v>20</v>
      </c>
      <c r="F93" s="39" t="str">
        <f aca="false">IF(COUNTIF(medicine_master!$A$2:$A$26,C93)&gt;0,"Valid","Invalid")</f>
        <v>Valid</v>
      </c>
      <c r="G93" s="39" t="str">
        <f aca="false">IFERROR(INDEX(medicine_master!$B$2:$B$26,MATCH($C93,medicine_master!$A$2:$A$26,0)),"Not found")</f>
        <v>Vitamin C 500mg</v>
      </c>
      <c r="H93" s="39" t="str">
        <f aca="false">IFERROR(INDEX(medicine_master!$C$2:$C$26,MATCH($C93,medicine_master!$A$2:$A$26,0)),"Not found")</f>
        <v>Vitamin</v>
      </c>
      <c r="I93" s="39" t="n">
        <f aca="false">YEAR(B93)</f>
        <v>2026</v>
      </c>
      <c r="J93" s="39" t="n">
        <f aca="false">MONTH(B93)</f>
        <v>9</v>
      </c>
      <c r="K93" s="39" t="str">
        <f aca="false">TEXT(B93,"mmm")</f>
        <v>Sep</v>
      </c>
      <c r="L93" s="45" t="n">
        <f aca="false">IFERROR(INDEX(medicine_master!$I$2:$I$26,MATCH($C93,medicine_master!$A$2:$A$26,0)),0)</f>
        <v>22</v>
      </c>
      <c r="M93" s="45" t="n">
        <f aca="false">IFERROR(INDEX(medicine_master!$G$2:$G$26,MATCH($C93,medicine_master!$A$2:$A$26,0)),0)</f>
        <v>14</v>
      </c>
      <c r="N93" s="45" t="n">
        <f aca="false">IF(D93="Sale",E93*L93,0)</f>
        <v>440</v>
      </c>
      <c r="O93" s="45" t="n">
        <f aca="false">IF(D93="Sale",E93*M93,0)</f>
        <v>280</v>
      </c>
      <c r="P93" s="45" t="n">
        <f aca="false">N93-O93</f>
        <v>160</v>
      </c>
      <c r="Q93" s="45" t="n">
        <f aca="false">IF(D93="Purchase",E93*M93,0)</f>
        <v>0</v>
      </c>
    </row>
    <row r="94" customFormat="false" ht="15" hidden="false" customHeight="false" outlineLevel="0" collapsed="false">
      <c r="A94" s="39" t="s">
        <v>417</v>
      </c>
      <c r="B94" s="44" t="n">
        <v>46371</v>
      </c>
      <c r="C94" s="39" t="s">
        <v>148</v>
      </c>
      <c r="D94" s="39" t="s">
        <v>138</v>
      </c>
      <c r="E94" s="39" t="n">
        <v>25</v>
      </c>
      <c r="F94" s="39" t="str">
        <f aca="false">IF(COUNTIF(medicine_master!$A$2:$A$26,C94)&gt;0,"Valid","Invalid")</f>
        <v>Valid</v>
      </c>
      <c r="G94" s="39" t="str">
        <f aca="false">IFERROR(INDEX(medicine_master!$B$2:$B$26,MATCH($C94,medicine_master!$A$2:$A$26,0)),"Not found")</f>
        <v>Dextromethorphan Syrup</v>
      </c>
      <c r="H94" s="39" t="str">
        <f aca="false">IFERROR(INDEX(medicine_master!$C$2:$C$26,MATCH($C94,medicine_master!$A$2:$A$26,0)),"Not found")</f>
        <v>Cold &amp; Cough</v>
      </c>
      <c r="I94" s="39" t="n">
        <f aca="false">YEAR(B94)</f>
        <v>2026</v>
      </c>
      <c r="J94" s="39" t="n">
        <f aca="false">MONTH(B94)</f>
        <v>12</v>
      </c>
      <c r="K94" s="39" t="str">
        <f aca="false">TEXT(B94,"mmm")</f>
        <v>Dec</v>
      </c>
      <c r="L94" s="45" t="n">
        <f aca="false">IFERROR(INDEX(medicine_master!$I$2:$I$26,MATCH($C94,medicine_master!$A$2:$A$26,0)),0)</f>
        <v>80</v>
      </c>
      <c r="M94" s="45" t="n">
        <f aca="false">IFERROR(INDEX(medicine_master!$G$2:$G$26,MATCH($C94,medicine_master!$A$2:$A$26,0)),0)</f>
        <v>58</v>
      </c>
      <c r="N94" s="45" t="n">
        <f aca="false">IF(D94="Sale",E94*L94,0)</f>
        <v>0</v>
      </c>
      <c r="O94" s="45" t="n">
        <f aca="false">IF(D94="Sale",E94*M94,0)</f>
        <v>0</v>
      </c>
      <c r="P94" s="45" t="n">
        <f aca="false">N94-O94</f>
        <v>0</v>
      </c>
      <c r="Q94" s="45" t="n">
        <f aca="false">IF(D94="Purchase",E94*M94,0)</f>
        <v>1450</v>
      </c>
    </row>
    <row r="95" customFormat="false" ht="15" hidden="false" customHeight="false" outlineLevel="0" collapsed="false">
      <c r="A95" s="39" t="s">
        <v>418</v>
      </c>
      <c r="B95" s="44" t="n">
        <v>46108</v>
      </c>
      <c r="C95" s="39" t="s">
        <v>178</v>
      </c>
      <c r="D95" s="39" t="s">
        <v>138</v>
      </c>
      <c r="E95" s="39" t="n">
        <v>10</v>
      </c>
      <c r="F95" s="39" t="str">
        <f aca="false">IF(COUNTIF(medicine_master!$A$2:$A$26,C95)&gt;0,"Valid","Invalid")</f>
        <v>Valid</v>
      </c>
      <c r="G95" s="39" t="str">
        <f aca="false">IFERROR(INDEX(medicine_master!$B$2:$B$26,MATCH($C95,medicine_master!$A$2:$A$26,0)),"Not found")</f>
        <v>Aspirin 75mg</v>
      </c>
      <c r="H95" s="39" t="str">
        <f aca="false">IFERROR(INDEX(medicine_master!$C$2:$C$26,MATCH($C95,medicine_master!$A$2:$A$26,0)),"Not found")</f>
        <v>Cardiac</v>
      </c>
      <c r="I95" s="39" t="n">
        <f aca="false">YEAR(B95)</f>
        <v>2026</v>
      </c>
      <c r="J95" s="39" t="n">
        <f aca="false">MONTH(B95)</f>
        <v>3</v>
      </c>
      <c r="K95" s="39" t="str">
        <f aca="false">TEXT(B95,"mmm")</f>
        <v>Mar</v>
      </c>
      <c r="L95" s="45" t="n">
        <f aca="false">IFERROR(INDEX(medicine_master!$I$2:$I$26,MATCH($C95,medicine_master!$A$2:$A$26,0)),0)</f>
        <v>15</v>
      </c>
      <c r="M95" s="45" t="n">
        <f aca="false">IFERROR(INDEX(medicine_master!$G$2:$G$26,MATCH($C95,medicine_master!$A$2:$A$26,0)),0)</f>
        <v>10</v>
      </c>
      <c r="N95" s="45" t="n">
        <f aca="false">IF(D95="Sale",E95*L95,0)</f>
        <v>0</v>
      </c>
      <c r="O95" s="45" t="n">
        <f aca="false">IF(D95="Sale",E95*M95,0)</f>
        <v>0</v>
      </c>
      <c r="P95" s="45" t="n">
        <f aca="false">N95-O95</f>
        <v>0</v>
      </c>
      <c r="Q95" s="45" t="n">
        <f aca="false">IF(D95="Purchase",E95*M95,0)</f>
        <v>100</v>
      </c>
    </row>
    <row r="96" customFormat="false" ht="15" hidden="false" customHeight="false" outlineLevel="0" collapsed="false">
      <c r="A96" s="39" t="s">
        <v>419</v>
      </c>
      <c r="B96" s="44" t="n">
        <v>46069</v>
      </c>
      <c r="C96" s="39" t="s">
        <v>145</v>
      </c>
      <c r="D96" s="39" t="s">
        <v>138</v>
      </c>
      <c r="E96" s="39" t="n">
        <v>50</v>
      </c>
      <c r="F96" s="39" t="str">
        <f aca="false">IF(COUNTIF(medicine_master!$A$2:$A$26,C96)&gt;0,"Valid","Invalid")</f>
        <v>Valid</v>
      </c>
      <c r="G96" s="39" t="str">
        <f aca="false">IFERROR(INDEX(medicine_master!$B$2:$B$26,MATCH($C96,medicine_master!$A$2:$A$26,0)),"Not found")</f>
        <v>Clotrimazole Cream</v>
      </c>
      <c r="H96" s="39" t="str">
        <f aca="false">IFERROR(INDEX(medicine_master!$C$2:$C$26,MATCH($C96,medicine_master!$A$2:$A$26,0)),"Not found")</f>
        <v>Dermatology</v>
      </c>
      <c r="I96" s="39" t="n">
        <f aca="false">YEAR(B96)</f>
        <v>2026</v>
      </c>
      <c r="J96" s="39" t="n">
        <f aca="false">MONTH(B96)</f>
        <v>2</v>
      </c>
      <c r="K96" s="39" t="str">
        <f aca="false">TEXT(B96,"mmm")</f>
        <v>Feb</v>
      </c>
      <c r="L96" s="45" t="n">
        <f aca="false">IFERROR(INDEX(medicine_master!$I$2:$I$26,MATCH($C96,medicine_master!$A$2:$A$26,0)),0)</f>
        <v>48</v>
      </c>
      <c r="M96" s="45" t="n">
        <f aca="false">IFERROR(INDEX(medicine_master!$G$2:$G$26,MATCH($C96,medicine_master!$A$2:$A$26,0)),0)</f>
        <v>32</v>
      </c>
      <c r="N96" s="45" t="n">
        <f aca="false">IF(D96="Sale",E96*L96,0)</f>
        <v>0</v>
      </c>
      <c r="O96" s="45" t="n">
        <f aca="false">IF(D96="Sale",E96*M96,0)</f>
        <v>0</v>
      </c>
      <c r="P96" s="45" t="n">
        <f aca="false">N96-O96</f>
        <v>0</v>
      </c>
      <c r="Q96" s="45" t="n">
        <f aca="false">IF(D96="Purchase",E96*M96,0)</f>
        <v>1600</v>
      </c>
    </row>
    <row r="97" customFormat="false" ht="15" hidden="false" customHeight="false" outlineLevel="0" collapsed="false">
      <c r="A97" s="39" t="s">
        <v>420</v>
      </c>
      <c r="B97" s="44" t="n">
        <v>46226</v>
      </c>
      <c r="C97" s="39" t="s">
        <v>177</v>
      </c>
      <c r="D97" s="39" t="s">
        <v>138</v>
      </c>
      <c r="E97" s="39" t="n">
        <v>20</v>
      </c>
      <c r="F97" s="39" t="str">
        <f aca="false">IF(COUNTIF(medicine_master!$A$2:$A$26,C97)&gt;0,"Valid","Invalid")</f>
        <v>Valid</v>
      </c>
      <c r="G97" s="39" t="str">
        <f aca="false">IFERROR(INDEX(medicine_master!$B$2:$B$26,MATCH($C97,medicine_master!$A$2:$A$26,0)),"Not found")</f>
        <v>Bandage Roll</v>
      </c>
      <c r="H97" s="39" t="str">
        <f aca="false">IFERROR(INDEX(medicine_master!$C$2:$C$26,MATCH($C97,medicine_master!$A$2:$A$26,0)),"Not found")</f>
        <v>First Aid</v>
      </c>
      <c r="I97" s="39" t="n">
        <f aca="false">YEAR(B97)</f>
        <v>2026</v>
      </c>
      <c r="J97" s="39" t="n">
        <f aca="false">MONTH(B97)</f>
        <v>7</v>
      </c>
      <c r="K97" s="39" t="str">
        <f aca="false">TEXT(B97,"mmm")</f>
        <v>Jul</v>
      </c>
      <c r="L97" s="45" t="n">
        <f aca="false">IFERROR(INDEX(medicine_master!$I$2:$I$26,MATCH($C97,medicine_master!$A$2:$A$26,0)),0)</f>
        <v>25</v>
      </c>
      <c r="M97" s="45" t="n">
        <f aca="false">IFERROR(INDEX(medicine_master!$G$2:$G$26,MATCH($C97,medicine_master!$A$2:$A$26,0)),0)</f>
        <v>15</v>
      </c>
      <c r="N97" s="45" t="n">
        <f aca="false">IF(D97="Sale",E97*L97,0)</f>
        <v>0</v>
      </c>
      <c r="O97" s="45" t="n">
        <f aca="false">IF(D97="Sale",E97*M97,0)</f>
        <v>0</v>
      </c>
      <c r="P97" s="45" t="n">
        <f aca="false">N97-O97</f>
        <v>0</v>
      </c>
      <c r="Q97" s="45" t="n">
        <f aca="false">IF(D97="Purchase",E97*M97,0)</f>
        <v>300</v>
      </c>
    </row>
    <row r="98" customFormat="false" ht="15" hidden="false" customHeight="false" outlineLevel="0" collapsed="false">
      <c r="A98" s="39" t="s">
        <v>421</v>
      </c>
      <c r="B98" s="44" t="n">
        <v>46061</v>
      </c>
      <c r="C98" s="39" t="s">
        <v>149</v>
      </c>
      <c r="D98" s="39" t="s">
        <v>138</v>
      </c>
      <c r="E98" s="39" t="n">
        <v>20</v>
      </c>
      <c r="F98" s="39" t="str">
        <f aca="false">IF(COUNTIF(medicine_master!$A$2:$A$26,C98)&gt;0,"Valid","Invalid")</f>
        <v>Valid</v>
      </c>
      <c r="G98" s="39" t="str">
        <f aca="false">IFERROR(INDEX(medicine_master!$B$2:$B$26,MATCH($C98,medicine_master!$A$2:$A$26,0)),"Not found")</f>
        <v>Azithromycin 500mg</v>
      </c>
      <c r="H98" s="39" t="str">
        <f aca="false">IFERROR(INDEX(medicine_master!$C$2:$C$26,MATCH($C98,medicine_master!$A$2:$A$26,0)),"Not found")</f>
        <v>Antibiotic</v>
      </c>
      <c r="I98" s="39" t="n">
        <f aca="false">YEAR(B98)</f>
        <v>2026</v>
      </c>
      <c r="J98" s="39" t="n">
        <f aca="false">MONTH(B98)</f>
        <v>2</v>
      </c>
      <c r="K98" s="39" t="str">
        <f aca="false">TEXT(B98,"mmm")</f>
        <v>Feb</v>
      </c>
      <c r="L98" s="45" t="n">
        <f aca="false">IFERROR(INDEX(medicine_master!$I$2:$I$26,MATCH($C98,medicine_master!$A$2:$A$26,0)),0)</f>
        <v>50</v>
      </c>
      <c r="M98" s="45" t="n">
        <f aca="false">IFERROR(INDEX(medicine_master!$G$2:$G$26,MATCH($C98,medicine_master!$A$2:$A$26,0)),0)</f>
        <v>35</v>
      </c>
      <c r="N98" s="45" t="n">
        <f aca="false">IF(D98="Sale",E98*L98,0)</f>
        <v>0</v>
      </c>
      <c r="O98" s="45" t="n">
        <f aca="false">IF(D98="Sale",E98*M98,0)</f>
        <v>0</v>
      </c>
      <c r="P98" s="45" t="n">
        <f aca="false">N98-O98</f>
        <v>0</v>
      </c>
      <c r="Q98" s="45" t="n">
        <f aca="false">IF(D98="Purchase",E98*M98,0)</f>
        <v>700</v>
      </c>
    </row>
    <row r="99" customFormat="false" ht="15" hidden="false" customHeight="false" outlineLevel="0" collapsed="false">
      <c r="A99" s="39" t="s">
        <v>422</v>
      </c>
      <c r="B99" s="44" t="n">
        <v>46045</v>
      </c>
      <c r="C99" s="39" t="s">
        <v>150</v>
      </c>
      <c r="D99" s="39" t="s">
        <v>137</v>
      </c>
      <c r="E99" s="39" t="n">
        <v>40</v>
      </c>
      <c r="F99" s="39" t="str">
        <f aca="false">IF(COUNTIF(medicine_master!$A$2:$A$26,C99)&gt;0,"Valid","Invalid")</f>
        <v>Valid</v>
      </c>
      <c r="G99" s="39" t="str">
        <f aca="false">IFERROR(INDEX(medicine_master!$B$2:$B$26,MATCH($C99,medicine_master!$A$2:$A$26,0)),"Not found")</f>
        <v>Pantoprazole 40mg</v>
      </c>
      <c r="H99" s="39" t="str">
        <f aca="false">IFERROR(INDEX(medicine_master!$C$2:$C$26,MATCH($C99,medicine_master!$A$2:$A$26,0)),"Not found")</f>
        <v>Gastric</v>
      </c>
      <c r="I99" s="39" t="n">
        <f aca="false">YEAR(B99)</f>
        <v>2026</v>
      </c>
      <c r="J99" s="39" t="n">
        <f aca="false">MONTH(B99)</f>
        <v>1</v>
      </c>
      <c r="K99" s="39" t="str">
        <f aca="false">TEXT(B99,"mmm")</f>
        <v>Jan</v>
      </c>
      <c r="L99" s="45" t="n">
        <f aca="false">IFERROR(INDEX(medicine_master!$I$2:$I$26,MATCH($C99,medicine_master!$A$2:$A$26,0)),0)</f>
        <v>35</v>
      </c>
      <c r="M99" s="45" t="n">
        <f aca="false">IFERROR(INDEX(medicine_master!$G$2:$G$26,MATCH($C99,medicine_master!$A$2:$A$26,0)),0)</f>
        <v>24</v>
      </c>
      <c r="N99" s="45" t="n">
        <f aca="false">IF(D99="Sale",E99*L99,0)</f>
        <v>1400</v>
      </c>
      <c r="O99" s="45" t="n">
        <f aca="false">IF(D99="Sale",E99*M99,0)</f>
        <v>960</v>
      </c>
      <c r="P99" s="45" t="n">
        <f aca="false">N99-O99</f>
        <v>440</v>
      </c>
      <c r="Q99" s="45" t="n">
        <f aca="false">IF(D99="Purchase",E99*M99,0)</f>
        <v>0</v>
      </c>
    </row>
    <row r="100" customFormat="false" ht="15" hidden="false" customHeight="false" outlineLevel="0" collapsed="false">
      <c r="A100" s="39" t="s">
        <v>423</v>
      </c>
      <c r="B100" s="44" t="n">
        <v>46202</v>
      </c>
      <c r="C100" s="39" t="s">
        <v>150</v>
      </c>
      <c r="D100" s="39" t="s">
        <v>137</v>
      </c>
      <c r="E100" s="39" t="n">
        <v>20</v>
      </c>
      <c r="F100" s="39" t="str">
        <f aca="false">IF(COUNTIF(medicine_master!$A$2:$A$26,C100)&gt;0,"Valid","Invalid")</f>
        <v>Valid</v>
      </c>
      <c r="G100" s="39" t="str">
        <f aca="false">IFERROR(INDEX(medicine_master!$B$2:$B$26,MATCH($C100,medicine_master!$A$2:$A$26,0)),"Not found")</f>
        <v>Pantoprazole 40mg</v>
      </c>
      <c r="H100" s="39" t="str">
        <f aca="false">IFERROR(INDEX(medicine_master!$C$2:$C$26,MATCH($C100,medicine_master!$A$2:$A$26,0)),"Not found")</f>
        <v>Gastric</v>
      </c>
      <c r="I100" s="39" t="n">
        <f aca="false">YEAR(B100)</f>
        <v>2026</v>
      </c>
      <c r="J100" s="39" t="n">
        <f aca="false">MONTH(B100)</f>
        <v>6</v>
      </c>
      <c r="K100" s="39" t="str">
        <f aca="false">TEXT(B100,"mmm")</f>
        <v>Jun</v>
      </c>
      <c r="L100" s="45" t="n">
        <f aca="false">IFERROR(INDEX(medicine_master!$I$2:$I$26,MATCH($C100,medicine_master!$A$2:$A$26,0)),0)</f>
        <v>35</v>
      </c>
      <c r="M100" s="45" t="n">
        <f aca="false">IFERROR(INDEX(medicine_master!$G$2:$G$26,MATCH($C100,medicine_master!$A$2:$A$26,0)),0)</f>
        <v>24</v>
      </c>
      <c r="N100" s="45" t="n">
        <f aca="false">IF(D100="Sale",E100*L100,0)</f>
        <v>700</v>
      </c>
      <c r="O100" s="45" t="n">
        <f aca="false">IF(D100="Sale",E100*M100,0)</f>
        <v>480</v>
      </c>
      <c r="P100" s="45" t="n">
        <f aca="false">N100-O100</f>
        <v>220</v>
      </c>
      <c r="Q100" s="45" t="n">
        <f aca="false">IF(D100="Purchase",E100*M100,0)</f>
        <v>0</v>
      </c>
    </row>
    <row r="101" customFormat="false" ht="15" hidden="false" customHeight="false" outlineLevel="0" collapsed="false">
      <c r="A101" s="39" t="s">
        <v>424</v>
      </c>
      <c r="B101" s="44" t="n">
        <v>46279</v>
      </c>
      <c r="C101" s="39" t="s">
        <v>147</v>
      </c>
      <c r="D101" s="39" t="s">
        <v>137</v>
      </c>
      <c r="E101" s="39" t="n">
        <v>10</v>
      </c>
      <c r="F101" s="39" t="str">
        <f aca="false">IF(COUNTIF(medicine_master!$A$2:$A$26,C101)&gt;0,"Valid","Invalid")</f>
        <v>Valid</v>
      </c>
      <c r="G101" s="39" t="str">
        <f aca="false">IFERROR(INDEX(medicine_master!$B$2:$B$26,MATCH($C101,medicine_master!$A$2:$A$26,0)),"Not found")</f>
        <v>Insulin Injection</v>
      </c>
      <c r="H101" s="39" t="str">
        <f aca="false">IFERROR(INDEX(medicine_master!$C$2:$C$26,MATCH($C101,medicine_master!$A$2:$A$26,0)),"Not found")</f>
        <v>Diabetes</v>
      </c>
      <c r="I101" s="39" t="n">
        <f aca="false">YEAR(B101)</f>
        <v>2026</v>
      </c>
      <c r="J101" s="39" t="n">
        <f aca="false">MONTH(B101)</f>
        <v>9</v>
      </c>
      <c r="K101" s="39" t="str">
        <f aca="false">TEXT(B101,"mmm")</f>
        <v>Sep</v>
      </c>
      <c r="L101" s="45" t="n">
        <f aca="false">IFERROR(INDEX(medicine_master!$I$2:$I$26,MATCH($C101,medicine_master!$A$2:$A$26,0)),0)</f>
        <v>225</v>
      </c>
      <c r="M101" s="45" t="n">
        <f aca="false">IFERROR(INDEX(medicine_master!$G$2:$G$26,MATCH($C101,medicine_master!$A$2:$A$26,0)),0)</f>
        <v>165</v>
      </c>
      <c r="N101" s="45" t="n">
        <f aca="false">IF(D101="Sale",E101*L101,0)</f>
        <v>2250</v>
      </c>
      <c r="O101" s="45" t="n">
        <f aca="false">IF(D101="Sale",E101*M101,0)</f>
        <v>1650</v>
      </c>
      <c r="P101" s="45" t="n">
        <f aca="false">N101-O101</f>
        <v>600</v>
      </c>
      <c r="Q101" s="45" t="n">
        <f aca="false">IF(D101="Purchase",E101*M101,0)</f>
        <v>0</v>
      </c>
    </row>
    <row r="102" customFormat="false" ht="15" hidden="false" customHeight="false" outlineLevel="0" collapsed="false">
      <c r="A102" s="39" t="s">
        <v>425</v>
      </c>
      <c r="B102" s="44" t="n">
        <v>46302</v>
      </c>
      <c r="C102" s="39" t="s">
        <v>177</v>
      </c>
      <c r="D102" s="39" t="s">
        <v>137</v>
      </c>
      <c r="E102" s="39" t="n">
        <v>5</v>
      </c>
      <c r="F102" s="39" t="str">
        <f aca="false">IF(COUNTIF(medicine_master!$A$2:$A$26,C102)&gt;0,"Valid","Invalid")</f>
        <v>Valid</v>
      </c>
      <c r="G102" s="39" t="str">
        <f aca="false">IFERROR(INDEX(medicine_master!$B$2:$B$26,MATCH($C102,medicine_master!$A$2:$A$26,0)),"Not found")</f>
        <v>Bandage Roll</v>
      </c>
      <c r="H102" s="39" t="str">
        <f aca="false">IFERROR(INDEX(medicine_master!$C$2:$C$26,MATCH($C102,medicine_master!$A$2:$A$26,0)),"Not found")</f>
        <v>First Aid</v>
      </c>
      <c r="I102" s="39" t="n">
        <f aca="false">YEAR(B102)</f>
        <v>2026</v>
      </c>
      <c r="J102" s="39" t="n">
        <f aca="false">MONTH(B102)</f>
        <v>10</v>
      </c>
      <c r="K102" s="39" t="str">
        <f aca="false">TEXT(B102,"mmm")</f>
        <v>Oct</v>
      </c>
      <c r="L102" s="45" t="n">
        <f aca="false">IFERROR(INDEX(medicine_master!$I$2:$I$26,MATCH($C102,medicine_master!$A$2:$A$26,0)),0)</f>
        <v>25</v>
      </c>
      <c r="M102" s="45" t="n">
        <f aca="false">IFERROR(INDEX(medicine_master!$G$2:$G$26,MATCH($C102,medicine_master!$A$2:$A$26,0)),0)</f>
        <v>15</v>
      </c>
      <c r="N102" s="45" t="n">
        <f aca="false">IF(D102="Sale",E102*L102,0)</f>
        <v>125</v>
      </c>
      <c r="O102" s="45" t="n">
        <f aca="false">IF(D102="Sale",E102*M102,0)</f>
        <v>75</v>
      </c>
      <c r="P102" s="45" t="n">
        <f aca="false">N102-O102</f>
        <v>50</v>
      </c>
      <c r="Q102" s="45" t="n">
        <f aca="false">IF(D102="Purchase",E102*M102,0)</f>
        <v>0</v>
      </c>
    </row>
    <row r="103" customFormat="false" ht="15" hidden="false" customHeight="false" outlineLevel="0" collapsed="false">
      <c r="A103" s="39" t="s">
        <v>426</v>
      </c>
      <c r="B103" s="44" t="n">
        <v>46182</v>
      </c>
      <c r="C103" s="39" t="s">
        <v>146</v>
      </c>
      <c r="D103" s="39" t="s">
        <v>137</v>
      </c>
      <c r="E103" s="39" t="n">
        <v>20</v>
      </c>
      <c r="F103" s="39" t="str">
        <f aca="false">IF(COUNTIF(medicine_master!$A$2:$A$26,C103)&gt;0,"Valid","Invalid")</f>
        <v>Valid</v>
      </c>
      <c r="G103" s="39" t="str">
        <f aca="false">IFERROR(INDEX(medicine_master!$B$2:$B$26,MATCH($C103,medicine_master!$A$2:$A$26,0)),"Not found")</f>
        <v>Diclofenac Gel</v>
      </c>
      <c r="H103" s="39" t="str">
        <f aca="false">IFERROR(INDEX(medicine_master!$C$2:$C$26,MATCH($C103,medicine_master!$A$2:$A$26,0)),"Not found")</f>
        <v>Pain Relief</v>
      </c>
      <c r="I103" s="39" t="n">
        <f aca="false">YEAR(B103)</f>
        <v>2026</v>
      </c>
      <c r="J103" s="39" t="n">
        <f aca="false">MONTH(B103)</f>
        <v>6</v>
      </c>
      <c r="K103" s="39" t="str">
        <f aca="false">TEXT(B103,"mmm")</f>
        <v>Jun</v>
      </c>
      <c r="L103" s="45" t="n">
        <f aca="false">IFERROR(INDEX(medicine_master!$I$2:$I$26,MATCH($C103,medicine_master!$A$2:$A$26,0)),0)</f>
        <v>55</v>
      </c>
      <c r="M103" s="45" t="n">
        <f aca="false">IFERROR(INDEX(medicine_master!$G$2:$G$26,MATCH($C103,medicine_master!$A$2:$A$26,0)),0)</f>
        <v>38</v>
      </c>
      <c r="N103" s="45" t="n">
        <f aca="false">IF(D103="Sale",E103*L103,0)</f>
        <v>1100</v>
      </c>
      <c r="O103" s="45" t="n">
        <f aca="false">IF(D103="Sale",E103*M103,0)</f>
        <v>760</v>
      </c>
      <c r="P103" s="45" t="n">
        <f aca="false">N103-O103</f>
        <v>340</v>
      </c>
      <c r="Q103" s="45" t="n">
        <f aca="false">IF(D103="Purchase",E103*M103,0)</f>
        <v>0</v>
      </c>
    </row>
    <row r="104" customFormat="false" ht="15" hidden="false" customHeight="false" outlineLevel="0" collapsed="false">
      <c r="A104" s="39" t="s">
        <v>427</v>
      </c>
      <c r="B104" s="44" t="n">
        <v>46055</v>
      </c>
      <c r="C104" s="39" t="s">
        <v>345</v>
      </c>
      <c r="D104" s="39" t="s">
        <v>137</v>
      </c>
      <c r="E104" s="39" t="n">
        <v>30</v>
      </c>
      <c r="F104" s="39" t="str">
        <f aca="false">IF(COUNTIF(medicine_master!$A$2:$A$26,C104)&gt;0,"Valid","Invalid")</f>
        <v>Valid</v>
      </c>
      <c r="G104" s="39" t="str">
        <f aca="false">IFERROR(INDEX(medicine_master!$B$2:$B$26,MATCH($C104,medicine_master!$A$2:$A$26,0)),"Not found")</f>
        <v>Paracetamol 500mg</v>
      </c>
      <c r="H104" s="39" t="str">
        <f aca="false">IFERROR(INDEX(medicine_master!$C$2:$C$26,MATCH($C104,medicine_master!$A$2:$A$26,0)),"Not found")</f>
        <v>Pain Relief</v>
      </c>
      <c r="I104" s="39" t="n">
        <f aca="false">YEAR(B104)</f>
        <v>2026</v>
      </c>
      <c r="J104" s="39" t="n">
        <f aca="false">MONTH(B104)</f>
        <v>2</v>
      </c>
      <c r="K104" s="39" t="str">
        <f aca="false">TEXT(B104,"mmm")</f>
        <v>Feb</v>
      </c>
      <c r="L104" s="45" t="n">
        <f aca="false">IFERROR(INDEX(medicine_master!$I$2:$I$26,MATCH($C104,medicine_master!$A$2:$A$26,0)),0)</f>
        <v>18</v>
      </c>
      <c r="M104" s="45" t="n">
        <f aca="false">IFERROR(INDEX(medicine_master!$G$2:$G$26,MATCH($C104,medicine_master!$A$2:$A$26,0)),0)</f>
        <v>12</v>
      </c>
      <c r="N104" s="45" t="n">
        <f aca="false">IF(D104="Sale",E104*L104,0)</f>
        <v>540</v>
      </c>
      <c r="O104" s="45" t="n">
        <f aca="false">IF(D104="Sale",E104*M104,0)</f>
        <v>360</v>
      </c>
      <c r="P104" s="45" t="n">
        <f aca="false">N104-O104</f>
        <v>180</v>
      </c>
      <c r="Q104" s="45" t="n">
        <f aca="false">IF(D104="Purchase",E104*M104,0)</f>
        <v>0</v>
      </c>
    </row>
    <row r="105" customFormat="false" ht="15" hidden="false" customHeight="false" outlineLevel="0" collapsed="false">
      <c r="A105" s="39" t="s">
        <v>428</v>
      </c>
      <c r="B105" s="44" t="n">
        <v>46290</v>
      </c>
      <c r="C105" s="39" t="s">
        <v>151</v>
      </c>
      <c r="D105" s="39" t="s">
        <v>137</v>
      </c>
      <c r="E105" s="39" t="n">
        <v>25</v>
      </c>
      <c r="F105" s="39" t="str">
        <f aca="false">IF(COUNTIF(medicine_master!$A$2:$A$26,C105)&gt;0,"Valid","Invalid")</f>
        <v>Valid</v>
      </c>
      <c r="G105" s="39" t="str">
        <f aca="false">IFERROR(INDEX(medicine_master!$B$2:$B$26,MATCH($C105,medicine_master!$A$2:$A$26,0)),"Not found")</f>
        <v>Cetirizine 10mg</v>
      </c>
      <c r="H105" s="39" t="str">
        <f aca="false">IFERROR(INDEX(medicine_master!$C$2:$C$26,MATCH($C105,medicine_master!$A$2:$A$26,0)),"Not found")</f>
        <v>Allergy</v>
      </c>
      <c r="I105" s="39" t="n">
        <f aca="false">YEAR(B105)</f>
        <v>2026</v>
      </c>
      <c r="J105" s="39" t="n">
        <f aca="false">MONTH(B105)</f>
        <v>9</v>
      </c>
      <c r="K105" s="39" t="str">
        <f aca="false">TEXT(B105,"mmm")</f>
        <v>Sep</v>
      </c>
      <c r="L105" s="45" t="n">
        <f aca="false">IFERROR(INDEX(medicine_master!$I$2:$I$26,MATCH($C105,medicine_master!$A$2:$A$26,0)),0)</f>
        <v>13</v>
      </c>
      <c r="M105" s="45" t="n">
        <f aca="false">IFERROR(INDEX(medicine_master!$G$2:$G$26,MATCH($C105,medicine_master!$A$2:$A$26,0)),0)</f>
        <v>8</v>
      </c>
      <c r="N105" s="45" t="n">
        <f aca="false">IF(D105="Sale",E105*L105,0)</f>
        <v>325</v>
      </c>
      <c r="O105" s="45" t="n">
        <f aca="false">IF(D105="Sale",E105*M105,0)</f>
        <v>200</v>
      </c>
      <c r="P105" s="45" t="n">
        <f aca="false">N105-O105</f>
        <v>125</v>
      </c>
      <c r="Q105" s="45" t="n">
        <f aca="false">IF(D105="Purchase",E105*M105,0)</f>
        <v>0</v>
      </c>
    </row>
    <row r="106" customFormat="false" ht="15" hidden="false" customHeight="false" outlineLevel="0" collapsed="false">
      <c r="A106" s="39" t="s">
        <v>429</v>
      </c>
      <c r="B106" s="44" t="n">
        <v>46065</v>
      </c>
      <c r="C106" s="39" t="s">
        <v>144</v>
      </c>
      <c r="D106" s="39" t="s">
        <v>138</v>
      </c>
      <c r="E106" s="39" t="n">
        <v>15</v>
      </c>
      <c r="F106" s="39" t="str">
        <f aca="false">IF(COUNTIF(medicine_master!$A$2:$A$26,C106)&gt;0,"Valid","Invalid")</f>
        <v>Valid</v>
      </c>
      <c r="G106" s="39" t="str">
        <f aca="false">IFERROR(INDEX(medicine_master!$B$2:$B$26,MATCH($C106,medicine_master!$A$2:$A$26,0)),"Not found")</f>
        <v>Glimepiride 2mg</v>
      </c>
      <c r="H106" s="39" t="str">
        <f aca="false">IFERROR(INDEX(medicine_master!$C$2:$C$26,MATCH($C106,medicine_master!$A$2:$A$26,0)),"Not found")</f>
        <v>Diabetes</v>
      </c>
      <c r="I106" s="39" t="n">
        <f aca="false">YEAR(B106)</f>
        <v>2026</v>
      </c>
      <c r="J106" s="39" t="n">
        <f aca="false">MONTH(B106)</f>
        <v>2</v>
      </c>
      <c r="K106" s="39" t="str">
        <f aca="false">TEXT(B106,"mmm")</f>
        <v>Feb</v>
      </c>
      <c r="L106" s="45" t="n">
        <f aca="false">IFERROR(INDEX(medicine_master!$I$2:$I$26,MATCH($C106,medicine_master!$A$2:$A$26,0)),0)</f>
        <v>52</v>
      </c>
      <c r="M106" s="45" t="n">
        <f aca="false">IFERROR(INDEX(medicine_master!$G$2:$G$26,MATCH($C106,medicine_master!$A$2:$A$26,0)),0)</f>
        <v>38</v>
      </c>
      <c r="N106" s="45" t="n">
        <f aca="false">IF(D106="Sale",E106*L106,0)</f>
        <v>0</v>
      </c>
      <c r="O106" s="45" t="n">
        <f aca="false">IF(D106="Sale",E106*M106,0)</f>
        <v>0</v>
      </c>
      <c r="P106" s="45" t="n">
        <f aca="false">N106-O106</f>
        <v>0</v>
      </c>
      <c r="Q106" s="45" t="n">
        <f aca="false">IF(D106="Purchase",E106*M106,0)</f>
        <v>570</v>
      </c>
    </row>
    <row r="107" customFormat="false" ht="15" hidden="false" customHeight="false" outlineLevel="0" collapsed="false">
      <c r="A107" s="39" t="s">
        <v>430</v>
      </c>
      <c r="B107" s="44" t="n">
        <v>46324</v>
      </c>
      <c r="C107" s="39" t="s">
        <v>179</v>
      </c>
      <c r="D107" s="39" t="s">
        <v>138</v>
      </c>
      <c r="E107" s="39" t="n">
        <v>25</v>
      </c>
      <c r="F107" s="39" t="str">
        <f aca="false">IF(COUNTIF(medicine_master!$A$2:$A$26,C107)&gt;0,"Valid","Invalid")</f>
        <v>Valid</v>
      </c>
      <c r="G107" s="39" t="str">
        <f aca="false">IFERROR(INDEX(medicine_master!$B$2:$B$26,MATCH($C107,medicine_master!$A$2:$A$26,0)),"Not found")</f>
        <v>Ibuprofen 400mg</v>
      </c>
      <c r="H107" s="39" t="str">
        <f aca="false">IFERROR(INDEX(medicine_master!$C$2:$C$26,MATCH($C107,medicine_master!$A$2:$A$26,0)),"Not found")</f>
        <v>Pain Relief</v>
      </c>
      <c r="I107" s="39" t="n">
        <f aca="false">YEAR(B107)</f>
        <v>2026</v>
      </c>
      <c r="J107" s="39" t="n">
        <f aca="false">MONTH(B107)</f>
        <v>10</v>
      </c>
      <c r="K107" s="39" t="str">
        <f aca="false">TEXT(B107,"mmm")</f>
        <v>Oct</v>
      </c>
      <c r="L107" s="45" t="n">
        <f aca="false">IFERROR(INDEX(medicine_master!$I$2:$I$26,MATCH($C107,medicine_master!$A$2:$A$26,0)),0)</f>
        <v>30</v>
      </c>
      <c r="M107" s="45" t="n">
        <f aca="false">IFERROR(INDEX(medicine_master!$G$2:$G$26,MATCH($C107,medicine_master!$A$2:$A$26,0)),0)</f>
        <v>22</v>
      </c>
      <c r="N107" s="45" t="n">
        <f aca="false">IF(D107="Sale",E107*L107,0)</f>
        <v>0</v>
      </c>
      <c r="O107" s="45" t="n">
        <f aca="false">IF(D107="Sale",E107*M107,0)</f>
        <v>0</v>
      </c>
      <c r="P107" s="45" t="n">
        <f aca="false">N107-O107</f>
        <v>0</v>
      </c>
      <c r="Q107" s="45" t="n">
        <f aca="false">IF(D107="Purchase",E107*M107,0)</f>
        <v>550</v>
      </c>
    </row>
    <row r="108" customFormat="false" ht="15" hidden="false" customHeight="false" outlineLevel="0" collapsed="false">
      <c r="A108" s="39" t="s">
        <v>431</v>
      </c>
      <c r="B108" s="44" t="n">
        <v>46237</v>
      </c>
      <c r="C108" s="39" t="s">
        <v>145</v>
      </c>
      <c r="D108" s="39" t="s">
        <v>137</v>
      </c>
      <c r="E108" s="39" t="n">
        <v>20</v>
      </c>
      <c r="F108" s="39" t="str">
        <f aca="false">IF(COUNTIF(medicine_master!$A$2:$A$26,C108)&gt;0,"Valid","Invalid")</f>
        <v>Valid</v>
      </c>
      <c r="G108" s="39" t="str">
        <f aca="false">IFERROR(INDEX(medicine_master!$B$2:$B$26,MATCH($C108,medicine_master!$A$2:$A$26,0)),"Not found")</f>
        <v>Clotrimazole Cream</v>
      </c>
      <c r="H108" s="39" t="str">
        <f aca="false">IFERROR(INDEX(medicine_master!$C$2:$C$26,MATCH($C108,medicine_master!$A$2:$A$26,0)),"Not found")</f>
        <v>Dermatology</v>
      </c>
      <c r="I108" s="39" t="n">
        <f aca="false">YEAR(B108)</f>
        <v>2026</v>
      </c>
      <c r="J108" s="39" t="n">
        <f aca="false">MONTH(B108)</f>
        <v>8</v>
      </c>
      <c r="K108" s="39" t="str">
        <f aca="false">TEXT(B108,"mmm")</f>
        <v>Aug</v>
      </c>
      <c r="L108" s="45" t="n">
        <f aca="false">IFERROR(INDEX(medicine_master!$I$2:$I$26,MATCH($C108,medicine_master!$A$2:$A$26,0)),0)</f>
        <v>48</v>
      </c>
      <c r="M108" s="45" t="n">
        <f aca="false">IFERROR(INDEX(medicine_master!$G$2:$G$26,MATCH($C108,medicine_master!$A$2:$A$26,0)),0)</f>
        <v>32</v>
      </c>
      <c r="N108" s="45" t="n">
        <f aca="false">IF(D108="Sale",E108*L108,0)</f>
        <v>960</v>
      </c>
      <c r="O108" s="45" t="n">
        <f aca="false">IF(D108="Sale",E108*M108,0)</f>
        <v>640</v>
      </c>
      <c r="P108" s="45" t="n">
        <f aca="false">N108-O108</f>
        <v>320</v>
      </c>
      <c r="Q108" s="45" t="n">
        <f aca="false">IF(D108="Purchase",E108*M108,0)</f>
        <v>0</v>
      </c>
    </row>
    <row r="109" customFormat="false" ht="15" hidden="false" customHeight="false" outlineLevel="0" collapsed="false">
      <c r="A109" s="39" t="s">
        <v>432</v>
      </c>
      <c r="B109" s="44" t="n">
        <v>46112</v>
      </c>
      <c r="C109" s="39" t="s">
        <v>179</v>
      </c>
      <c r="D109" s="39" t="s">
        <v>138</v>
      </c>
      <c r="E109" s="39" t="n">
        <v>20</v>
      </c>
      <c r="F109" s="39" t="str">
        <f aca="false">IF(COUNTIF(medicine_master!$A$2:$A$26,C109)&gt;0,"Valid","Invalid")</f>
        <v>Valid</v>
      </c>
      <c r="G109" s="39" t="str">
        <f aca="false">IFERROR(INDEX(medicine_master!$B$2:$B$26,MATCH($C109,medicine_master!$A$2:$A$26,0)),"Not found")</f>
        <v>Ibuprofen 400mg</v>
      </c>
      <c r="H109" s="39" t="str">
        <f aca="false">IFERROR(INDEX(medicine_master!$C$2:$C$26,MATCH($C109,medicine_master!$A$2:$A$26,0)),"Not found")</f>
        <v>Pain Relief</v>
      </c>
      <c r="I109" s="39" t="n">
        <f aca="false">YEAR(B109)</f>
        <v>2026</v>
      </c>
      <c r="J109" s="39" t="n">
        <f aca="false">MONTH(B109)</f>
        <v>3</v>
      </c>
      <c r="K109" s="39" t="str">
        <f aca="false">TEXT(B109,"mmm")</f>
        <v>Mar</v>
      </c>
      <c r="L109" s="45" t="n">
        <f aca="false">IFERROR(INDEX(medicine_master!$I$2:$I$26,MATCH($C109,medicine_master!$A$2:$A$26,0)),0)</f>
        <v>30</v>
      </c>
      <c r="M109" s="45" t="n">
        <f aca="false">IFERROR(INDEX(medicine_master!$G$2:$G$26,MATCH($C109,medicine_master!$A$2:$A$26,0)),0)</f>
        <v>22</v>
      </c>
      <c r="N109" s="45" t="n">
        <f aca="false">IF(D109="Sale",E109*L109,0)</f>
        <v>0</v>
      </c>
      <c r="O109" s="45" t="n">
        <f aca="false">IF(D109="Sale",E109*M109,0)</f>
        <v>0</v>
      </c>
      <c r="P109" s="45" t="n">
        <f aca="false">N109-O109</f>
        <v>0</v>
      </c>
      <c r="Q109" s="45" t="n">
        <f aca="false">IF(D109="Purchase",E109*M109,0)</f>
        <v>440</v>
      </c>
    </row>
    <row r="110" customFormat="false" ht="15" hidden="false" customHeight="false" outlineLevel="0" collapsed="false">
      <c r="A110" s="39" t="s">
        <v>433</v>
      </c>
      <c r="B110" s="44" t="n">
        <v>46336</v>
      </c>
      <c r="C110" s="39" t="s">
        <v>390</v>
      </c>
      <c r="D110" s="39" t="s">
        <v>138</v>
      </c>
      <c r="E110" s="39" t="n">
        <v>40</v>
      </c>
      <c r="F110" s="39" t="str">
        <f aca="false">IF(COUNTIF(medicine_master!$A$2:$A$26,C110)&gt;0,"Valid","Invalid")</f>
        <v>Valid</v>
      </c>
      <c r="G110" s="39" t="str">
        <f aca="false">IFERROR(INDEX(medicine_master!$B$2:$B$26,MATCH($C110,medicine_master!$A$2:$A$26,0)),"Not found")</f>
        <v>Montelukast 10mg</v>
      </c>
      <c r="H110" s="39" t="str">
        <f aca="false">IFERROR(INDEX(medicine_master!$C$2:$C$26,MATCH($C110,medicine_master!$A$2:$A$26,0)),"Not found")</f>
        <v>Allergy</v>
      </c>
      <c r="I110" s="39" t="n">
        <f aca="false">YEAR(B110)</f>
        <v>2026</v>
      </c>
      <c r="J110" s="39" t="n">
        <f aca="false">MONTH(B110)</f>
        <v>11</v>
      </c>
      <c r="K110" s="39" t="str">
        <f aca="false">TEXT(B110,"mmm")</f>
        <v>Nov</v>
      </c>
      <c r="L110" s="45" t="n">
        <f aca="false">IFERROR(INDEX(medicine_master!$I$2:$I$26,MATCH($C110,medicine_master!$A$2:$A$26,0)),0)</f>
        <v>39</v>
      </c>
      <c r="M110" s="45" t="n">
        <f aca="false">IFERROR(INDEX(medicine_master!$G$2:$G$26,MATCH($C110,medicine_master!$A$2:$A$26,0)),0)</f>
        <v>27</v>
      </c>
      <c r="N110" s="45" t="n">
        <f aca="false">IF(D110="Sale",E110*L110,0)</f>
        <v>0</v>
      </c>
      <c r="O110" s="45" t="n">
        <f aca="false">IF(D110="Sale",E110*M110,0)</f>
        <v>0</v>
      </c>
      <c r="P110" s="45" t="n">
        <f aca="false">N110-O110</f>
        <v>0</v>
      </c>
      <c r="Q110" s="45" t="n">
        <f aca="false">IF(D110="Purchase",E110*M110,0)</f>
        <v>1080</v>
      </c>
    </row>
    <row r="111" customFormat="false" ht="15" hidden="false" customHeight="false" outlineLevel="0" collapsed="false">
      <c r="A111" s="39" t="s">
        <v>434</v>
      </c>
      <c r="B111" s="44" t="n">
        <v>46239</v>
      </c>
      <c r="C111" s="39" t="s">
        <v>390</v>
      </c>
      <c r="D111" s="39" t="s">
        <v>137</v>
      </c>
      <c r="E111" s="39" t="n">
        <v>25</v>
      </c>
      <c r="F111" s="39" t="str">
        <f aca="false">IF(COUNTIF(medicine_master!$A$2:$A$26,C111)&gt;0,"Valid","Invalid")</f>
        <v>Valid</v>
      </c>
      <c r="G111" s="39" t="str">
        <f aca="false">IFERROR(INDEX(medicine_master!$B$2:$B$26,MATCH($C111,medicine_master!$A$2:$A$26,0)),"Not found")</f>
        <v>Montelukast 10mg</v>
      </c>
      <c r="H111" s="39" t="str">
        <f aca="false">IFERROR(INDEX(medicine_master!$C$2:$C$26,MATCH($C111,medicine_master!$A$2:$A$26,0)),"Not found")</f>
        <v>Allergy</v>
      </c>
      <c r="I111" s="39" t="n">
        <f aca="false">YEAR(B111)</f>
        <v>2026</v>
      </c>
      <c r="J111" s="39" t="n">
        <f aca="false">MONTH(B111)</f>
        <v>8</v>
      </c>
      <c r="K111" s="39" t="str">
        <f aca="false">TEXT(B111,"mmm")</f>
        <v>Aug</v>
      </c>
      <c r="L111" s="45" t="n">
        <f aca="false">IFERROR(INDEX(medicine_master!$I$2:$I$26,MATCH($C111,medicine_master!$A$2:$A$26,0)),0)</f>
        <v>39</v>
      </c>
      <c r="M111" s="45" t="n">
        <f aca="false">IFERROR(INDEX(medicine_master!$G$2:$G$26,MATCH($C111,medicine_master!$A$2:$A$26,0)),0)</f>
        <v>27</v>
      </c>
      <c r="N111" s="45" t="n">
        <f aca="false">IF(D111="Sale",E111*L111,0)</f>
        <v>975</v>
      </c>
      <c r="O111" s="45" t="n">
        <f aca="false">IF(D111="Sale",E111*M111,0)</f>
        <v>675</v>
      </c>
      <c r="P111" s="45" t="n">
        <f aca="false">N111-O111</f>
        <v>300</v>
      </c>
      <c r="Q111" s="45" t="n">
        <f aca="false">IF(D111="Purchase",E111*M111,0)</f>
        <v>0</v>
      </c>
    </row>
    <row r="112" customFormat="false" ht="15" hidden="false" customHeight="false" outlineLevel="0" collapsed="false">
      <c r="A112" s="39" t="s">
        <v>435</v>
      </c>
      <c r="B112" s="44" t="n">
        <v>46379</v>
      </c>
      <c r="C112" s="39" t="s">
        <v>326</v>
      </c>
      <c r="D112" s="39" t="s">
        <v>137</v>
      </c>
      <c r="E112" s="39" t="n">
        <v>25</v>
      </c>
      <c r="F112" s="39" t="str">
        <f aca="false">IF(COUNTIF(medicine_master!$A$2:$A$26,C112)&gt;0,"Valid","Invalid")</f>
        <v>Valid</v>
      </c>
      <c r="G112" s="39" t="str">
        <f aca="false">IFERROR(INDEX(medicine_master!$B$2:$B$26,MATCH($C112,medicine_master!$A$2:$A$26,0)),"Not found")</f>
        <v>Omeprazole 20mg</v>
      </c>
      <c r="H112" s="39" t="str">
        <f aca="false">IFERROR(INDEX(medicine_master!$C$2:$C$26,MATCH($C112,medicine_master!$A$2:$A$26,0)),"Not found")</f>
        <v>Gastric</v>
      </c>
      <c r="I112" s="39" t="n">
        <f aca="false">YEAR(B112)</f>
        <v>2026</v>
      </c>
      <c r="J112" s="39" t="n">
        <f aca="false">MONTH(B112)</f>
        <v>12</v>
      </c>
      <c r="K112" s="39" t="str">
        <f aca="false">TEXT(B112,"mmm")</f>
        <v>Dec</v>
      </c>
      <c r="L112" s="45" t="n">
        <f aca="false">IFERROR(INDEX(medicine_master!$I$2:$I$26,MATCH($C112,medicine_master!$A$2:$A$26,0)),0)</f>
        <v>26</v>
      </c>
      <c r="M112" s="45" t="n">
        <f aca="false">IFERROR(INDEX(medicine_master!$G$2:$G$26,MATCH($C112,medicine_master!$A$2:$A$26,0)),0)</f>
        <v>18</v>
      </c>
      <c r="N112" s="45" t="n">
        <f aca="false">IF(D112="Sale",E112*L112,0)</f>
        <v>650</v>
      </c>
      <c r="O112" s="45" t="n">
        <f aca="false">IF(D112="Sale",E112*M112,0)</f>
        <v>450</v>
      </c>
      <c r="P112" s="45" t="n">
        <f aca="false">N112-O112</f>
        <v>200</v>
      </c>
      <c r="Q112" s="45" t="n">
        <f aca="false">IF(D112="Purchase",E112*M112,0)</f>
        <v>0</v>
      </c>
    </row>
    <row r="113" customFormat="false" ht="15" hidden="false" customHeight="false" outlineLevel="0" collapsed="false">
      <c r="A113" s="39" t="s">
        <v>436</v>
      </c>
      <c r="B113" s="44" t="n">
        <v>46121</v>
      </c>
      <c r="C113" s="39" t="s">
        <v>177</v>
      </c>
      <c r="D113" s="39" t="s">
        <v>138</v>
      </c>
      <c r="E113" s="39" t="n">
        <v>15</v>
      </c>
      <c r="F113" s="39" t="str">
        <f aca="false">IF(COUNTIF(medicine_master!$A$2:$A$26,C113)&gt;0,"Valid","Invalid")</f>
        <v>Valid</v>
      </c>
      <c r="G113" s="39" t="str">
        <f aca="false">IFERROR(INDEX(medicine_master!$B$2:$B$26,MATCH($C113,medicine_master!$A$2:$A$26,0)),"Not found")</f>
        <v>Bandage Roll</v>
      </c>
      <c r="H113" s="39" t="str">
        <f aca="false">IFERROR(INDEX(medicine_master!$C$2:$C$26,MATCH($C113,medicine_master!$A$2:$A$26,0)),"Not found")</f>
        <v>First Aid</v>
      </c>
      <c r="I113" s="39" t="n">
        <f aca="false">YEAR(B113)</f>
        <v>2026</v>
      </c>
      <c r="J113" s="39" t="n">
        <f aca="false">MONTH(B113)</f>
        <v>4</v>
      </c>
      <c r="K113" s="39" t="str">
        <f aca="false">TEXT(B113,"mmm")</f>
        <v>Apr</v>
      </c>
      <c r="L113" s="45" t="n">
        <f aca="false">IFERROR(INDEX(medicine_master!$I$2:$I$26,MATCH($C113,medicine_master!$A$2:$A$26,0)),0)</f>
        <v>25</v>
      </c>
      <c r="M113" s="45" t="n">
        <f aca="false">IFERROR(INDEX(medicine_master!$G$2:$G$26,MATCH($C113,medicine_master!$A$2:$A$26,0)),0)</f>
        <v>15</v>
      </c>
      <c r="N113" s="45" t="n">
        <f aca="false">IF(D113="Sale",E113*L113,0)</f>
        <v>0</v>
      </c>
      <c r="O113" s="45" t="n">
        <f aca="false">IF(D113="Sale",E113*M113,0)</f>
        <v>0</v>
      </c>
      <c r="P113" s="45" t="n">
        <f aca="false">N113-O113</f>
        <v>0</v>
      </c>
      <c r="Q113" s="45" t="n">
        <f aca="false">IF(D113="Purchase",E113*M113,0)</f>
        <v>225</v>
      </c>
    </row>
    <row r="114" customFormat="false" ht="15" hidden="false" customHeight="false" outlineLevel="0" collapsed="false">
      <c r="A114" s="39" t="s">
        <v>437</v>
      </c>
      <c r="B114" s="44" t="n">
        <v>46118</v>
      </c>
      <c r="C114" s="39" t="s">
        <v>147</v>
      </c>
      <c r="D114" s="39" t="s">
        <v>137</v>
      </c>
      <c r="E114" s="39" t="n">
        <v>25</v>
      </c>
      <c r="F114" s="39" t="str">
        <f aca="false">IF(COUNTIF(medicine_master!$A$2:$A$26,C114)&gt;0,"Valid","Invalid")</f>
        <v>Valid</v>
      </c>
      <c r="G114" s="39" t="str">
        <f aca="false">IFERROR(INDEX(medicine_master!$B$2:$B$26,MATCH($C114,medicine_master!$A$2:$A$26,0)),"Not found")</f>
        <v>Insulin Injection</v>
      </c>
      <c r="H114" s="39" t="str">
        <f aca="false">IFERROR(INDEX(medicine_master!$C$2:$C$26,MATCH($C114,medicine_master!$A$2:$A$26,0)),"Not found")</f>
        <v>Diabetes</v>
      </c>
      <c r="I114" s="39" t="n">
        <f aca="false">YEAR(B114)</f>
        <v>2026</v>
      </c>
      <c r="J114" s="39" t="n">
        <f aca="false">MONTH(B114)</f>
        <v>4</v>
      </c>
      <c r="K114" s="39" t="str">
        <f aca="false">TEXT(B114,"mmm")</f>
        <v>Apr</v>
      </c>
      <c r="L114" s="45" t="n">
        <f aca="false">IFERROR(INDEX(medicine_master!$I$2:$I$26,MATCH($C114,medicine_master!$A$2:$A$26,0)),0)</f>
        <v>225</v>
      </c>
      <c r="M114" s="45" t="n">
        <f aca="false">IFERROR(INDEX(medicine_master!$G$2:$G$26,MATCH($C114,medicine_master!$A$2:$A$26,0)),0)</f>
        <v>165</v>
      </c>
      <c r="N114" s="45" t="n">
        <f aca="false">IF(D114="Sale",E114*L114,0)</f>
        <v>5625</v>
      </c>
      <c r="O114" s="45" t="n">
        <f aca="false">IF(D114="Sale",E114*M114,0)</f>
        <v>4125</v>
      </c>
      <c r="P114" s="45" t="n">
        <f aca="false">N114-O114</f>
        <v>1500</v>
      </c>
      <c r="Q114" s="45" t="n">
        <f aca="false">IF(D114="Purchase",E114*M114,0)</f>
        <v>0</v>
      </c>
    </row>
    <row r="115" customFormat="false" ht="15" hidden="false" customHeight="false" outlineLevel="0" collapsed="false">
      <c r="A115" s="39" t="s">
        <v>438</v>
      </c>
      <c r="B115" s="44" t="n">
        <v>46290</v>
      </c>
      <c r="C115" s="39" t="s">
        <v>145</v>
      </c>
      <c r="D115" s="39" t="s">
        <v>137</v>
      </c>
      <c r="E115" s="39" t="n">
        <v>30</v>
      </c>
      <c r="F115" s="39" t="str">
        <f aca="false">IF(COUNTIF(medicine_master!$A$2:$A$26,C115)&gt;0,"Valid","Invalid")</f>
        <v>Valid</v>
      </c>
      <c r="G115" s="39" t="str">
        <f aca="false">IFERROR(INDEX(medicine_master!$B$2:$B$26,MATCH($C115,medicine_master!$A$2:$A$26,0)),"Not found")</f>
        <v>Clotrimazole Cream</v>
      </c>
      <c r="H115" s="39" t="str">
        <f aca="false">IFERROR(INDEX(medicine_master!$C$2:$C$26,MATCH($C115,medicine_master!$A$2:$A$26,0)),"Not found")</f>
        <v>Dermatology</v>
      </c>
      <c r="I115" s="39" t="n">
        <f aca="false">YEAR(B115)</f>
        <v>2026</v>
      </c>
      <c r="J115" s="39" t="n">
        <f aca="false">MONTH(B115)</f>
        <v>9</v>
      </c>
      <c r="K115" s="39" t="str">
        <f aca="false">TEXT(B115,"mmm")</f>
        <v>Sep</v>
      </c>
      <c r="L115" s="45" t="n">
        <f aca="false">IFERROR(INDEX(medicine_master!$I$2:$I$26,MATCH($C115,medicine_master!$A$2:$A$26,0)),0)</f>
        <v>48</v>
      </c>
      <c r="M115" s="45" t="n">
        <f aca="false">IFERROR(INDEX(medicine_master!$G$2:$G$26,MATCH($C115,medicine_master!$A$2:$A$26,0)),0)</f>
        <v>32</v>
      </c>
      <c r="N115" s="45" t="n">
        <f aca="false">IF(D115="Sale",E115*L115,0)</f>
        <v>1440</v>
      </c>
      <c r="O115" s="45" t="n">
        <f aca="false">IF(D115="Sale",E115*M115,0)</f>
        <v>960</v>
      </c>
      <c r="P115" s="45" t="n">
        <f aca="false">N115-O115</f>
        <v>480</v>
      </c>
      <c r="Q115" s="45" t="n">
        <f aca="false">IF(D115="Purchase",E115*M115,0)</f>
        <v>0</v>
      </c>
    </row>
    <row r="116" customFormat="false" ht="15" hidden="false" customHeight="false" outlineLevel="0" collapsed="false">
      <c r="A116" s="39" t="s">
        <v>439</v>
      </c>
      <c r="B116" s="44" t="n">
        <v>46377</v>
      </c>
      <c r="C116" s="39" t="s">
        <v>326</v>
      </c>
      <c r="D116" s="39" t="s">
        <v>138</v>
      </c>
      <c r="E116" s="39" t="n">
        <v>20</v>
      </c>
      <c r="F116" s="39" t="str">
        <f aca="false">IF(COUNTIF(medicine_master!$A$2:$A$26,C116)&gt;0,"Valid","Invalid")</f>
        <v>Valid</v>
      </c>
      <c r="G116" s="39" t="str">
        <f aca="false">IFERROR(INDEX(medicine_master!$B$2:$B$26,MATCH($C116,medicine_master!$A$2:$A$26,0)),"Not found")</f>
        <v>Omeprazole 20mg</v>
      </c>
      <c r="H116" s="39" t="str">
        <f aca="false">IFERROR(INDEX(medicine_master!$C$2:$C$26,MATCH($C116,medicine_master!$A$2:$A$26,0)),"Not found")</f>
        <v>Gastric</v>
      </c>
      <c r="I116" s="39" t="n">
        <f aca="false">YEAR(B116)</f>
        <v>2026</v>
      </c>
      <c r="J116" s="39" t="n">
        <f aca="false">MONTH(B116)</f>
        <v>12</v>
      </c>
      <c r="K116" s="39" t="str">
        <f aca="false">TEXT(B116,"mmm")</f>
        <v>Dec</v>
      </c>
      <c r="L116" s="45" t="n">
        <f aca="false">IFERROR(INDEX(medicine_master!$I$2:$I$26,MATCH($C116,medicine_master!$A$2:$A$26,0)),0)</f>
        <v>26</v>
      </c>
      <c r="M116" s="45" t="n">
        <f aca="false">IFERROR(INDEX(medicine_master!$G$2:$G$26,MATCH($C116,medicine_master!$A$2:$A$26,0)),0)</f>
        <v>18</v>
      </c>
      <c r="N116" s="45" t="n">
        <f aca="false">IF(D116="Sale",E116*L116,0)</f>
        <v>0</v>
      </c>
      <c r="O116" s="45" t="n">
        <f aca="false">IF(D116="Sale",E116*M116,0)</f>
        <v>0</v>
      </c>
      <c r="P116" s="45" t="n">
        <f aca="false">N116-O116</f>
        <v>0</v>
      </c>
      <c r="Q116" s="45" t="n">
        <f aca="false">IF(D116="Purchase",E116*M116,0)</f>
        <v>360</v>
      </c>
    </row>
    <row r="117" customFormat="false" ht="15" hidden="false" customHeight="false" outlineLevel="0" collapsed="false">
      <c r="A117" s="39" t="s">
        <v>440</v>
      </c>
      <c r="B117" s="44" t="n">
        <v>46106</v>
      </c>
      <c r="C117" s="39" t="s">
        <v>177</v>
      </c>
      <c r="D117" s="39" t="s">
        <v>137</v>
      </c>
      <c r="E117" s="39" t="n">
        <v>15</v>
      </c>
      <c r="F117" s="39" t="str">
        <f aca="false">IF(COUNTIF(medicine_master!$A$2:$A$26,C117)&gt;0,"Valid","Invalid")</f>
        <v>Valid</v>
      </c>
      <c r="G117" s="39" t="str">
        <f aca="false">IFERROR(INDEX(medicine_master!$B$2:$B$26,MATCH($C117,medicine_master!$A$2:$A$26,0)),"Not found")</f>
        <v>Bandage Roll</v>
      </c>
      <c r="H117" s="39" t="str">
        <f aca="false">IFERROR(INDEX(medicine_master!$C$2:$C$26,MATCH($C117,medicine_master!$A$2:$A$26,0)),"Not found")</f>
        <v>First Aid</v>
      </c>
      <c r="I117" s="39" t="n">
        <f aca="false">YEAR(B117)</f>
        <v>2026</v>
      </c>
      <c r="J117" s="39" t="n">
        <f aca="false">MONTH(B117)</f>
        <v>3</v>
      </c>
      <c r="K117" s="39" t="str">
        <f aca="false">TEXT(B117,"mmm")</f>
        <v>Mar</v>
      </c>
      <c r="L117" s="45" t="n">
        <f aca="false">IFERROR(INDEX(medicine_master!$I$2:$I$26,MATCH($C117,medicine_master!$A$2:$A$26,0)),0)</f>
        <v>25</v>
      </c>
      <c r="M117" s="45" t="n">
        <f aca="false">IFERROR(INDEX(medicine_master!$G$2:$G$26,MATCH($C117,medicine_master!$A$2:$A$26,0)),0)</f>
        <v>15</v>
      </c>
      <c r="N117" s="45" t="n">
        <f aca="false">IF(D117="Sale",E117*L117,0)</f>
        <v>375</v>
      </c>
      <c r="O117" s="45" t="n">
        <f aca="false">IF(D117="Sale",E117*M117,0)</f>
        <v>225</v>
      </c>
      <c r="P117" s="45" t="n">
        <f aca="false">N117-O117</f>
        <v>150</v>
      </c>
      <c r="Q117" s="45" t="n">
        <f aca="false">IF(D117="Purchase",E117*M117,0)</f>
        <v>0</v>
      </c>
    </row>
    <row r="118" customFormat="false" ht="15" hidden="false" customHeight="false" outlineLevel="0" collapsed="false">
      <c r="A118" s="39" t="s">
        <v>441</v>
      </c>
      <c r="B118" s="44" t="n">
        <v>46041</v>
      </c>
      <c r="C118" s="39" t="s">
        <v>145</v>
      </c>
      <c r="D118" s="39" t="s">
        <v>138</v>
      </c>
      <c r="E118" s="39" t="n">
        <v>50</v>
      </c>
      <c r="F118" s="39" t="str">
        <f aca="false">IF(COUNTIF(medicine_master!$A$2:$A$26,C118)&gt;0,"Valid","Invalid")</f>
        <v>Valid</v>
      </c>
      <c r="G118" s="39" t="str">
        <f aca="false">IFERROR(INDEX(medicine_master!$B$2:$B$26,MATCH($C118,medicine_master!$A$2:$A$26,0)),"Not found")</f>
        <v>Clotrimazole Cream</v>
      </c>
      <c r="H118" s="39" t="str">
        <f aca="false">IFERROR(INDEX(medicine_master!$C$2:$C$26,MATCH($C118,medicine_master!$A$2:$A$26,0)),"Not found")</f>
        <v>Dermatology</v>
      </c>
      <c r="I118" s="39" t="n">
        <f aca="false">YEAR(B118)</f>
        <v>2026</v>
      </c>
      <c r="J118" s="39" t="n">
        <f aca="false">MONTH(B118)</f>
        <v>1</v>
      </c>
      <c r="K118" s="39" t="str">
        <f aca="false">TEXT(B118,"mmm")</f>
        <v>Jan</v>
      </c>
      <c r="L118" s="45" t="n">
        <f aca="false">IFERROR(INDEX(medicine_master!$I$2:$I$26,MATCH($C118,medicine_master!$A$2:$A$26,0)),0)</f>
        <v>48</v>
      </c>
      <c r="M118" s="45" t="n">
        <f aca="false">IFERROR(INDEX(medicine_master!$G$2:$G$26,MATCH($C118,medicine_master!$A$2:$A$26,0)),0)</f>
        <v>32</v>
      </c>
      <c r="N118" s="45" t="n">
        <f aca="false">IF(D118="Sale",E118*L118,0)</f>
        <v>0</v>
      </c>
      <c r="O118" s="45" t="n">
        <f aca="false">IF(D118="Sale",E118*M118,0)</f>
        <v>0</v>
      </c>
      <c r="P118" s="45" t="n">
        <f aca="false">N118-O118</f>
        <v>0</v>
      </c>
      <c r="Q118" s="45" t="n">
        <f aca="false">IF(D118="Purchase",E118*M118,0)</f>
        <v>1600</v>
      </c>
    </row>
    <row r="119" customFormat="false" ht="15" hidden="false" customHeight="false" outlineLevel="0" collapsed="false">
      <c r="A119" s="39" t="s">
        <v>442</v>
      </c>
      <c r="B119" s="44" t="n">
        <v>46098</v>
      </c>
      <c r="C119" s="39" t="s">
        <v>326</v>
      </c>
      <c r="D119" s="39" t="s">
        <v>138</v>
      </c>
      <c r="E119" s="39" t="n">
        <v>50</v>
      </c>
      <c r="F119" s="39" t="str">
        <f aca="false">IF(COUNTIF(medicine_master!$A$2:$A$26,C119)&gt;0,"Valid","Invalid")</f>
        <v>Valid</v>
      </c>
      <c r="G119" s="39" t="str">
        <f aca="false">IFERROR(INDEX(medicine_master!$B$2:$B$26,MATCH($C119,medicine_master!$A$2:$A$26,0)),"Not found")</f>
        <v>Omeprazole 20mg</v>
      </c>
      <c r="H119" s="39" t="str">
        <f aca="false">IFERROR(INDEX(medicine_master!$C$2:$C$26,MATCH($C119,medicine_master!$A$2:$A$26,0)),"Not found")</f>
        <v>Gastric</v>
      </c>
      <c r="I119" s="39" t="n">
        <f aca="false">YEAR(B119)</f>
        <v>2026</v>
      </c>
      <c r="J119" s="39" t="n">
        <f aca="false">MONTH(B119)</f>
        <v>3</v>
      </c>
      <c r="K119" s="39" t="str">
        <f aca="false">TEXT(B119,"mmm")</f>
        <v>Mar</v>
      </c>
      <c r="L119" s="45" t="n">
        <f aca="false">IFERROR(INDEX(medicine_master!$I$2:$I$26,MATCH($C119,medicine_master!$A$2:$A$26,0)),0)</f>
        <v>26</v>
      </c>
      <c r="M119" s="45" t="n">
        <f aca="false">IFERROR(INDEX(medicine_master!$G$2:$G$26,MATCH($C119,medicine_master!$A$2:$A$26,0)),0)</f>
        <v>18</v>
      </c>
      <c r="N119" s="45" t="n">
        <f aca="false">IF(D119="Sale",E119*L119,0)</f>
        <v>0</v>
      </c>
      <c r="O119" s="45" t="n">
        <f aca="false">IF(D119="Sale",E119*M119,0)</f>
        <v>0</v>
      </c>
      <c r="P119" s="45" t="n">
        <f aca="false">N119-O119</f>
        <v>0</v>
      </c>
      <c r="Q119" s="45" t="n">
        <f aca="false">IF(D119="Purchase",E119*M119,0)</f>
        <v>900</v>
      </c>
    </row>
    <row r="120" customFormat="false" ht="15" hidden="false" customHeight="false" outlineLevel="0" collapsed="false">
      <c r="A120" s="39" t="s">
        <v>443</v>
      </c>
      <c r="B120" s="44" t="n">
        <v>46074</v>
      </c>
      <c r="C120" s="39" t="s">
        <v>404</v>
      </c>
      <c r="D120" s="39" t="s">
        <v>137</v>
      </c>
      <c r="E120" s="39" t="n">
        <v>10</v>
      </c>
      <c r="F120" s="39" t="str">
        <f aca="false">IF(COUNTIF(medicine_master!$A$2:$A$26,C120)&gt;0,"Valid","Invalid")</f>
        <v>Valid</v>
      </c>
      <c r="G120" s="39" t="str">
        <f aca="false">IFERROR(INDEX(medicine_master!$B$2:$B$26,MATCH($C120,medicine_master!$A$2:$A$26,0)),"Not found")</f>
        <v>ORS Sachet</v>
      </c>
      <c r="H120" s="39" t="str">
        <f aca="false">IFERROR(INDEX(medicine_master!$C$2:$C$26,MATCH($C120,medicine_master!$A$2:$A$26,0)),"Not found")</f>
        <v>First Aid</v>
      </c>
      <c r="I120" s="39" t="n">
        <f aca="false">YEAR(B120)</f>
        <v>2026</v>
      </c>
      <c r="J120" s="39" t="n">
        <f aca="false">MONTH(B120)</f>
        <v>2</v>
      </c>
      <c r="K120" s="39" t="str">
        <f aca="false">TEXT(B120,"mmm")</f>
        <v>Feb</v>
      </c>
      <c r="L120" s="45" t="n">
        <f aca="false">IFERROR(INDEX(medicine_master!$I$2:$I$26,MATCH($C120,medicine_master!$A$2:$A$26,0)),0)</f>
        <v>10</v>
      </c>
      <c r="M120" s="45" t="n">
        <f aca="false">IFERROR(INDEX(medicine_master!$G$2:$G$26,MATCH($C120,medicine_master!$A$2:$A$26,0)),0)</f>
        <v>6</v>
      </c>
      <c r="N120" s="45" t="n">
        <f aca="false">IF(D120="Sale",E120*L120,0)</f>
        <v>100</v>
      </c>
      <c r="O120" s="45" t="n">
        <f aca="false">IF(D120="Sale",E120*M120,0)</f>
        <v>60</v>
      </c>
      <c r="P120" s="45" t="n">
        <f aca="false">N120-O120</f>
        <v>40</v>
      </c>
      <c r="Q120" s="45" t="n">
        <f aca="false">IF(D120="Purchase",E120*M120,0)</f>
        <v>0</v>
      </c>
    </row>
    <row r="121" customFormat="false" ht="15" hidden="false" customHeight="false" outlineLevel="0" collapsed="false">
      <c r="A121" s="39" t="s">
        <v>444</v>
      </c>
      <c r="B121" s="44" t="n">
        <v>46091</v>
      </c>
      <c r="C121" s="39" t="s">
        <v>151</v>
      </c>
      <c r="D121" s="39" t="s">
        <v>137</v>
      </c>
      <c r="E121" s="39" t="n">
        <v>25</v>
      </c>
      <c r="F121" s="39" t="str">
        <f aca="false">IF(COUNTIF(medicine_master!$A$2:$A$26,C121)&gt;0,"Valid","Invalid")</f>
        <v>Valid</v>
      </c>
      <c r="G121" s="39" t="str">
        <f aca="false">IFERROR(INDEX(medicine_master!$B$2:$B$26,MATCH($C121,medicine_master!$A$2:$A$26,0)),"Not found")</f>
        <v>Cetirizine 10mg</v>
      </c>
      <c r="H121" s="39" t="str">
        <f aca="false">IFERROR(INDEX(medicine_master!$C$2:$C$26,MATCH($C121,medicine_master!$A$2:$A$26,0)),"Not found")</f>
        <v>Allergy</v>
      </c>
      <c r="I121" s="39" t="n">
        <f aca="false">YEAR(B121)</f>
        <v>2026</v>
      </c>
      <c r="J121" s="39" t="n">
        <f aca="false">MONTH(B121)</f>
        <v>3</v>
      </c>
      <c r="K121" s="39" t="str">
        <f aca="false">TEXT(B121,"mmm")</f>
        <v>Mar</v>
      </c>
      <c r="L121" s="45" t="n">
        <f aca="false">IFERROR(INDEX(medicine_master!$I$2:$I$26,MATCH($C121,medicine_master!$A$2:$A$26,0)),0)</f>
        <v>13</v>
      </c>
      <c r="M121" s="45" t="n">
        <f aca="false">IFERROR(INDEX(medicine_master!$G$2:$G$26,MATCH($C121,medicine_master!$A$2:$A$26,0)),0)</f>
        <v>8</v>
      </c>
      <c r="N121" s="45" t="n">
        <f aca="false">IF(D121="Sale",E121*L121,0)</f>
        <v>325</v>
      </c>
      <c r="O121" s="45" t="n">
        <f aca="false">IF(D121="Sale",E121*M121,0)</f>
        <v>200</v>
      </c>
      <c r="P121" s="45" t="n">
        <f aca="false">N121-O121</f>
        <v>125</v>
      </c>
      <c r="Q121" s="45" t="n">
        <f aca="false">IF(D121="Purchase",E121*M121,0)</f>
        <v>0</v>
      </c>
    </row>
    <row r="122" customFormat="false" ht="15" hidden="false" customHeight="false" outlineLevel="0" collapsed="false">
      <c r="A122" s="39" t="s">
        <v>445</v>
      </c>
      <c r="B122" s="44" t="n">
        <v>46075</v>
      </c>
      <c r="C122" s="39" t="s">
        <v>148</v>
      </c>
      <c r="D122" s="39" t="s">
        <v>137</v>
      </c>
      <c r="E122" s="39" t="n">
        <v>10</v>
      </c>
      <c r="F122" s="39" t="str">
        <f aca="false">IF(COUNTIF(medicine_master!$A$2:$A$26,C122)&gt;0,"Valid","Invalid")</f>
        <v>Valid</v>
      </c>
      <c r="G122" s="39" t="str">
        <f aca="false">IFERROR(INDEX(medicine_master!$B$2:$B$26,MATCH($C122,medicine_master!$A$2:$A$26,0)),"Not found")</f>
        <v>Dextromethorphan Syrup</v>
      </c>
      <c r="H122" s="39" t="str">
        <f aca="false">IFERROR(INDEX(medicine_master!$C$2:$C$26,MATCH($C122,medicine_master!$A$2:$A$26,0)),"Not found")</f>
        <v>Cold &amp; Cough</v>
      </c>
      <c r="I122" s="39" t="n">
        <f aca="false">YEAR(B122)</f>
        <v>2026</v>
      </c>
      <c r="J122" s="39" t="n">
        <f aca="false">MONTH(B122)</f>
        <v>2</v>
      </c>
      <c r="K122" s="39" t="str">
        <f aca="false">TEXT(B122,"mmm")</f>
        <v>Feb</v>
      </c>
      <c r="L122" s="45" t="n">
        <f aca="false">IFERROR(INDEX(medicine_master!$I$2:$I$26,MATCH($C122,medicine_master!$A$2:$A$26,0)),0)</f>
        <v>80</v>
      </c>
      <c r="M122" s="45" t="n">
        <f aca="false">IFERROR(INDEX(medicine_master!$G$2:$G$26,MATCH($C122,medicine_master!$A$2:$A$26,0)),0)</f>
        <v>58</v>
      </c>
      <c r="N122" s="45" t="n">
        <f aca="false">IF(D122="Sale",E122*L122,0)</f>
        <v>800</v>
      </c>
      <c r="O122" s="45" t="n">
        <f aca="false">IF(D122="Sale",E122*M122,0)</f>
        <v>580</v>
      </c>
      <c r="P122" s="45" t="n">
        <f aca="false">N122-O122</f>
        <v>220</v>
      </c>
      <c r="Q122" s="45" t="n">
        <f aca="false">IF(D122="Purchase",E122*M122,0)</f>
        <v>0</v>
      </c>
    </row>
    <row r="123" customFormat="false" ht="15" hidden="false" customHeight="false" outlineLevel="0" collapsed="false">
      <c r="A123" s="39" t="s">
        <v>446</v>
      </c>
      <c r="B123" s="44" t="n">
        <v>46203</v>
      </c>
      <c r="C123" s="39" t="s">
        <v>150</v>
      </c>
      <c r="D123" s="39" t="s">
        <v>137</v>
      </c>
      <c r="E123" s="39" t="n">
        <v>50</v>
      </c>
      <c r="F123" s="39" t="str">
        <f aca="false">IF(COUNTIF(medicine_master!$A$2:$A$26,C123)&gt;0,"Valid","Invalid")</f>
        <v>Valid</v>
      </c>
      <c r="G123" s="39" t="str">
        <f aca="false">IFERROR(INDEX(medicine_master!$B$2:$B$26,MATCH($C123,medicine_master!$A$2:$A$26,0)),"Not found")</f>
        <v>Pantoprazole 40mg</v>
      </c>
      <c r="H123" s="39" t="str">
        <f aca="false">IFERROR(INDEX(medicine_master!$C$2:$C$26,MATCH($C123,medicine_master!$A$2:$A$26,0)),"Not found")</f>
        <v>Gastric</v>
      </c>
      <c r="I123" s="39" t="n">
        <f aca="false">YEAR(B123)</f>
        <v>2026</v>
      </c>
      <c r="J123" s="39" t="n">
        <f aca="false">MONTH(B123)</f>
        <v>6</v>
      </c>
      <c r="K123" s="39" t="str">
        <f aca="false">TEXT(B123,"mmm")</f>
        <v>Jun</v>
      </c>
      <c r="L123" s="45" t="n">
        <f aca="false">IFERROR(INDEX(medicine_master!$I$2:$I$26,MATCH($C123,medicine_master!$A$2:$A$26,0)),0)</f>
        <v>35</v>
      </c>
      <c r="M123" s="45" t="n">
        <f aca="false">IFERROR(INDEX(medicine_master!$G$2:$G$26,MATCH($C123,medicine_master!$A$2:$A$26,0)),0)</f>
        <v>24</v>
      </c>
      <c r="N123" s="45" t="n">
        <f aca="false">IF(D123="Sale",E123*L123,0)</f>
        <v>1750</v>
      </c>
      <c r="O123" s="45" t="n">
        <f aca="false">IF(D123="Sale",E123*M123,0)</f>
        <v>1200</v>
      </c>
      <c r="P123" s="45" t="n">
        <f aca="false">N123-O123</f>
        <v>550</v>
      </c>
      <c r="Q123" s="45" t="n">
        <f aca="false">IF(D123="Purchase",E123*M123,0)</f>
        <v>0</v>
      </c>
    </row>
    <row r="124" customFormat="false" ht="15" hidden="false" customHeight="false" outlineLevel="0" collapsed="false">
      <c r="A124" s="39" t="s">
        <v>447</v>
      </c>
      <c r="B124" s="44" t="n">
        <v>46144</v>
      </c>
      <c r="C124" s="39" t="s">
        <v>152</v>
      </c>
      <c r="D124" s="39" t="s">
        <v>137</v>
      </c>
      <c r="E124" s="39" t="n">
        <v>25</v>
      </c>
      <c r="F124" s="39" t="str">
        <f aca="false">IF(COUNTIF(medicine_master!$A$2:$A$26,C124)&gt;0,"Valid","Invalid")</f>
        <v>Valid</v>
      </c>
      <c r="G124" s="39" t="str">
        <f aca="false">IFERROR(INDEX(medicine_master!$B$2:$B$26,MATCH($C124,medicine_master!$A$2:$A$26,0)),"Not found")</f>
        <v>Amoxicillin 500mg</v>
      </c>
      <c r="H124" s="39" t="str">
        <f aca="false">IFERROR(INDEX(medicine_master!$C$2:$C$26,MATCH($C124,medicine_master!$A$2:$A$26,0)),"Not found")</f>
        <v>Antibiotic</v>
      </c>
      <c r="I124" s="39" t="n">
        <f aca="false">YEAR(B124)</f>
        <v>2026</v>
      </c>
      <c r="J124" s="39" t="n">
        <f aca="false">MONTH(B124)</f>
        <v>5</v>
      </c>
      <c r="K124" s="39" t="str">
        <f aca="false">TEXT(B124,"mmm")</f>
        <v>May</v>
      </c>
      <c r="L124" s="45" t="n">
        <f aca="false">IFERROR(INDEX(medicine_master!$I$2:$I$26,MATCH($C124,medicine_master!$A$2:$A$26,0)),0)</f>
        <v>40</v>
      </c>
      <c r="M124" s="45" t="n">
        <f aca="false">IFERROR(INDEX(medicine_master!$G$2:$G$26,MATCH($C124,medicine_master!$A$2:$A$26,0)),0)</f>
        <v>28</v>
      </c>
      <c r="N124" s="45" t="n">
        <f aca="false">IF(D124="Sale",E124*L124,0)</f>
        <v>1000</v>
      </c>
      <c r="O124" s="45" t="n">
        <f aca="false">IF(D124="Sale",E124*M124,0)</f>
        <v>700</v>
      </c>
      <c r="P124" s="45" t="n">
        <f aca="false">N124-O124</f>
        <v>300</v>
      </c>
      <c r="Q124" s="45" t="n">
        <f aca="false">IF(D124="Purchase",E124*M124,0)</f>
        <v>0</v>
      </c>
    </row>
    <row r="125" customFormat="false" ht="15" hidden="false" customHeight="false" outlineLevel="0" collapsed="false">
      <c r="A125" s="39" t="s">
        <v>448</v>
      </c>
      <c r="B125" s="44" t="n">
        <v>46353</v>
      </c>
      <c r="C125" s="39" t="s">
        <v>160</v>
      </c>
      <c r="D125" s="39" t="s">
        <v>137</v>
      </c>
      <c r="E125" s="39" t="n">
        <v>25</v>
      </c>
      <c r="F125" s="39" t="str">
        <f aca="false">IF(COUNTIF(medicine_master!$A$2:$A$26,C125)&gt;0,"Valid","Invalid")</f>
        <v>Valid</v>
      </c>
      <c r="G125" s="39" t="str">
        <f aca="false">IFERROR(INDEX(medicine_master!$B$2:$B$26,MATCH($C125,medicine_master!$A$2:$A$26,0)),"Not found")</f>
        <v>Calamine Lotion</v>
      </c>
      <c r="H125" s="39" t="str">
        <f aca="false">IFERROR(INDEX(medicine_master!$C$2:$C$26,MATCH($C125,medicine_master!$A$2:$A$26,0)),"Not found")</f>
        <v>Dermatology</v>
      </c>
      <c r="I125" s="39" t="n">
        <f aca="false">YEAR(B125)</f>
        <v>2026</v>
      </c>
      <c r="J125" s="39" t="n">
        <f aca="false">MONTH(B125)</f>
        <v>11</v>
      </c>
      <c r="K125" s="39" t="str">
        <f aca="false">TEXT(B125,"mmm")</f>
        <v>Nov</v>
      </c>
      <c r="L125" s="45" t="n">
        <f aca="false">IFERROR(INDEX(medicine_master!$I$2:$I$26,MATCH($C125,medicine_master!$A$2:$A$26,0)),0)</f>
        <v>60</v>
      </c>
      <c r="M125" s="45" t="n">
        <f aca="false">IFERROR(INDEX(medicine_master!$G$2:$G$26,MATCH($C125,medicine_master!$A$2:$A$26,0)),0)</f>
        <v>42</v>
      </c>
      <c r="N125" s="45" t="n">
        <f aca="false">IF(D125="Sale",E125*L125,0)</f>
        <v>1500</v>
      </c>
      <c r="O125" s="45" t="n">
        <f aca="false">IF(D125="Sale",E125*M125,0)</f>
        <v>1050</v>
      </c>
      <c r="P125" s="45" t="n">
        <f aca="false">N125-O125</f>
        <v>450</v>
      </c>
      <c r="Q125" s="45" t="n">
        <f aca="false">IF(D125="Purchase",E125*M125,0)</f>
        <v>0</v>
      </c>
    </row>
    <row r="126" customFormat="false" ht="15" hidden="false" customHeight="false" outlineLevel="0" collapsed="false">
      <c r="A126" s="39" t="s">
        <v>449</v>
      </c>
      <c r="B126" s="44" t="n">
        <v>46275</v>
      </c>
      <c r="C126" s="39" t="s">
        <v>158</v>
      </c>
      <c r="D126" s="39" t="s">
        <v>138</v>
      </c>
      <c r="E126" s="39" t="n">
        <v>30</v>
      </c>
      <c r="F126" s="39" t="str">
        <f aca="false">IF(COUNTIF(medicine_master!$A$2:$A$26,C126)&gt;0,"Valid","Invalid")</f>
        <v>Valid</v>
      </c>
      <c r="G126" s="39" t="str">
        <f aca="false">IFERROR(INDEX(medicine_master!$B$2:$B$26,MATCH($C126,medicine_master!$A$2:$A$26,0)),"Not found")</f>
        <v>Cough Syrup 100ml</v>
      </c>
      <c r="H126" s="39" t="str">
        <f aca="false">IFERROR(INDEX(medicine_master!$C$2:$C$26,MATCH($C126,medicine_master!$A$2:$A$26,0)),"Not found")</f>
        <v>Cold &amp; Cough</v>
      </c>
      <c r="I126" s="39" t="n">
        <f aca="false">YEAR(B126)</f>
        <v>2026</v>
      </c>
      <c r="J126" s="39" t="n">
        <f aca="false">MONTH(B126)</f>
        <v>9</v>
      </c>
      <c r="K126" s="39" t="str">
        <f aca="false">TEXT(B126,"mmm")</f>
        <v>Sep</v>
      </c>
      <c r="L126" s="45" t="n">
        <f aca="false">IFERROR(INDEX(medicine_master!$I$2:$I$26,MATCH($C126,medicine_master!$A$2:$A$26,0)),0)</f>
        <v>72</v>
      </c>
      <c r="M126" s="45" t="n">
        <f aca="false">IFERROR(INDEX(medicine_master!$G$2:$G$26,MATCH($C126,medicine_master!$A$2:$A$26,0)),0)</f>
        <v>52</v>
      </c>
      <c r="N126" s="45" t="n">
        <f aca="false">IF(D126="Sale",E126*L126,0)</f>
        <v>0</v>
      </c>
      <c r="O126" s="45" t="n">
        <f aca="false">IF(D126="Sale",E126*M126,0)</f>
        <v>0</v>
      </c>
      <c r="P126" s="45" t="n">
        <f aca="false">N126-O126</f>
        <v>0</v>
      </c>
      <c r="Q126" s="45" t="n">
        <f aca="false">IF(D126="Purchase",E126*M126,0)</f>
        <v>1560</v>
      </c>
    </row>
    <row r="127" customFormat="false" ht="15" hidden="false" customHeight="false" outlineLevel="0" collapsed="false">
      <c r="A127" s="39" t="s">
        <v>450</v>
      </c>
      <c r="B127" s="44" t="n">
        <v>46192</v>
      </c>
      <c r="C127" s="39" t="s">
        <v>326</v>
      </c>
      <c r="D127" s="39" t="s">
        <v>137</v>
      </c>
      <c r="E127" s="39" t="n">
        <v>30</v>
      </c>
      <c r="F127" s="39" t="str">
        <f aca="false">IF(COUNTIF(medicine_master!$A$2:$A$26,C127)&gt;0,"Valid","Invalid")</f>
        <v>Valid</v>
      </c>
      <c r="G127" s="39" t="str">
        <f aca="false">IFERROR(INDEX(medicine_master!$B$2:$B$26,MATCH($C127,medicine_master!$A$2:$A$26,0)),"Not found")</f>
        <v>Omeprazole 20mg</v>
      </c>
      <c r="H127" s="39" t="str">
        <f aca="false">IFERROR(INDEX(medicine_master!$C$2:$C$26,MATCH($C127,medicine_master!$A$2:$A$26,0)),"Not found")</f>
        <v>Gastric</v>
      </c>
      <c r="I127" s="39" t="n">
        <f aca="false">YEAR(B127)</f>
        <v>2026</v>
      </c>
      <c r="J127" s="39" t="n">
        <f aca="false">MONTH(B127)</f>
        <v>6</v>
      </c>
      <c r="K127" s="39" t="str">
        <f aca="false">TEXT(B127,"mmm")</f>
        <v>Jun</v>
      </c>
      <c r="L127" s="45" t="n">
        <f aca="false">IFERROR(INDEX(medicine_master!$I$2:$I$26,MATCH($C127,medicine_master!$A$2:$A$26,0)),0)</f>
        <v>26</v>
      </c>
      <c r="M127" s="45" t="n">
        <f aca="false">IFERROR(INDEX(medicine_master!$G$2:$G$26,MATCH($C127,medicine_master!$A$2:$A$26,0)),0)</f>
        <v>18</v>
      </c>
      <c r="N127" s="45" t="n">
        <f aca="false">IF(D127="Sale",E127*L127,0)</f>
        <v>780</v>
      </c>
      <c r="O127" s="45" t="n">
        <f aca="false">IF(D127="Sale",E127*M127,0)</f>
        <v>540</v>
      </c>
      <c r="P127" s="45" t="n">
        <f aca="false">N127-O127</f>
        <v>240</v>
      </c>
      <c r="Q127" s="45" t="n">
        <f aca="false">IF(D127="Purchase",E127*M127,0)</f>
        <v>0</v>
      </c>
    </row>
    <row r="128" customFormat="false" ht="15" hidden="false" customHeight="false" outlineLevel="0" collapsed="false">
      <c r="A128" s="39" t="s">
        <v>451</v>
      </c>
      <c r="B128" s="44" t="n">
        <v>46027</v>
      </c>
      <c r="C128" s="39" t="s">
        <v>152</v>
      </c>
      <c r="D128" s="39" t="s">
        <v>138</v>
      </c>
      <c r="E128" s="39" t="n">
        <v>25</v>
      </c>
      <c r="F128" s="39" t="str">
        <f aca="false">IF(COUNTIF(medicine_master!$A$2:$A$26,C128)&gt;0,"Valid","Invalid")</f>
        <v>Valid</v>
      </c>
      <c r="G128" s="39" t="str">
        <f aca="false">IFERROR(INDEX(medicine_master!$B$2:$B$26,MATCH($C128,medicine_master!$A$2:$A$26,0)),"Not found")</f>
        <v>Amoxicillin 500mg</v>
      </c>
      <c r="H128" s="39" t="str">
        <f aca="false">IFERROR(INDEX(medicine_master!$C$2:$C$26,MATCH($C128,medicine_master!$A$2:$A$26,0)),"Not found")</f>
        <v>Antibiotic</v>
      </c>
      <c r="I128" s="39" t="n">
        <f aca="false">YEAR(B128)</f>
        <v>2026</v>
      </c>
      <c r="J128" s="39" t="n">
        <f aca="false">MONTH(B128)</f>
        <v>1</v>
      </c>
      <c r="K128" s="39" t="str">
        <f aca="false">TEXT(B128,"mmm")</f>
        <v>Jan</v>
      </c>
      <c r="L128" s="45" t="n">
        <f aca="false">IFERROR(INDEX(medicine_master!$I$2:$I$26,MATCH($C128,medicine_master!$A$2:$A$26,0)),0)</f>
        <v>40</v>
      </c>
      <c r="M128" s="45" t="n">
        <f aca="false">IFERROR(INDEX(medicine_master!$G$2:$G$26,MATCH($C128,medicine_master!$A$2:$A$26,0)),0)</f>
        <v>28</v>
      </c>
      <c r="N128" s="45" t="n">
        <f aca="false">IF(D128="Sale",E128*L128,0)</f>
        <v>0</v>
      </c>
      <c r="O128" s="45" t="n">
        <f aca="false">IF(D128="Sale",E128*M128,0)</f>
        <v>0</v>
      </c>
      <c r="P128" s="45" t="n">
        <f aca="false">N128-O128</f>
        <v>0</v>
      </c>
      <c r="Q128" s="45" t="n">
        <f aca="false">IF(D128="Purchase",E128*M128,0)</f>
        <v>700</v>
      </c>
    </row>
    <row r="129" customFormat="false" ht="15" hidden="false" customHeight="false" outlineLevel="0" collapsed="false">
      <c r="A129" s="39" t="s">
        <v>452</v>
      </c>
      <c r="B129" s="44" t="n">
        <v>46387</v>
      </c>
      <c r="C129" s="39" t="s">
        <v>345</v>
      </c>
      <c r="D129" s="39" t="s">
        <v>137</v>
      </c>
      <c r="E129" s="39" t="n">
        <v>15</v>
      </c>
      <c r="F129" s="39" t="str">
        <f aca="false">IF(COUNTIF(medicine_master!$A$2:$A$26,C129)&gt;0,"Valid","Invalid")</f>
        <v>Valid</v>
      </c>
      <c r="G129" s="39" t="str">
        <f aca="false">IFERROR(INDEX(medicine_master!$B$2:$B$26,MATCH($C129,medicine_master!$A$2:$A$26,0)),"Not found")</f>
        <v>Paracetamol 500mg</v>
      </c>
      <c r="H129" s="39" t="str">
        <f aca="false">IFERROR(INDEX(medicine_master!$C$2:$C$26,MATCH($C129,medicine_master!$A$2:$A$26,0)),"Not found")</f>
        <v>Pain Relief</v>
      </c>
      <c r="I129" s="39" t="n">
        <f aca="false">YEAR(B129)</f>
        <v>2026</v>
      </c>
      <c r="J129" s="39" t="n">
        <f aca="false">MONTH(B129)</f>
        <v>12</v>
      </c>
      <c r="K129" s="39" t="str">
        <f aca="false">TEXT(B129,"mmm")</f>
        <v>Dec</v>
      </c>
      <c r="L129" s="45" t="n">
        <f aca="false">IFERROR(INDEX(medicine_master!$I$2:$I$26,MATCH($C129,medicine_master!$A$2:$A$26,0)),0)</f>
        <v>18</v>
      </c>
      <c r="M129" s="45" t="n">
        <f aca="false">IFERROR(INDEX(medicine_master!$G$2:$G$26,MATCH($C129,medicine_master!$A$2:$A$26,0)),0)</f>
        <v>12</v>
      </c>
      <c r="N129" s="45" t="n">
        <f aca="false">IF(D129="Sale",E129*L129,0)</f>
        <v>270</v>
      </c>
      <c r="O129" s="45" t="n">
        <f aca="false">IF(D129="Sale",E129*M129,0)</f>
        <v>180</v>
      </c>
      <c r="P129" s="45" t="n">
        <f aca="false">N129-O129</f>
        <v>90</v>
      </c>
      <c r="Q129" s="45" t="n">
        <f aca="false">IF(D129="Purchase",E129*M129,0)</f>
        <v>0</v>
      </c>
    </row>
    <row r="130" customFormat="false" ht="15" hidden="false" customHeight="false" outlineLevel="0" collapsed="false">
      <c r="A130" s="39" t="s">
        <v>453</v>
      </c>
      <c r="B130" s="44" t="n">
        <v>46349</v>
      </c>
      <c r="C130" s="39" t="s">
        <v>178</v>
      </c>
      <c r="D130" s="39" t="s">
        <v>137</v>
      </c>
      <c r="E130" s="39" t="n">
        <v>15</v>
      </c>
      <c r="F130" s="39" t="str">
        <f aca="false">IF(COUNTIF(medicine_master!$A$2:$A$26,C130)&gt;0,"Valid","Invalid")</f>
        <v>Valid</v>
      </c>
      <c r="G130" s="39" t="str">
        <f aca="false">IFERROR(INDEX(medicine_master!$B$2:$B$26,MATCH($C130,medicine_master!$A$2:$A$26,0)),"Not found")</f>
        <v>Aspirin 75mg</v>
      </c>
      <c r="H130" s="39" t="str">
        <f aca="false">IFERROR(INDEX(medicine_master!$C$2:$C$26,MATCH($C130,medicine_master!$A$2:$A$26,0)),"Not found")</f>
        <v>Cardiac</v>
      </c>
      <c r="I130" s="39" t="n">
        <f aca="false">YEAR(B130)</f>
        <v>2026</v>
      </c>
      <c r="J130" s="39" t="n">
        <f aca="false">MONTH(B130)</f>
        <v>11</v>
      </c>
      <c r="K130" s="39" t="str">
        <f aca="false">TEXT(B130,"mmm")</f>
        <v>Nov</v>
      </c>
      <c r="L130" s="45" t="n">
        <f aca="false">IFERROR(INDEX(medicine_master!$I$2:$I$26,MATCH($C130,medicine_master!$A$2:$A$26,0)),0)</f>
        <v>15</v>
      </c>
      <c r="M130" s="45" t="n">
        <f aca="false">IFERROR(INDEX(medicine_master!$G$2:$G$26,MATCH($C130,medicine_master!$A$2:$A$26,0)),0)</f>
        <v>10</v>
      </c>
      <c r="N130" s="45" t="n">
        <f aca="false">IF(D130="Sale",E130*L130,0)</f>
        <v>225</v>
      </c>
      <c r="O130" s="45" t="n">
        <f aca="false">IF(D130="Sale",E130*M130,0)</f>
        <v>150</v>
      </c>
      <c r="P130" s="45" t="n">
        <f aca="false">N130-O130</f>
        <v>75</v>
      </c>
      <c r="Q130" s="45" t="n">
        <f aca="false">IF(D130="Purchase",E130*M130,0)</f>
        <v>0</v>
      </c>
    </row>
    <row r="131" customFormat="false" ht="15" hidden="false" customHeight="false" outlineLevel="0" collapsed="false">
      <c r="A131" s="39" t="s">
        <v>454</v>
      </c>
      <c r="B131" s="44" t="n">
        <v>46274</v>
      </c>
      <c r="C131" s="39" t="s">
        <v>404</v>
      </c>
      <c r="D131" s="39" t="s">
        <v>137</v>
      </c>
      <c r="E131" s="39" t="n">
        <v>25</v>
      </c>
      <c r="F131" s="39" t="str">
        <f aca="false">IF(COUNTIF(medicine_master!$A$2:$A$26,C131)&gt;0,"Valid","Invalid")</f>
        <v>Valid</v>
      </c>
      <c r="G131" s="39" t="str">
        <f aca="false">IFERROR(INDEX(medicine_master!$B$2:$B$26,MATCH($C131,medicine_master!$A$2:$A$26,0)),"Not found")</f>
        <v>ORS Sachet</v>
      </c>
      <c r="H131" s="39" t="str">
        <f aca="false">IFERROR(INDEX(medicine_master!$C$2:$C$26,MATCH($C131,medicine_master!$A$2:$A$26,0)),"Not found")</f>
        <v>First Aid</v>
      </c>
      <c r="I131" s="39" t="n">
        <f aca="false">YEAR(B131)</f>
        <v>2026</v>
      </c>
      <c r="J131" s="39" t="n">
        <f aca="false">MONTH(B131)</f>
        <v>9</v>
      </c>
      <c r="K131" s="39" t="str">
        <f aca="false">TEXT(B131,"mmm")</f>
        <v>Sep</v>
      </c>
      <c r="L131" s="45" t="n">
        <f aca="false">IFERROR(INDEX(medicine_master!$I$2:$I$26,MATCH($C131,medicine_master!$A$2:$A$26,0)),0)</f>
        <v>10</v>
      </c>
      <c r="M131" s="45" t="n">
        <f aca="false">IFERROR(INDEX(medicine_master!$G$2:$G$26,MATCH($C131,medicine_master!$A$2:$A$26,0)),0)</f>
        <v>6</v>
      </c>
      <c r="N131" s="45" t="n">
        <f aca="false">IF(D131="Sale",E131*L131,0)</f>
        <v>250</v>
      </c>
      <c r="O131" s="45" t="n">
        <f aca="false">IF(D131="Sale",E131*M131,0)</f>
        <v>150</v>
      </c>
      <c r="P131" s="45" t="n">
        <f aca="false">N131-O131</f>
        <v>100</v>
      </c>
      <c r="Q131" s="45" t="n">
        <f aca="false">IF(D131="Purchase",E131*M131,0)</f>
        <v>0</v>
      </c>
    </row>
    <row r="132" customFormat="false" ht="15" hidden="false" customHeight="false" outlineLevel="0" collapsed="false">
      <c r="A132" s="39" t="s">
        <v>455</v>
      </c>
      <c r="B132" s="44" t="n">
        <v>46113</v>
      </c>
      <c r="C132" s="39" t="s">
        <v>150</v>
      </c>
      <c r="D132" s="39" t="s">
        <v>137</v>
      </c>
      <c r="E132" s="39" t="n">
        <v>10</v>
      </c>
      <c r="F132" s="39" t="str">
        <f aca="false">IF(COUNTIF(medicine_master!$A$2:$A$26,C132)&gt;0,"Valid","Invalid")</f>
        <v>Valid</v>
      </c>
      <c r="G132" s="39" t="str">
        <f aca="false">IFERROR(INDEX(medicine_master!$B$2:$B$26,MATCH($C132,medicine_master!$A$2:$A$26,0)),"Not found")</f>
        <v>Pantoprazole 40mg</v>
      </c>
      <c r="H132" s="39" t="str">
        <f aca="false">IFERROR(INDEX(medicine_master!$C$2:$C$26,MATCH($C132,medicine_master!$A$2:$A$26,0)),"Not found")</f>
        <v>Gastric</v>
      </c>
      <c r="I132" s="39" t="n">
        <f aca="false">YEAR(B132)</f>
        <v>2026</v>
      </c>
      <c r="J132" s="39" t="n">
        <f aca="false">MONTH(B132)</f>
        <v>4</v>
      </c>
      <c r="K132" s="39" t="str">
        <f aca="false">TEXT(B132,"mmm")</f>
        <v>Apr</v>
      </c>
      <c r="L132" s="45" t="n">
        <f aca="false">IFERROR(INDEX(medicine_master!$I$2:$I$26,MATCH($C132,medicine_master!$A$2:$A$26,0)),0)</f>
        <v>35</v>
      </c>
      <c r="M132" s="45" t="n">
        <f aca="false">IFERROR(INDEX(medicine_master!$G$2:$G$26,MATCH($C132,medicine_master!$A$2:$A$26,0)),0)</f>
        <v>24</v>
      </c>
      <c r="N132" s="45" t="n">
        <f aca="false">IF(D132="Sale",E132*L132,0)</f>
        <v>350</v>
      </c>
      <c r="O132" s="45" t="n">
        <f aca="false">IF(D132="Sale",E132*M132,0)</f>
        <v>240</v>
      </c>
      <c r="P132" s="45" t="n">
        <f aca="false">N132-O132</f>
        <v>110</v>
      </c>
      <c r="Q132" s="45" t="n">
        <f aca="false">IF(D132="Purchase",E132*M132,0)</f>
        <v>0</v>
      </c>
    </row>
    <row r="133" customFormat="false" ht="15" hidden="false" customHeight="false" outlineLevel="0" collapsed="false">
      <c r="A133" s="39" t="s">
        <v>456</v>
      </c>
      <c r="B133" s="44" t="n">
        <v>46195</v>
      </c>
      <c r="C133" s="39" t="s">
        <v>167</v>
      </c>
      <c r="D133" s="39" t="s">
        <v>137</v>
      </c>
      <c r="E133" s="39" t="n">
        <v>25</v>
      </c>
      <c r="F133" s="39" t="str">
        <f aca="false">IF(COUNTIF(medicine_master!$A$2:$A$26,C133)&gt;0,"Valid","Invalid")</f>
        <v>Valid</v>
      </c>
      <c r="G133" s="39" t="str">
        <f aca="false">IFERROR(INDEX(medicine_master!$B$2:$B$26,MATCH($C133,medicine_master!$A$2:$A$26,0)),"Not found")</f>
        <v>Amlodipine 5mg</v>
      </c>
      <c r="H133" s="39" t="str">
        <f aca="false">IFERROR(INDEX(medicine_master!$C$2:$C$26,MATCH($C133,medicine_master!$A$2:$A$26,0)),"Not found")</f>
        <v>Cardiac</v>
      </c>
      <c r="I133" s="39" t="n">
        <f aca="false">YEAR(B133)</f>
        <v>2026</v>
      </c>
      <c r="J133" s="39" t="n">
        <f aca="false">MONTH(B133)</f>
        <v>6</v>
      </c>
      <c r="K133" s="39" t="str">
        <f aca="false">TEXT(B133,"mmm")</f>
        <v>Jun</v>
      </c>
      <c r="L133" s="45" t="n">
        <f aca="false">IFERROR(INDEX(medicine_master!$I$2:$I$26,MATCH($C133,medicine_master!$A$2:$A$26,0)),0)</f>
        <v>19</v>
      </c>
      <c r="M133" s="45" t="n">
        <f aca="false">IFERROR(INDEX(medicine_master!$G$2:$G$26,MATCH($C133,medicine_master!$A$2:$A$26,0)),0)</f>
        <v>13</v>
      </c>
      <c r="N133" s="45" t="n">
        <f aca="false">IF(D133="Sale",E133*L133,0)</f>
        <v>475</v>
      </c>
      <c r="O133" s="45" t="n">
        <f aca="false">IF(D133="Sale",E133*M133,0)</f>
        <v>325</v>
      </c>
      <c r="P133" s="45" t="n">
        <f aca="false">N133-O133</f>
        <v>150</v>
      </c>
      <c r="Q133" s="45" t="n">
        <f aca="false">IF(D133="Purchase",E133*M133,0)</f>
        <v>0</v>
      </c>
    </row>
    <row r="134" customFormat="false" ht="15" hidden="false" customHeight="false" outlineLevel="0" collapsed="false">
      <c r="A134" s="39" t="s">
        <v>457</v>
      </c>
      <c r="B134" s="44" t="n">
        <v>46170</v>
      </c>
      <c r="C134" s="39" t="s">
        <v>157</v>
      </c>
      <c r="D134" s="39" t="s">
        <v>138</v>
      </c>
      <c r="E134" s="39" t="n">
        <v>25</v>
      </c>
      <c r="F134" s="39" t="str">
        <f aca="false">IF(COUNTIF(medicine_master!$A$2:$A$26,C134)&gt;0,"Valid","Invalid")</f>
        <v>Valid</v>
      </c>
      <c r="G134" s="39" t="str">
        <f aca="false">IFERROR(INDEX(medicine_master!$B$2:$B$26,MATCH($C134,medicine_master!$A$2:$A$26,0)),"Not found")</f>
        <v>Multivitamin Tablets</v>
      </c>
      <c r="H134" s="39" t="str">
        <f aca="false">IFERROR(INDEX(medicine_master!$C$2:$C$26,MATCH($C134,medicine_master!$A$2:$A$26,0)),"Not found")</f>
        <v>Vitamin</v>
      </c>
      <c r="I134" s="39" t="n">
        <f aca="false">YEAR(B134)</f>
        <v>2026</v>
      </c>
      <c r="J134" s="39" t="n">
        <f aca="false">MONTH(B134)</f>
        <v>5</v>
      </c>
      <c r="K134" s="39" t="str">
        <f aca="false">TEXT(B134,"mmm")</f>
        <v>May</v>
      </c>
      <c r="L134" s="45" t="n">
        <f aca="false">IFERROR(INDEX(medicine_master!$I$2:$I$26,MATCH($C134,medicine_master!$A$2:$A$26,0)),0)</f>
        <v>105</v>
      </c>
      <c r="M134" s="45" t="n">
        <f aca="false">IFERROR(INDEX(medicine_master!$G$2:$G$26,MATCH($C134,medicine_master!$A$2:$A$26,0)),0)</f>
        <v>72</v>
      </c>
      <c r="N134" s="45" t="n">
        <f aca="false">IF(D134="Sale",E134*L134,0)</f>
        <v>0</v>
      </c>
      <c r="O134" s="45" t="n">
        <f aca="false">IF(D134="Sale",E134*M134,0)</f>
        <v>0</v>
      </c>
      <c r="P134" s="45" t="n">
        <f aca="false">N134-O134</f>
        <v>0</v>
      </c>
      <c r="Q134" s="45" t="n">
        <f aca="false">IF(D134="Purchase",E134*M134,0)</f>
        <v>1800</v>
      </c>
    </row>
    <row r="135" customFormat="false" ht="15" hidden="false" customHeight="false" outlineLevel="0" collapsed="false">
      <c r="A135" s="39" t="s">
        <v>458</v>
      </c>
      <c r="B135" s="44" t="n">
        <v>46023</v>
      </c>
      <c r="C135" s="39" t="s">
        <v>151</v>
      </c>
      <c r="D135" s="39" t="s">
        <v>137</v>
      </c>
      <c r="E135" s="39" t="n">
        <v>50</v>
      </c>
      <c r="F135" s="39" t="str">
        <f aca="false">IF(COUNTIF(medicine_master!$A$2:$A$26,C135)&gt;0,"Valid","Invalid")</f>
        <v>Valid</v>
      </c>
      <c r="G135" s="39" t="str">
        <f aca="false">IFERROR(INDEX(medicine_master!$B$2:$B$26,MATCH($C135,medicine_master!$A$2:$A$26,0)),"Not found")</f>
        <v>Cetirizine 10mg</v>
      </c>
      <c r="H135" s="39" t="str">
        <f aca="false">IFERROR(INDEX(medicine_master!$C$2:$C$26,MATCH($C135,medicine_master!$A$2:$A$26,0)),"Not found")</f>
        <v>Allergy</v>
      </c>
      <c r="I135" s="39" t="n">
        <f aca="false">YEAR(B135)</f>
        <v>2026</v>
      </c>
      <c r="J135" s="39" t="n">
        <f aca="false">MONTH(B135)</f>
        <v>1</v>
      </c>
      <c r="K135" s="39" t="str">
        <f aca="false">TEXT(B135,"mmm")</f>
        <v>Jan</v>
      </c>
      <c r="L135" s="45" t="n">
        <f aca="false">IFERROR(INDEX(medicine_master!$I$2:$I$26,MATCH($C135,medicine_master!$A$2:$A$26,0)),0)</f>
        <v>13</v>
      </c>
      <c r="M135" s="45" t="n">
        <f aca="false">IFERROR(INDEX(medicine_master!$G$2:$G$26,MATCH($C135,medicine_master!$A$2:$A$26,0)),0)</f>
        <v>8</v>
      </c>
      <c r="N135" s="45" t="n">
        <f aca="false">IF(D135="Sale",E135*L135,0)</f>
        <v>650</v>
      </c>
      <c r="O135" s="45" t="n">
        <f aca="false">IF(D135="Sale",E135*M135,0)</f>
        <v>400</v>
      </c>
      <c r="P135" s="45" t="n">
        <f aca="false">N135-O135</f>
        <v>250</v>
      </c>
      <c r="Q135" s="45" t="n">
        <f aca="false">IF(D135="Purchase",E135*M135,0)</f>
        <v>0</v>
      </c>
    </row>
    <row r="136" customFormat="false" ht="15" hidden="false" customHeight="false" outlineLevel="0" collapsed="false">
      <c r="A136" s="39" t="s">
        <v>459</v>
      </c>
      <c r="B136" s="44" t="n">
        <v>46213</v>
      </c>
      <c r="C136" s="39" t="s">
        <v>145</v>
      </c>
      <c r="D136" s="39" t="s">
        <v>138</v>
      </c>
      <c r="E136" s="39" t="n">
        <v>20</v>
      </c>
      <c r="F136" s="39" t="str">
        <f aca="false">IF(COUNTIF(medicine_master!$A$2:$A$26,C136)&gt;0,"Valid","Invalid")</f>
        <v>Valid</v>
      </c>
      <c r="G136" s="39" t="str">
        <f aca="false">IFERROR(INDEX(medicine_master!$B$2:$B$26,MATCH($C136,medicine_master!$A$2:$A$26,0)),"Not found")</f>
        <v>Clotrimazole Cream</v>
      </c>
      <c r="H136" s="39" t="str">
        <f aca="false">IFERROR(INDEX(medicine_master!$C$2:$C$26,MATCH($C136,medicine_master!$A$2:$A$26,0)),"Not found")</f>
        <v>Dermatology</v>
      </c>
      <c r="I136" s="39" t="n">
        <f aca="false">YEAR(B136)</f>
        <v>2026</v>
      </c>
      <c r="J136" s="39" t="n">
        <f aca="false">MONTH(B136)</f>
        <v>7</v>
      </c>
      <c r="K136" s="39" t="str">
        <f aca="false">TEXT(B136,"mmm")</f>
        <v>Jul</v>
      </c>
      <c r="L136" s="45" t="n">
        <f aca="false">IFERROR(INDEX(medicine_master!$I$2:$I$26,MATCH($C136,medicine_master!$A$2:$A$26,0)),0)</f>
        <v>48</v>
      </c>
      <c r="M136" s="45" t="n">
        <f aca="false">IFERROR(INDEX(medicine_master!$G$2:$G$26,MATCH($C136,medicine_master!$A$2:$A$26,0)),0)</f>
        <v>32</v>
      </c>
      <c r="N136" s="45" t="n">
        <f aca="false">IF(D136="Sale",E136*L136,0)</f>
        <v>0</v>
      </c>
      <c r="O136" s="45" t="n">
        <f aca="false">IF(D136="Sale",E136*M136,0)</f>
        <v>0</v>
      </c>
      <c r="P136" s="45" t="n">
        <f aca="false">N136-O136</f>
        <v>0</v>
      </c>
      <c r="Q136" s="45" t="n">
        <f aca="false">IF(D136="Purchase",E136*M136,0)</f>
        <v>640</v>
      </c>
    </row>
    <row r="137" customFormat="false" ht="15" hidden="false" customHeight="false" outlineLevel="0" collapsed="false">
      <c r="A137" s="39" t="s">
        <v>460</v>
      </c>
      <c r="B137" s="44" t="n">
        <v>46139</v>
      </c>
      <c r="C137" s="39" t="s">
        <v>158</v>
      </c>
      <c r="D137" s="39" t="s">
        <v>137</v>
      </c>
      <c r="E137" s="39" t="n">
        <v>50</v>
      </c>
      <c r="F137" s="39" t="str">
        <f aca="false">IF(COUNTIF(medicine_master!$A$2:$A$26,C137)&gt;0,"Valid","Invalid")</f>
        <v>Valid</v>
      </c>
      <c r="G137" s="39" t="str">
        <f aca="false">IFERROR(INDEX(medicine_master!$B$2:$B$26,MATCH($C137,medicine_master!$A$2:$A$26,0)),"Not found")</f>
        <v>Cough Syrup 100ml</v>
      </c>
      <c r="H137" s="39" t="str">
        <f aca="false">IFERROR(INDEX(medicine_master!$C$2:$C$26,MATCH($C137,medicine_master!$A$2:$A$26,0)),"Not found")</f>
        <v>Cold &amp; Cough</v>
      </c>
      <c r="I137" s="39" t="n">
        <f aca="false">YEAR(B137)</f>
        <v>2026</v>
      </c>
      <c r="J137" s="39" t="n">
        <f aca="false">MONTH(B137)</f>
        <v>4</v>
      </c>
      <c r="K137" s="39" t="str">
        <f aca="false">TEXT(B137,"mmm")</f>
        <v>Apr</v>
      </c>
      <c r="L137" s="45" t="n">
        <f aca="false">IFERROR(INDEX(medicine_master!$I$2:$I$26,MATCH($C137,medicine_master!$A$2:$A$26,0)),0)</f>
        <v>72</v>
      </c>
      <c r="M137" s="45" t="n">
        <f aca="false">IFERROR(INDEX(medicine_master!$G$2:$G$26,MATCH($C137,medicine_master!$A$2:$A$26,0)),0)</f>
        <v>52</v>
      </c>
      <c r="N137" s="45" t="n">
        <f aca="false">IF(D137="Sale",E137*L137,0)</f>
        <v>3600</v>
      </c>
      <c r="O137" s="45" t="n">
        <f aca="false">IF(D137="Sale",E137*M137,0)</f>
        <v>2600</v>
      </c>
      <c r="P137" s="45" t="n">
        <f aca="false">N137-O137</f>
        <v>1000</v>
      </c>
      <c r="Q137" s="45" t="n">
        <f aca="false">IF(D137="Purchase",E137*M137,0)</f>
        <v>0</v>
      </c>
    </row>
    <row r="138" customFormat="false" ht="15" hidden="false" customHeight="false" outlineLevel="0" collapsed="false">
      <c r="A138" s="39" t="s">
        <v>461</v>
      </c>
      <c r="B138" s="44" t="n">
        <v>46195</v>
      </c>
      <c r="C138" s="39" t="s">
        <v>159</v>
      </c>
      <c r="D138" s="39" t="s">
        <v>137</v>
      </c>
      <c r="E138" s="39" t="n">
        <v>20</v>
      </c>
      <c r="F138" s="39" t="str">
        <f aca="false">IF(COUNTIF(medicine_master!$A$2:$A$26,C138)&gt;0,"Valid","Invalid")</f>
        <v>Valid</v>
      </c>
      <c r="G138" s="39" t="str">
        <f aca="false">IFERROR(INDEX(medicine_master!$B$2:$B$26,MATCH($C138,medicine_master!$A$2:$A$26,0)),"Not found")</f>
        <v>Antiseptic Liquid 100ml</v>
      </c>
      <c r="H138" s="39" t="str">
        <f aca="false">IFERROR(INDEX(medicine_master!$C$2:$C$26,MATCH($C138,medicine_master!$A$2:$A$26,0)),"Not found")</f>
        <v>First Aid</v>
      </c>
      <c r="I138" s="39" t="n">
        <f aca="false">YEAR(B138)</f>
        <v>2026</v>
      </c>
      <c r="J138" s="39" t="n">
        <f aca="false">MONTH(B138)</f>
        <v>6</v>
      </c>
      <c r="K138" s="39" t="str">
        <f aca="false">TEXT(B138,"mmm")</f>
        <v>Jun</v>
      </c>
      <c r="L138" s="45" t="n">
        <f aca="false">IFERROR(INDEX(medicine_master!$I$2:$I$26,MATCH($C138,medicine_master!$A$2:$A$26,0)),0)</f>
        <v>65</v>
      </c>
      <c r="M138" s="45" t="n">
        <f aca="false">IFERROR(INDEX(medicine_master!$G$2:$G$26,MATCH($C138,medicine_master!$A$2:$A$26,0)),0)</f>
        <v>48</v>
      </c>
      <c r="N138" s="45" t="n">
        <f aca="false">IF(D138="Sale",E138*L138,0)</f>
        <v>1300</v>
      </c>
      <c r="O138" s="45" t="n">
        <f aca="false">IF(D138="Sale",E138*M138,0)</f>
        <v>960</v>
      </c>
      <c r="P138" s="45" t="n">
        <f aca="false">N138-O138</f>
        <v>340</v>
      </c>
      <c r="Q138" s="45" t="n">
        <f aca="false">IF(D138="Purchase",E138*M138,0)</f>
        <v>0</v>
      </c>
    </row>
    <row r="139" customFormat="false" ht="15" hidden="false" customHeight="false" outlineLevel="0" collapsed="false">
      <c r="A139" s="39" t="s">
        <v>462</v>
      </c>
      <c r="B139" s="44" t="n">
        <v>46225</v>
      </c>
      <c r="C139" s="39" t="s">
        <v>152</v>
      </c>
      <c r="D139" s="39" t="s">
        <v>138</v>
      </c>
      <c r="E139" s="39" t="n">
        <v>25</v>
      </c>
      <c r="F139" s="39" t="str">
        <f aca="false">IF(COUNTIF(medicine_master!$A$2:$A$26,C139)&gt;0,"Valid","Invalid")</f>
        <v>Valid</v>
      </c>
      <c r="G139" s="39" t="str">
        <f aca="false">IFERROR(INDEX(medicine_master!$B$2:$B$26,MATCH($C139,medicine_master!$A$2:$A$26,0)),"Not found")</f>
        <v>Amoxicillin 500mg</v>
      </c>
      <c r="H139" s="39" t="str">
        <f aca="false">IFERROR(INDEX(medicine_master!$C$2:$C$26,MATCH($C139,medicine_master!$A$2:$A$26,0)),"Not found")</f>
        <v>Antibiotic</v>
      </c>
      <c r="I139" s="39" t="n">
        <f aca="false">YEAR(B139)</f>
        <v>2026</v>
      </c>
      <c r="J139" s="39" t="n">
        <f aca="false">MONTH(B139)</f>
        <v>7</v>
      </c>
      <c r="K139" s="39" t="str">
        <f aca="false">TEXT(B139,"mmm")</f>
        <v>Jul</v>
      </c>
      <c r="L139" s="45" t="n">
        <f aca="false">IFERROR(INDEX(medicine_master!$I$2:$I$26,MATCH($C139,medicine_master!$A$2:$A$26,0)),0)</f>
        <v>40</v>
      </c>
      <c r="M139" s="45" t="n">
        <f aca="false">IFERROR(INDEX(medicine_master!$G$2:$G$26,MATCH($C139,medicine_master!$A$2:$A$26,0)),0)</f>
        <v>28</v>
      </c>
      <c r="N139" s="45" t="n">
        <f aca="false">IF(D139="Sale",E139*L139,0)</f>
        <v>0</v>
      </c>
      <c r="O139" s="45" t="n">
        <f aca="false">IF(D139="Sale",E139*M139,0)</f>
        <v>0</v>
      </c>
      <c r="P139" s="45" t="n">
        <f aca="false">N139-O139</f>
        <v>0</v>
      </c>
      <c r="Q139" s="45" t="n">
        <f aca="false">IF(D139="Purchase",E139*M139,0)</f>
        <v>700</v>
      </c>
    </row>
    <row r="140" customFormat="false" ht="15" hidden="false" customHeight="false" outlineLevel="0" collapsed="false">
      <c r="A140" s="39" t="s">
        <v>463</v>
      </c>
      <c r="B140" s="44" t="n">
        <v>46069</v>
      </c>
      <c r="C140" s="39" t="s">
        <v>326</v>
      </c>
      <c r="D140" s="39" t="s">
        <v>138</v>
      </c>
      <c r="E140" s="39" t="n">
        <v>15</v>
      </c>
      <c r="F140" s="39" t="str">
        <f aca="false">IF(COUNTIF(medicine_master!$A$2:$A$26,C140)&gt;0,"Valid","Invalid")</f>
        <v>Valid</v>
      </c>
      <c r="G140" s="39" t="str">
        <f aca="false">IFERROR(INDEX(medicine_master!$B$2:$B$26,MATCH($C140,medicine_master!$A$2:$A$26,0)),"Not found")</f>
        <v>Omeprazole 20mg</v>
      </c>
      <c r="H140" s="39" t="str">
        <f aca="false">IFERROR(INDEX(medicine_master!$C$2:$C$26,MATCH($C140,medicine_master!$A$2:$A$26,0)),"Not found")</f>
        <v>Gastric</v>
      </c>
      <c r="I140" s="39" t="n">
        <f aca="false">YEAR(B140)</f>
        <v>2026</v>
      </c>
      <c r="J140" s="39" t="n">
        <f aca="false">MONTH(B140)</f>
        <v>2</v>
      </c>
      <c r="K140" s="39" t="str">
        <f aca="false">TEXT(B140,"mmm")</f>
        <v>Feb</v>
      </c>
      <c r="L140" s="45" t="n">
        <f aca="false">IFERROR(INDEX(medicine_master!$I$2:$I$26,MATCH($C140,medicine_master!$A$2:$A$26,0)),0)</f>
        <v>26</v>
      </c>
      <c r="M140" s="45" t="n">
        <f aca="false">IFERROR(INDEX(medicine_master!$G$2:$G$26,MATCH($C140,medicine_master!$A$2:$A$26,0)),0)</f>
        <v>18</v>
      </c>
      <c r="N140" s="45" t="n">
        <f aca="false">IF(D140="Sale",E140*L140,0)</f>
        <v>0</v>
      </c>
      <c r="O140" s="45" t="n">
        <f aca="false">IF(D140="Sale",E140*M140,0)</f>
        <v>0</v>
      </c>
      <c r="P140" s="45" t="n">
        <f aca="false">N140-O140</f>
        <v>0</v>
      </c>
      <c r="Q140" s="45" t="n">
        <f aca="false">IF(D140="Purchase",E140*M140,0)</f>
        <v>270</v>
      </c>
    </row>
    <row r="141" customFormat="false" ht="15" hidden="false" customHeight="false" outlineLevel="0" collapsed="false">
      <c r="A141" s="39" t="s">
        <v>464</v>
      </c>
      <c r="B141" s="44" t="n">
        <v>46023</v>
      </c>
      <c r="C141" s="39" t="s">
        <v>390</v>
      </c>
      <c r="D141" s="39" t="s">
        <v>137</v>
      </c>
      <c r="E141" s="39" t="n">
        <v>20</v>
      </c>
      <c r="F141" s="39" t="str">
        <f aca="false">IF(COUNTIF(medicine_master!$A$2:$A$26,C141)&gt;0,"Valid","Invalid")</f>
        <v>Valid</v>
      </c>
      <c r="G141" s="39" t="str">
        <f aca="false">IFERROR(INDEX(medicine_master!$B$2:$B$26,MATCH($C141,medicine_master!$A$2:$A$26,0)),"Not found")</f>
        <v>Montelukast 10mg</v>
      </c>
      <c r="H141" s="39" t="str">
        <f aca="false">IFERROR(INDEX(medicine_master!$C$2:$C$26,MATCH($C141,medicine_master!$A$2:$A$26,0)),"Not found")</f>
        <v>Allergy</v>
      </c>
      <c r="I141" s="39" t="n">
        <f aca="false">YEAR(B141)</f>
        <v>2026</v>
      </c>
      <c r="J141" s="39" t="n">
        <f aca="false">MONTH(B141)</f>
        <v>1</v>
      </c>
      <c r="K141" s="39" t="str">
        <f aca="false">TEXT(B141,"mmm")</f>
        <v>Jan</v>
      </c>
      <c r="L141" s="45" t="n">
        <f aca="false">IFERROR(INDEX(medicine_master!$I$2:$I$26,MATCH($C141,medicine_master!$A$2:$A$26,0)),0)</f>
        <v>39</v>
      </c>
      <c r="M141" s="45" t="n">
        <f aca="false">IFERROR(INDEX(medicine_master!$G$2:$G$26,MATCH($C141,medicine_master!$A$2:$A$26,0)),0)</f>
        <v>27</v>
      </c>
      <c r="N141" s="45" t="n">
        <f aca="false">IF(D141="Sale",E141*L141,0)</f>
        <v>780</v>
      </c>
      <c r="O141" s="45" t="n">
        <f aca="false">IF(D141="Sale",E141*M141,0)</f>
        <v>540</v>
      </c>
      <c r="P141" s="45" t="n">
        <f aca="false">N141-O141</f>
        <v>240</v>
      </c>
      <c r="Q141" s="45" t="n">
        <f aca="false">IF(D141="Purchase",E141*M141,0)</f>
        <v>0</v>
      </c>
    </row>
    <row r="142" customFormat="false" ht="15" hidden="false" customHeight="false" outlineLevel="0" collapsed="false">
      <c r="A142" s="39" t="s">
        <v>465</v>
      </c>
      <c r="B142" s="44" t="n">
        <v>46034</v>
      </c>
      <c r="C142" s="39" t="s">
        <v>150</v>
      </c>
      <c r="D142" s="39" t="s">
        <v>137</v>
      </c>
      <c r="E142" s="39" t="n">
        <v>40</v>
      </c>
      <c r="F142" s="39" t="str">
        <f aca="false">IF(COUNTIF(medicine_master!$A$2:$A$26,C142)&gt;0,"Valid","Invalid")</f>
        <v>Valid</v>
      </c>
      <c r="G142" s="39" t="str">
        <f aca="false">IFERROR(INDEX(medicine_master!$B$2:$B$26,MATCH($C142,medicine_master!$A$2:$A$26,0)),"Not found")</f>
        <v>Pantoprazole 40mg</v>
      </c>
      <c r="H142" s="39" t="str">
        <f aca="false">IFERROR(INDEX(medicine_master!$C$2:$C$26,MATCH($C142,medicine_master!$A$2:$A$26,0)),"Not found")</f>
        <v>Gastric</v>
      </c>
      <c r="I142" s="39" t="n">
        <f aca="false">YEAR(B142)</f>
        <v>2026</v>
      </c>
      <c r="J142" s="39" t="n">
        <f aca="false">MONTH(B142)</f>
        <v>1</v>
      </c>
      <c r="K142" s="39" t="str">
        <f aca="false">TEXT(B142,"mmm")</f>
        <v>Jan</v>
      </c>
      <c r="L142" s="45" t="n">
        <f aca="false">IFERROR(INDEX(medicine_master!$I$2:$I$26,MATCH($C142,medicine_master!$A$2:$A$26,0)),0)</f>
        <v>35</v>
      </c>
      <c r="M142" s="45" t="n">
        <f aca="false">IFERROR(INDEX(medicine_master!$G$2:$G$26,MATCH($C142,medicine_master!$A$2:$A$26,0)),0)</f>
        <v>24</v>
      </c>
      <c r="N142" s="45" t="n">
        <f aca="false">IF(D142="Sale",E142*L142,0)</f>
        <v>1400</v>
      </c>
      <c r="O142" s="45" t="n">
        <f aca="false">IF(D142="Sale",E142*M142,0)</f>
        <v>960</v>
      </c>
      <c r="P142" s="45" t="n">
        <f aca="false">N142-O142</f>
        <v>440</v>
      </c>
      <c r="Q142" s="45" t="n">
        <f aca="false">IF(D142="Purchase",E142*M142,0)</f>
        <v>0</v>
      </c>
    </row>
    <row r="143" customFormat="false" ht="15" hidden="false" customHeight="false" outlineLevel="0" collapsed="false">
      <c r="A143" s="39" t="s">
        <v>466</v>
      </c>
      <c r="B143" s="44" t="n">
        <v>46178</v>
      </c>
      <c r="C143" s="39" t="s">
        <v>390</v>
      </c>
      <c r="D143" s="39" t="s">
        <v>138</v>
      </c>
      <c r="E143" s="39" t="n">
        <v>10</v>
      </c>
      <c r="F143" s="39" t="str">
        <f aca="false">IF(COUNTIF(medicine_master!$A$2:$A$26,C143)&gt;0,"Valid","Invalid")</f>
        <v>Valid</v>
      </c>
      <c r="G143" s="39" t="str">
        <f aca="false">IFERROR(INDEX(medicine_master!$B$2:$B$26,MATCH($C143,medicine_master!$A$2:$A$26,0)),"Not found")</f>
        <v>Montelukast 10mg</v>
      </c>
      <c r="H143" s="39" t="str">
        <f aca="false">IFERROR(INDEX(medicine_master!$C$2:$C$26,MATCH($C143,medicine_master!$A$2:$A$26,0)),"Not found")</f>
        <v>Allergy</v>
      </c>
      <c r="I143" s="39" t="n">
        <f aca="false">YEAR(B143)</f>
        <v>2026</v>
      </c>
      <c r="J143" s="39" t="n">
        <f aca="false">MONTH(B143)</f>
        <v>6</v>
      </c>
      <c r="K143" s="39" t="str">
        <f aca="false">TEXT(B143,"mmm")</f>
        <v>Jun</v>
      </c>
      <c r="L143" s="45" t="n">
        <f aca="false">IFERROR(INDEX(medicine_master!$I$2:$I$26,MATCH($C143,medicine_master!$A$2:$A$26,0)),0)</f>
        <v>39</v>
      </c>
      <c r="M143" s="45" t="n">
        <f aca="false">IFERROR(INDEX(medicine_master!$G$2:$G$26,MATCH($C143,medicine_master!$A$2:$A$26,0)),0)</f>
        <v>27</v>
      </c>
      <c r="N143" s="45" t="n">
        <f aca="false">IF(D143="Sale",E143*L143,0)</f>
        <v>0</v>
      </c>
      <c r="O143" s="45" t="n">
        <f aca="false">IF(D143="Sale",E143*M143,0)</f>
        <v>0</v>
      </c>
      <c r="P143" s="45" t="n">
        <f aca="false">N143-O143</f>
        <v>0</v>
      </c>
      <c r="Q143" s="45" t="n">
        <f aca="false">IF(D143="Purchase",E143*M143,0)</f>
        <v>270</v>
      </c>
    </row>
    <row r="144" customFormat="false" ht="15" hidden="false" customHeight="false" outlineLevel="0" collapsed="false">
      <c r="A144" s="39" t="s">
        <v>467</v>
      </c>
      <c r="B144" s="44" t="n">
        <v>46112</v>
      </c>
      <c r="C144" s="39" t="s">
        <v>157</v>
      </c>
      <c r="D144" s="39" t="s">
        <v>138</v>
      </c>
      <c r="E144" s="39" t="n">
        <v>25</v>
      </c>
      <c r="F144" s="39" t="str">
        <f aca="false">IF(COUNTIF(medicine_master!$A$2:$A$26,C144)&gt;0,"Valid","Invalid")</f>
        <v>Valid</v>
      </c>
      <c r="G144" s="39" t="str">
        <f aca="false">IFERROR(INDEX(medicine_master!$B$2:$B$26,MATCH($C144,medicine_master!$A$2:$A$26,0)),"Not found")</f>
        <v>Multivitamin Tablets</v>
      </c>
      <c r="H144" s="39" t="str">
        <f aca="false">IFERROR(INDEX(medicine_master!$C$2:$C$26,MATCH($C144,medicine_master!$A$2:$A$26,0)),"Not found")</f>
        <v>Vitamin</v>
      </c>
      <c r="I144" s="39" t="n">
        <f aca="false">YEAR(B144)</f>
        <v>2026</v>
      </c>
      <c r="J144" s="39" t="n">
        <f aca="false">MONTH(B144)</f>
        <v>3</v>
      </c>
      <c r="K144" s="39" t="str">
        <f aca="false">TEXT(B144,"mmm")</f>
        <v>Mar</v>
      </c>
      <c r="L144" s="45" t="n">
        <f aca="false">IFERROR(INDEX(medicine_master!$I$2:$I$26,MATCH($C144,medicine_master!$A$2:$A$26,0)),0)</f>
        <v>105</v>
      </c>
      <c r="M144" s="45" t="n">
        <f aca="false">IFERROR(INDEX(medicine_master!$G$2:$G$26,MATCH($C144,medicine_master!$A$2:$A$26,0)),0)</f>
        <v>72</v>
      </c>
      <c r="N144" s="45" t="n">
        <f aca="false">IF(D144="Sale",E144*L144,0)</f>
        <v>0</v>
      </c>
      <c r="O144" s="45" t="n">
        <f aca="false">IF(D144="Sale",E144*M144,0)</f>
        <v>0</v>
      </c>
      <c r="P144" s="45" t="n">
        <f aca="false">N144-O144</f>
        <v>0</v>
      </c>
      <c r="Q144" s="45" t="n">
        <f aca="false">IF(D144="Purchase",E144*M144,0)</f>
        <v>1800</v>
      </c>
    </row>
    <row r="145" customFormat="false" ht="15" hidden="false" customHeight="false" outlineLevel="0" collapsed="false">
      <c r="A145" s="39" t="s">
        <v>468</v>
      </c>
      <c r="B145" s="44" t="n">
        <v>46242</v>
      </c>
      <c r="C145" s="39" t="s">
        <v>152</v>
      </c>
      <c r="D145" s="39" t="s">
        <v>137</v>
      </c>
      <c r="E145" s="39" t="n">
        <v>50</v>
      </c>
      <c r="F145" s="39" t="str">
        <f aca="false">IF(COUNTIF(medicine_master!$A$2:$A$26,C145)&gt;0,"Valid","Invalid")</f>
        <v>Valid</v>
      </c>
      <c r="G145" s="39" t="str">
        <f aca="false">IFERROR(INDEX(medicine_master!$B$2:$B$26,MATCH($C145,medicine_master!$A$2:$A$26,0)),"Not found")</f>
        <v>Amoxicillin 500mg</v>
      </c>
      <c r="H145" s="39" t="str">
        <f aca="false">IFERROR(INDEX(medicine_master!$C$2:$C$26,MATCH($C145,medicine_master!$A$2:$A$26,0)),"Not found")</f>
        <v>Antibiotic</v>
      </c>
      <c r="I145" s="39" t="n">
        <f aca="false">YEAR(B145)</f>
        <v>2026</v>
      </c>
      <c r="J145" s="39" t="n">
        <f aca="false">MONTH(B145)</f>
        <v>8</v>
      </c>
      <c r="K145" s="39" t="str">
        <f aca="false">TEXT(B145,"mmm")</f>
        <v>Aug</v>
      </c>
      <c r="L145" s="45" t="n">
        <f aca="false">IFERROR(INDEX(medicine_master!$I$2:$I$26,MATCH($C145,medicine_master!$A$2:$A$26,0)),0)</f>
        <v>40</v>
      </c>
      <c r="M145" s="45" t="n">
        <f aca="false">IFERROR(INDEX(medicine_master!$G$2:$G$26,MATCH($C145,medicine_master!$A$2:$A$26,0)),0)</f>
        <v>28</v>
      </c>
      <c r="N145" s="45" t="n">
        <f aca="false">IF(D145="Sale",E145*L145,0)</f>
        <v>2000</v>
      </c>
      <c r="O145" s="45" t="n">
        <f aca="false">IF(D145="Sale",E145*M145,0)</f>
        <v>1400</v>
      </c>
      <c r="P145" s="45" t="n">
        <f aca="false">N145-O145</f>
        <v>600</v>
      </c>
      <c r="Q145" s="45" t="n">
        <f aca="false">IF(D145="Purchase",E145*M145,0)</f>
        <v>0</v>
      </c>
    </row>
    <row r="146" customFormat="false" ht="15" hidden="false" customHeight="false" outlineLevel="0" collapsed="false">
      <c r="A146" s="39" t="s">
        <v>469</v>
      </c>
      <c r="B146" s="44" t="n">
        <v>46167</v>
      </c>
      <c r="C146" s="39" t="s">
        <v>326</v>
      </c>
      <c r="D146" s="39" t="s">
        <v>138</v>
      </c>
      <c r="E146" s="39" t="n">
        <v>30</v>
      </c>
      <c r="F146" s="39" t="str">
        <f aca="false">IF(COUNTIF(medicine_master!$A$2:$A$26,C146)&gt;0,"Valid","Invalid")</f>
        <v>Valid</v>
      </c>
      <c r="G146" s="39" t="str">
        <f aca="false">IFERROR(INDEX(medicine_master!$B$2:$B$26,MATCH($C146,medicine_master!$A$2:$A$26,0)),"Not found")</f>
        <v>Omeprazole 20mg</v>
      </c>
      <c r="H146" s="39" t="str">
        <f aca="false">IFERROR(INDEX(medicine_master!$C$2:$C$26,MATCH($C146,medicine_master!$A$2:$A$26,0)),"Not found")</f>
        <v>Gastric</v>
      </c>
      <c r="I146" s="39" t="n">
        <f aca="false">YEAR(B146)</f>
        <v>2026</v>
      </c>
      <c r="J146" s="39" t="n">
        <f aca="false">MONTH(B146)</f>
        <v>5</v>
      </c>
      <c r="K146" s="39" t="str">
        <f aca="false">TEXT(B146,"mmm")</f>
        <v>May</v>
      </c>
      <c r="L146" s="45" t="n">
        <f aca="false">IFERROR(INDEX(medicine_master!$I$2:$I$26,MATCH($C146,medicine_master!$A$2:$A$26,0)),0)</f>
        <v>26</v>
      </c>
      <c r="M146" s="45" t="n">
        <f aca="false">IFERROR(INDEX(medicine_master!$G$2:$G$26,MATCH($C146,medicine_master!$A$2:$A$26,0)),0)</f>
        <v>18</v>
      </c>
      <c r="N146" s="45" t="n">
        <f aca="false">IF(D146="Sale",E146*L146,0)</f>
        <v>0</v>
      </c>
      <c r="O146" s="45" t="n">
        <f aca="false">IF(D146="Sale",E146*M146,0)</f>
        <v>0</v>
      </c>
      <c r="P146" s="45" t="n">
        <f aca="false">N146-O146</f>
        <v>0</v>
      </c>
      <c r="Q146" s="45" t="n">
        <f aca="false">IF(D146="Purchase",E146*M146,0)</f>
        <v>540</v>
      </c>
    </row>
    <row r="147" customFormat="false" ht="15" hidden="false" customHeight="false" outlineLevel="0" collapsed="false">
      <c r="A147" s="39" t="s">
        <v>470</v>
      </c>
      <c r="B147" s="44" t="n">
        <v>46242</v>
      </c>
      <c r="C147" s="39" t="s">
        <v>177</v>
      </c>
      <c r="D147" s="39" t="s">
        <v>138</v>
      </c>
      <c r="E147" s="39" t="n">
        <v>40</v>
      </c>
      <c r="F147" s="39" t="str">
        <f aca="false">IF(COUNTIF(medicine_master!$A$2:$A$26,C147)&gt;0,"Valid","Invalid")</f>
        <v>Valid</v>
      </c>
      <c r="G147" s="39" t="str">
        <f aca="false">IFERROR(INDEX(medicine_master!$B$2:$B$26,MATCH($C147,medicine_master!$A$2:$A$26,0)),"Not found")</f>
        <v>Bandage Roll</v>
      </c>
      <c r="H147" s="39" t="str">
        <f aca="false">IFERROR(INDEX(medicine_master!$C$2:$C$26,MATCH($C147,medicine_master!$A$2:$A$26,0)),"Not found")</f>
        <v>First Aid</v>
      </c>
      <c r="I147" s="39" t="n">
        <f aca="false">YEAR(B147)</f>
        <v>2026</v>
      </c>
      <c r="J147" s="39" t="n">
        <f aca="false">MONTH(B147)</f>
        <v>8</v>
      </c>
      <c r="K147" s="39" t="str">
        <f aca="false">TEXT(B147,"mmm")</f>
        <v>Aug</v>
      </c>
      <c r="L147" s="45" t="n">
        <f aca="false">IFERROR(INDEX(medicine_master!$I$2:$I$26,MATCH($C147,medicine_master!$A$2:$A$26,0)),0)</f>
        <v>25</v>
      </c>
      <c r="M147" s="45" t="n">
        <f aca="false">IFERROR(INDEX(medicine_master!$G$2:$G$26,MATCH($C147,medicine_master!$A$2:$A$26,0)),0)</f>
        <v>15</v>
      </c>
      <c r="N147" s="45" t="n">
        <f aca="false">IF(D147="Sale",E147*L147,0)</f>
        <v>0</v>
      </c>
      <c r="O147" s="45" t="n">
        <f aca="false">IF(D147="Sale",E147*M147,0)</f>
        <v>0</v>
      </c>
      <c r="P147" s="45" t="n">
        <f aca="false">N147-O147</f>
        <v>0</v>
      </c>
      <c r="Q147" s="45" t="n">
        <f aca="false">IF(D147="Purchase",E147*M147,0)</f>
        <v>600</v>
      </c>
    </row>
    <row r="148" customFormat="false" ht="15" hidden="false" customHeight="false" outlineLevel="0" collapsed="false">
      <c r="A148" s="39" t="s">
        <v>471</v>
      </c>
      <c r="B148" s="44" t="n">
        <v>46275</v>
      </c>
      <c r="C148" s="39" t="s">
        <v>158</v>
      </c>
      <c r="D148" s="39" t="s">
        <v>137</v>
      </c>
      <c r="E148" s="39" t="n">
        <v>30</v>
      </c>
      <c r="F148" s="39" t="str">
        <f aca="false">IF(COUNTIF(medicine_master!$A$2:$A$26,C148)&gt;0,"Valid","Invalid")</f>
        <v>Valid</v>
      </c>
      <c r="G148" s="39" t="str">
        <f aca="false">IFERROR(INDEX(medicine_master!$B$2:$B$26,MATCH($C148,medicine_master!$A$2:$A$26,0)),"Not found")</f>
        <v>Cough Syrup 100ml</v>
      </c>
      <c r="H148" s="39" t="str">
        <f aca="false">IFERROR(INDEX(medicine_master!$C$2:$C$26,MATCH($C148,medicine_master!$A$2:$A$26,0)),"Not found")</f>
        <v>Cold &amp; Cough</v>
      </c>
      <c r="I148" s="39" t="n">
        <f aca="false">YEAR(B148)</f>
        <v>2026</v>
      </c>
      <c r="J148" s="39" t="n">
        <f aca="false">MONTH(B148)</f>
        <v>9</v>
      </c>
      <c r="K148" s="39" t="str">
        <f aca="false">TEXT(B148,"mmm")</f>
        <v>Sep</v>
      </c>
      <c r="L148" s="45" t="n">
        <f aca="false">IFERROR(INDEX(medicine_master!$I$2:$I$26,MATCH($C148,medicine_master!$A$2:$A$26,0)),0)</f>
        <v>72</v>
      </c>
      <c r="M148" s="45" t="n">
        <f aca="false">IFERROR(INDEX(medicine_master!$G$2:$G$26,MATCH($C148,medicine_master!$A$2:$A$26,0)),0)</f>
        <v>52</v>
      </c>
      <c r="N148" s="45" t="n">
        <f aca="false">IF(D148="Sale",E148*L148,0)</f>
        <v>2160</v>
      </c>
      <c r="O148" s="45" t="n">
        <f aca="false">IF(D148="Sale",E148*M148,0)</f>
        <v>1560</v>
      </c>
      <c r="P148" s="45" t="n">
        <f aca="false">N148-O148</f>
        <v>600</v>
      </c>
      <c r="Q148" s="45" t="n">
        <f aca="false">IF(D148="Purchase",E148*M148,0)</f>
        <v>0</v>
      </c>
    </row>
    <row r="149" customFormat="false" ht="15" hidden="false" customHeight="false" outlineLevel="0" collapsed="false">
      <c r="A149" s="39" t="s">
        <v>472</v>
      </c>
      <c r="B149" s="44" t="n">
        <v>46325</v>
      </c>
      <c r="C149" s="39" t="s">
        <v>178</v>
      </c>
      <c r="D149" s="39" t="s">
        <v>137</v>
      </c>
      <c r="E149" s="39" t="n">
        <v>40</v>
      </c>
      <c r="F149" s="39" t="str">
        <f aca="false">IF(COUNTIF(medicine_master!$A$2:$A$26,C149)&gt;0,"Valid","Invalid")</f>
        <v>Valid</v>
      </c>
      <c r="G149" s="39" t="str">
        <f aca="false">IFERROR(INDEX(medicine_master!$B$2:$B$26,MATCH($C149,medicine_master!$A$2:$A$26,0)),"Not found")</f>
        <v>Aspirin 75mg</v>
      </c>
      <c r="H149" s="39" t="str">
        <f aca="false">IFERROR(INDEX(medicine_master!$C$2:$C$26,MATCH($C149,medicine_master!$A$2:$A$26,0)),"Not found")</f>
        <v>Cardiac</v>
      </c>
      <c r="I149" s="39" t="n">
        <f aca="false">YEAR(B149)</f>
        <v>2026</v>
      </c>
      <c r="J149" s="39" t="n">
        <f aca="false">MONTH(B149)</f>
        <v>10</v>
      </c>
      <c r="K149" s="39" t="str">
        <f aca="false">TEXT(B149,"mmm")</f>
        <v>Oct</v>
      </c>
      <c r="L149" s="45" t="n">
        <f aca="false">IFERROR(INDEX(medicine_master!$I$2:$I$26,MATCH($C149,medicine_master!$A$2:$A$26,0)),0)</f>
        <v>15</v>
      </c>
      <c r="M149" s="45" t="n">
        <f aca="false">IFERROR(INDEX(medicine_master!$G$2:$G$26,MATCH($C149,medicine_master!$A$2:$A$26,0)),0)</f>
        <v>10</v>
      </c>
      <c r="N149" s="45" t="n">
        <f aca="false">IF(D149="Sale",E149*L149,0)</f>
        <v>600</v>
      </c>
      <c r="O149" s="45" t="n">
        <f aca="false">IF(D149="Sale",E149*M149,0)</f>
        <v>400</v>
      </c>
      <c r="P149" s="45" t="n">
        <f aca="false">N149-O149</f>
        <v>200</v>
      </c>
      <c r="Q149" s="45" t="n">
        <f aca="false">IF(D149="Purchase",E149*M149,0)</f>
        <v>0</v>
      </c>
    </row>
    <row r="150" customFormat="false" ht="15" hidden="false" customHeight="false" outlineLevel="0" collapsed="false">
      <c r="A150" s="39" t="s">
        <v>473</v>
      </c>
      <c r="B150" s="44" t="n">
        <v>46264</v>
      </c>
      <c r="C150" s="39" t="s">
        <v>167</v>
      </c>
      <c r="D150" s="39" t="s">
        <v>138</v>
      </c>
      <c r="E150" s="39" t="n">
        <v>20</v>
      </c>
      <c r="F150" s="39" t="str">
        <f aca="false">IF(COUNTIF(medicine_master!$A$2:$A$26,C150)&gt;0,"Valid","Invalid")</f>
        <v>Valid</v>
      </c>
      <c r="G150" s="39" t="str">
        <f aca="false">IFERROR(INDEX(medicine_master!$B$2:$B$26,MATCH($C150,medicine_master!$A$2:$A$26,0)),"Not found")</f>
        <v>Amlodipine 5mg</v>
      </c>
      <c r="H150" s="39" t="str">
        <f aca="false">IFERROR(INDEX(medicine_master!$C$2:$C$26,MATCH($C150,medicine_master!$A$2:$A$26,0)),"Not found")</f>
        <v>Cardiac</v>
      </c>
      <c r="I150" s="39" t="n">
        <f aca="false">YEAR(B150)</f>
        <v>2026</v>
      </c>
      <c r="J150" s="39" t="n">
        <f aca="false">MONTH(B150)</f>
        <v>8</v>
      </c>
      <c r="K150" s="39" t="str">
        <f aca="false">TEXT(B150,"mmm")</f>
        <v>Aug</v>
      </c>
      <c r="L150" s="45" t="n">
        <f aca="false">IFERROR(INDEX(medicine_master!$I$2:$I$26,MATCH($C150,medicine_master!$A$2:$A$26,0)),0)</f>
        <v>19</v>
      </c>
      <c r="M150" s="45" t="n">
        <f aca="false">IFERROR(INDEX(medicine_master!$G$2:$G$26,MATCH($C150,medicine_master!$A$2:$A$26,0)),0)</f>
        <v>13</v>
      </c>
      <c r="N150" s="45" t="n">
        <f aca="false">IF(D150="Sale",E150*L150,0)</f>
        <v>0</v>
      </c>
      <c r="O150" s="45" t="n">
        <f aca="false">IF(D150="Sale",E150*M150,0)</f>
        <v>0</v>
      </c>
      <c r="P150" s="45" t="n">
        <f aca="false">N150-O150</f>
        <v>0</v>
      </c>
      <c r="Q150" s="45" t="n">
        <f aca="false">IF(D150="Purchase",E150*M150,0)</f>
        <v>260</v>
      </c>
    </row>
    <row r="151" customFormat="false" ht="15" hidden="false" customHeight="false" outlineLevel="0" collapsed="false">
      <c r="A151" s="39" t="s">
        <v>474</v>
      </c>
      <c r="B151" s="44" t="n">
        <v>46087</v>
      </c>
      <c r="C151" s="39" t="s">
        <v>160</v>
      </c>
      <c r="D151" s="39" t="s">
        <v>137</v>
      </c>
      <c r="E151" s="39" t="n">
        <v>10</v>
      </c>
      <c r="F151" s="39" t="str">
        <f aca="false">IF(COUNTIF(medicine_master!$A$2:$A$26,C151)&gt;0,"Valid","Invalid")</f>
        <v>Valid</v>
      </c>
      <c r="G151" s="39" t="str">
        <f aca="false">IFERROR(INDEX(medicine_master!$B$2:$B$26,MATCH($C151,medicine_master!$A$2:$A$26,0)),"Not found")</f>
        <v>Calamine Lotion</v>
      </c>
      <c r="H151" s="39" t="str">
        <f aca="false">IFERROR(INDEX(medicine_master!$C$2:$C$26,MATCH($C151,medicine_master!$A$2:$A$26,0)),"Not found")</f>
        <v>Dermatology</v>
      </c>
      <c r="I151" s="39" t="n">
        <f aca="false">YEAR(B151)</f>
        <v>2026</v>
      </c>
      <c r="J151" s="39" t="n">
        <f aca="false">MONTH(B151)</f>
        <v>3</v>
      </c>
      <c r="K151" s="39" t="str">
        <f aca="false">TEXT(B151,"mmm")</f>
        <v>Mar</v>
      </c>
      <c r="L151" s="45" t="n">
        <f aca="false">IFERROR(INDEX(medicine_master!$I$2:$I$26,MATCH($C151,medicine_master!$A$2:$A$26,0)),0)</f>
        <v>60</v>
      </c>
      <c r="M151" s="45" t="n">
        <f aca="false">IFERROR(INDEX(medicine_master!$G$2:$G$26,MATCH($C151,medicine_master!$A$2:$A$26,0)),0)</f>
        <v>42</v>
      </c>
      <c r="N151" s="45" t="n">
        <f aca="false">IF(D151="Sale",E151*L151,0)</f>
        <v>600</v>
      </c>
      <c r="O151" s="45" t="n">
        <f aca="false">IF(D151="Sale",E151*M151,0)</f>
        <v>420</v>
      </c>
      <c r="P151" s="45" t="n">
        <f aca="false">N151-O151</f>
        <v>180</v>
      </c>
      <c r="Q151" s="45" t="n">
        <f aca="false">IF(D151="Purchase",E151*M151,0)</f>
        <v>0</v>
      </c>
    </row>
    <row r="152" customFormat="false" ht="15" hidden="false" customHeight="false" outlineLevel="0" collapsed="false">
      <c r="A152" s="39" t="s">
        <v>475</v>
      </c>
      <c r="B152" s="44" t="n">
        <v>46363</v>
      </c>
      <c r="C152" s="39" t="s">
        <v>178</v>
      </c>
      <c r="D152" s="39" t="s">
        <v>137</v>
      </c>
      <c r="E152" s="39" t="n">
        <v>40</v>
      </c>
      <c r="F152" s="39" t="str">
        <f aca="false">IF(COUNTIF(medicine_master!$A$2:$A$26,C152)&gt;0,"Valid","Invalid")</f>
        <v>Valid</v>
      </c>
      <c r="G152" s="39" t="str">
        <f aca="false">IFERROR(INDEX(medicine_master!$B$2:$B$26,MATCH($C152,medicine_master!$A$2:$A$26,0)),"Not found")</f>
        <v>Aspirin 75mg</v>
      </c>
      <c r="H152" s="39" t="str">
        <f aca="false">IFERROR(INDEX(medicine_master!$C$2:$C$26,MATCH($C152,medicine_master!$A$2:$A$26,0)),"Not found")</f>
        <v>Cardiac</v>
      </c>
      <c r="I152" s="39" t="n">
        <f aca="false">YEAR(B152)</f>
        <v>2026</v>
      </c>
      <c r="J152" s="39" t="n">
        <f aca="false">MONTH(B152)</f>
        <v>12</v>
      </c>
      <c r="K152" s="39" t="str">
        <f aca="false">TEXT(B152,"mmm")</f>
        <v>Dec</v>
      </c>
      <c r="L152" s="45" t="n">
        <f aca="false">IFERROR(INDEX(medicine_master!$I$2:$I$26,MATCH($C152,medicine_master!$A$2:$A$26,0)),0)</f>
        <v>15</v>
      </c>
      <c r="M152" s="45" t="n">
        <f aca="false">IFERROR(INDEX(medicine_master!$G$2:$G$26,MATCH($C152,medicine_master!$A$2:$A$26,0)),0)</f>
        <v>10</v>
      </c>
      <c r="N152" s="45" t="n">
        <f aca="false">IF(D152="Sale",E152*L152,0)</f>
        <v>600</v>
      </c>
      <c r="O152" s="45" t="n">
        <f aca="false">IF(D152="Sale",E152*M152,0)</f>
        <v>400</v>
      </c>
      <c r="P152" s="45" t="n">
        <f aca="false">N152-O152</f>
        <v>200</v>
      </c>
      <c r="Q152" s="45" t="n">
        <f aca="false">IF(D152="Purchase",E152*M152,0)</f>
        <v>0</v>
      </c>
    </row>
    <row r="153" customFormat="false" ht="15" hidden="false" customHeight="false" outlineLevel="0" collapsed="false">
      <c r="A153" s="39" t="s">
        <v>476</v>
      </c>
      <c r="B153" s="44" t="n">
        <v>46120</v>
      </c>
      <c r="C153" s="39" t="s">
        <v>326</v>
      </c>
      <c r="D153" s="39" t="s">
        <v>137</v>
      </c>
      <c r="E153" s="39" t="n">
        <v>15</v>
      </c>
      <c r="F153" s="39" t="str">
        <f aca="false">IF(COUNTIF(medicine_master!$A$2:$A$26,C153)&gt;0,"Valid","Invalid")</f>
        <v>Valid</v>
      </c>
      <c r="G153" s="39" t="str">
        <f aca="false">IFERROR(INDEX(medicine_master!$B$2:$B$26,MATCH($C153,medicine_master!$A$2:$A$26,0)),"Not found")</f>
        <v>Omeprazole 20mg</v>
      </c>
      <c r="H153" s="39" t="str">
        <f aca="false">IFERROR(INDEX(medicine_master!$C$2:$C$26,MATCH($C153,medicine_master!$A$2:$A$26,0)),"Not found")</f>
        <v>Gastric</v>
      </c>
      <c r="I153" s="39" t="n">
        <f aca="false">YEAR(B153)</f>
        <v>2026</v>
      </c>
      <c r="J153" s="39" t="n">
        <f aca="false">MONTH(B153)</f>
        <v>4</v>
      </c>
      <c r="K153" s="39" t="str">
        <f aca="false">TEXT(B153,"mmm")</f>
        <v>Apr</v>
      </c>
      <c r="L153" s="45" t="n">
        <f aca="false">IFERROR(INDEX(medicine_master!$I$2:$I$26,MATCH($C153,medicine_master!$A$2:$A$26,0)),0)</f>
        <v>26</v>
      </c>
      <c r="M153" s="45" t="n">
        <f aca="false">IFERROR(INDEX(medicine_master!$G$2:$G$26,MATCH($C153,medicine_master!$A$2:$A$26,0)),0)</f>
        <v>18</v>
      </c>
      <c r="N153" s="45" t="n">
        <f aca="false">IF(D153="Sale",E153*L153,0)</f>
        <v>390</v>
      </c>
      <c r="O153" s="45" t="n">
        <f aca="false">IF(D153="Sale",E153*M153,0)</f>
        <v>270</v>
      </c>
      <c r="P153" s="45" t="n">
        <f aca="false">N153-O153</f>
        <v>120</v>
      </c>
      <c r="Q153" s="45" t="n">
        <f aca="false">IF(D153="Purchase",E153*M153,0)</f>
        <v>0</v>
      </c>
    </row>
    <row r="154" customFormat="false" ht="15" hidden="false" customHeight="false" outlineLevel="0" collapsed="false">
      <c r="A154" s="39" t="s">
        <v>477</v>
      </c>
      <c r="B154" s="44" t="n">
        <v>46333</v>
      </c>
      <c r="C154" s="39" t="s">
        <v>158</v>
      </c>
      <c r="D154" s="39" t="s">
        <v>137</v>
      </c>
      <c r="E154" s="39" t="n">
        <v>20</v>
      </c>
      <c r="F154" s="39" t="str">
        <f aca="false">IF(COUNTIF(medicine_master!$A$2:$A$26,C154)&gt;0,"Valid","Invalid")</f>
        <v>Valid</v>
      </c>
      <c r="G154" s="39" t="str">
        <f aca="false">IFERROR(INDEX(medicine_master!$B$2:$B$26,MATCH($C154,medicine_master!$A$2:$A$26,0)),"Not found")</f>
        <v>Cough Syrup 100ml</v>
      </c>
      <c r="H154" s="39" t="str">
        <f aca="false">IFERROR(INDEX(medicine_master!$C$2:$C$26,MATCH($C154,medicine_master!$A$2:$A$26,0)),"Not found")</f>
        <v>Cold &amp; Cough</v>
      </c>
      <c r="I154" s="39" t="n">
        <f aca="false">YEAR(B154)</f>
        <v>2026</v>
      </c>
      <c r="J154" s="39" t="n">
        <f aca="false">MONTH(B154)</f>
        <v>11</v>
      </c>
      <c r="K154" s="39" t="str">
        <f aca="false">TEXT(B154,"mmm")</f>
        <v>Nov</v>
      </c>
      <c r="L154" s="45" t="n">
        <f aca="false">IFERROR(INDEX(medicine_master!$I$2:$I$26,MATCH($C154,medicine_master!$A$2:$A$26,0)),0)</f>
        <v>72</v>
      </c>
      <c r="M154" s="45" t="n">
        <f aca="false">IFERROR(INDEX(medicine_master!$G$2:$G$26,MATCH($C154,medicine_master!$A$2:$A$26,0)),0)</f>
        <v>52</v>
      </c>
      <c r="N154" s="45" t="n">
        <f aca="false">IF(D154="Sale",E154*L154,0)</f>
        <v>1440</v>
      </c>
      <c r="O154" s="45" t="n">
        <f aca="false">IF(D154="Sale",E154*M154,0)</f>
        <v>1040</v>
      </c>
      <c r="P154" s="45" t="n">
        <f aca="false">N154-O154</f>
        <v>400</v>
      </c>
      <c r="Q154" s="45" t="n">
        <f aca="false">IF(D154="Purchase",E154*M154,0)</f>
        <v>0</v>
      </c>
    </row>
    <row r="155" customFormat="false" ht="15" hidden="false" customHeight="false" outlineLevel="0" collapsed="false">
      <c r="A155" s="39" t="s">
        <v>478</v>
      </c>
      <c r="B155" s="44" t="n">
        <v>46155</v>
      </c>
      <c r="C155" s="39" t="s">
        <v>158</v>
      </c>
      <c r="D155" s="39" t="s">
        <v>137</v>
      </c>
      <c r="E155" s="39" t="n">
        <v>25</v>
      </c>
      <c r="F155" s="39" t="str">
        <f aca="false">IF(COUNTIF(medicine_master!$A$2:$A$26,C155)&gt;0,"Valid","Invalid")</f>
        <v>Valid</v>
      </c>
      <c r="G155" s="39" t="str">
        <f aca="false">IFERROR(INDEX(medicine_master!$B$2:$B$26,MATCH($C155,medicine_master!$A$2:$A$26,0)),"Not found")</f>
        <v>Cough Syrup 100ml</v>
      </c>
      <c r="H155" s="39" t="str">
        <f aca="false">IFERROR(INDEX(medicine_master!$C$2:$C$26,MATCH($C155,medicine_master!$A$2:$A$26,0)),"Not found")</f>
        <v>Cold &amp; Cough</v>
      </c>
      <c r="I155" s="39" t="n">
        <f aca="false">YEAR(B155)</f>
        <v>2026</v>
      </c>
      <c r="J155" s="39" t="n">
        <f aca="false">MONTH(B155)</f>
        <v>5</v>
      </c>
      <c r="K155" s="39" t="str">
        <f aca="false">TEXT(B155,"mmm")</f>
        <v>May</v>
      </c>
      <c r="L155" s="45" t="n">
        <f aca="false">IFERROR(INDEX(medicine_master!$I$2:$I$26,MATCH($C155,medicine_master!$A$2:$A$26,0)),0)</f>
        <v>72</v>
      </c>
      <c r="M155" s="45" t="n">
        <f aca="false">IFERROR(INDEX(medicine_master!$G$2:$G$26,MATCH($C155,medicine_master!$A$2:$A$26,0)),0)</f>
        <v>52</v>
      </c>
      <c r="N155" s="45" t="n">
        <f aca="false">IF(D155="Sale",E155*L155,0)</f>
        <v>1800</v>
      </c>
      <c r="O155" s="45" t="n">
        <f aca="false">IF(D155="Sale",E155*M155,0)</f>
        <v>1300</v>
      </c>
      <c r="P155" s="45" t="n">
        <f aca="false">N155-O155</f>
        <v>500</v>
      </c>
      <c r="Q155" s="45" t="n">
        <f aca="false">IF(D155="Purchase",E155*M155,0)</f>
        <v>0</v>
      </c>
    </row>
    <row r="156" customFormat="false" ht="15" hidden="false" customHeight="false" outlineLevel="0" collapsed="false">
      <c r="A156" s="39" t="s">
        <v>479</v>
      </c>
      <c r="B156" s="44" t="n">
        <v>46075</v>
      </c>
      <c r="C156" s="39" t="s">
        <v>152</v>
      </c>
      <c r="D156" s="39" t="s">
        <v>137</v>
      </c>
      <c r="E156" s="39" t="n">
        <v>20</v>
      </c>
      <c r="F156" s="39" t="str">
        <f aca="false">IF(COUNTIF(medicine_master!$A$2:$A$26,C156)&gt;0,"Valid","Invalid")</f>
        <v>Valid</v>
      </c>
      <c r="G156" s="39" t="str">
        <f aca="false">IFERROR(INDEX(medicine_master!$B$2:$B$26,MATCH($C156,medicine_master!$A$2:$A$26,0)),"Not found")</f>
        <v>Amoxicillin 500mg</v>
      </c>
      <c r="H156" s="39" t="str">
        <f aca="false">IFERROR(INDEX(medicine_master!$C$2:$C$26,MATCH($C156,medicine_master!$A$2:$A$26,0)),"Not found")</f>
        <v>Antibiotic</v>
      </c>
      <c r="I156" s="39" t="n">
        <f aca="false">YEAR(B156)</f>
        <v>2026</v>
      </c>
      <c r="J156" s="39" t="n">
        <f aca="false">MONTH(B156)</f>
        <v>2</v>
      </c>
      <c r="K156" s="39" t="str">
        <f aca="false">TEXT(B156,"mmm")</f>
        <v>Feb</v>
      </c>
      <c r="L156" s="45" t="n">
        <f aca="false">IFERROR(INDEX(medicine_master!$I$2:$I$26,MATCH($C156,medicine_master!$A$2:$A$26,0)),0)</f>
        <v>40</v>
      </c>
      <c r="M156" s="45" t="n">
        <f aca="false">IFERROR(INDEX(medicine_master!$G$2:$G$26,MATCH($C156,medicine_master!$A$2:$A$26,0)),0)</f>
        <v>28</v>
      </c>
      <c r="N156" s="45" t="n">
        <f aca="false">IF(D156="Sale",E156*L156,0)</f>
        <v>800</v>
      </c>
      <c r="O156" s="45" t="n">
        <f aca="false">IF(D156="Sale",E156*M156,0)</f>
        <v>560</v>
      </c>
      <c r="P156" s="45" t="n">
        <f aca="false">N156-O156</f>
        <v>240</v>
      </c>
      <c r="Q156" s="45" t="n">
        <f aca="false">IF(D156="Purchase",E156*M156,0)</f>
        <v>0</v>
      </c>
    </row>
    <row r="157" customFormat="false" ht="15" hidden="false" customHeight="false" outlineLevel="0" collapsed="false">
      <c r="A157" s="39" t="s">
        <v>480</v>
      </c>
      <c r="B157" s="44" t="n">
        <v>46107</v>
      </c>
      <c r="C157" s="39" t="s">
        <v>153</v>
      </c>
      <c r="D157" s="39" t="s">
        <v>138</v>
      </c>
      <c r="E157" s="39" t="n">
        <v>15</v>
      </c>
      <c r="F157" s="39" t="str">
        <f aca="false">IF(COUNTIF(medicine_master!$A$2:$A$26,C157)&gt;0,"Valid","Invalid")</f>
        <v>Valid</v>
      </c>
      <c r="G157" s="39" t="str">
        <f aca="false">IFERROR(INDEX(medicine_master!$B$2:$B$26,MATCH($C157,medicine_master!$A$2:$A$26,0)),"Not found")</f>
        <v>Atorvastatin 10mg</v>
      </c>
      <c r="H157" s="39" t="str">
        <f aca="false">IFERROR(INDEX(medicine_master!$C$2:$C$26,MATCH($C157,medicine_master!$A$2:$A$26,0)),"Not found")</f>
        <v>Cardiac</v>
      </c>
      <c r="I157" s="39" t="n">
        <f aca="false">YEAR(B157)</f>
        <v>2026</v>
      </c>
      <c r="J157" s="39" t="n">
        <f aca="false">MONTH(B157)</f>
        <v>3</v>
      </c>
      <c r="K157" s="39" t="str">
        <f aca="false">TEXT(B157,"mmm")</f>
        <v>Mar</v>
      </c>
      <c r="L157" s="45" t="n">
        <f aca="false">IFERROR(INDEX(medicine_master!$I$2:$I$26,MATCH($C157,medicine_master!$A$2:$A$26,0)),0)</f>
        <v>28</v>
      </c>
      <c r="M157" s="45" t="n">
        <f aca="false">IFERROR(INDEX(medicine_master!$G$2:$G$26,MATCH($C157,medicine_master!$A$2:$A$26,0)),0)</f>
        <v>19</v>
      </c>
      <c r="N157" s="45" t="n">
        <f aca="false">IF(D157="Sale",E157*L157,0)</f>
        <v>0</v>
      </c>
      <c r="O157" s="45" t="n">
        <f aca="false">IF(D157="Sale",E157*M157,0)</f>
        <v>0</v>
      </c>
      <c r="P157" s="45" t="n">
        <f aca="false">N157-O157</f>
        <v>0</v>
      </c>
      <c r="Q157" s="45" t="n">
        <f aca="false">IF(D157="Purchase",E157*M157,0)</f>
        <v>285</v>
      </c>
    </row>
    <row r="158" customFormat="false" ht="15" hidden="false" customHeight="false" outlineLevel="0" collapsed="false">
      <c r="A158" s="39" t="s">
        <v>481</v>
      </c>
      <c r="B158" s="44" t="n">
        <v>46195</v>
      </c>
      <c r="C158" s="39" t="s">
        <v>167</v>
      </c>
      <c r="D158" s="39" t="s">
        <v>138</v>
      </c>
      <c r="E158" s="39" t="n">
        <v>40</v>
      </c>
      <c r="F158" s="39" t="str">
        <f aca="false">IF(COUNTIF(medicine_master!$A$2:$A$26,C158)&gt;0,"Valid","Invalid")</f>
        <v>Valid</v>
      </c>
      <c r="G158" s="39" t="str">
        <f aca="false">IFERROR(INDEX(medicine_master!$B$2:$B$26,MATCH($C158,medicine_master!$A$2:$A$26,0)),"Not found")</f>
        <v>Amlodipine 5mg</v>
      </c>
      <c r="H158" s="39" t="str">
        <f aca="false">IFERROR(INDEX(medicine_master!$C$2:$C$26,MATCH($C158,medicine_master!$A$2:$A$26,0)),"Not found")</f>
        <v>Cardiac</v>
      </c>
      <c r="I158" s="39" t="n">
        <f aca="false">YEAR(B158)</f>
        <v>2026</v>
      </c>
      <c r="J158" s="39" t="n">
        <f aca="false">MONTH(B158)</f>
        <v>6</v>
      </c>
      <c r="K158" s="39" t="str">
        <f aca="false">TEXT(B158,"mmm")</f>
        <v>Jun</v>
      </c>
      <c r="L158" s="45" t="n">
        <f aca="false">IFERROR(INDEX(medicine_master!$I$2:$I$26,MATCH($C158,medicine_master!$A$2:$A$26,0)),0)</f>
        <v>19</v>
      </c>
      <c r="M158" s="45" t="n">
        <f aca="false">IFERROR(INDEX(medicine_master!$G$2:$G$26,MATCH($C158,medicine_master!$A$2:$A$26,0)),0)</f>
        <v>13</v>
      </c>
      <c r="N158" s="45" t="n">
        <f aca="false">IF(D158="Sale",E158*L158,0)</f>
        <v>0</v>
      </c>
      <c r="O158" s="45" t="n">
        <f aca="false">IF(D158="Sale",E158*M158,0)</f>
        <v>0</v>
      </c>
      <c r="P158" s="45" t="n">
        <f aca="false">N158-O158</f>
        <v>0</v>
      </c>
      <c r="Q158" s="45" t="n">
        <f aca="false">IF(D158="Purchase",E158*M158,0)</f>
        <v>520</v>
      </c>
    </row>
    <row r="159" customFormat="false" ht="15" hidden="false" customHeight="false" outlineLevel="0" collapsed="false">
      <c r="A159" s="39" t="s">
        <v>482</v>
      </c>
      <c r="B159" s="44" t="n">
        <v>46310</v>
      </c>
      <c r="C159" s="39" t="s">
        <v>179</v>
      </c>
      <c r="D159" s="39" t="s">
        <v>138</v>
      </c>
      <c r="E159" s="39" t="n">
        <v>10</v>
      </c>
      <c r="F159" s="39" t="str">
        <f aca="false">IF(COUNTIF(medicine_master!$A$2:$A$26,C159)&gt;0,"Valid","Invalid")</f>
        <v>Valid</v>
      </c>
      <c r="G159" s="39" t="str">
        <f aca="false">IFERROR(INDEX(medicine_master!$B$2:$B$26,MATCH($C159,medicine_master!$A$2:$A$26,0)),"Not found")</f>
        <v>Ibuprofen 400mg</v>
      </c>
      <c r="H159" s="39" t="str">
        <f aca="false">IFERROR(INDEX(medicine_master!$C$2:$C$26,MATCH($C159,medicine_master!$A$2:$A$26,0)),"Not found")</f>
        <v>Pain Relief</v>
      </c>
      <c r="I159" s="39" t="n">
        <f aca="false">YEAR(B159)</f>
        <v>2026</v>
      </c>
      <c r="J159" s="39" t="n">
        <f aca="false">MONTH(B159)</f>
        <v>10</v>
      </c>
      <c r="K159" s="39" t="str">
        <f aca="false">TEXT(B159,"mmm")</f>
        <v>Oct</v>
      </c>
      <c r="L159" s="45" t="n">
        <f aca="false">IFERROR(INDEX(medicine_master!$I$2:$I$26,MATCH($C159,medicine_master!$A$2:$A$26,0)),0)</f>
        <v>30</v>
      </c>
      <c r="M159" s="45" t="n">
        <f aca="false">IFERROR(INDEX(medicine_master!$G$2:$G$26,MATCH($C159,medicine_master!$A$2:$A$26,0)),0)</f>
        <v>22</v>
      </c>
      <c r="N159" s="45" t="n">
        <f aca="false">IF(D159="Sale",E159*L159,0)</f>
        <v>0</v>
      </c>
      <c r="O159" s="45" t="n">
        <f aca="false">IF(D159="Sale",E159*M159,0)</f>
        <v>0</v>
      </c>
      <c r="P159" s="45" t="n">
        <f aca="false">N159-O159</f>
        <v>0</v>
      </c>
      <c r="Q159" s="45" t="n">
        <f aca="false">IF(D159="Purchase",E159*M159,0)</f>
        <v>220</v>
      </c>
    </row>
    <row r="160" customFormat="false" ht="15" hidden="false" customHeight="false" outlineLevel="0" collapsed="false">
      <c r="A160" s="39" t="s">
        <v>483</v>
      </c>
      <c r="B160" s="44" t="n">
        <v>46176</v>
      </c>
      <c r="C160" s="39" t="s">
        <v>179</v>
      </c>
      <c r="D160" s="39" t="s">
        <v>137</v>
      </c>
      <c r="E160" s="39" t="n">
        <v>30</v>
      </c>
      <c r="F160" s="39" t="str">
        <f aca="false">IF(COUNTIF(medicine_master!$A$2:$A$26,C160)&gt;0,"Valid","Invalid")</f>
        <v>Valid</v>
      </c>
      <c r="G160" s="39" t="str">
        <f aca="false">IFERROR(INDEX(medicine_master!$B$2:$B$26,MATCH($C160,medicine_master!$A$2:$A$26,0)),"Not found")</f>
        <v>Ibuprofen 400mg</v>
      </c>
      <c r="H160" s="39" t="str">
        <f aca="false">IFERROR(INDEX(medicine_master!$C$2:$C$26,MATCH($C160,medicine_master!$A$2:$A$26,0)),"Not found")</f>
        <v>Pain Relief</v>
      </c>
      <c r="I160" s="39" t="n">
        <f aca="false">YEAR(B160)</f>
        <v>2026</v>
      </c>
      <c r="J160" s="39" t="n">
        <f aca="false">MONTH(B160)</f>
        <v>6</v>
      </c>
      <c r="K160" s="39" t="str">
        <f aca="false">TEXT(B160,"mmm")</f>
        <v>Jun</v>
      </c>
      <c r="L160" s="45" t="n">
        <f aca="false">IFERROR(INDEX(medicine_master!$I$2:$I$26,MATCH($C160,medicine_master!$A$2:$A$26,0)),0)</f>
        <v>30</v>
      </c>
      <c r="M160" s="45" t="n">
        <f aca="false">IFERROR(INDEX(medicine_master!$G$2:$G$26,MATCH($C160,medicine_master!$A$2:$A$26,0)),0)</f>
        <v>22</v>
      </c>
      <c r="N160" s="45" t="n">
        <f aca="false">IF(D160="Sale",E160*L160,0)</f>
        <v>900</v>
      </c>
      <c r="O160" s="45" t="n">
        <f aca="false">IF(D160="Sale",E160*M160,0)</f>
        <v>660</v>
      </c>
      <c r="P160" s="45" t="n">
        <f aca="false">N160-O160</f>
        <v>240</v>
      </c>
      <c r="Q160" s="45" t="n">
        <f aca="false">IF(D160="Purchase",E160*M160,0)</f>
        <v>0</v>
      </c>
    </row>
    <row r="161" customFormat="false" ht="15" hidden="false" customHeight="false" outlineLevel="0" collapsed="false">
      <c r="A161" s="39" t="s">
        <v>484</v>
      </c>
      <c r="B161" s="44" t="n">
        <v>46328</v>
      </c>
      <c r="C161" s="39" t="s">
        <v>144</v>
      </c>
      <c r="D161" s="39" t="s">
        <v>137</v>
      </c>
      <c r="E161" s="39" t="n">
        <v>50</v>
      </c>
      <c r="F161" s="39" t="str">
        <f aca="false">IF(COUNTIF(medicine_master!$A$2:$A$26,C161)&gt;0,"Valid","Invalid")</f>
        <v>Valid</v>
      </c>
      <c r="G161" s="39" t="str">
        <f aca="false">IFERROR(INDEX(medicine_master!$B$2:$B$26,MATCH($C161,medicine_master!$A$2:$A$26,0)),"Not found")</f>
        <v>Glimepiride 2mg</v>
      </c>
      <c r="H161" s="39" t="str">
        <f aca="false">IFERROR(INDEX(medicine_master!$C$2:$C$26,MATCH($C161,medicine_master!$A$2:$A$26,0)),"Not found")</f>
        <v>Diabetes</v>
      </c>
      <c r="I161" s="39" t="n">
        <f aca="false">YEAR(B161)</f>
        <v>2026</v>
      </c>
      <c r="J161" s="39" t="n">
        <f aca="false">MONTH(B161)</f>
        <v>11</v>
      </c>
      <c r="K161" s="39" t="str">
        <f aca="false">TEXT(B161,"mmm")</f>
        <v>Nov</v>
      </c>
      <c r="L161" s="45" t="n">
        <f aca="false">IFERROR(INDEX(medicine_master!$I$2:$I$26,MATCH($C161,medicine_master!$A$2:$A$26,0)),0)</f>
        <v>52</v>
      </c>
      <c r="M161" s="45" t="n">
        <f aca="false">IFERROR(INDEX(medicine_master!$G$2:$G$26,MATCH($C161,medicine_master!$A$2:$A$26,0)),0)</f>
        <v>38</v>
      </c>
      <c r="N161" s="45" t="n">
        <f aca="false">IF(D161="Sale",E161*L161,0)</f>
        <v>2600</v>
      </c>
      <c r="O161" s="45" t="n">
        <f aca="false">IF(D161="Sale",E161*M161,0)</f>
        <v>1900</v>
      </c>
      <c r="P161" s="45" t="n">
        <f aca="false">N161-O161</f>
        <v>700</v>
      </c>
      <c r="Q161" s="45" t="n">
        <f aca="false">IF(D161="Purchase",E161*M161,0)</f>
        <v>0</v>
      </c>
    </row>
    <row r="162" customFormat="false" ht="15" hidden="false" customHeight="false" outlineLevel="0" collapsed="false">
      <c r="A162" s="39" t="s">
        <v>485</v>
      </c>
      <c r="B162" s="44" t="n">
        <v>46244</v>
      </c>
      <c r="C162" s="39" t="s">
        <v>178</v>
      </c>
      <c r="D162" s="39" t="s">
        <v>137</v>
      </c>
      <c r="E162" s="39" t="n">
        <v>20</v>
      </c>
      <c r="F162" s="39" t="str">
        <f aca="false">IF(COUNTIF(medicine_master!$A$2:$A$26,C162)&gt;0,"Valid","Invalid")</f>
        <v>Valid</v>
      </c>
      <c r="G162" s="39" t="str">
        <f aca="false">IFERROR(INDEX(medicine_master!$B$2:$B$26,MATCH($C162,medicine_master!$A$2:$A$26,0)),"Not found")</f>
        <v>Aspirin 75mg</v>
      </c>
      <c r="H162" s="39" t="str">
        <f aca="false">IFERROR(INDEX(medicine_master!$C$2:$C$26,MATCH($C162,medicine_master!$A$2:$A$26,0)),"Not found")</f>
        <v>Cardiac</v>
      </c>
      <c r="I162" s="39" t="n">
        <f aca="false">YEAR(B162)</f>
        <v>2026</v>
      </c>
      <c r="J162" s="39" t="n">
        <f aca="false">MONTH(B162)</f>
        <v>8</v>
      </c>
      <c r="K162" s="39" t="str">
        <f aca="false">TEXT(B162,"mmm")</f>
        <v>Aug</v>
      </c>
      <c r="L162" s="45" t="n">
        <f aca="false">IFERROR(INDEX(medicine_master!$I$2:$I$26,MATCH($C162,medicine_master!$A$2:$A$26,0)),0)</f>
        <v>15</v>
      </c>
      <c r="M162" s="45" t="n">
        <f aca="false">IFERROR(INDEX(medicine_master!$G$2:$G$26,MATCH($C162,medicine_master!$A$2:$A$26,0)),0)</f>
        <v>10</v>
      </c>
      <c r="N162" s="45" t="n">
        <f aca="false">IF(D162="Sale",E162*L162,0)</f>
        <v>300</v>
      </c>
      <c r="O162" s="45" t="n">
        <f aca="false">IF(D162="Sale",E162*M162,0)</f>
        <v>200</v>
      </c>
      <c r="P162" s="45" t="n">
        <f aca="false">N162-O162</f>
        <v>100</v>
      </c>
      <c r="Q162" s="45" t="n">
        <f aca="false">IF(D162="Purchase",E162*M162,0)</f>
        <v>0</v>
      </c>
    </row>
    <row r="163" customFormat="false" ht="15" hidden="false" customHeight="false" outlineLevel="0" collapsed="false">
      <c r="A163" s="39" t="s">
        <v>486</v>
      </c>
      <c r="B163" s="44" t="n">
        <v>46229</v>
      </c>
      <c r="C163" s="39" t="s">
        <v>152</v>
      </c>
      <c r="D163" s="39" t="s">
        <v>137</v>
      </c>
      <c r="E163" s="39" t="n">
        <v>30</v>
      </c>
      <c r="F163" s="39" t="str">
        <f aca="false">IF(COUNTIF(medicine_master!$A$2:$A$26,C163)&gt;0,"Valid","Invalid")</f>
        <v>Valid</v>
      </c>
      <c r="G163" s="39" t="str">
        <f aca="false">IFERROR(INDEX(medicine_master!$B$2:$B$26,MATCH($C163,medicine_master!$A$2:$A$26,0)),"Not found")</f>
        <v>Amoxicillin 500mg</v>
      </c>
      <c r="H163" s="39" t="str">
        <f aca="false">IFERROR(INDEX(medicine_master!$C$2:$C$26,MATCH($C163,medicine_master!$A$2:$A$26,0)),"Not found")</f>
        <v>Antibiotic</v>
      </c>
      <c r="I163" s="39" t="n">
        <f aca="false">YEAR(B163)</f>
        <v>2026</v>
      </c>
      <c r="J163" s="39" t="n">
        <f aca="false">MONTH(B163)</f>
        <v>7</v>
      </c>
      <c r="K163" s="39" t="str">
        <f aca="false">TEXT(B163,"mmm")</f>
        <v>Jul</v>
      </c>
      <c r="L163" s="45" t="n">
        <f aca="false">IFERROR(INDEX(medicine_master!$I$2:$I$26,MATCH($C163,medicine_master!$A$2:$A$26,0)),0)</f>
        <v>40</v>
      </c>
      <c r="M163" s="45" t="n">
        <f aca="false">IFERROR(INDEX(medicine_master!$G$2:$G$26,MATCH($C163,medicine_master!$A$2:$A$26,0)),0)</f>
        <v>28</v>
      </c>
      <c r="N163" s="45" t="n">
        <f aca="false">IF(D163="Sale",E163*L163,0)</f>
        <v>1200</v>
      </c>
      <c r="O163" s="45" t="n">
        <f aca="false">IF(D163="Sale",E163*M163,0)</f>
        <v>840</v>
      </c>
      <c r="P163" s="45" t="n">
        <f aca="false">N163-O163</f>
        <v>360</v>
      </c>
      <c r="Q163" s="45" t="n">
        <f aca="false">IF(D163="Purchase",E163*M163,0)</f>
        <v>0</v>
      </c>
    </row>
    <row r="164" customFormat="false" ht="15" hidden="false" customHeight="false" outlineLevel="0" collapsed="false">
      <c r="A164" s="39" t="s">
        <v>487</v>
      </c>
      <c r="B164" s="44" t="n">
        <v>46125</v>
      </c>
      <c r="C164" s="39" t="s">
        <v>158</v>
      </c>
      <c r="D164" s="39" t="s">
        <v>137</v>
      </c>
      <c r="E164" s="39" t="n">
        <v>50</v>
      </c>
      <c r="F164" s="39" t="str">
        <f aca="false">IF(COUNTIF(medicine_master!$A$2:$A$26,C164)&gt;0,"Valid","Invalid")</f>
        <v>Valid</v>
      </c>
      <c r="G164" s="39" t="str">
        <f aca="false">IFERROR(INDEX(medicine_master!$B$2:$B$26,MATCH($C164,medicine_master!$A$2:$A$26,0)),"Not found")</f>
        <v>Cough Syrup 100ml</v>
      </c>
      <c r="H164" s="39" t="str">
        <f aca="false">IFERROR(INDEX(medicine_master!$C$2:$C$26,MATCH($C164,medicine_master!$A$2:$A$26,0)),"Not found")</f>
        <v>Cold &amp; Cough</v>
      </c>
      <c r="I164" s="39" t="n">
        <f aca="false">YEAR(B164)</f>
        <v>2026</v>
      </c>
      <c r="J164" s="39" t="n">
        <f aca="false">MONTH(B164)</f>
        <v>4</v>
      </c>
      <c r="K164" s="39" t="str">
        <f aca="false">TEXT(B164,"mmm")</f>
        <v>Apr</v>
      </c>
      <c r="L164" s="45" t="n">
        <f aca="false">IFERROR(INDEX(medicine_master!$I$2:$I$26,MATCH($C164,medicine_master!$A$2:$A$26,0)),0)</f>
        <v>72</v>
      </c>
      <c r="M164" s="45" t="n">
        <f aca="false">IFERROR(INDEX(medicine_master!$G$2:$G$26,MATCH($C164,medicine_master!$A$2:$A$26,0)),0)</f>
        <v>52</v>
      </c>
      <c r="N164" s="45" t="n">
        <f aca="false">IF(D164="Sale",E164*L164,0)</f>
        <v>3600</v>
      </c>
      <c r="O164" s="45" t="n">
        <f aca="false">IF(D164="Sale",E164*M164,0)</f>
        <v>2600</v>
      </c>
      <c r="P164" s="45" t="n">
        <f aca="false">N164-O164</f>
        <v>1000</v>
      </c>
      <c r="Q164" s="45" t="n">
        <f aca="false">IF(D164="Purchase",E164*M164,0)</f>
        <v>0</v>
      </c>
    </row>
    <row r="165" customFormat="false" ht="15" hidden="false" customHeight="false" outlineLevel="0" collapsed="false">
      <c r="A165" s="39" t="s">
        <v>488</v>
      </c>
      <c r="B165" s="44" t="n">
        <v>46328</v>
      </c>
      <c r="C165" s="39" t="s">
        <v>179</v>
      </c>
      <c r="D165" s="39" t="s">
        <v>137</v>
      </c>
      <c r="E165" s="39" t="n">
        <v>25</v>
      </c>
      <c r="F165" s="39" t="str">
        <f aca="false">IF(COUNTIF(medicine_master!$A$2:$A$26,C165)&gt;0,"Valid","Invalid")</f>
        <v>Valid</v>
      </c>
      <c r="G165" s="39" t="str">
        <f aca="false">IFERROR(INDEX(medicine_master!$B$2:$B$26,MATCH($C165,medicine_master!$A$2:$A$26,0)),"Not found")</f>
        <v>Ibuprofen 400mg</v>
      </c>
      <c r="H165" s="39" t="str">
        <f aca="false">IFERROR(INDEX(medicine_master!$C$2:$C$26,MATCH($C165,medicine_master!$A$2:$A$26,0)),"Not found")</f>
        <v>Pain Relief</v>
      </c>
      <c r="I165" s="39" t="n">
        <f aca="false">YEAR(B165)</f>
        <v>2026</v>
      </c>
      <c r="J165" s="39" t="n">
        <f aca="false">MONTH(B165)</f>
        <v>11</v>
      </c>
      <c r="K165" s="39" t="str">
        <f aca="false">TEXT(B165,"mmm")</f>
        <v>Nov</v>
      </c>
      <c r="L165" s="45" t="n">
        <f aca="false">IFERROR(INDEX(medicine_master!$I$2:$I$26,MATCH($C165,medicine_master!$A$2:$A$26,0)),0)</f>
        <v>30</v>
      </c>
      <c r="M165" s="45" t="n">
        <f aca="false">IFERROR(INDEX(medicine_master!$G$2:$G$26,MATCH($C165,medicine_master!$A$2:$A$26,0)),0)</f>
        <v>22</v>
      </c>
      <c r="N165" s="45" t="n">
        <f aca="false">IF(D165="Sale",E165*L165,0)</f>
        <v>750</v>
      </c>
      <c r="O165" s="45" t="n">
        <f aca="false">IF(D165="Sale",E165*M165,0)</f>
        <v>550</v>
      </c>
      <c r="P165" s="45" t="n">
        <f aca="false">N165-O165</f>
        <v>200</v>
      </c>
      <c r="Q165" s="45" t="n">
        <f aca="false">IF(D165="Purchase",E165*M165,0)</f>
        <v>0</v>
      </c>
    </row>
    <row r="166" customFormat="false" ht="15" hidden="false" customHeight="false" outlineLevel="0" collapsed="false">
      <c r="A166" s="39" t="s">
        <v>489</v>
      </c>
      <c r="B166" s="44" t="n">
        <v>46330</v>
      </c>
      <c r="C166" s="39" t="s">
        <v>178</v>
      </c>
      <c r="D166" s="39" t="s">
        <v>137</v>
      </c>
      <c r="E166" s="39" t="n">
        <v>30</v>
      </c>
      <c r="F166" s="39" t="str">
        <f aca="false">IF(COUNTIF(medicine_master!$A$2:$A$26,C166)&gt;0,"Valid","Invalid")</f>
        <v>Valid</v>
      </c>
      <c r="G166" s="39" t="str">
        <f aca="false">IFERROR(INDEX(medicine_master!$B$2:$B$26,MATCH($C166,medicine_master!$A$2:$A$26,0)),"Not found")</f>
        <v>Aspirin 75mg</v>
      </c>
      <c r="H166" s="39" t="str">
        <f aca="false">IFERROR(INDEX(medicine_master!$C$2:$C$26,MATCH($C166,medicine_master!$A$2:$A$26,0)),"Not found")</f>
        <v>Cardiac</v>
      </c>
      <c r="I166" s="39" t="n">
        <f aca="false">YEAR(B166)</f>
        <v>2026</v>
      </c>
      <c r="J166" s="39" t="n">
        <f aca="false">MONTH(B166)</f>
        <v>11</v>
      </c>
      <c r="K166" s="39" t="str">
        <f aca="false">TEXT(B166,"mmm")</f>
        <v>Nov</v>
      </c>
      <c r="L166" s="45" t="n">
        <f aca="false">IFERROR(INDEX(medicine_master!$I$2:$I$26,MATCH($C166,medicine_master!$A$2:$A$26,0)),0)</f>
        <v>15</v>
      </c>
      <c r="M166" s="45" t="n">
        <f aca="false">IFERROR(INDEX(medicine_master!$G$2:$G$26,MATCH($C166,medicine_master!$A$2:$A$26,0)),0)</f>
        <v>10</v>
      </c>
      <c r="N166" s="45" t="n">
        <f aca="false">IF(D166="Sale",E166*L166,0)</f>
        <v>450</v>
      </c>
      <c r="O166" s="45" t="n">
        <f aca="false">IF(D166="Sale",E166*M166,0)</f>
        <v>300</v>
      </c>
      <c r="P166" s="45" t="n">
        <f aca="false">N166-O166</f>
        <v>150</v>
      </c>
      <c r="Q166" s="45" t="n">
        <f aca="false">IF(D166="Purchase",E166*M166,0)</f>
        <v>0</v>
      </c>
    </row>
    <row r="167" customFormat="false" ht="15" hidden="false" customHeight="false" outlineLevel="0" collapsed="false">
      <c r="A167" s="39" t="s">
        <v>490</v>
      </c>
      <c r="B167" s="44" t="n">
        <v>46052</v>
      </c>
      <c r="C167" s="39" t="s">
        <v>148</v>
      </c>
      <c r="D167" s="39" t="s">
        <v>137</v>
      </c>
      <c r="E167" s="39" t="n">
        <v>25</v>
      </c>
      <c r="F167" s="39" t="str">
        <f aca="false">IF(COUNTIF(medicine_master!$A$2:$A$26,C167)&gt;0,"Valid","Invalid")</f>
        <v>Valid</v>
      </c>
      <c r="G167" s="39" t="str">
        <f aca="false">IFERROR(INDEX(medicine_master!$B$2:$B$26,MATCH($C167,medicine_master!$A$2:$A$26,0)),"Not found")</f>
        <v>Dextromethorphan Syrup</v>
      </c>
      <c r="H167" s="39" t="str">
        <f aca="false">IFERROR(INDEX(medicine_master!$C$2:$C$26,MATCH($C167,medicine_master!$A$2:$A$26,0)),"Not found")</f>
        <v>Cold &amp; Cough</v>
      </c>
      <c r="I167" s="39" t="n">
        <f aca="false">YEAR(B167)</f>
        <v>2026</v>
      </c>
      <c r="J167" s="39" t="n">
        <f aca="false">MONTH(B167)</f>
        <v>1</v>
      </c>
      <c r="K167" s="39" t="str">
        <f aca="false">TEXT(B167,"mmm")</f>
        <v>Jan</v>
      </c>
      <c r="L167" s="45" t="n">
        <f aca="false">IFERROR(INDEX(medicine_master!$I$2:$I$26,MATCH($C167,medicine_master!$A$2:$A$26,0)),0)</f>
        <v>80</v>
      </c>
      <c r="M167" s="45" t="n">
        <f aca="false">IFERROR(INDEX(medicine_master!$G$2:$G$26,MATCH($C167,medicine_master!$A$2:$A$26,0)),0)</f>
        <v>58</v>
      </c>
      <c r="N167" s="45" t="n">
        <f aca="false">IF(D167="Sale",E167*L167,0)</f>
        <v>2000</v>
      </c>
      <c r="O167" s="45" t="n">
        <f aca="false">IF(D167="Sale",E167*M167,0)</f>
        <v>1450</v>
      </c>
      <c r="P167" s="45" t="n">
        <f aca="false">N167-O167</f>
        <v>550</v>
      </c>
      <c r="Q167" s="45" t="n">
        <f aca="false">IF(D167="Purchase",E167*M167,0)</f>
        <v>0</v>
      </c>
    </row>
    <row r="168" customFormat="false" ht="15" hidden="false" customHeight="false" outlineLevel="0" collapsed="false">
      <c r="A168" s="39" t="s">
        <v>491</v>
      </c>
      <c r="B168" s="44" t="n">
        <v>46307</v>
      </c>
      <c r="C168" s="39" t="s">
        <v>149</v>
      </c>
      <c r="D168" s="39" t="s">
        <v>137</v>
      </c>
      <c r="E168" s="39" t="n">
        <v>40</v>
      </c>
      <c r="F168" s="39" t="str">
        <f aca="false">IF(COUNTIF(medicine_master!$A$2:$A$26,C168)&gt;0,"Valid","Invalid")</f>
        <v>Valid</v>
      </c>
      <c r="G168" s="39" t="str">
        <f aca="false">IFERROR(INDEX(medicine_master!$B$2:$B$26,MATCH($C168,medicine_master!$A$2:$A$26,0)),"Not found")</f>
        <v>Azithromycin 500mg</v>
      </c>
      <c r="H168" s="39" t="str">
        <f aca="false">IFERROR(INDEX(medicine_master!$C$2:$C$26,MATCH($C168,medicine_master!$A$2:$A$26,0)),"Not found")</f>
        <v>Antibiotic</v>
      </c>
      <c r="I168" s="39" t="n">
        <f aca="false">YEAR(B168)</f>
        <v>2026</v>
      </c>
      <c r="J168" s="39" t="n">
        <f aca="false">MONTH(B168)</f>
        <v>10</v>
      </c>
      <c r="K168" s="39" t="str">
        <f aca="false">TEXT(B168,"mmm")</f>
        <v>Oct</v>
      </c>
      <c r="L168" s="45" t="n">
        <f aca="false">IFERROR(INDEX(medicine_master!$I$2:$I$26,MATCH($C168,medicine_master!$A$2:$A$26,0)),0)</f>
        <v>50</v>
      </c>
      <c r="M168" s="45" t="n">
        <f aca="false">IFERROR(INDEX(medicine_master!$G$2:$G$26,MATCH($C168,medicine_master!$A$2:$A$26,0)),0)</f>
        <v>35</v>
      </c>
      <c r="N168" s="45" t="n">
        <f aca="false">IF(D168="Sale",E168*L168,0)</f>
        <v>2000</v>
      </c>
      <c r="O168" s="45" t="n">
        <f aca="false">IF(D168="Sale",E168*M168,0)</f>
        <v>1400</v>
      </c>
      <c r="P168" s="45" t="n">
        <f aca="false">N168-O168</f>
        <v>600</v>
      </c>
      <c r="Q168" s="45" t="n">
        <f aca="false">IF(D168="Purchase",E168*M168,0)</f>
        <v>0</v>
      </c>
    </row>
    <row r="169" customFormat="false" ht="15" hidden="false" customHeight="false" outlineLevel="0" collapsed="false">
      <c r="A169" s="39" t="s">
        <v>492</v>
      </c>
      <c r="B169" s="44" t="n">
        <v>46295</v>
      </c>
      <c r="C169" s="39" t="s">
        <v>146</v>
      </c>
      <c r="D169" s="39" t="s">
        <v>137</v>
      </c>
      <c r="E169" s="39" t="n">
        <v>50</v>
      </c>
      <c r="F169" s="39" t="str">
        <f aca="false">IF(COUNTIF(medicine_master!$A$2:$A$26,C169)&gt;0,"Valid","Invalid")</f>
        <v>Valid</v>
      </c>
      <c r="G169" s="39" t="str">
        <f aca="false">IFERROR(INDEX(medicine_master!$B$2:$B$26,MATCH($C169,medicine_master!$A$2:$A$26,0)),"Not found")</f>
        <v>Diclofenac Gel</v>
      </c>
      <c r="H169" s="39" t="str">
        <f aca="false">IFERROR(INDEX(medicine_master!$C$2:$C$26,MATCH($C169,medicine_master!$A$2:$A$26,0)),"Not found")</f>
        <v>Pain Relief</v>
      </c>
      <c r="I169" s="39" t="n">
        <f aca="false">YEAR(B169)</f>
        <v>2026</v>
      </c>
      <c r="J169" s="39" t="n">
        <f aca="false">MONTH(B169)</f>
        <v>9</v>
      </c>
      <c r="K169" s="39" t="str">
        <f aca="false">TEXT(B169,"mmm")</f>
        <v>Sep</v>
      </c>
      <c r="L169" s="45" t="n">
        <f aca="false">IFERROR(INDEX(medicine_master!$I$2:$I$26,MATCH($C169,medicine_master!$A$2:$A$26,0)),0)</f>
        <v>55</v>
      </c>
      <c r="M169" s="45" t="n">
        <f aca="false">IFERROR(INDEX(medicine_master!$G$2:$G$26,MATCH($C169,medicine_master!$A$2:$A$26,0)),0)</f>
        <v>38</v>
      </c>
      <c r="N169" s="45" t="n">
        <f aca="false">IF(D169="Sale",E169*L169,0)</f>
        <v>2750</v>
      </c>
      <c r="O169" s="45" t="n">
        <f aca="false">IF(D169="Sale",E169*M169,0)</f>
        <v>1900</v>
      </c>
      <c r="P169" s="45" t="n">
        <f aca="false">N169-O169</f>
        <v>850</v>
      </c>
      <c r="Q169" s="45" t="n">
        <f aca="false">IF(D169="Purchase",E169*M169,0)</f>
        <v>0</v>
      </c>
    </row>
    <row r="170" customFormat="false" ht="15" hidden="false" customHeight="false" outlineLevel="0" collapsed="false">
      <c r="A170" s="39" t="s">
        <v>493</v>
      </c>
      <c r="B170" s="44" t="n">
        <v>46075</v>
      </c>
      <c r="C170" s="39" t="s">
        <v>179</v>
      </c>
      <c r="D170" s="39" t="s">
        <v>138</v>
      </c>
      <c r="E170" s="39" t="n">
        <v>25</v>
      </c>
      <c r="F170" s="39" t="str">
        <f aca="false">IF(COUNTIF(medicine_master!$A$2:$A$26,C170)&gt;0,"Valid","Invalid")</f>
        <v>Valid</v>
      </c>
      <c r="G170" s="39" t="str">
        <f aca="false">IFERROR(INDEX(medicine_master!$B$2:$B$26,MATCH($C170,medicine_master!$A$2:$A$26,0)),"Not found")</f>
        <v>Ibuprofen 400mg</v>
      </c>
      <c r="H170" s="39" t="str">
        <f aca="false">IFERROR(INDEX(medicine_master!$C$2:$C$26,MATCH($C170,medicine_master!$A$2:$A$26,0)),"Not found")</f>
        <v>Pain Relief</v>
      </c>
      <c r="I170" s="39" t="n">
        <f aca="false">YEAR(B170)</f>
        <v>2026</v>
      </c>
      <c r="J170" s="39" t="n">
        <f aca="false">MONTH(B170)</f>
        <v>2</v>
      </c>
      <c r="K170" s="39" t="str">
        <f aca="false">TEXT(B170,"mmm")</f>
        <v>Feb</v>
      </c>
      <c r="L170" s="45" t="n">
        <f aca="false">IFERROR(INDEX(medicine_master!$I$2:$I$26,MATCH($C170,medicine_master!$A$2:$A$26,0)),0)</f>
        <v>30</v>
      </c>
      <c r="M170" s="45" t="n">
        <f aca="false">IFERROR(INDEX(medicine_master!$G$2:$G$26,MATCH($C170,medicine_master!$A$2:$A$26,0)),0)</f>
        <v>22</v>
      </c>
      <c r="N170" s="45" t="n">
        <f aca="false">IF(D170="Sale",E170*L170,0)</f>
        <v>0</v>
      </c>
      <c r="O170" s="45" t="n">
        <f aca="false">IF(D170="Sale",E170*M170,0)</f>
        <v>0</v>
      </c>
      <c r="P170" s="45" t="n">
        <f aca="false">N170-O170</f>
        <v>0</v>
      </c>
      <c r="Q170" s="45" t="n">
        <f aca="false">IF(D170="Purchase",E170*M170,0)</f>
        <v>550</v>
      </c>
    </row>
    <row r="171" customFormat="false" ht="15" hidden="false" customHeight="false" outlineLevel="0" collapsed="false">
      <c r="A171" s="39" t="s">
        <v>494</v>
      </c>
      <c r="B171" s="44" t="n">
        <v>46262</v>
      </c>
      <c r="C171" s="39" t="s">
        <v>495</v>
      </c>
      <c r="D171" s="39" t="s">
        <v>138</v>
      </c>
      <c r="E171" s="39" t="n">
        <v>10</v>
      </c>
      <c r="F171" s="39" t="str">
        <f aca="false">IF(COUNTIF(medicine_master!$A$2:$A$26,C171)&gt;0,"Valid","Invalid")</f>
        <v>Valid</v>
      </c>
      <c r="G171" s="39" t="str">
        <f aca="false">IFERROR(INDEX(medicine_master!$B$2:$B$26,MATCH($C171,medicine_master!$A$2:$A$26,0)),"Not found")</f>
        <v>Metformin 500mg</v>
      </c>
      <c r="H171" s="39" t="str">
        <f aca="false">IFERROR(INDEX(medicine_master!$C$2:$C$26,MATCH($C171,medicine_master!$A$2:$A$26,0)),"Not found")</f>
        <v>Diabetes</v>
      </c>
      <c r="I171" s="39" t="n">
        <f aca="false">YEAR(B171)</f>
        <v>2026</v>
      </c>
      <c r="J171" s="39" t="n">
        <f aca="false">MONTH(B171)</f>
        <v>8</v>
      </c>
      <c r="K171" s="39" t="str">
        <f aca="false">TEXT(B171,"mmm")</f>
        <v>Aug</v>
      </c>
      <c r="L171" s="45" t="n">
        <f aca="false">IFERROR(INDEX(medicine_master!$I$2:$I$26,MATCH($C171,medicine_master!$A$2:$A$26,0)),0)</f>
        <v>24</v>
      </c>
      <c r="M171" s="45" t="n">
        <f aca="false">IFERROR(INDEX(medicine_master!$G$2:$G$26,MATCH($C171,medicine_master!$A$2:$A$26,0)),0)</f>
        <v>16</v>
      </c>
      <c r="N171" s="45" t="n">
        <f aca="false">IF(D171="Sale",E171*L171,0)</f>
        <v>0</v>
      </c>
      <c r="O171" s="45" t="n">
        <f aca="false">IF(D171="Sale",E171*M171,0)</f>
        <v>0</v>
      </c>
      <c r="P171" s="45" t="n">
        <f aca="false">N171-O171</f>
        <v>0</v>
      </c>
      <c r="Q171" s="45" t="n">
        <f aca="false">IF(D171="Purchase",E171*M171,0)</f>
        <v>160</v>
      </c>
    </row>
    <row r="172" customFormat="false" ht="15" hidden="false" customHeight="false" outlineLevel="0" collapsed="false">
      <c r="A172" s="39" t="s">
        <v>496</v>
      </c>
      <c r="B172" s="44" t="n">
        <v>46205</v>
      </c>
      <c r="C172" s="39" t="s">
        <v>177</v>
      </c>
      <c r="D172" s="39" t="s">
        <v>138</v>
      </c>
      <c r="E172" s="39" t="n">
        <v>10</v>
      </c>
      <c r="F172" s="39" t="str">
        <f aca="false">IF(COUNTIF(medicine_master!$A$2:$A$26,C172)&gt;0,"Valid","Invalid")</f>
        <v>Valid</v>
      </c>
      <c r="G172" s="39" t="str">
        <f aca="false">IFERROR(INDEX(medicine_master!$B$2:$B$26,MATCH($C172,medicine_master!$A$2:$A$26,0)),"Not found")</f>
        <v>Bandage Roll</v>
      </c>
      <c r="H172" s="39" t="str">
        <f aca="false">IFERROR(INDEX(medicine_master!$C$2:$C$26,MATCH($C172,medicine_master!$A$2:$A$26,0)),"Not found")</f>
        <v>First Aid</v>
      </c>
      <c r="I172" s="39" t="n">
        <f aca="false">YEAR(B172)</f>
        <v>2026</v>
      </c>
      <c r="J172" s="39" t="n">
        <f aca="false">MONTH(B172)</f>
        <v>7</v>
      </c>
      <c r="K172" s="39" t="str">
        <f aca="false">TEXT(B172,"mmm")</f>
        <v>Jul</v>
      </c>
      <c r="L172" s="45" t="n">
        <f aca="false">IFERROR(INDEX(medicine_master!$I$2:$I$26,MATCH($C172,medicine_master!$A$2:$A$26,0)),0)</f>
        <v>25</v>
      </c>
      <c r="M172" s="45" t="n">
        <f aca="false">IFERROR(INDEX(medicine_master!$G$2:$G$26,MATCH($C172,medicine_master!$A$2:$A$26,0)),0)</f>
        <v>15</v>
      </c>
      <c r="N172" s="45" t="n">
        <f aca="false">IF(D172="Sale",E172*L172,0)</f>
        <v>0</v>
      </c>
      <c r="O172" s="45" t="n">
        <f aca="false">IF(D172="Sale",E172*M172,0)</f>
        <v>0</v>
      </c>
      <c r="P172" s="45" t="n">
        <f aca="false">N172-O172</f>
        <v>0</v>
      </c>
      <c r="Q172" s="45" t="n">
        <f aca="false">IF(D172="Purchase",E172*M172,0)</f>
        <v>150</v>
      </c>
    </row>
    <row r="173" customFormat="false" ht="15" hidden="false" customHeight="false" outlineLevel="0" collapsed="false">
      <c r="A173" s="39" t="s">
        <v>497</v>
      </c>
      <c r="B173" s="44" t="n">
        <v>46030</v>
      </c>
      <c r="C173" s="39" t="s">
        <v>149</v>
      </c>
      <c r="D173" s="39" t="s">
        <v>138</v>
      </c>
      <c r="E173" s="39" t="n">
        <v>15</v>
      </c>
      <c r="F173" s="39" t="str">
        <f aca="false">IF(COUNTIF(medicine_master!$A$2:$A$26,C173)&gt;0,"Valid","Invalid")</f>
        <v>Valid</v>
      </c>
      <c r="G173" s="39" t="str">
        <f aca="false">IFERROR(INDEX(medicine_master!$B$2:$B$26,MATCH($C173,medicine_master!$A$2:$A$26,0)),"Not found")</f>
        <v>Azithromycin 500mg</v>
      </c>
      <c r="H173" s="39" t="str">
        <f aca="false">IFERROR(INDEX(medicine_master!$C$2:$C$26,MATCH($C173,medicine_master!$A$2:$A$26,0)),"Not found")</f>
        <v>Antibiotic</v>
      </c>
      <c r="I173" s="39" t="n">
        <f aca="false">YEAR(B173)</f>
        <v>2026</v>
      </c>
      <c r="J173" s="39" t="n">
        <f aca="false">MONTH(B173)</f>
        <v>1</v>
      </c>
      <c r="K173" s="39" t="str">
        <f aca="false">TEXT(B173,"mmm")</f>
        <v>Jan</v>
      </c>
      <c r="L173" s="45" t="n">
        <f aca="false">IFERROR(INDEX(medicine_master!$I$2:$I$26,MATCH($C173,medicine_master!$A$2:$A$26,0)),0)</f>
        <v>50</v>
      </c>
      <c r="M173" s="45" t="n">
        <f aca="false">IFERROR(INDEX(medicine_master!$G$2:$G$26,MATCH($C173,medicine_master!$A$2:$A$26,0)),0)</f>
        <v>35</v>
      </c>
      <c r="N173" s="45" t="n">
        <f aca="false">IF(D173="Sale",E173*L173,0)</f>
        <v>0</v>
      </c>
      <c r="O173" s="45" t="n">
        <f aca="false">IF(D173="Sale",E173*M173,0)</f>
        <v>0</v>
      </c>
      <c r="P173" s="45" t="n">
        <f aca="false">N173-O173</f>
        <v>0</v>
      </c>
      <c r="Q173" s="45" t="n">
        <f aca="false">IF(D173="Purchase",E173*M173,0)</f>
        <v>525</v>
      </c>
    </row>
    <row r="174" customFormat="false" ht="15" hidden="false" customHeight="false" outlineLevel="0" collapsed="false">
      <c r="A174" s="39" t="s">
        <v>498</v>
      </c>
      <c r="B174" s="44" t="n">
        <v>46217</v>
      </c>
      <c r="C174" s="39" t="s">
        <v>151</v>
      </c>
      <c r="D174" s="39" t="s">
        <v>137</v>
      </c>
      <c r="E174" s="39" t="n">
        <v>50</v>
      </c>
      <c r="F174" s="39" t="str">
        <f aca="false">IF(COUNTIF(medicine_master!$A$2:$A$26,C174)&gt;0,"Valid","Invalid")</f>
        <v>Valid</v>
      </c>
      <c r="G174" s="39" t="str">
        <f aca="false">IFERROR(INDEX(medicine_master!$B$2:$B$26,MATCH($C174,medicine_master!$A$2:$A$26,0)),"Not found")</f>
        <v>Cetirizine 10mg</v>
      </c>
      <c r="H174" s="39" t="str">
        <f aca="false">IFERROR(INDEX(medicine_master!$C$2:$C$26,MATCH($C174,medicine_master!$A$2:$A$26,0)),"Not found")</f>
        <v>Allergy</v>
      </c>
      <c r="I174" s="39" t="n">
        <f aca="false">YEAR(B174)</f>
        <v>2026</v>
      </c>
      <c r="J174" s="39" t="n">
        <f aca="false">MONTH(B174)</f>
        <v>7</v>
      </c>
      <c r="K174" s="39" t="str">
        <f aca="false">TEXT(B174,"mmm")</f>
        <v>Jul</v>
      </c>
      <c r="L174" s="45" t="n">
        <f aca="false">IFERROR(INDEX(medicine_master!$I$2:$I$26,MATCH($C174,medicine_master!$A$2:$A$26,0)),0)</f>
        <v>13</v>
      </c>
      <c r="M174" s="45" t="n">
        <f aca="false">IFERROR(INDEX(medicine_master!$G$2:$G$26,MATCH($C174,medicine_master!$A$2:$A$26,0)),0)</f>
        <v>8</v>
      </c>
      <c r="N174" s="45" t="n">
        <f aca="false">IF(D174="Sale",E174*L174,0)</f>
        <v>650</v>
      </c>
      <c r="O174" s="45" t="n">
        <f aca="false">IF(D174="Sale",E174*M174,0)</f>
        <v>400</v>
      </c>
      <c r="P174" s="45" t="n">
        <f aca="false">N174-O174</f>
        <v>250</v>
      </c>
      <c r="Q174" s="45" t="n">
        <f aca="false">IF(D174="Purchase",E174*M174,0)</f>
        <v>0</v>
      </c>
    </row>
    <row r="175" customFormat="false" ht="15" hidden="false" customHeight="false" outlineLevel="0" collapsed="false">
      <c r="A175" s="39" t="s">
        <v>499</v>
      </c>
      <c r="B175" s="44" t="n">
        <v>46083</v>
      </c>
      <c r="C175" s="39" t="s">
        <v>404</v>
      </c>
      <c r="D175" s="39" t="s">
        <v>138</v>
      </c>
      <c r="E175" s="39" t="n">
        <v>10</v>
      </c>
      <c r="F175" s="39" t="str">
        <f aca="false">IF(COUNTIF(medicine_master!$A$2:$A$26,C175)&gt;0,"Valid","Invalid")</f>
        <v>Valid</v>
      </c>
      <c r="G175" s="39" t="str">
        <f aca="false">IFERROR(INDEX(medicine_master!$B$2:$B$26,MATCH($C175,medicine_master!$A$2:$A$26,0)),"Not found")</f>
        <v>ORS Sachet</v>
      </c>
      <c r="H175" s="39" t="str">
        <f aca="false">IFERROR(INDEX(medicine_master!$C$2:$C$26,MATCH($C175,medicine_master!$A$2:$A$26,0)),"Not found")</f>
        <v>First Aid</v>
      </c>
      <c r="I175" s="39" t="n">
        <f aca="false">YEAR(B175)</f>
        <v>2026</v>
      </c>
      <c r="J175" s="39" t="n">
        <f aca="false">MONTH(B175)</f>
        <v>3</v>
      </c>
      <c r="K175" s="39" t="str">
        <f aca="false">TEXT(B175,"mmm")</f>
        <v>Mar</v>
      </c>
      <c r="L175" s="45" t="n">
        <f aca="false">IFERROR(INDEX(medicine_master!$I$2:$I$26,MATCH($C175,medicine_master!$A$2:$A$26,0)),0)</f>
        <v>10</v>
      </c>
      <c r="M175" s="45" t="n">
        <f aca="false">IFERROR(INDEX(medicine_master!$G$2:$G$26,MATCH($C175,medicine_master!$A$2:$A$26,0)),0)</f>
        <v>6</v>
      </c>
      <c r="N175" s="45" t="n">
        <f aca="false">IF(D175="Sale",E175*L175,0)</f>
        <v>0</v>
      </c>
      <c r="O175" s="45" t="n">
        <f aca="false">IF(D175="Sale",E175*M175,0)</f>
        <v>0</v>
      </c>
      <c r="P175" s="45" t="n">
        <f aca="false">N175-O175</f>
        <v>0</v>
      </c>
      <c r="Q175" s="45" t="n">
        <f aca="false">IF(D175="Purchase",E175*M175,0)</f>
        <v>60</v>
      </c>
    </row>
    <row r="176" customFormat="false" ht="15" hidden="false" customHeight="false" outlineLevel="0" collapsed="false">
      <c r="A176" s="39" t="s">
        <v>500</v>
      </c>
      <c r="B176" s="44" t="n">
        <v>46114</v>
      </c>
      <c r="C176" s="39" t="s">
        <v>150</v>
      </c>
      <c r="D176" s="39" t="s">
        <v>138</v>
      </c>
      <c r="E176" s="39" t="n">
        <v>10</v>
      </c>
      <c r="F176" s="39" t="str">
        <f aca="false">IF(COUNTIF(medicine_master!$A$2:$A$26,C176)&gt;0,"Valid","Invalid")</f>
        <v>Valid</v>
      </c>
      <c r="G176" s="39" t="str">
        <f aca="false">IFERROR(INDEX(medicine_master!$B$2:$B$26,MATCH($C176,medicine_master!$A$2:$A$26,0)),"Not found")</f>
        <v>Pantoprazole 40mg</v>
      </c>
      <c r="H176" s="39" t="str">
        <f aca="false">IFERROR(INDEX(medicine_master!$C$2:$C$26,MATCH($C176,medicine_master!$A$2:$A$26,0)),"Not found")</f>
        <v>Gastric</v>
      </c>
      <c r="I176" s="39" t="n">
        <f aca="false">YEAR(B176)</f>
        <v>2026</v>
      </c>
      <c r="J176" s="39" t="n">
        <f aca="false">MONTH(B176)</f>
        <v>4</v>
      </c>
      <c r="K176" s="39" t="str">
        <f aca="false">TEXT(B176,"mmm")</f>
        <v>Apr</v>
      </c>
      <c r="L176" s="45" t="n">
        <f aca="false">IFERROR(INDEX(medicine_master!$I$2:$I$26,MATCH($C176,medicine_master!$A$2:$A$26,0)),0)</f>
        <v>35</v>
      </c>
      <c r="M176" s="45" t="n">
        <f aca="false">IFERROR(INDEX(medicine_master!$G$2:$G$26,MATCH($C176,medicine_master!$A$2:$A$26,0)),0)</f>
        <v>24</v>
      </c>
      <c r="N176" s="45" t="n">
        <f aca="false">IF(D176="Sale",E176*L176,0)</f>
        <v>0</v>
      </c>
      <c r="O176" s="45" t="n">
        <f aca="false">IF(D176="Sale",E176*M176,0)</f>
        <v>0</v>
      </c>
      <c r="P176" s="45" t="n">
        <f aca="false">N176-O176</f>
        <v>0</v>
      </c>
      <c r="Q176" s="45" t="n">
        <f aca="false">IF(D176="Purchase",E176*M176,0)</f>
        <v>240</v>
      </c>
    </row>
    <row r="177" customFormat="false" ht="15" hidden="false" customHeight="false" outlineLevel="0" collapsed="false">
      <c r="A177" s="39" t="s">
        <v>501</v>
      </c>
      <c r="B177" s="44" t="n">
        <v>46023</v>
      </c>
      <c r="C177" s="39" t="s">
        <v>152</v>
      </c>
      <c r="D177" s="39" t="s">
        <v>137</v>
      </c>
      <c r="E177" s="39" t="n">
        <v>15</v>
      </c>
      <c r="F177" s="39" t="str">
        <f aca="false">IF(COUNTIF(medicine_master!$A$2:$A$26,C177)&gt;0,"Valid","Invalid")</f>
        <v>Valid</v>
      </c>
      <c r="G177" s="39" t="str">
        <f aca="false">IFERROR(INDEX(medicine_master!$B$2:$B$26,MATCH($C177,medicine_master!$A$2:$A$26,0)),"Not found")</f>
        <v>Amoxicillin 500mg</v>
      </c>
      <c r="H177" s="39" t="str">
        <f aca="false">IFERROR(INDEX(medicine_master!$C$2:$C$26,MATCH($C177,medicine_master!$A$2:$A$26,0)),"Not found")</f>
        <v>Antibiotic</v>
      </c>
      <c r="I177" s="39" t="n">
        <f aca="false">YEAR(B177)</f>
        <v>2026</v>
      </c>
      <c r="J177" s="39" t="n">
        <f aca="false">MONTH(B177)</f>
        <v>1</v>
      </c>
      <c r="K177" s="39" t="str">
        <f aca="false">TEXT(B177,"mmm")</f>
        <v>Jan</v>
      </c>
      <c r="L177" s="45" t="n">
        <f aca="false">IFERROR(INDEX(medicine_master!$I$2:$I$26,MATCH($C177,medicine_master!$A$2:$A$26,0)),0)</f>
        <v>40</v>
      </c>
      <c r="M177" s="45" t="n">
        <f aca="false">IFERROR(INDEX(medicine_master!$G$2:$G$26,MATCH($C177,medicine_master!$A$2:$A$26,0)),0)</f>
        <v>28</v>
      </c>
      <c r="N177" s="45" t="n">
        <f aca="false">IF(D177="Sale",E177*L177,0)</f>
        <v>600</v>
      </c>
      <c r="O177" s="45" t="n">
        <f aca="false">IF(D177="Sale",E177*M177,0)</f>
        <v>420</v>
      </c>
      <c r="P177" s="45" t="n">
        <f aca="false">N177-O177</f>
        <v>180</v>
      </c>
      <c r="Q177" s="45" t="n">
        <f aca="false">IF(D177="Purchase",E177*M177,0)</f>
        <v>0</v>
      </c>
    </row>
    <row r="178" customFormat="false" ht="15" hidden="false" customHeight="false" outlineLevel="0" collapsed="false">
      <c r="A178" s="39" t="s">
        <v>502</v>
      </c>
      <c r="B178" s="44" t="n">
        <v>46056</v>
      </c>
      <c r="C178" s="39" t="s">
        <v>145</v>
      </c>
      <c r="D178" s="39" t="s">
        <v>137</v>
      </c>
      <c r="E178" s="39" t="n">
        <v>25</v>
      </c>
      <c r="F178" s="39" t="str">
        <f aca="false">IF(COUNTIF(medicine_master!$A$2:$A$26,C178)&gt;0,"Valid","Invalid")</f>
        <v>Valid</v>
      </c>
      <c r="G178" s="39" t="str">
        <f aca="false">IFERROR(INDEX(medicine_master!$B$2:$B$26,MATCH($C178,medicine_master!$A$2:$A$26,0)),"Not found")</f>
        <v>Clotrimazole Cream</v>
      </c>
      <c r="H178" s="39" t="str">
        <f aca="false">IFERROR(INDEX(medicine_master!$C$2:$C$26,MATCH($C178,medicine_master!$A$2:$A$26,0)),"Not found")</f>
        <v>Dermatology</v>
      </c>
      <c r="I178" s="39" t="n">
        <f aca="false">YEAR(B178)</f>
        <v>2026</v>
      </c>
      <c r="J178" s="39" t="n">
        <f aca="false">MONTH(B178)</f>
        <v>2</v>
      </c>
      <c r="K178" s="39" t="str">
        <f aca="false">TEXT(B178,"mmm")</f>
        <v>Feb</v>
      </c>
      <c r="L178" s="45" t="n">
        <f aca="false">IFERROR(INDEX(medicine_master!$I$2:$I$26,MATCH($C178,medicine_master!$A$2:$A$26,0)),0)</f>
        <v>48</v>
      </c>
      <c r="M178" s="45" t="n">
        <f aca="false">IFERROR(INDEX(medicine_master!$G$2:$G$26,MATCH($C178,medicine_master!$A$2:$A$26,0)),0)</f>
        <v>32</v>
      </c>
      <c r="N178" s="45" t="n">
        <f aca="false">IF(D178="Sale",E178*L178,0)</f>
        <v>1200</v>
      </c>
      <c r="O178" s="45" t="n">
        <f aca="false">IF(D178="Sale",E178*M178,0)</f>
        <v>800</v>
      </c>
      <c r="P178" s="45" t="n">
        <f aca="false">N178-O178</f>
        <v>400</v>
      </c>
      <c r="Q178" s="45" t="n">
        <f aca="false">IF(D178="Purchase",E178*M178,0)</f>
        <v>0</v>
      </c>
    </row>
    <row r="179" customFormat="false" ht="15" hidden="false" customHeight="false" outlineLevel="0" collapsed="false">
      <c r="A179" s="39" t="s">
        <v>503</v>
      </c>
      <c r="B179" s="44" t="n">
        <v>46095</v>
      </c>
      <c r="C179" s="39" t="s">
        <v>178</v>
      </c>
      <c r="D179" s="39" t="s">
        <v>137</v>
      </c>
      <c r="E179" s="39" t="n">
        <v>25</v>
      </c>
      <c r="F179" s="39" t="str">
        <f aca="false">IF(COUNTIF(medicine_master!$A$2:$A$26,C179)&gt;0,"Valid","Invalid")</f>
        <v>Valid</v>
      </c>
      <c r="G179" s="39" t="str">
        <f aca="false">IFERROR(INDEX(medicine_master!$B$2:$B$26,MATCH($C179,medicine_master!$A$2:$A$26,0)),"Not found")</f>
        <v>Aspirin 75mg</v>
      </c>
      <c r="H179" s="39" t="str">
        <f aca="false">IFERROR(INDEX(medicine_master!$C$2:$C$26,MATCH($C179,medicine_master!$A$2:$A$26,0)),"Not found")</f>
        <v>Cardiac</v>
      </c>
      <c r="I179" s="39" t="n">
        <f aca="false">YEAR(B179)</f>
        <v>2026</v>
      </c>
      <c r="J179" s="39" t="n">
        <f aca="false">MONTH(B179)</f>
        <v>3</v>
      </c>
      <c r="K179" s="39" t="str">
        <f aca="false">TEXT(B179,"mmm")</f>
        <v>Mar</v>
      </c>
      <c r="L179" s="45" t="n">
        <f aca="false">IFERROR(INDEX(medicine_master!$I$2:$I$26,MATCH($C179,medicine_master!$A$2:$A$26,0)),0)</f>
        <v>15</v>
      </c>
      <c r="M179" s="45" t="n">
        <f aca="false">IFERROR(INDEX(medicine_master!$G$2:$G$26,MATCH($C179,medicine_master!$A$2:$A$26,0)),0)</f>
        <v>10</v>
      </c>
      <c r="N179" s="45" t="n">
        <f aca="false">IF(D179="Sale",E179*L179,0)</f>
        <v>375</v>
      </c>
      <c r="O179" s="45" t="n">
        <f aca="false">IF(D179="Sale",E179*M179,0)</f>
        <v>250</v>
      </c>
      <c r="P179" s="45" t="n">
        <f aca="false">N179-O179</f>
        <v>125</v>
      </c>
      <c r="Q179" s="45" t="n">
        <f aca="false">IF(D179="Purchase",E179*M179,0)</f>
        <v>0</v>
      </c>
    </row>
    <row r="180" customFormat="false" ht="15" hidden="false" customHeight="false" outlineLevel="0" collapsed="false">
      <c r="A180" s="39" t="s">
        <v>504</v>
      </c>
      <c r="B180" s="44" t="n">
        <v>46078</v>
      </c>
      <c r="C180" s="39" t="s">
        <v>495</v>
      </c>
      <c r="D180" s="39" t="s">
        <v>137</v>
      </c>
      <c r="E180" s="39" t="n">
        <v>5</v>
      </c>
      <c r="F180" s="39" t="str">
        <f aca="false">IF(COUNTIF(medicine_master!$A$2:$A$26,C180)&gt;0,"Valid","Invalid")</f>
        <v>Valid</v>
      </c>
      <c r="G180" s="39" t="str">
        <f aca="false">IFERROR(INDEX(medicine_master!$B$2:$B$26,MATCH($C180,medicine_master!$A$2:$A$26,0)),"Not found")</f>
        <v>Metformin 500mg</v>
      </c>
      <c r="H180" s="39" t="str">
        <f aca="false">IFERROR(INDEX(medicine_master!$C$2:$C$26,MATCH($C180,medicine_master!$A$2:$A$26,0)),"Not found")</f>
        <v>Diabetes</v>
      </c>
      <c r="I180" s="39" t="n">
        <f aca="false">YEAR(B180)</f>
        <v>2026</v>
      </c>
      <c r="J180" s="39" t="n">
        <f aca="false">MONTH(B180)</f>
        <v>2</v>
      </c>
      <c r="K180" s="39" t="str">
        <f aca="false">TEXT(B180,"mmm")</f>
        <v>Feb</v>
      </c>
      <c r="L180" s="45" t="n">
        <f aca="false">IFERROR(INDEX(medicine_master!$I$2:$I$26,MATCH($C180,medicine_master!$A$2:$A$26,0)),0)</f>
        <v>24</v>
      </c>
      <c r="M180" s="45" t="n">
        <f aca="false">IFERROR(INDEX(medicine_master!$G$2:$G$26,MATCH($C180,medicine_master!$A$2:$A$26,0)),0)</f>
        <v>16</v>
      </c>
      <c r="N180" s="45" t="n">
        <f aca="false">IF(D180="Sale",E180*L180,0)</f>
        <v>120</v>
      </c>
      <c r="O180" s="45" t="n">
        <f aca="false">IF(D180="Sale",E180*M180,0)</f>
        <v>80</v>
      </c>
      <c r="P180" s="45" t="n">
        <f aca="false">N180-O180</f>
        <v>40</v>
      </c>
      <c r="Q180" s="45" t="n">
        <f aca="false">IF(D180="Purchase",E180*M180,0)</f>
        <v>0</v>
      </c>
    </row>
    <row r="181" customFormat="false" ht="15" hidden="false" customHeight="false" outlineLevel="0" collapsed="false">
      <c r="A181" s="39" t="s">
        <v>505</v>
      </c>
      <c r="B181" s="44" t="n">
        <v>46048</v>
      </c>
      <c r="C181" s="39" t="s">
        <v>149</v>
      </c>
      <c r="D181" s="39" t="s">
        <v>137</v>
      </c>
      <c r="E181" s="39" t="n">
        <v>30</v>
      </c>
      <c r="F181" s="39" t="str">
        <f aca="false">IF(COUNTIF(medicine_master!$A$2:$A$26,C181)&gt;0,"Valid","Invalid")</f>
        <v>Valid</v>
      </c>
      <c r="G181" s="39" t="str">
        <f aca="false">IFERROR(INDEX(medicine_master!$B$2:$B$26,MATCH($C181,medicine_master!$A$2:$A$26,0)),"Not found")</f>
        <v>Azithromycin 500mg</v>
      </c>
      <c r="H181" s="39" t="str">
        <f aca="false">IFERROR(INDEX(medicine_master!$C$2:$C$26,MATCH($C181,medicine_master!$A$2:$A$26,0)),"Not found")</f>
        <v>Antibiotic</v>
      </c>
      <c r="I181" s="39" t="n">
        <f aca="false">YEAR(B181)</f>
        <v>2026</v>
      </c>
      <c r="J181" s="39" t="n">
        <f aca="false">MONTH(B181)</f>
        <v>1</v>
      </c>
      <c r="K181" s="39" t="str">
        <f aca="false">TEXT(B181,"mmm")</f>
        <v>Jan</v>
      </c>
      <c r="L181" s="45" t="n">
        <f aca="false">IFERROR(INDEX(medicine_master!$I$2:$I$26,MATCH($C181,medicine_master!$A$2:$A$26,0)),0)</f>
        <v>50</v>
      </c>
      <c r="M181" s="45" t="n">
        <f aca="false">IFERROR(INDEX(medicine_master!$G$2:$G$26,MATCH($C181,medicine_master!$A$2:$A$26,0)),0)</f>
        <v>35</v>
      </c>
      <c r="N181" s="45" t="n">
        <f aca="false">IF(D181="Sale",E181*L181,0)</f>
        <v>1500</v>
      </c>
      <c r="O181" s="45" t="n">
        <f aca="false">IF(D181="Sale",E181*M181,0)</f>
        <v>1050</v>
      </c>
      <c r="P181" s="45" t="n">
        <f aca="false">N181-O181</f>
        <v>450</v>
      </c>
      <c r="Q181" s="45" t="n">
        <f aca="false">IF(D181="Purchase",E181*M181,0)</f>
        <v>0</v>
      </c>
    </row>
    <row r="182" customFormat="false" ht="15" hidden="false" customHeight="false" outlineLevel="0" collapsed="false">
      <c r="A182" s="39" t="s">
        <v>506</v>
      </c>
      <c r="B182" s="44" t="n">
        <v>46275</v>
      </c>
      <c r="C182" s="39" t="s">
        <v>146</v>
      </c>
      <c r="D182" s="39" t="s">
        <v>138</v>
      </c>
      <c r="E182" s="39" t="n">
        <v>20</v>
      </c>
      <c r="F182" s="39" t="str">
        <f aca="false">IF(COUNTIF(medicine_master!$A$2:$A$26,C182)&gt;0,"Valid","Invalid")</f>
        <v>Valid</v>
      </c>
      <c r="G182" s="39" t="str">
        <f aca="false">IFERROR(INDEX(medicine_master!$B$2:$B$26,MATCH($C182,medicine_master!$A$2:$A$26,0)),"Not found")</f>
        <v>Diclofenac Gel</v>
      </c>
      <c r="H182" s="39" t="str">
        <f aca="false">IFERROR(INDEX(medicine_master!$C$2:$C$26,MATCH($C182,medicine_master!$A$2:$A$26,0)),"Not found")</f>
        <v>Pain Relief</v>
      </c>
      <c r="I182" s="39" t="n">
        <f aca="false">YEAR(B182)</f>
        <v>2026</v>
      </c>
      <c r="J182" s="39" t="n">
        <f aca="false">MONTH(B182)</f>
        <v>9</v>
      </c>
      <c r="K182" s="39" t="str">
        <f aca="false">TEXT(B182,"mmm")</f>
        <v>Sep</v>
      </c>
      <c r="L182" s="45" t="n">
        <f aca="false">IFERROR(INDEX(medicine_master!$I$2:$I$26,MATCH($C182,medicine_master!$A$2:$A$26,0)),0)</f>
        <v>55</v>
      </c>
      <c r="M182" s="45" t="n">
        <f aca="false">IFERROR(INDEX(medicine_master!$G$2:$G$26,MATCH($C182,medicine_master!$A$2:$A$26,0)),0)</f>
        <v>38</v>
      </c>
      <c r="N182" s="45" t="n">
        <f aca="false">IF(D182="Sale",E182*L182,0)</f>
        <v>0</v>
      </c>
      <c r="O182" s="45" t="n">
        <f aca="false">IF(D182="Sale",E182*M182,0)</f>
        <v>0</v>
      </c>
      <c r="P182" s="45" t="n">
        <f aca="false">N182-O182</f>
        <v>0</v>
      </c>
      <c r="Q182" s="45" t="n">
        <f aca="false">IF(D182="Purchase",E182*M182,0)</f>
        <v>760</v>
      </c>
    </row>
    <row r="183" customFormat="false" ht="15" hidden="false" customHeight="false" outlineLevel="0" collapsed="false">
      <c r="A183" s="39" t="s">
        <v>507</v>
      </c>
      <c r="B183" s="44" t="n">
        <v>46236</v>
      </c>
      <c r="C183" s="39" t="s">
        <v>153</v>
      </c>
      <c r="D183" s="39" t="s">
        <v>137</v>
      </c>
      <c r="E183" s="39" t="n">
        <v>20</v>
      </c>
      <c r="F183" s="39" t="str">
        <f aca="false">IF(COUNTIF(medicine_master!$A$2:$A$26,C183)&gt;0,"Valid","Invalid")</f>
        <v>Valid</v>
      </c>
      <c r="G183" s="39" t="str">
        <f aca="false">IFERROR(INDEX(medicine_master!$B$2:$B$26,MATCH($C183,medicine_master!$A$2:$A$26,0)),"Not found")</f>
        <v>Atorvastatin 10mg</v>
      </c>
      <c r="H183" s="39" t="str">
        <f aca="false">IFERROR(INDEX(medicine_master!$C$2:$C$26,MATCH($C183,medicine_master!$A$2:$A$26,0)),"Not found")</f>
        <v>Cardiac</v>
      </c>
      <c r="I183" s="39" t="n">
        <f aca="false">YEAR(B183)</f>
        <v>2026</v>
      </c>
      <c r="J183" s="39" t="n">
        <f aca="false">MONTH(B183)</f>
        <v>8</v>
      </c>
      <c r="K183" s="39" t="str">
        <f aca="false">TEXT(B183,"mmm")</f>
        <v>Aug</v>
      </c>
      <c r="L183" s="45" t="n">
        <f aca="false">IFERROR(INDEX(medicine_master!$I$2:$I$26,MATCH($C183,medicine_master!$A$2:$A$26,0)),0)</f>
        <v>28</v>
      </c>
      <c r="M183" s="45" t="n">
        <f aca="false">IFERROR(INDEX(medicine_master!$G$2:$G$26,MATCH($C183,medicine_master!$A$2:$A$26,0)),0)</f>
        <v>19</v>
      </c>
      <c r="N183" s="45" t="n">
        <f aca="false">IF(D183="Sale",E183*L183,0)</f>
        <v>560</v>
      </c>
      <c r="O183" s="45" t="n">
        <f aca="false">IF(D183="Sale",E183*M183,0)</f>
        <v>380</v>
      </c>
      <c r="P183" s="45" t="n">
        <f aca="false">N183-O183</f>
        <v>180</v>
      </c>
      <c r="Q183" s="45" t="n">
        <f aca="false">IF(D183="Purchase",E183*M183,0)</f>
        <v>0</v>
      </c>
    </row>
    <row r="184" customFormat="false" ht="15" hidden="false" customHeight="false" outlineLevel="0" collapsed="false">
      <c r="A184" s="39" t="s">
        <v>508</v>
      </c>
      <c r="B184" s="44" t="n">
        <v>46238</v>
      </c>
      <c r="C184" s="39" t="s">
        <v>179</v>
      </c>
      <c r="D184" s="39" t="s">
        <v>137</v>
      </c>
      <c r="E184" s="39" t="n">
        <v>5</v>
      </c>
      <c r="F184" s="39" t="str">
        <f aca="false">IF(COUNTIF(medicine_master!$A$2:$A$26,C184)&gt;0,"Valid","Invalid")</f>
        <v>Valid</v>
      </c>
      <c r="G184" s="39" t="str">
        <f aca="false">IFERROR(INDEX(medicine_master!$B$2:$B$26,MATCH($C184,medicine_master!$A$2:$A$26,0)),"Not found")</f>
        <v>Ibuprofen 400mg</v>
      </c>
      <c r="H184" s="39" t="str">
        <f aca="false">IFERROR(INDEX(medicine_master!$C$2:$C$26,MATCH($C184,medicine_master!$A$2:$A$26,0)),"Not found")</f>
        <v>Pain Relief</v>
      </c>
      <c r="I184" s="39" t="n">
        <f aca="false">YEAR(B184)</f>
        <v>2026</v>
      </c>
      <c r="J184" s="39" t="n">
        <f aca="false">MONTH(B184)</f>
        <v>8</v>
      </c>
      <c r="K184" s="39" t="str">
        <f aca="false">TEXT(B184,"mmm")</f>
        <v>Aug</v>
      </c>
      <c r="L184" s="45" t="n">
        <f aca="false">IFERROR(INDEX(medicine_master!$I$2:$I$26,MATCH($C184,medicine_master!$A$2:$A$26,0)),0)</f>
        <v>30</v>
      </c>
      <c r="M184" s="45" t="n">
        <f aca="false">IFERROR(INDEX(medicine_master!$G$2:$G$26,MATCH($C184,medicine_master!$A$2:$A$26,0)),0)</f>
        <v>22</v>
      </c>
      <c r="N184" s="45" t="n">
        <f aca="false">IF(D184="Sale",E184*L184,0)</f>
        <v>150</v>
      </c>
      <c r="O184" s="45" t="n">
        <f aca="false">IF(D184="Sale",E184*M184,0)</f>
        <v>110</v>
      </c>
      <c r="P184" s="45" t="n">
        <f aca="false">N184-O184</f>
        <v>40</v>
      </c>
      <c r="Q184" s="45" t="n">
        <f aca="false">IF(D184="Purchase",E184*M184,0)</f>
        <v>0</v>
      </c>
    </row>
    <row r="185" customFormat="false" ht="15" hidden="false" customHeight="false" outlineLevel="0" collapsed="false">
      <c r="A185" s="39" t="s">
        <v>509</v>
      </c>
      <c r="B185" s="44" t="n">
        <v>46334</v>
      </c>
      <c r="C185" s="39" t="s">
        <v>404</v>
      </c>
      <c r="D185" s="39" t="s">
        <v>137</v>
      </c>
      <c r="E185" s="39" t="n">
        <v>40</v>
      </c>
      <c r="F185" s="39" t="str">
        <f aca="false">IF(COUNTIF(medicine_master!$A$2:$A$26,C185)&gt;0,"Valid","Invalid")</f>
        <v>Valid</v>
      </c>
      <c r="G185" s="39" t="str">
        <f aca="false">IFERROR(INDEX(medicine_master!$B$2:$B$26,MATCH($C185,medicine_master!$A$2:$A$26,0)),"Not found")</f>
        <v>ORS Sachet</v>
      </c>
      <c r="H185" s="39" t="str">
        <f aca="false">IFERROR(INDEX(medicine_master!$C$2:$C$26,MATCH($C185,medicine_master!$A$2:$A$26,0)),"Not found")</f>
        <v>First Aid</v>
      </c>
      <c r="I185" s="39" t="n">
        <f aca="false">YEAR(B185)</f>
        <v>2026</v>
      </c>
      <c r="J185" s="39" t="n">
        <f aca="false">MONTH(B185)</f>
        <v>11</v>
      </c>
      <c r="K185" s="39" t="str">
        <f aca="false">TEXT(B185,"mmm")</f>
        <v>Nov</v>
      </c>
      <c r="L185" s="45" t="n">
        <f aca="false">IFERROR(INDEX(medicine_master!$I$2:$I$26,MATCH($C185,medicine_master!$A$2:$A$26,0)),0)</f>
        <v>10</v>
      </c>
      <c r="M185" s="45" t="n">
        <f aca="false">IFERROR(INDEX(medicine_master!$G$2:$G$26,MATCH($C185,medicine_master!$A$2:$A$26,0)),0)</f>
        <v>6</v>
      </c>
      <c r="N185" s="45" t="n">
        <f aca="false">IF(D185="Sale",E185*L185,0)</f>
        <v>400</v>
      </c>
      <c r="O185" s="45" t="n">
        <f aca="false">IF(D185="Sale",E185*M185,0)</f>
        <v>240</v>
      </c>
      <c r="P185" s="45" t="n">
        <f aca="false">N185-O185</f>
        <v>160</v>
      </c>
      <c r="Q185" s="45" t="n">
        <f aca="false">IF(D185="Purchase",E185*M185,0)</f>
        <v>0</v>
      </c>
    </row>
    <row r="186" customFormat="false" ht="15" hidden="false" customHeight="false" outlineLevel="0" collapsed="false">
      <c r="A186" s="39" t="s">
        <v>510</v>
      </c>
      <c r="B186" s="44" t="n">
        <v>46260</v>
      </c>
      <c r="C186" s="39" t="s">
        <v>495</v>
      </c>
      <c r="D186" s="39" t="s">
        <v>137</v>
      </c>
      <c r="E186" s="39" t="n">
        <v>10</v>
      </c>
      <c r="F186" s="39" t="str">
        <f aca="false">IF(COUNTIF(medicine_master!$A$2:$A$26,C186)&gt;0,"Valid","Invalid")</f>
        <v>Valid</v>
      </c>
      <c r="G186" s="39" t="str">
        <f aca="false">IFERROR(INDEX(medicine_master!$B$2:$B$26,MATCH($C186,medicine_master!$A$2:$A$26,0)),"Not found")</f>
        <v>Metformin 500mg</v>
      </c>
      <c r="H186" s="39" t="str">
        <f aca="false">IFERROR(INDEX(medicine_master!$C$2:$C$26,MATCH($C186,medicine_master!$A$2:$A$26,0)),"Not found")</f>
        <v>Diabetes</v>
      </c>
      <c r="I186" s="39" t="n">
        <f aca="false">YEAR(B186)</f>
        <v>2026</v>
      </c>
      <c r="J186" s="39" t="n">
        <f aca="false">MONTH(B186)</f>
        <v>8</v>
      </c>
      <c r="K186" s="39" t="str">
        <f aca="false">TEXT(B186,"mmm")</f>
        <v>Aug</v>
      </c>
      <c r="L186" s="45" t="n">
        <f aca="false">IFERROR(INDEX(medicine_master!$I$2:$I$26,MATCH($C186,medicine_master!$A$2:$A$26,0)),0)</f>
        <v>24</v>
      </c>
      <c r="M186" s="45" t="n">
        <f aca="false">IFERROR(INDEX(medicine_master!$G$2:$G$26,MATCH($C186,medicine_master!$A$2:$A$26,0)),0)</f>
        <v>16</v>
      </c>
      <c r="N186" s="45" t="n">
        <f aca="false">IF(D186="Sale",E186*L186,0)</f>
        <v>240</v>
      </c>
      <c r="O186" s="45" t="n">
        <f aca="false">IF(D186="Sale",E186*M186,0)</f>
        <v>160</v>
      </c>
      <c r="P186" s="45" t="n">
        <f aca="false">N186-O186</f>
        <v>80</v>
      </c>
      <c r="Q186" s="45" t="n">
        <f aca="false">IF(D186="Purchase",E186*M186,0)</f>
        <v>0</v>
      </c>
    </row>
    <row r="187" customFormat="false" ht="15" hidden="false" customHeight="false" outlineLevel="0" collapsed="false">
      <c r="A187" s="39" t="s">
        <v>511</v>
      </c>
      <c r="B187" s="44" t="n">
        <v>46316</v>
      </c>
      <c r="C187" s="39" t="s">
        <v>151</v>
      </c>
      <c r="D187" s="39" t="s">
        <v>137</v>
      </c>
      <c r="E187" s="39" t="n">
        <v>10</v>
      </c>
      <c r="F187" s="39" t="str">
        <f aca="false">IF(COUNTIF(medicine_master!$A$2:$A$26,C187)&gt;0,"Valid","Invalid")</f>
        <v>Valid</v>
      </c>
      <c r="G187" s="39" t="str">
        <f aca="false">IFERROR(INDEX(medicine_master!$B$2:$B$26,MATCH($C187,medicine_master!$A$2:$A$26,0)),"Not found")</f>
        <v>Cetirizine 10mg</v>
      </c>
      <c r="H187" s="39" t="str">
        <f aca="false">IFERROR(INDEX(medicine_master!$C$2:$C$26,MATCH($C187,medicine_master!$A$2:$A$26,0)),"Not found")</f>
        <v>Allergy</v>
      </c>
      <c r="I187" s="39" t="n">
        <f aca="false">YEAR(B187)</f>
        <v>2026</v>
      </c>
      <c r="J187" s="39" t="n">
        <f aca="false">MONTH(B187)</f>
        <v>10</v>
      </c>
      <c r="K187" s="39" t="str">
        <f aca="false">TEXT(B187,"mmm")</f>
        <v>Oct</v>
      </c>
      <c r="L187" s="45" t="n">
        <f aca="false">IFERROR(INDEX(medicine_master!$I$2:$I$26,MATCH($C187,medicine_master!$A$2:$A$26,0)),0)</f>
        <v>13</v>
      </c>
      <c r="M187" s="45" t="n">
        <f aca="false">IFERROR(INDEX(medicine_master!$G$2:$G$26,MATCH($C187,medicine_master!$A$2:$A$26,0)),0)</f>
        <v>8</v>
      </c>
      <c r="N187" s="45" t="n">
        <f aca="false">IF(D187="Sale",E187*L187,0)</f>
        <v>130</v>
      </c>
      <c r="O187" s="45" t="n">
        <f aca="false">IF(D187="Sale",E187*M187,0)</f>
        <v>80</v>
      </c>
      <c r="P187" s="45" t="n">
        <f aca="false">N187-O187</f>
        <v>50</v>
      </c>
      <c r="Q187" s="45" t="n">
        <f aca="false">IF(D187="Purchase",E187*M187,0)</f>
        <v>0</v>
      </c>
    </row>
    <row r="188" customFormat="false" ht="15" hidden="false" customHeight="false" outlineLevel="0" collapsed="false">
      <c r="A188" s="39" t="s">
        <v>512</v>
      </c>
      <c r="B188" s="44" t="n">
        <v>46141</v>
      </c>
      <c r="C188" s="39" t="s">
        <v>152</v>
      </c>
      <c r="D188" s="39" t="s">
        <v>138</v>
      </c>
      <c r="E188" s="39" t="n">
        <v>25</v>
      </c>
      <c r="F188" s="39" t="str">
        <f aca="false">IF(COUNTIF(medicine_master!$A$2:$A$26,C188)&gt;0,"Valid","Invalid")</f>
        <v>Valid</v>
      </c>
      <c r="G188" s="39" t="str">
        <f aca="false">IFERROR(INDEX(medicine_master!$B$2:$B$26,MATCH($C188,medicine_master!$A$2:$A$26,0)),"Not found")</f>
        <v>Amoxicillin 500mg</v>
      </c>
      <c r="H188" s="39" t="str">
        <f aca="false">IFERROR(INDEX(medicine_master!$C$2:$C$26,MATCH($C188,medicine_master!$A$2:$A$26,0)),"Not found")</f>
        <v>Antibiotic</v>
      </c>
      <c r="I188" s="39" t="n">
        <f aca="false">YEAR(B188)</f>
        <v>2026</v>
      </c>
      <c r="J188" s="39" t="n">
        <f aca="false">MONTH(B188)</f>
        <v>4</v>
      </c>
      <c r="K188" s="39" t="str">
        <f aca="false">TEXT(B188,"mmm")</f>
        <v>Apr</v>
      </c>
      <c r="L188" s="45" t="n">
        <f aca="false">IFERROR(INDEX(medicine_master!$I$2:$I$26,MATCH($C188,medicine_master!$A$2:$A$26,0)),0)</f>
        <v>40</v>
      </c>
      <c r="M188" s="45" t="n">
        <f aca="false">IFERROR(INDEX(medicine_master!$G$2:$G$26,MATCH($C188,medicine_master!$A$2:$A$26,0)),0)</f>
        <v>28</v>
      </c>
      <c r="N188" s="45" t="n">
        <f aca="false">IF(D188="Sale",E188*L188,0)</f>
        <v>0</v>
      </c>
      <c r="O188" s="45" t="n">
        <f aca="false">IF(D188="Sale",E188*M188,0)</f>
        <v>0</v>
      </c>
      <c r="P188" s="45" t="n">
        <f aca="false">N188-O188</f>
        <v>0</v>
      </c>
      <c r="Q188" s="45" t="n">
        <f aca="false">IF(D188="Purchase",E188*M188,0)</f>
        <v>700</v>
      </c>
    </row>
    <row r="189" customFormat="false" ht="15" hidden="false" customHeight="false" outlineLevel="0" collapsed="false">
      <c r="A189" s="39" t="s">
        <v>513</v>
      </c>
      <c r="B189" s="44" t="n">
        <v>46295</v>
      </c>
      <c r="C189" s="39" t="s">
        <v>180</v>
      </c>
      <c r="D189" s="39" t="s">
        <v>138</v>
      </c>
      <c r="E189" s="39" t="n">
        <v>20</v>
      </c>
      <c r="F189" s="39" t="str">
        <f aca="false">IF(COUNTIF(medicine_master!$A$2:$A$26,C189)&gt;0,"Valid","Invalid")</f>
        <v>Valid</v>
      </c>
      <c r="G189" s="39" t="str">
        <f aca="false">IFERROR(INDEX(medicine_master!$B$2:$B$26,MATCH($C189,medicine_master!$A$2:$A$26,0)),"Not found")</f>
        <v>Vitamin C 500mg</v>
      </c>
      <c r="H189" s="39" t="str">
        <f aca="false">IFERROR(INDEX(medicine_master!$C$2:$C$26,MATCH($C189,medicine_master!$A$2:$A$26,0)),"Not found")</f>
        <v>Vitamin</v>
      </c>
      <c r="I189" s="39" t="n">
        <f aca="false">YEAR(B189)</f>
        <v>2026</v>
      </c>
      <c r="J189" s="39" t="n">
        <f aca="false">MONTH(B189)</f>
        <v>9</v>
      </c>
      <c r="K189" s="39" t="str">
        <f aca="false">TEXT(B189,"mmm")</f>
        <v>Sep</v>
      </c>
      <c r="L189" s="45" t="n">
        <f aca="false">IFERROR(INDEX(medicine_master!$I$2:$I$26,MATCH($C189,medicine_master!$A$2:$A$26,0)),0)</f>
        <v>22</v>
      </c>
      <c r="M189" s="45" t="n">
        <f aca="false">IFERROR(INDEX(medicine_master!$G$2:$G$26,MATCH($C189,medicine_master!$A$2:$A$26,0)),0)</f>
        <v>14</v>
      </c>
      <c r="N189" s="45" t="n">
        <f aca="false">IF(D189="Sale",E189*L189,0)</f>
        <v>0</v>
      </c>
      <c r="O189" s="45" t="n">
        <f aca="false">IF(D189="Sale",E189*M189,0)</f>
        <v>0</v>
      </c>
      <c r="P189" s="45" t="n">
        <f aca="false">N189-O189</f>
        <v>0</v>
      </c>
      <c r="Q189" s="45" t="n">
        <f aca="false">IF(D189="Purchase",E189*M189,0)</f>
        <v>280</v>
      </c>
    </row>
    <row r="190" customFormat="false" ht="15" hidden="false" customHeight="false" outlineLevel="0" collapsed="false">
      <c r="A190" s="39" t="s">
        <v>514</v>
      </c>
      <c r="B190" s="44" t="n">
        <v>46047</v>
      </c>
      <c r="C190" s="39" t="s">
        <v>145</v>
      </c>
      <c r="D190" s="39" t="s">
        <v>138</v>
      </c>
      <c r="E190" s="39" t="n">
        <v>20</v>
      </c>
      <c r="F190" s="39" t="str">
        <f aca="false">IF(COUNTIF(medicine_master!$A$2:$A$26,C190)&gt;0,"Valid","Invalid")</f>
        <v>Valid</v>
      </c>
      <c r="G190" s="39" t="str">
        <f aca="false">IFERROR(INDEX(medicine_master!$B$2:$B$26,MATCH($C190,medicine_master!$A$2:$A$26,0)),"Not found")</f>
        <v>Clotrimazole Cream</v>
      </c>
      <c r="H190" s="39" t="str">
        <f aca="false">IFERROR(INDEX(medicine_master!$C$2:$C$26,MATCH($C190,medicine_master!$A$2:$A$26,0)),"Not found")</f>
        <v>Dermatology</v>
      </c>
      <c r="I190" s="39" t="n">
        <f aca="false">YEAR(B190)</f>
        <v>2026</v>
      </c>
      <c r="J190" s="39" t="n">
        <f aca="false">MONTH(B190)</f>
        <v>1</v>
      </c>
      <c r="K190" s="39" t="str">
        <f aca="false">TEXT(B190,"mmm")</f>
        <v>Jan</v>
      </c>
      <c r="L190" s="45" t="n">
        <f aca="false">IFERROR(INDEX(medicine_master!$I$2:$I$26,MATCH($C190,medicine_master!$A$2:$A$26,0)),0)</f>
        <v>48</v>
      </c>
      <c r="M190" s="45" t="n">
        <f aca="false">IFERROR(INDEX(medicine_master!$G$2:$G$26,MATCH($C190,medicine_master!$A$2:$A$26,0)),0)</f>
        <v>32</v>
      </c>
      <c r="N190" s="45" t="n">
        <f aca="false">IF(D190="Sale",E190*L190,0)</f>
        <v>0</v>
      </c>
      <c r="O190" s="45" t="n">
        <f aca="false">IF(D190="Sale",E190*M190,0)</f>
        <v>0</v>
      </c>
      <c r="P190" s="45" t="n">
        <f aca="false">N190-O190</f>
        <v>0</v>
      </c>
      <c r="Q190" s="45" t="n">
        <f aca="false">IF(D190="Purchase",E190*M190,0)</f>
        <v>640</v>
      </c>
    </row>
    <row r="191" customFormat="false" ht="15" hidden="false" customHeight="false" outlineLevel="0" collapsed="false">
      <c r="A191" s="39" t="s">
        <v>515</v>
      </c>
      <c r="B191" s="44" t="n">
        <v>46089</v>
      </c>
      <c r="C191" s="39" t="s">
        <v>326</v>
      </c>
      <c r="D191" s="39" t="s">
        <v>137</v>
      </c>
      <c r="E191" s="39" t="n">
        <v>10</v>
      </c>
      <c r="F191" s="39" t="str">
        <f aca="false">IF(COUNTIF(medicine_master!$A$2:$A$26,C191)&gt;0,"Valid","Invalid")</f>
        <v>Valid</v>
      </c>
      <c r="G191" s="39" t="str">
        <f aca="false">IFERROR(INDEX(medicine_master!$B$2:$B$26,MATCH($C191,medicine_master!$A$2:$A$26,0)),"Not found")</f>
        <v>Omeprazole 20mg</v>
      </c>
      <c r="H191" s="39" t="str">
        <f aca="false">IFERROR(INDEX(medicine_master!$C$2:$C$26,MATCH($C191,medicine_master!$A$2:$A$26,0)),"Not found")</f>
        <v>Gastric</v>
      </c>
      <c r="I191" s="39" t="n">
        <f aca="false">YEAR(B191)</f>
        <v>2026</v>
      </c>
      <c r="J191" s="39" t="n">
        <f aca="false">MONTH(B191)</f>
        <v>3</v>
      </c>
      <c r="K191" s="39" t="str">
        <f aca="false">TEXT(B191,"mmm")</f>
        <v>Mar</v>
      </c>
      <c r="L191" s="45" t="n">
        <f aca="false">IFERROR(INDEX(medicine_master!$I$2:$I$26,MATCH($C191,medicine_master!$A$2:$A$26,0)),0)</f>
        <v>26</v>
      </c>
      <c r="M191" s="45" t="n">
        <f aca="false">IFERROR(INDEX(medicine_master!$G$2:$G$26,MATCH($C191,medicine_master!$A$2:$A$26,0)),0)</f>
        <v>18</v>
      </c>
      <c r="N191" s="45" t="n">
        <f aca="false">IF(D191="Sale",E191*L191,0)</f>
        <v>260</v>
      </c>
      <c r="O191" s="45" t="n">
        <f aca="false">IF(D191="Sale",E191*M191,0)</f>
        <v>180</v>
      </c>
      <c r="P191" s="45" t="n">
        <f aca="false">N191-O191</f>
        <v>80</v>
      </c>
      <c r="Q191" s="45" t="n">
        <f aca="false">IF(D191="Purchase",E191*M191,0)</f>
        <v>0</v>
      </c>
    </row>
    <row r="192" customFormat="false" ht="15" hidden="false" customHeight="false" outlineLevel="0" collapsed="false">
      <c r="A192" s="39" t="s">
        <v>516</v>
      </c>
      <c r="B192" s="44" t="n">
        <v>46133</v>
      </c>
      <c r="C192" s="39" t="s">
        <v>321</v>
      </c>
      <c r="D192" s="39" t="s">
        <v>137</v>
      </c>
      <c r="E192" s="39" t="n">
        <v>30</v>
      </c>
      <c r="F192" s="39" t="str">
        <f aca="false">IF(COUNTIF(medicine_master!$A$2:$A$26,C192)&gt;0,"Valid","Invalid")</f>
        <v>Valid</v>
      </c>
      <c r="G192" s="39" t="str">
        <f aca="false">IFERROR(INDEX(medicine_master!$B$2:$B$26,MATCH($C192,medicine_master!$A$2:$A$26,0)),"Not found")</f>
        <v>Levocetirizine 5mg</v>
      </c>
      <c r="H192" s="39" t="str">
        <f aca="false">IFERROR(INDEX(medicine_master!$C$2:$C$26,MATCH($C192,medicine_master!$A$2:$A$26,0)),"Not found")</f>
        <v>Allergy</v>
      </c>
      <c r="I192" s="39" t="n">
        <f aca="false">YEAR(B192)</f>
        <v>2026</v>
      </c>
      <c r="J192" s="39" t="n">
        <f aca="false">MONTH(B192)</f>
        <v>4</v>
      </c>
      <c r="K192" s="39" t="str">
        <f aca="false">TEXT(B192,"mmm")</f>
        <v>Apr</v>
      </c>
      <c r="L192" s="45" t="n">
        <f aca="false">IFERROR(INDEX(medicine_master!$I$2:$I$26,MATCH($C192,medicine_master!$A$2:$A$26,0)),0)</f>
        <v>22</v>
      </c>
      <c r="M192" s="45" t="n">
        <f aca="false">IFERROR(INDEX(medicine_master!$G$2:$G$26,MATCH($C192,medicine_master!$A$2:$A$26,0)),0)</f>
        <v>14</v>
      </c>
      <c r="N192" s="45" t="n">
        <f aca="false">IF(D192="Sale",E192*L192,0)</f>
        <v>660</v>
      </c>
      <c r="O192" s="45" t="n">
        <f aca="false">IF(D192="Sale",E192*M192,0)</f>
        <v>420</v>
      </c>
      <c r="P192" s="45" t="n">
        <f aca="false">N192-O192</f>
        <v>240</v>
      </c>
      <c r="Q192" s="45" t="n">
        <f aca="false">IF(D192="Purchase",E192*M192,0)</f>
        <v>0</v>
      </c>
    </row>
    <row r="193" customFormat="false" ht="15" hidden="false" customHeight="false" outlineLevel="0" collapsed="false">
      <c r="A193" s="39" t="s">
        <v>517</v>
      </c>
      <c r="B193" s="44" t="n">
        <v>46258</v>
      </c>
      <c r="C193" s="39" t="s">
        <v>404</v>
      </c>
      <c r="D193" s="39" t="s">
        <v>138</v>
      </c>
      <c r="E193" s="39" t="n">
        <v>15</v>
      </c>
      <c r="F193" s="39" t="str">
        <f aca="false">IF(COUNTIF(medicine_master!$A$2:$A$26,C193)&gt;0,"Valid","Invalid")</f>
        <v>Valid</v>
      </c>
      <c r="G193" s="39" t="str">
        <f aca="false">IFERROR(INDEX(medicine_master!$B$2:$B$26,MATCH($C193,medicine_master!$A$2:$A$26,0)),"Not found")</f>
        <v>ORS Sachet</v>
      </c>
      <c r="H193" s="39" t="str">
        <f aca="false">IFERROR(INDEX(medicine_master!$C$2:$C$26,MATCH($C193,medicine_master!$A$2:$A$26,0)),"Not found")</f>
        <v>First Aid</v>
      </c>
      <c r="I193" s="39" t="n">
        <f aca="false">YEAR(B193)</f>
        <v>2026</v>
      </c>
      <c r="J193" s="39" t="n">
        <f aca="false">MONTH(B193)</f>
        <v>8</v>
      </c>
      <c r="K193" s="39" t="str">
        <f aca="false">TEXT(B193,"mmm")</f>
        <v>Aug</v>
      </c>
      <c r="L193" s="45" t="n">
        <f aca="false">IFERROR(INDEX(medicine_master!$I$2:$I$26,MATCH($C193,medicine_master!$A$2:$A$26,0)),0)</f>
        <v>10</v>
      </c>
      <c r="M193" s="45" t="n">
        <f aca="false">IFERROR(INDEX(medicine_master!$G$2:$G$26,MATCH($C193,medicine_master!$A$2:$A$26,0)),0)</f>
        <v>6</v>
      </c>
      <c r="N193" s="45" t="n">
        <f aca="false">IF(D193="Sale",E193*L193,0)</f>
        <v>0</v>
      </c>
      <c r="O193" s="45" t="n">
        <f aca="false">IF(D193="Sale",E193*M193,0)</f>
        <v>0</v>
      </c>
      <c r="P193" s="45" t="n">
        <f aca="false">N193-O193</f>
        <v>0</v>
      </c>
      <c r="Q193" s="45" t="n">
        <f aca="false">IF(D193="Purchase",E193*M193,0)</f>
        <v>90</v>
      </c>
    </row>
    <row r="194" customFormat="false" ht="15" hidden="false" customHeight="false" outlineLevel="0" collapsed="false">
      <c r="A194" s="39" t="s">
        <v>518</v>
      </c>
      <c r="B194" s="44" t="n">
        <v>46202</v>
      </c>
      <c r="C194" s="39" t="s">
        <v>179</v>
      </c>
      <c r="D194" s="39" t="s">
        <v>138</v>
      </c>
      <c r="E194" s="39" t="n">
        <v>20</v>
      </c>
      <c r="F194" s="39" t="str">
        <f aca="false">IF(COUNTIF(medicine_master!$A$2:$A$26,C194)&gt;0,"Valid","Invalid")</f>
        <v>Valid</v>
      </c>
      <c r="G194" s="39" t="str">
        <f aca="false">IFERROR(INDEX(medicine_master!$B$2:$B$26,MATCH($C194,medicine_master!$A$2:$A$26,0)),"Not found")</f>
        <v>Ibuprofen 400mg</v>
      </c>
      <c r="H194" s="39" t="str">
        <f aca="false">IFERROR(INDEX(medicine_master!$C$2:$C$26,MATCH($C194,medicine_master!$A$2:$A$26,0)),"Not found")</f>
        <v>Pain Relief</v>
      </c>
      <c r="I194" s="39" t="n">
        <f aca="false">YEAR(B194)</f>
        <v>2026</v>
      </c>
      <c r="J194" s="39" t="n">
        <f aca="false">MONTH(B194)</f>
        <v>6</v>
      </c>
      <c r="K194" s="39" t="str">
        <f aca="false">TEXT(B194,"mmm")</f>
        <v>Jun</v>
      </c>
      <c r="L194" s="45" t="n">
        <f aca="false">IFERROR(INDEX(medicine_master!$I$2:$I$26,MATCH($C194,medicine_master!$A$2:$A$26,0)),0)</f>
        <v>30</v>
      </c>
      <c r="M194" s="45" t="n">
        <f aca="false">IFERROR(INDEX(medicine_master!$G$2:$G$26,MATCH($C194,medicine_master!$A$2:$A$26,0)),0)</f>
        <v>22</v>
      </c>
      <c r="N194" s="45" t="n">
        <f aca="false">IF(D194="Sale",E194*L194,0)</f>
        <v>0</v>
      </c>
      <c r="O194" s="45" t="n">
        <f aca="false">IF(D194="Sale",E194*M194,0)</f>
        <v>0</v>
      </c>
      <c r="P194" s="45" t="n">
        <f aca="false">N194-O194</f>
        <v>0</v>
      </c>
      <c r="Q194" s="45" t="n">
        <f aca="false">IF(D194="Purchase",E194*M194,0)</f>
        <v>440</v>
      </c>
    </row>
    <row r="195" customFormat="false" ht="15" hidden="false" customHeight="false" outlineLevel="0" collapsed="false">
      <c r="A195" s="39" t="s">
        <v>519</v>
      </c>
      <c r="B195" s="44" t="n">
        <v>46251</v>
      </c>
      <c r="C195" s="39" t="s">
        <v>178</v>
      </c>
      <c r="D195" s="39" t="s">
        <v>138</v>
      </c>
      <c r="E195" s="39" t="n">
        <v>10</v>
      </c>
      <c r="F195" s="39" t="str">
        <f aca="false">IF(COUNTIF(medicine_master!$A$2:$A$26,C195)&gt;0,"Valid","Invalid")</f>
        <v>Valid</v>
      </c>
      <c r="G195" s="39" t="str">
        <f aca="false">IFERROR(INDEX(medicine_master!$B$2:$B$26,MATCH($C195,medicine_master!$A$2:$A$26,0)),"Not found")</f>
        <v>Aspirin 75mg</v>
      </c>
      <c r="H195" s="39" t="str">
        <f aca="false">IFERROR(INDEX(medicine_master!$C$2:$C$26,MATCH($C195,medicine_master!$A$2:$A$26,0)),"Not found")</f>
        <v>Cardiac</v>
      </c>
      <c r="I195" s="39" t="n">
        <f aca="false">YEAR(B195)</f>
        <v>2026</v>
      </c>
      <c r="J195" s="39" t="n">
        <f aca="false">MONTH(B195)</f>
        <v>8</v>
      </c>
      <c r="K195" s="39" t="str">
        <f aca="false">TEXT(B195,"mmm")</f>
        <v>Aug</v>
      </c>
      <c r="L195" s="45" t="n">
        <f aca="false">IFERROR(INDEX(medicine_master!$I$2:$I$26,MATCH($C195,medicine_master!$A$2:$A$26,0)),0)</f>
        <v>15</v>
      </c>
      <c r="M195" s="45" t="n">
        <f aca="false">IFERROR(INDEX(medicine_master!$G$2:$G$26,MATCH($C195,medicine_master!$A$2:$A$26,0)),0)</f>
        <v>10</v>
      </c>
      <c r="N195" s="45" t="n">
        <f aca="false">IF(D195="Sale",E195*L195,0)</f>
        <v>0</v>
      </c>
      <c r="O195" s="45" t="n">
        <f aca="false">IF(D195="Sale",E195*M195,0)</f>
        <v>0</v>
      </c>
      <c r="P195" s="45" t="n">
        <f aca="false">N195-O195</f>
        <v>0</v>
      </c>
      <c r="Q195" s="45" t="n">
        <f aca="false">IF(D195="Purchase",E195*M195,0)</f>
        <v>100</v>
      </c>
    </row>
    <row r="196" customFormat="false" ht="15" hidden="false" customHeight="false" outlineLevel="0" collapsed="false">
      <c r="A196" s="39" t="s">
        <v>520</v>
      </c>
      <c r="B196" s="44" t="n">
        <v>46220</v>
      </c>
      <c r="C196" s="39" t="s">
        <v>158</v>
      </c>
      <c r="D196" s="39" t="s">
        <v>138</v>
      </c>
      <c r="E196" s="39" t="n">
        <v>10</v>
      </c>
      <c r="F196" s="39" t="str">
        <f aca="false">IF(COUNTIF(medicine_master!$A$2:$A$26,C196)&gt;0,"Valid","Invalid")</f>
        <v>Valid</v>
      </c>
      <c r="G196" s="39" t="str">
        <f aca="false">IFERROR(INDEX(medicine_master!$B$2:$B$26,MATCH($C196,medicine_master!$A$2:$A$26,0)),"Not found")</f>
        <v>Cough Syrup 100ml</v>
      </c>
      <c r="H196" s="39" t="str">
        <f aca="false">IFERROR(INDEX(medicine_master!$C$2:$C$26,MATCH($C196,medicine_master!$A$2:$A$26,0)),"Not found")</f>
        <v>Cold &amp; Cough</v>
      </c>
      <c r="I196" s="39" t="n">
        <f aca="false">YEAR(B196)</f>
        <v>2026</v>
      </c>
      <c r="J196" s="39" t="n">
        <f aca="false">MONTH(B196)</f>
        <v>7</v>
      </c>
      <c r="K196" s="39" t="str">
        <f aca="false">TEXT(B196,"mmm")</f>
        <v>Jul</v>
      </c>
      <c r="L196" s="45" t="n">
        <f aca="false">IFERROR(INDEX(medicine_master!$I$2:$I$26,MATCH($C196,medicine_master!$A$2:$A$26,0)),0)</f>
        <v>72</v>
      </c>
      <c r="M196" s="45" t="n">
        <f aca="false">IFERROR(INDEX(medicine_master!$G$2:$G$26,MATCH($C196,medicine_master!$A$2:$A$26,0)),0)</f>
        <v>52</v>
      </c>
      <c r="N196" s="45" t="n">
        <f aca="false">IF(D196="Sale",E196*L196,0)</f>
        <v>0</v>
      </c>
      <c r="O196" s="45" t="n">
        <f aca="false">IF(D196="Sale",E196*M196,0)</f>
        <v>0</v>
      </c>
      <c r="P196" s="45" t="n">
        <f aca="false">N196-O196</f>
        <v>0</v>
      </c>
      <c r="Q196" s="45" t="n">
        <f aca="false">IF(D196="Purchase",E196*M196,0)</f>
        <v>520</v>
      </c>
    </row>
    <row r="197" customFormat="false" ht="15" hidden="false" customHeight="false" outlineLevel="0" collapsed="false">
      <c r="A197" s="39" t="s">
        <v>521</v>
      </c>
      <c r="B197" s="44" t="n">
        <v>46353</v>
      </c>
      <c r="C197" s="39" t="s">
        <v>147</v>
      </c>
      <c r="D197" s="39" t="s">
        <v>137</v>
      </c>
      <c r="E197" s="39" t="n">
        <v>10</v>
      </c>
      <c r="F197" s="39" t="str">
        <f aca="false">IF(COUNTIF(medicine_master!$A$2:$A$26,C197)&gt;0,"Valid","Invalid")</f>
        <v>Valid</v>
      </c>
      <c r="G197" s="39" t="str">
        <f aca="false">IFERROR(INDEX(medicine_master!$B$2:$B$26,MATCH($C197,medicine_master!$A$2:$A$26,0)),"Not found")</f>
        <v>Insulin Injection</v>
      </c>
      <c r="H197" s="39" t="str">
        <f aca="false">IFERROR(INDEX(medicine_master!$C$2:$C$26,MATCH($C197,medicine_master!$A$2:$A$26,0)),"Not found")</f>
        <v>Diabetes</v>
      </c>
      <c r="I197" s="39" t="n">
        <f aca="false">YEAR(B197)</f>
        <v>2026</v>
      </c>
      <c r="J197" s="39" t="n">
        <f aca="false">MONTH(B197)</f>
        <v>11</v>
      </c>
      <c r="K197" s="39" t="str">
        <f aca="false">TEXT(B197,"mmm")</f>
        <v>Nov</v>
      </c>
      <c r="L197" s="45" t="n">
        <f aca="false">IFERROR(INDEX(medicine_master!$I$2:$I$26,MATCH($C197,medicine_master!$A$2:$A$26,0)),0)</f>
        <v>225</v>
      </c>
      <c r="M197" s="45" t="n">
        <f aca="false">IFERROR(INDEX(medicine_master!$G$2:$G$26,MATCH($C197,medicine_master!$A$2:$A$26,0)),0)</f>
        <v>165</v>
      </c>
      <c r="N197" s="45" t="n">
        <f aca="false">IF(D197="Sale",E197*L197,0)</f>
        <v>2250</v>
      </c>
      <c r="O197" s="45" t="n">
        <f aca="false">IF(D197="Sale",E197*M197,0)</f>
        <v>1650</v>
      </c>
      <c r="P197" s="45" t="n">
        <f aca="false">N197-O197</f>
        <v>600</v>
      </c>
      <c r="Q197" s="45" t="n">
        <f aca="false">IF(D197="Purchase",E197*M197,0)</f>
        <v>0</v>
      </c>
    </row>
    <row r="198" customFormat="false" ht="15" hidden="false" customHeight="false" outlineLevel="0" collapsed="false">
      <c r="A198" s="39" t="s">
        <v>522</v>
      </c>
      <c r="B198" s="44" t="n">
        <v>46265</v>
      </c>
      <c r="C198" s="39" t="s">
        <v>157</v>
      </c>
      <c r="D198" s="39" t="s">
        <v>137</v>
      </c>
      <c r="E198" s="39" t="n">
        <v>50</v>
      </c>
      <c r="F198" s="39" t="str">
        <f aca="false">IF(COUNTIF(medicine_master!$A$2:$A$26,C198)&gt;0,"Valid","Invalid")</f>
        <v>Valid</v>
      </c>
      <c r="G198" s="39" t="str">
        <f aca="false">IFERROR(INDEX(medicine_master!$B$2:$B$26,MATCH($C198,medicine_master!$A$2:$A$26,0)),"Not found")</f>
        <v>Multivitamin Tablets</v>
      </c>
      <c r="H198" s="39" t="str">
        <f aca="false">IFERROR(INDEX(medicine_master!$C$2:$C$26,MATCH($C198,medicine_master!$A$2:$A$26,0)),"Not found")</f>
        <v>Vitamin</v>
      </c>
      <c r="I198" s="39" t="n">
        <f aca="false">YEAR(B198)</f>
        <v>2026</v>
      </c>
      <c r="J198" s="39" t="n">
        <f aca="false">MONTH(B198)</f>
        <v>8</v>
      </c>
      <c r="K198" s="39" t="str">
        <f aca="false">TEXT(B198,"mmm")</f>
        <v>Aug</v>
      </c>
      <c r="L198" s="45" t="n">
        <f aca="false">IFERROR(INDEX(medicine_master!$I$2:$I$26,MATCH($C198,medicine_master!$A$2:$A$26,0)),0)</f>
        <v>105</v>
      </c>
      <c r="M198" s="45" t="n">
        <f aca="false">IFERROR(INDEX(medicine_master!$G$2:$G$26,MATCH($C198,medicine_master!$A$2:$A$26,0)),0)</f>
        <v>72</v>
      </c>
      <c r="N198" s="45" t="n">
        <f aca="false">IF(D198="Sale",E198*L198,0)</f>
        <v>5250</v>
      </c>
      <c r="O198" s="45" t="n">
        <f aca="false">IF(D198="Sale",E198*M198,0)</f>
        <v>3600</v>
      </c>
      <c r="P198" s="45" t="n">
        <f aca="false">N198-O198</f>
        <v>1650</v>
      </c>
      <c r="Q198" s="45" t="n">
        <f aca="false">IF(D198="Purchase",E198*M198,0)</f>
        <v>0</v>
      </c>
    </row>
    <row r="199" customFormat="false" ht="15" hidden="false" customHeight="false" outlineLevel="0" collapsed="false">
      <c r="A199" s="39" t="s">
        <v>523</v>
      </c>
      <c r="B199" s="44" t="n">
        <v>46028</v>
      </c>
      <c r="C199" s="39" t="s">
        <v>179</v>
      </c>
      <c r="D199" s="39" t="s">
        <v>137</v>
      </c>
      <c r="E199" s="39" t="n">
        <v>40</v>
      </c>
      <c r="F199" s="39" t="str">
        <f aca="false">IF(COUNTIF(medicine_master!$A$2:$A$26,C199)&gt;0,"Valid","Invalid")</f>
        <v>Valid</v>
      </c>
      <c r="G199" s="39" t="str">
        <f aca="false">IFERROR(INDEX(medicine_master!$B$2:$B$26,MATCH($C199,medicine_master!$A$2:$A$26,0)),"Not found")</f>
        <v>Ibuprofen 400mg</v>
      </c>
      <c r="H199" s="39" t="str">
        <f aca="false">IFERROR(INDEX(medicine_master!$C$2:$C$26,MATCH($C199,medicine_master!$A$2:$A$26,0)),"Not found")</f>
        <v>Pain Relief</v>
      </c>
      <c r="I199" s="39" t="n">
        <f aca="false">YEAR(B199)</f>
        <v>2026</v>
      </c>
      <c r="J199" s="39" t="n">
        <f aca="false">MONTH(B199)</f>
        <v>1</v>
      </c>
      <c r="K199" s="39" t="str">
        <f aca="false">TEXT(B199,"mmm")</f>
        <v>Jan</v>
      </c>
      <c r="L199" s="45" t="n">
        <f aca="false">IFERROR(INDEX(medicine_master!$I$2:$I$26,MATCH($C199,medicine_master!$A$2:$A$26,0)),0)</f>
        <v>30</v>
      </c>
      <c r="M199" s="45" t="n">
        <f aca="false">IFERROR(INDEX(medicine_master!$G$2:$G$26,MATCH($C199,medicine_master!$A$2:$A$26,0)),0)</f>
        <v>22</v>
      </c>
      <c r="N199" s="45" t="n">
        <f aca="false">IF(D199="Sale",E199*L199,0)</f>
        <v>1200</v>
      </c>
      <c r="O199" s="45" t="n">
        <f aca="false">IF(D199="Sale",E199*M199,0)</f>
        <v>880</v>
      </c>
      <c r="P199" s="45" t="n">
        <f aca="false">N199-O199</f>
        <v>320</v>
      </c>
      <c r="Q199" s="45" t="n">
        <f aca="false">IF(D199="Purchase",E199*M199,0)</f>
        <v>0</v>
      </c>
    </row>
    <row r="200" customFormat="false" ht="15" hidden="false" customHeight="false" outlineLevel="0" collapsed="false">
      <c r="A200" s="39" t="s">
        <v>524</v>
      </c>
      <c r="B200" s="44" t="n">
        <v>46357</v>
      </c>
      <c r="C200" s="39" t="s">
        <v>158</v>
      </c>
      <c r="D200" s="39" t="s">
        <v>137</v>
      </c>
      <c r="E200" s="39" t="n">
        <v>20</v>
      </c>
      <c r="F200" s="39" t="str">
        <f aca="false">IF(COUNTIF(medicine_master!$A$2:$A$26,C200)&gt;0,"Valid","Invalid")</f>
        <v>Valid</v>
      </c>
      <c r="G200" s="39" t="str">
        <f aca="false">IFERROR(INDEX(medicine_master!$B$2:$B$26,MATCH($C200,medicine_master!$A$2:$A$26,0)),"Not found")</f>
        <v>Cough Syrup 100ml</v>
      </c>
      <c r="H200" s="39" t="str">
        <f aca="false">IFERROR(INDEX(medicine_master!$C$2:$C$26,MATCH($C200,medicine_master!$A$2:$A$26,0)),"Not found")</f>
        <v>Cold &amp; Cough</v>
      </c>
      <c r="I200" s="39" t="n">
        <f aca="false">YEAR(B200)</f>
        <v>2026</v>
      </c>
      <c r="J200" s="39" t="n">
        <f aca="false">MONTH(B200)</f>
        <v>12</v>
      </c>
      <c r="K200" s="39" t="str">
        <f aca="false">TEXT(B200,"mmm")</f>
        <v>Dec</v>
      </c>
      <c r="L200" s="45" t="n">
        <f aca="false">IFERROR(INDEX(medicine_master!$I$2:$I$26,MATCH($C200,medicine_master!$A$2:$A$26,0)),0)</f>
        <v>72</v>
      </c>
      <c r="M200" s="45" t="n">
        <f aca="false">IFERROR(INDEX(medicine_master!$G$2:$G$26,MATCH($C200,medicine_master!$A$2:$A$26,0)),0)</f>
        <v>52</v>
      </c>
      <c r="N200" s="45" t="n">
        <f aca="false">IF(D200="Sale",E200*L200,0)</f>
        <v>1440</v>
      </c>
      <c r="O200" s="45" t="n">
        <f aca="false">IF(D200="Sale",E200*M200,0)</f>
        <v>1040</v>
      </c>
      <c r="P200" s="45" t="n">
        <f aca="false">N200-O200</f>
        <v>400</v>
      </c>
      <c r="Q200" s="45" t="n">
        <f aca="false">IF(D200="Purchase",E200*M200,0)</f>
        <v>0</v>
      </c>
    </row>
    <row r="201" customFormat="false" ht="15" hidden="false" customHeight="false" outlineLevel="0" collapsed="false">
      <c r="A201" s="39" t="s">
        <v>525</v>
      </c>
      <c r="B201" s="44" t="n">
        <v>46084</v>
      </c>
      <c r="C201" s="39" t="s">
        <v>178</v>
      </c>
      <c r="D201" s="39" t="s">
        <v>137</v>
      </c>
      <c r="E201" s="39" t="n">
        <v>20</v>
      </c>
      <c r="F201" s="39" t="str">
        <f aca="false">IF(COUNTIF(medicine_master!$A$2:$A$26,C201)&gt;0,"Valid","Invalid")</f>
        <v>Valid</v>
      </c>
      <c r="G201" s="39" t="str">
        <f aca="false">IFERROR(INDEX(medicine_master!$B$2:$B$26,MATCH($C201,medicine_master!$A$2:$A$26,0)),"Not found")</f>
        <v>Aspirin 75mg</v>
      </c>
      <c r="H201" s="39" t="str">
        <f aca="false">IFERROR(INDEX(medicine_master!$C$2:$C$26,MATCH($C201,medicine_master!$A$2:$A$26,0)),"Not found")</f>
        <v>Cardiac</v>
      </c>
      <c r="I201" s="39" t="n">
        <f aca="false">YEAR(B201)</f>
        <v>2026</v>
      </c>
      <c r="J201" s="39" t="n">
        <f aca="false">MONTH(B201)</f>
        <v>3</v>
      </c>
      <c r="K201" s="39" t="str">
        <f aca="false">TEXT(B201,"mmm")</f>
        <v>Mar</v>
      </c>
      <c r="L201" s="45" t="n">
        <f aca="false">IFERROR(INDEX(medicine_master!$I$2:$I$26,MATCH($C201,medicine_master!$A$2:$A$26,0)),0)</f>
        <v>15</v>
      </c>
      <c r="M201" s="45" t="n">
        <f aca="false">IFERROR(INDEX(medicine_master!$G$2:$G$26,MATCH($C201,medicine_master!$A$2:$A$26,0)),0)</f>
        <v>10</v>
      </c>
      <c r="N201" s="45" t="n">
        <f aca="false">IF(D201="Sale",E201*L201,0)</f>
        <v>300</v>
      </c>
      <c r="O201" s="45" t="n">
        <f aca="false">IF(D201="Sale",E201*M201,0)</f>
        <v>200</v>
      </c>
      <c r="P201" s="45" t="n">
        <f aca="false">N201-O201</f>
        <v>100</v>
      </c>
      <c r="Q201" s="45" t="n">
        <f aca="false">IF(D201="Purchase",E201*M201,0)</f>
        <v>0</v>
      </c>
    </row>
    <row r="202" customFormat="false" ht="15" hidden="false" customHeight="false" outlineLevel="0" collapsed="false">
      <c r="A202" s="39" t="s">
        <v>526</v>
      </c>
      <c r="B202" s="44" t="n">
        <v>46048</v>
      </c>
      <c r="C202" s="39" t="s">
        <v>404</v>
      </c>
      <c r="D202" s="39" t="s">
        <v>137</v>
      </c>
      <c r="E202" s="39" t="n">
        <v>15</v>
      </c>
      <c r="F202" s="39" t="str">
        <f aca="false">IF(COUNTIF(medicine_master!$A$2:$A$26,C202)&gt;0,"Valid","Invalid")</f>
        <v>Valid</v>
      </c>
      <c r="G202" s="39" t="str">
        <f aca="false">IFERROR(INDEX(medicine_master!$B$2:$B$26,MATCH($C202,medicine_master!$A$2:$A$26,0)),"Not found")</f>
        <v>ORS Sachet</v>
      </c>
      <c r="H202" s="39" t="str">
        <f aca="false">IFERROR(INDEX(medicine_master!$C$2:$C$26,MATCH($C202,medicine_master!$A$2:$A$26,0)),"Not found")</f>
        <v>First Aid</v>
      </c>
      <c r="I202" s="39" t="n">
        <f aca="false">YEAR(B202)</f>
        <v>2026</v>
      </c>
      <c r="J202" s="39" t="n">
        <f aca="false">MONTH(B202)</f>
        <v>1</v>
      </c>
      <c r="K202" s="39" t="str">
        <f aca="false">TEXT(B202,"mmm")</f>
        <v>Jan</v>
      </c>
      <c r="L202" s="45" t="n">
        <f aca="false">IFERROR(INDEX(medicine_master!$I$2:$I$26,MATCH($C202,medicine_master!$A$2:$A$26,0)),0)</f>
        <v>10</v>
      </c>
      <c r="M202" s="45" t="n">
        <f aca="false">IFERROR(INDEX(medicine_master!$G$2:$G$26,MATCH($C202,medicine_master!$A$2:$A$26,0)),0)</f>
        <v>6</v>
      </c>
      <c r="N202" s="45" t="n">
        <f aca="false">IF(D202="Sale",E202*L202,0)</f>
        <v>150</v>
      </c>
      <c r="O202" s="45" t="n">
        <f aca="false">IF(D202="Sale",E202*M202,0)</f>
        <v>90</v>
      </c>
      <c r="P202" s="45" t="n">
        <f aca="false">N202-O202</f>
        <v>60</v>
      </c>
      <c r="Q202" s="45" t="n">
        <f aca="false">IF(D202="Purchase",E202*M202,0)</f>
        <v>0</v>
      </c>
    </row>
    <row r="203" customFormat="false" ht="15" hidden="false" customHeight="false" outlineLevel="0" collapsed="false">
      <c r="A203" s="39" t="s">
        <v>527</v>
      </c>
      <c r="B203" s="44" t="n">
        <v>46140</v>
      </c>
      <c r="C203" s="39" t="s">
        <v>149</v>
      </c>
      <c r="D203" s="39" t="s">
        <v>137</v>
      </c>
      <c r="E203" s="39" t="n">
        <v>20</v>
      </c>
      <c r="F203" s="39" t="str">
        <f aca="false">IF(COUNTIF(medicine_master!$A$2:$A$26,C203)&gt;0,"Valid","Invalid")</f>
        <v>Valid</v>
      </c>
      <c r="G203" s="39" t="str">
        <f aca="false">IFERROR(INDEX(medicine_master!$B$2:$B$26,MATCH($C203,medicine_master!$A$2:$A$26,0)),"Not found")</f>
        <v>Azithromycin 500mg</v>
      </c>
      <c r="H203" s="39" t="str">
        <f aca="false">IFERROR(INDEX(medicine_master!$C$2:$C$26,MATCH($C203,medicine_master!$A$2:$A$26,0)),"Not found")</f>
        <v>Antibiotic</v>
      </c>
      <c r="I203" s="39" t="n">
        <f aca="false">YEAR(B203)</f>
        <v>2026</v>
      </c>
      <c r="J203" s="39" t="n">
        <f aca="false">MONTH(B203)</f>
        <v>4</v>
      </c>
      <c r="K203" s="39" t="str">
        <f aca="false">TEXT(B203,"mmm")</f>
        <v>Apr</v>
      </c>
      <c r="L203" s="45" t="n">
        <f aca="false">IFERROR(INDEX(medicine_master!$I$2:$I$26,MATCH($C203,medicine_master!$A$2:$A$26,0)),0)</f>
        <v>50</v>
      </c>
      <c r="M203" s="45" t="n">
        <f aca="false">IFERROR(INDEX(medicine_master!$G$2:$G$26,MATCH($C203,medicine_master!$A$2:$A$26,0)),0)</f>
        <v>35</v>
      </c>
      <c r="N203" s="45" t="n">
        <f aca="false">IF(D203="Sale",E203*L203,0)</f>
        <v>1000</v>
      </c>
      <c r="O203" s="45" t="n">
        <f aca="false">IF(D203="Sale",E203*M203,0)</f>
        <v>700</v>
      </c>
      <c r="P203" s="45" t="n">
        <f aca="false">N203-O203</f>
        <v>300</v>
      </c>
      <c r="Q203" s="45" t="n">
        <f aca="false">IF(D203="Purchase",E203*M203,0)</f>
        <v>0</v>
      </c>
    </row>
    <row r="204" customFormat="false" ht="15" hidden="false" customHeight="false" outlineLevel="0" collapsed="false">
      <c r="A204" s="39" t="s">
        <v>528</v>
      </c>
      <c r="B204" s="44" t="n">
        <v>46135</v>
      </c>
      <c r="C204" s="39" t="s">
        <v>144</v>
      </c>
      <c r="D204" s="39" t="s">
        <v>138</v>
      </c>
      <c r="E204" s="39" t="n">
        <v>25</v>
      </c>
      <c r="F204" s="39" t="str">
        <f aca="false">IF(COUNTIF(medicine_master!$A$2:$A$26,C204)&gt;0,"Valid","Invalid")</f>
        <v>Valid</v>
      </c>
      <c r="G204" s="39" t="str">
        <f aca="false">IFERROR(INDEX(medicine_master!$B$2:$B$26,MATCH($C204,medicine_master!$A$2:$A$26,0)),"Not found")</f>
        <v>Glimepiride 2mg</v>
      </c>
      <c r="H204" s="39" t="str">
        <f aca="false">IFERROR(INDEX(medicine_master!$C$2:$C$26,MATCH($C204,medicine_master!$A$2:$A$26,0)),"Not found")</f>
        <v>Diabetes</v>
      </c>
      <c r="I204" s="39" t="n">
        <f aca="false">YEAR(B204)</f>
        <v>2026</v>
      </c>
      <c r="J204" s="39" t="n">
        <f aca="false">MONTH(B204)</f>
        <v>4</v>
      </c>
      <c r="K204" s="39" t="str">
        <f aca="false">TEXT(B204,"mmm")</f>
        <v>Apr</v>
      </c>
      <c r="L204" s="45" t="n">
        <f aca="false">IFERROR(INDEX(medicine_master!$I$2:$I$26,MATCH($C204,medicine_master!$A$2:$A$26,0)),0)</f>
        <v>52</v>
      </c>
      <c r="M204" s="45" t="n">
        <f aca="false">IFERROR(INDEX(medicine_master!$G$2:$G$26,MATCH($C204,medicine_master!$A$2:$A$26,0)),0)</f>
        <v>38</v>
      </c>
      <c r="N204" s="45" t="n">
        <f aca="false">IF(D204="Sale",E204*L204,0)</f>
        <v>0</v>
      </c>
      <c r="O204" s="45" t="n">
        <f aca="false">IF(D204="Sale",E204*M204,0)</f>
        <v>0</v>
      </c>
      <c r="P204" s="45" t="n">
        <f aca="false">N204-O204</f>
        <v>0</v>
      </c>
      <c r="Q204" s="45" t="n">
        <f aca="false">IF(D204="Purchase",E204*M204,0)</f>
        <v>950</v>
      </c>
    </row>
    <row r="205" customFormat="false" ht="15" hidden="false" customHeight="false" outlineLevel="0" collapsed="false">
      <c r="A205" s="39" t="s">
        <v>529</v>
      </c>
      <c r="B205" s="44" t="n">
        <v>46342</v>
      </c>
      <c r="C205" s="39" t="s">
        <v>158</v>
      </c>
      <c r="D205" s="39" t="s">
        <v>137</v>
      </c>
      <c r="E205" s="39" t="n">
        <v>10</v>
      </c>
      <c r="F205" s="39" t="str">
        <f aca="false">IF(COUNTIF(medicine_master!$A$2:$A$26,C205)&gt;0,"Valid","Invalid")</f>
        <v>Valid</v>
      </c>
      <c r="G205" s="39" t="str">
        <f aca="false">IFERROR(INDEX(medicine_master!$B$2:$B$26,MATCH($C205,medicine_master!$A$2:$A$26,0)),"Not found")</f>
        <v>Cough Syrup 100ml</v>
      </c>
      <c r="H205" s="39" t="str">
        <f aca="false">IFERROR(INDEX(medicine_master!$C$2:$C$26,MATCH($C205,medicine_master!$A$2:$A$26,0)),"Not found")</f>
        <v>Cold &amp; Cough</v>
      </c>
      <c r="I205" s="39" t="n">
        <f aca="false">YEAR(B205)</f>
        <v>2026</v>
      </c>
      <c r="J205" s="39" t="n">
        <f aca="false">MONTH(B205)</f>
        <v>11</v>
      </c>
      <c r="K205" s="39" t="str">
        <f aca="false">TEXT(B205,"mmm")</f>
        <v>Nov</v>
      </c>
      <c r="L205" s="45" t="n">
        <f aca="false">IFERROR(INDEX(medicine_master!$I$2:$I$26,MATCH($C205,medicine_master!$A$2:$A$26,0)),0)</f>
        <v>72</v>
      </c>
      <c r="M205" s="45" t="n">
        <f aca="false">IFERROR(INDEX(medicine_master!$G$2:$G$26,MATCH($C205,medicine_master!$A$2:$A$26,0)),0)</f>
        <v>52</v>
      </c>
      <c r="N205" s="45" t="n">
        <f aca="false">IF(D205="Sale",E205*L205,0)</f>
        <v>720</v>
      </c>
      <c r="O205" s="45" t="n">
        <f aca="false">IF(D205="Sale",E205*M205,0)</f>
        <v>520</v>
      </c>
      <c r="P205" s="45" t="n">
        <f aca="false">N205-O205</f>
        <v>200</v>
      </c>
      <c r="Q205" s="45" t="n">
        <f aca="false">IF(D205="Purchase",E205*M205,0)</f>
        <v>0</v>
      </c>
    </row>
    <row r="206" customFormat="false" ht="15" hidden="false" customHeight="false" outlineLevel="0" collapsed="false">
      <c r="A206" s="39" t="s">
        <v>530</v>
      </c>
      <c r="B206" s="44" t="n">
        <v>46378</v>
      </c>
      <c r="C206" s="39" t="s">
        <v>167</v>
      </c>
      <c r="D206" s="39" t="s">
        <v>137</v>
      </c>
      <c r="E206" s="39" t="n">
        <v>5</v>
      </c>
      <c r="F206" s="39" t="str">
        <f aca="false">IF(COUNTIF(medicine_master!$A$2:$A$26,C206)&gt;0,"Valid","Invalid")</f>
        <v>Valid</v>
      </c>
      <c r="G206" s="39" t="str">
        <f aca="false">IFERROR(INDEX(medicine_master!$B$2:$B$26,MATCH($C206,medicine_master!$A$2:$A$26,0)),"Not found")</f>
        <v>Amlodipine 5mg</v>
      </c>
      <c r="H206" s="39" t="str">
        <f aca="false">IFERROR(INDEX(medicine_master!$C$2:$C$26,MATCH($C206,medicine_master!$A$2:$A$26,0)),"Not found")</f>
        <v>Cardiac</v>
      </c>
      <c r="I206" s="39" t="n">
        <f aca="false">YEAR(B206)</f>
        <v>2026</v>
      </c>
      <c r="J206" s="39" t="n">
        <f aca="false">MONTH(B206)</f>
        <v>12</v>
      </c>
      <c r="K206" s="39" t="str">
        <f aca="false">TEXT(B206,"mmm")</f>
        <v>Dec</v>
      </c>
      <c r="L206" s="45" t="n">
        <f aca="false">IFERROR(INDEX(medicine_master!$I$2:$I$26,MATCH($C206,medicine_master!$A$2:$A$26,0)),0)</f>
        <v>19</v>
      </c>
      <c r="M206" s="45" t="n">
        <f aca="false">IFERROR(INDEX(medicine_master!$G$2:$G$26,MATCH($C206,medicine_master!$A$2:$A$26,0)),0)</f>
        <v>13</v>
      </c>
      <c r="N206" s="45" t="n">
        <f aca="false">IF(D206="Sale",E206*L206,0)</f>
        <v>95</v>
      </c>
      <c r="O206" s="45" t="n">
        <f aca="false">IF(D206="Sale",E206*M206,0)</f>
        <v>65</v>
      </c>
      <c r="P206" s="45" t="n">
        <f aca="false">N206-O206</f>
        <v>30</v>
      </c>
      <c r="Q206" s="45" t="n">
        <f aca="false">IF(D206="Purchase",E206*M206,0)</f>
        <v>0</v>
      </c>
    </row>
    <row r="207" customFormat="false" ht="15" hidden="false" customHeight="false" outlineLevel="0" collapsed="false">
      <c r="A207" s="39" t="s">
        <v>531</v>
      </c>
      <c r="B207" s="44" t="n">
        <v>46200</v>
      </c>
      <c r="C207" s="39" t="s">
        <v>147</v>
      </c>
      <c r="D207" s="39" t="s">
        <v>138</v>
      </c>
      <c r="E207" s="39" t="n">
        <v>5</v>
      </c>
      <c r="F207" s="39" t="str">
        <f aca="false">IF(COUNTIF(medicine_master!$A$2:$A$26,C207)&gt;0,"Valid","Invalid")</f>
        <v>Valid</v>
      </c>
      <c r="G207" s="39" t="str">
        <f aca="false">IFERROR(INDEX(medicine_master!$B$2:$B$26,MATCH($C207,medicine_master!$A$2:$A$26,0)),"Not found")</f>
        <v>Insulin Injection</v>
      </c>
      <c r="H207" s="39" t="str">
        <f aca="false">IFERROR(INDEX(medicine_master!$C$2:$C$26,MATCH($C207,medicine_master!$A$2:$A$26,0)),"Not found")</f>
        <v>Diabetes</v>
      </c>
      <c r="I207" s="39" t="n">
        <f aca="false">YEAR(B207)</f>
        <v>2026</v>
      </c>
      <c r="J207" s="39" t="n">
        <f aca="false">MONTH(B207)</f>
        <v>6</v>
      </c>
      <c r="K207" s="39" t="str">
        <f aca="false">TEXT(B207,"mmm")</f>
        <v>Jun</v>
      </c>
      <c r="L207" s="45" t="n">
        <f aca="false">IFERROR(INDEX(medicine_master!$I$2:$I$26,MATCH($C207,medicine_master!$A$2:$A$26,0)),0)</f>
        <v>225</v>
      </c>
      <c r="M207" s="45" t="n">
        <f aca="false">IFERROR(INDEX(medicine_master!$G$2:$G$26,MATCH($C207,medicine_master!$A$2:$A$26,0)),0)</f>
        <v>165</v>
      </c>
      <c r="N207" s="45" t="n">
        <f aca="false">IF(D207="Sale",E207*L207,0)</f>
        <v>0</v>
      </c>
      <c r="O207" s="45" t="n">
        <f aca="false">IF(D207="Sale",E207*M207,0)</f>
        <v>0</v>
      </c>
      <c r="P207" s="45" t="n">
        <f aca="false">N207-O207</f>
        <v>0</v>
      </c>
      <c r="Q207" s="45" t="n">
        <f aca="false">IF(D207="Purchase",E207*M207,0)</f>
        <v>825</v>
      </c>
    </row>
    <row r="208" customFormat="false" ht="15" hidden="false" customHeight="false" outlineLevel="0" collapsed="false">
      <c r="A208" s="39" t="s">
        <v>532</v>
      </c>
      <c r="B208" s="44" t="n">
        <v>46194</v>
      </c>
      <c r="C208" s="39" t="s">
        <v>179</v>
      </c>
      <c r="D208" s="39" t="s">
        <v>138</v>
      </c>
      <c r="E208" s="39" t="n">
        <v>30</v>
      </c>
      <c r="F208" s="39" t="str">
        <f aca="false">IF(COUNTIF(medicine_master!$A$2:$A$26,C208)&gt;0,"Valid","Invalid")</f>
        <v>Valid</v>
      </c>
      <c r="G208" s="39" t="str">
        <f aca="false">IFERROR(INDEX(medicine_master!$B$2:$B$26,MATCH($C208,medicine_master!$A$2:$A$26,0)),"Not found")</f>
        <v>Ibuprofen 400mg</v>
      </c>
      <c r="H208" s="39" t="str">
        <f aca="false">IFERROR(INDEX(medicine_master!$C$2:$C$26,MATCH($C208,medicine_master!$A$2:$A$26,0)),"Not found")</f>
        <v>Pain Relief</v>
      </c>
      <c r="I208" s="39" t="n">
        <f aca="false">YEAR(B208)</f>
        <v>2026</v>
      </c>
      <c r="J208" s="39" t="n">
        <f aca="false">MONTH(B208)</f>
        <v>6</v>
      </c>
      <c r="K208" s="39" t="str">
        <f aca="false">TEXT(B208,"mmm")</f>
        <v>Jun</v>
      </c>
      <c r="L208" s="45" t="n">
        <f aca="false">IFERROR(INDEX(medicine_master!$I$2:$I$26,MATCH($C208,medicine_master!$A$2:$A$26,0)),0)</f>
        <v>30</v>
      </c>
      <c r="M208" s="45" t="n">
        <f aca="false">IFERROR(INDEX(medicine_master!$G$2:$G$26,MATCH($C208,medicine_master!$A$2:$A$26,0)),0)</f>
        <v>22</v>
      </c>
      <c r="N208" s="45" t="n">
        <f aca="false">IF(D208="Sale",E208*L208,0)</f>
        <v>0</v>
      </c>
      <c r="O208" s="45" t="n">
        <f aca="false">IF(D208="Sale",E208*M208,0)</f>
        <v>0</v>
      </c>
      <c r="P208" s="45" t="n">
        <f aca="false">N208-O208</f>
        <v>0</v>
      </c>
      <c r="Q208" s="45" t="n">
        <f aca="false">IF(D208="Purchase",E208*M208,0)</f>
        <v>660</v>
      </c>
    </row>
    <row r="209" customFormat="false" ht="15" hidden="false" customHeight="false" outlineLevel="0" collapsed="false">
      <c r="A209" s="39" t="s">
        <v>533</v>
      </c>
      <c r="B209" s="44" t="n">
        <v>46343</v>
      </c>
      <c r="C209" s="39" t="s">
        <v>152</v>
      </c>
      <c r="D209" s="39" t="s">
        <v>138</v>
      </c>
      <c r="E209" s="39" t="n">
        <v>10</v>
      </c>
      <c r="F209" s="39" t="str">
        <f aca="false">IF(COUNTIF(medicine_master!$A$2:$A$26,C209)&gt;0,"Valid","Invalid")</f>
        <v>Valid</v>
      </c>
      <c r="G209" s="39" t="str">
        <f aca="false">IFERROR(INDEX(medicine_master!$B$2:$B$26,MATCH($C209,medicine_master!$A$2:$A$26,0)),"Not found")</f>
        <v>Amoxicillin 500mg</v>
      </c>
      <c r="H209" s="39" t="str">
        <f aca="false">IFERROR(INDEX(medicine_master!$C$2:$C$26,MATCH($C209,medicine_master!$A$2:$A$26,0)),"Not found")</f>
        <v>Antibiotic</v>
      </c>
      <c r="I209" s="39" t="n">
        <f aca="false">YEAR(B209)</f>
        <v>2026</v>
      </c>
      <c r="J209" s="39" t="n">
        <f aca="false">MONTH(B209)</f>
        <v>11</v>
      </c>
      <c r="K209" s="39" t="str">
        <f aca="false">TEXT(B209,"mmm")</f>
        <v>Nov</v>
      </c>
      <c r="L209" s="45" t="n">
        <f aca="false">IFERROR(INDEX(medicine_master!$I$2:$I$26,MATCH($C209,medicine_master!$A$2:$A$26,0)),0)</f>
        <v>40</v>
      </c>
      <c r="M209" s="45" t="n">
        <f aca="false">IFERROR(INDEX(medicine_master!$G$2:$G$26,MATCH($C209,medicine_master!$A$2:$A$26,0)),0)</f>
        <v>28</v>
      </c>
      <c r="N209" s="45" t="n">
        <f aca="false">IF(D209="Sale",E209*L209,0)</f>
        <v>0</v>
      </c>
      <c r="O209" s="45" t="n">
        <f aca="false">IF(D209="Sale",E209*M209,0)</f>
        <v>0</v>
      </c>
      <c r="P209" s="45" t="n">
        <f aca="false">N209-O209</f>
        <v>0</v>
      </c>
      <c r="Q209" s="45" t="n">
        <f aca="false">IF(D209="Purchase",E209*M209,0)</f>
        <v>280</v>
      </c>
    </row>
    <row r="210" customFormat="false" ht="15" hidden="false" customHeight="false" outlineLevel="0" collapsed="false">
      <c r="A210" s="39" t="s">
        <v>534</v>
      </c>
      <c r="B210" s="44" t="n">
        <v>46060</v>
      </c>
      <c r="C210" s="39" t="s">
        <v>148</v>
      </c>
      <c r="D210" s="39" t="s">
        <v>137</v>
      </c>
      <c r="E210" s="39" t="n">
        <v>10</v>
      </c>
      <c r="F210" s="39" t="str">
        <f aca="false">IF(COUNTIF(medicine_master!$A$2:$A$26,C210)&gt;0,"Valid","Invalid")</f>
        <v>Valid</v>
      </c>
      <c r="G210" s="39" t="str">
        <f aca="false">IFERROR(INDEX(medicine_master!$B$2:$B$26,MATCH($C210,medicine_master!$A$2:$A$26,0)),"Not found")</f>
        <v>Dextromethorphan Syrup</v>
      </c>
      <c r="H210" s="39" t="str">
        <f aca="false">IFERROR(INDEX(medicine_master!$C$2:$C$26,MATCH($C210,medicine_master!$A$2:$A$26,0)),"Not found")</f>
        <v>Cold &amp; Cough</v>
      </c>
      <c r="I210" s="39" t="n">
        <f aca="false">YEAR(B210)</f>
        <v>2026</v>
      </c>
      <c r="J210" s="39" t="n">
        <f aca="false">MONTH(B210)</f>
        <v>2</v>
      </c>
      <c r="K210" s="39" t="str">
        <f aca="false">TEXT(B210,"mmm")</f>
        <v>Feb</v>
      </c>
      <c r="L210" s="45" t="n">
        <f aca="false">IFERROR(INDEX(medicine_master!$I$2:$I$26,MATCH($C210,medicine_master!$A$2:$A$26,0)),0)</f>
        <v>80</v>
      </c>
      <c r="M210" s="45" t="n">
        <f aca="false">IFERROR(INDEX(medicine_master!$G$2:$G$26,MATCH($C210,medicine_master!$A$2:$A$26,0)),0)</f>
        <v>58</v>
      </c>
      <c r="N210" s="45" t="n">
        <f aca="false">IF(D210="Sale",E210*L210,0)</f>
        <v>800</v>
      </c>
      <c r="O210" s="45" t="n">
        <f aca="false">IF(D210="Sale",E210*M210,0)</f>
        <v>580</v>
      </c>
      <c r="P210" s="45" t="n">
        <f aca="false">N210-O210</f>
        <v>220</v>
      </c>
      <c r="Q210" s="45" t="n">
        <f aca="false">IF(D210="Purchase",E210*M210,0)</f>
        <v>0</v>
      </c>
    </row>
    <row r="211" customFormat="false" ht="15" hidden="false" customHeight="false" outlineLevel="0" collapsed="false">
      <c r="A211" s="39" t="s">
        <v>535</v>
      </c>
      <c r="B211" s="44" t="n">
        <v>46091</v>
      </c>
      <c r="C211" s="39" t="s">
        <v>144</v>
      </c>
      <c r="D211" s="39" t="s">
        <v>137</v>
      </c>
      <c r="E211" s="39" t="n">
        <v>40</v>
      </c>
      <c r="F211" s="39" t="str">
        <f aca="false">IF(COUNTIF(medicine_master!$A$2:$A$26,C211)&gt;0,"Valid","Invalid")</f>
        <v>Valid</v>
      </c>
      <c r="G211" s="39" t="str">
        <f aca="false">IFERROR(INDEX(medicine_master!$B$2:$B$26,MATCH($C211,medicine_master!$A$2:$A$26,0)),"Not found")</f>
        <v>Glimepiride 2mg</v>
      </c>
      <c r="H211" s="39" t="str">
        <f aca="false">IFERROR(INDEX(medicine_master!$C$2:$C$26,MATCH($C211,medicine_master!$A$2:$A$26,0)),"Not found")</f>
        <v>Diabetes</v>
      </c>
      <c r="I211" s="39" t="n">
        <f aca="false">YEAR(B211)</f>
        <v>2026</v>
      </c>
      <c r="J211" s="39" t="n">
        <f aca="false">MONTH(B211)</f>
        <v>3</v>
      </c>
      <c r="K211" s="39" t="str">
        <f aca="false">TEXT(B211,"mmm")</f>
        <v>Mar</v>
      </c>
      <c r="L211" s="45" t="n">
        <f aca="false">IFERROR(INDEX(medicine_master!$I$2:$I$26,MATCH($C211,medicine_master!$A$2:$A$26,0)),0)</f>
        <v>52</v>
      </c>
      <c r="M211" s="45" t="n">
        <f aca="false">IFERROR(INDEX(medicine_master!$G$2:$G$26,MATCH($C211,medicine_master!$A$2:$A$26,0)),0)</f>
        <v>38</v>
      </c>
      <c r="N211" s="45" t="n">
        <f aca="false">IF(D211="Sale",E211*L211,0)</f>
        <v>2080</v>
      </c>
      <c r="O211" s="45" t="n">
        <f aca="false">IF(D211="Sale",E211*M211,0)</f>
        <v>1520</v>
      </c>
      <c r="P211" s="45" t="n">
        <f aca="false">N211-O211</f>
        <v>560</v>
      </c>
      <c r="Q211" s="45" t="n">
        <f aca="false">IF(D211="Purchase",E211*M211,0)</f>
        <v>0</v>
      </c>
    </row>
    <row r="212" customFormat="false" ht="15" hidden="false" customHeight="false" outlineLevel="0" collapsed="false">
      <c r="A212" s="39" t="s">
        <v>536</v>
      </c>
      <c r="B212" s="44" t="n">
        <v>46159</v>
      </c>
      <c r="C212" s="39" t="s">
        <v>179</v>
      </c>
      <c r="D212" s="39" t="s">
        <v>138</v>
      </c>
      <c r="E212" s="39" t="n">
        <v>5</v>
      </c>
      <c r="F212" s="39" t="str">
        <f aca="false">IF(COUNTIF(medicine_master!$A$2:$A$26,C212)&gt;0,"Valid","Invalid")</f>
        <v>Valid</v>
      </c>
      <c r="G212" s="39" t="str">
        <f aca="false">IFERROR(INDEX(medicine_master!$B$2:$B$26,MATCH($C212,medicine_master!$A$2:$A$26,0)),"Not found")</f>
        <v>Ibuprofen 400mg</v>
      </c>
      <c r="H212" s="39" t="str">
        <f aca="false">IFERROR(INDEX(medicine_master!$C$2:$C$26,MATCH($C212,medicine_master!$A$2:$A$26,0)),"Not found")</f>
        <v>Pain Relief</v>
      </c>
      <c r="I212" s="39" t="n">
        <f aca="false">YEAR(B212)</f>
        <v>2026</v>
      </c>
      <c r="J212" s="39" t="n">
        <f aca="false">MONTH(B212)</f>
        <v>5</v>
      </c>
      <c r="K212" s="39" t="str">
        <f aca="false">TEXT(B212,"mmm")</f>
        <v>May</v>
      </c>
      <c r="L212" s="45" t="n">
        <f aca="false">IFERROR(INDEX(medicine_master!$I$2:$I$26,MATCH($C212,medicine_master!$A$2:$A$26,0)),0)</f>
        <v>30</v>
      </c>
      <c r="M212" s="45" t="n">
        <f aca="false">IFERROR(INDEX(medicine_master!$G$2:$G$26,MATCH($C212,medicine_master!$A$2:$A$26,0)),0)</f>
        <v>22</v>
      </c>
      <c r="N212" s="45" t="n">
        <f aca="false">IF(D212="Sale",E212*L212,0)</f>
        <v>0</v>
      </c>
      <c r="O212" s="45" t="n">
        <f aca="false">IF(D212="Sale",E212*M212,0)</f>
        <v>0</v>
      </c>
      <c r="P212" s="45" t="n">
        <f aca="false">N212-O212</f>
        <v>0</v>
      </c>
      <c r="Q212" s="45" t="n">
        <f aca="false">IF(D212="Purchase",E212*M212,0)</f>
        <v>110</v>
      </c>
    </row>
    <row r="213" customFormat="false" ht="15" hidden="false" customHeight="false" outlineLevel="0" collapsed="false">
      <c r="A213" s="39" t="s">
        <v>537</v>
      </c>
      <c r="B213" s="44" t="n">
        <v>46318</v>
      </c>
      <c r="C213" s="39" t="s">
        <v>321</v>
      </c>
      <c r="D213" s="39" t="s">
        <v>138</v>
      </c>
      <c r="E213" s="39" t="n">
        <v>30</v>
      </c>
      <c r="F213" s="39" t="str">
        <f aca="false">IF(COUNTIF(medicine_master!$A$2:$A$26,C213)&gt;0,"Valid","Invalid")</f>
        <v>Valid</v>
      </c>
      <c r="G213" s="39" t="str">
        <f aca="false">IFERROR(INDEX(medicine_master!$B$2:$B$26,MATCH($C213,medicine_master!$A$2:$A$26,0)),"Not found")</f>
        <v>Levocetirizine 5mg</v>
      </c>
      <c r="H213" s="39" t="str">
        <f aca="false">IFERROR(INDEX(medicine_master!$C$2:$C$26,MATCH($C213,medicine_master!$A$2:$A$26,0)),"Not found")</f>
        <v>Allergy</v>
      </c>
      <c r="I213" s="39" t="n">
        <f aca="false">YEAR(B213)</f>
        <v>2026</v>
      </c>
      <c r="J213" s="39" t="n">
        <f aca="false">MONTH(B213)</f>
        <v>10</v>
      </c>
      <c r="K213" s="39" t="str">
        <f aca="false">TEXT(B213,"mmm")</f>
        <v>Oct</v>
      </c>
      <c r="L213" s="45" t="n">
        <f aca="false">IFERROR(INDEX(medicine_master!$I$2:$I$26,MATCH($C213,medicine_master!$A$2:$A$26,0)),0)</f>
        <v>22</v>
      </c>
      <c r="M213" s="45" t="n">
        <f aca="false">IFERROR(INDEX(medicine_master!$G$2:$G$26,MATCH($C213,medicine_master!$A$2:$A$26,0)),0)</f>
        <v>14</v>
      </c>
      <c r="N213" s="45" t="n">
        <f aca="false">IF(D213="Sale",E213*L213,0)</f>
        <v>0</v>
      </c>
      <c r="O213" s="45" t="n">
        <f aca="false">IF(D213="Sale",E213*M213,0)</f>
        <v>0</v>
      </c>
      <c r="P213" s="45" t="n">
        <f aca="false">N213-O213</f>
        <v>0</v>
      </c>
      <c r="Q213" s="45" t="n">
        <f aca="false">IF(D213="Purchase",E213*M213,0)</f>
        <v>420</v>
      </c>
    </row>
    <row r="214" customFormat="false" ht="15" hidden="false" customHeight="false" outlineLevel="0" collapsed="false">
      <c r="A214" s="39" t="s">
        <v>538</v>
      </c>
      <c r="B214" s="44" t="n">
        <v>46289</v>
      </c>
      <c r="C214" s="39" t="s">
        <v>326</v>
      </c>
      <c r="D214" s="39" t="s">
        <v>137</v>
      </c>
      <c r="E214" s="39" t="n">
        <v>30</v>
      </c>
      <c r="F214" s="39" t="str">
        <f aca="false">IF(COUNTIF(medicine_master!$A$2:$A$26,C214)&gt;0,"Valid","Invalid")</f>
        <v>Valid</v>
      </c>
      <c r="G214" s="39" t="str">
        <f aca="false">IFERROR(INDEX(medicine_master!$B$2:$B$26,MATCH($C214,medicine_master!$A$2:$A$26,0)),"Not found")</f>
        <v>Omeprazole 20mg</v>
      </c>
      <c r="H214" s="39" t="str">
        <f aca="false">IFERROR(INDEX(medicine_master!$C$2:$C$26,MATCH($C214,medicine_master!$A$2:$A$26,0)),"Not found")</f>
        <v>Gastric</v>
      </c>
      <c r="I214" s="39" t="n">
        <f aca="false">YEAR(B214)</f>
        <v>2026</v>
      </c>
      <c r="J214" s="39" t="n">
        <f aca="false">MONTH(B214)</f>
        <v>9</v>
      </c>
      <c r="K214" s="39" t="str">
        <f aca="false">TEXT(B214,"mmm")</f>
        <v>Sep</v>
      </c>
      <c r="L214" s="45" t="n">
        <f aca="false">IFERROR(INDEX(medicine_master!$I$2:$I$26,MATCH($C214,medicine_master!$A$2:$A$26,0)),0)</f>
        <v>26</v>
      </c>
      <c r="M214" s="45" t="n">
        <f aca="false">IFERROR(INDEX(medicine_master!$G$2:$G$26,MATCH($C214,medicine_master!$A$2:$A$26,0)),0)</f>
        <v>18</v>
      </c>
      <c r="N214" s="45" t="n">
        <f aca="false">IF(D214="Sale",E214*L214,0)</f>
        <v>780</v>
      </c>
      <c r="O214" s="45" t="n">
        <f aca="false">IF(D214="Sale",E214*M214,0)</f>
        <v>540</v>
      </c>
      <c r="P214" s="45" t="n">
        <f aca="false">N214-O214</f>
        <v>240</v>
      </c>
      <c r="Q214" s="45" t="n">
        <f aca="false">IF(D214="Purchase",E214*M214,0)</f>
        <v>0</v>
      </c>
    </row>
    <row r="215" customFormat="false" ht="15" hidden="false" customHeight="false" outlineLevel="0" collapsed="false">
      <c r="A215" s="39" t="s">
        <v>539</v>
      </c>
      <c r="B215" s="44" t="n">
        <v>46313</v>
      </c>
      <c r="C215" s="39" t="s">
        <v>390</v>
      </c>
      <c r="D215" s="39" t="s">
        <v>138</v>
      </c>
      <c r="E215" s="39" t="n">
        <v>15</v>
      </c>
      <c r="F215" s="39" t="str">
        <f aca="false">IF(COUNTIF(medicine_master!$A$2:$A$26,C215)&gt;0,"Valid","Invalid")</f>
        <v>Valid</v>
      </c>
      <c r="G215" s="39" t="str">
        <f aca="false">IFERROR(INDEX(medicine_master!$B$2:$B$26,MATCH($C215,medicine_master!$A$2:$A$26,0)),"Not found")</f>
        <v>Montelukast 10mg</v>
      </c>
      <c r="H215" s="39" t="str">
        <f aca="false">IFERROR(INDEX(medicine_master!$C$2:$C$26,MATCH($C215,medicine_master!$A$2:$A$26,0)),"Not found")</f>
        <v>Allergy</v>
      </c>
      <c r="I215" s="39" t="n">
        <f aca="false">YEAR(B215)</f>
        <v>2026</v>
      </c>
      <c r="J215" s="39" t="n">
        <f aca="false">MONTH(B215)</f>
        <v>10</v>
      </c>
      <c r="K215" s="39" t="str">
        <f aca="false">TEXT(B215,"mmm")</f>
        <v>Oct</v>
      </c>
      <c r="L215" s="45" t="n">
        <f aca="false">IFERROR(INDEX(medicine_master!$I$2:$I$26,MATCH($C215,medicine_master!$A$2:$A$26,0)),0)</f>
        <v>39</v>
      </c>
      <c r="M215" s="45" t="n">
        <f aca="false">IFERROR(INDEX(medicine_master!$G$2:$G$26,MATCH($C215,medicine_master!$A$2:$A$26,0)),0)</f>
        <v>27</v>
      </c>
      <c r="N215" s="45" t="n">
        <f aca="false">IF(D215="Sale",E215*L215,0)</f>
        <v>0</v>
      </c>
      <c r="O215" s="45" t="n">
        <f aca="false">IF(D215="Sale",E215*M215,0)</f>
        <v>0</v>
      </c>
      <c r="P215" s="45" t="n">
        <f aca="false">N215-O215</f>
        <v>0</v>
      </c>
      <c r="Q215" s="45" t="n">
        <f aca="false">IF(D215="Purchase",E215*M215,0)</f>
        <v>405</v>
      </c>
    </row>
    <row r="216" customFormat="false" ht="15" hidden="false" customHeight="false" outlineLevel="0" collapsed="false">
      <c r="A216" s="39" t="s">
        <v>540</v>
      </c>
      <c r="B216" s="44" t="n">
        <v>46100</v>
      </c>
      <c r="C216" s="39" t="s">
        <v>149</v>
      </c>
      <c r="D216" s="39" t="s">
        <v>138</v>
      </c>
      <c r="E216" s="39" t="n">
        <v>25</v>
      </c>
      <c r="F216" s="39" t="str">
        <f aca="false">IF(COUNTIF(medicine_master!$A$2:$A$26,C216)&gt;0,"Valid","Invalid")</f>
        <v>Valid</v>
      </c>
      <c r="G216" s="39" t="str">
        <f aca="false">IFERROR(INDEX(medicine_master!$B$2:$B$26,MATCH($C216,medicine_master!$A$2:$A$26,0)),"Not found")</f>
        <v>Azithromycin 500mg</v>
      </c>
      <c r="H216" s="39" t="str">
        <f aca="false">IFERROR(INDEX(medicine_master!$C$2:$C$26,MATCH($C216,medicine_master!$A$2:$A$26,0)),"Not found")</f>
        <v>Antibiotic</v>
      </c>
      <c r="I216" s="39" t="n">
        <f aca="false">YEAR(B216)</f>
        <v>2026</v>
      </c>
      <c r="J216" s="39" t="n">
        <f aca="false">MONTH(B216)</f>
        <v>3</v>
      </c>
      <c r="K216" s="39" t="str">
        <f aca="false">TEXT(B216,"mmm")</f>
        <v>Mar</v>
      </c>
      <c r="L216" s="45" t="n">
        <f aca="false">IFERROR(INDEX(medicine_master!$I$2:$I$26,MATCH($C216,medicine_master!$A$2:$A$26,0)),0)</f>
        <v>50</v>
      </c>
      <c r="M216" s="45" t="n">
        <f aca="false">IFERROR(INDEX(medicine_master!$G$2:$G$26,MATCH($C216,medicine_master!$A$2:$A$26,0)),0)</f>
        <v>35</v>
      </c>
      <c r="N216" s="45" t="n">
        <f aca="false">IF(D216="Sale",E216*L216,0)</f>
        <v>0</v>
      </c>
      <c r="O216" s="45" t="n">
        <f aca="false">IF(D216="Sale",E216*M216,0)</f>
        <v>0</v>
      </c>
      <c r="P216" s="45" t="n">
        <f aca="false">N216-O216</f>
        <v>0</v>
      </c>
      <c r="Q216" s="45" t="n">
        <f aca="false">IF(D216="Purchase",E216*M216,0)</f>
        <v>875</v>
      </c>
    </row>
    <row r="217" customFormat="false" ht="15" hidden="false" customHeight="false" outlineLevel="0" collapsed="false">
      <c r="A217" s="39" t="s">
        <v>541</v>
      </c>
      <c r="B217" s="44" t="n">
        <v>46318</v>
      </c>
      <c r="C217" s="39" t="s">
        <v>157</v>
      </c>
      <c r="D217" s="39" t="s">
        <v>137</v>
      </c>
      <c r="E217" s="39" t="n">
        <v>20</v>
      </c>
      <c r="F217" s="39" t="str">
        <f aca="false">IF(COUNTIF(medicine_master!$A$2:$A$26,C217)&gt;0,"Valid","Invalid")</f>
        <v>Valid</v>
      </c>
      <c r="G217" s="39" t="str">
        <f aca="false">IFERROR(INDEX(medicine_master!$B$2:$B$26,MATCH($C217,medicine_master!$A$2:$A$26,0)),"Not found")</f>
        <v>Multivitamin Tablets</v>
      </c>
      <c r="H217" s="39" t="str">
        <f aca="false">IFERROR(INDEX(medicine_master!$C$2:$C$26,MATCH($C217,medicine_master!$A$2:$A$26,0)),"Not found")</f>
        <v>Vitamin</v>
      </c>
      <c r="I217" s="39" t="n">
        <f aca="false">YEAR(B217)</f>
        <v>2026</v>
      </c>
      <c r="J217" s="39" t="n">
        <f aca="false">MONTH(B217)</f>
        <v>10</v>
      </c>
      <c r="K217" s="39" t="str">
        <f aca="false">TEXT(B217,"mmm")</f>
        <v>Oct</v>
      </c>
      <c r="L217" s="45" t="n">
        <f aca="false">IFERROR(INDEX(medicine_master!$I$2:$I$26,MATCH($C217,medicine_master!$A$2:$A$26,0)),0)</f>
        <v>105</v>
      </c>
      <c r="M217" s="45" t="n">
        <f aca="false">IFERROR(INDEX(medicine_master!$G$2:$G$26,MATCH($C217,medicine_master!$A$2:$A$26,0)),0)</f>
        <v>72</v>
      </c>
      <c r="N217" s="45" t="n">
        <f aca="false">IF(D217="Sale",E217*L217,0)</f>
        <v>2100</v>
      </c>
      <c r="O217" s="45" t="n">
        <f aca="false">IF(D217="Sale",E217*M217,0)</f>
        <v>1440</v>
      </c>
      <c r="P217" s="45" t="n">
        <f aca="false">N217-O217</f>
        <v>660</v>
      </c>
      <c r="Q217" s="45" t="n">
        <f aca="false">IF(D217="Purchase",E217*M217,0)</f>
        <v>0</v>
      </c>
    </row>
    <row r="218" customFormat="false" ht="15" hidden="false" customHeight="false" outlineLevel="0" collapsed="false">
      <c r="A218" s="39" t="s">
        <v>542</v>
      </c>
      <c r="B218" s="44" t="n">
        <v>46201</v>
      </c>
      <c r="C218" s="39" t="s">
        <v>158</v>
      </c>
      <c r="D218" s="39" t="s">
        <v>137</v>
      </c>
      <c r="E218" s="39" t="n">
        <v>20</v>
      </c>
      <c r="F218" s="39" t="str">
        <f aca="false">IF(COUNTIF(medicine_master!$A$2:$A$26,C218)&gt;0,"Valid","Invalid")</f>
        <v>Valid</v>
      </c>
      <c r="G218" s="39" t="str">
        <f aca="false">IFERROR(INDEX(medicine_master!$B$2:$B$26,MATCH($C218,medicine_master!$A$2:$A$26,0)),"Not found")</f>
        <v>Cough Syrup 100ml</v>
      </c>
      <c r="H218" s="39" t="str">
        <f aca="false">IFERROR(INDEX(medicine_master!$C$2:$C$26,MATCH($C218,medicine_master!$A$2:$A$26,0)),"Not found")</f>
        <v>Cold &amp; Cough</v>
      </c>
      <c r="I218" s="39" t="n">
        <f aca="false">YEAR(B218)</f>
        <v>2026</v>
      </c>
      <c r="J218" s="39" t="n">
        <f aca="false">MONTH(B218)</f>
        <v>6</v>
      </c>
      <c r="K218" s="39" t="str">
        <f aca="false">TEXT(B218,"mmm")</f>
        <v>Jun</v>
      </c>
      <c r="L218" s="45" t="n">
        <f aca="false">IFERROR(INDEX(medicine_master!$I$2:$I$26,MATCH($C218,medicine_master!$A$2:$A$26,0)),0)</f>
        <v>72</v>
      </c>
      <c r="M218" s="45" t="n">
        <f aca="false">IFERROR(INDEX(medicine_master!$G$2:$G$26,MATCH($C218,medicine_master!$A$2:$A$26,0)),0)</f>
        <v>52</v>
      </c>
      <c r="N218" s="45" t="n">
        <f aca="false">IF(D218="Sale",E218*L218,0)</f>
        <v>1440</v>
      </c>
      <c r="O218" s="45" t="n">
        <f aca="false">IF(D218="Sale",E218*M218,0)</f>
        <v>1040</v>
      </c>
      <c r="P218" s="45" t="n">
        <f aca="false">N218-O218</f>
        <v>400</v>
      </c>
      <c r="Q218" s="45" t="n">
        <f aca="false">IF(D218="Purchase",E218*M218,0)</f>
        <v>0</v>
      </c>
    </row>
    <row r="219" customFormat="false" ht="15" hidden="false" customHeight="false" outlineLevel="0" collapsed="false">
      <c r="A219" s="39" t="s">
        <v>543</v>
      </c>
      <c r="B219" s="44" t="n">
        <v>46175</v>
      </c>
      <c r="C219" s="39" t="s">
        <v>145</v>
      </c>
      <c r="D219" s="39" t="s">
        <v>137</v>
      </c>
      <c r="E219" s="39" t="n">
        <v>20</v>
      </c>
      <c r="F219" s="39" t="str">
        <f aca="false">IF(COUNTIF(medicine_master!$A$2:$A$26,C219)&gt;0,"Valid","Invalid")</f>
        <v>Valid</v>
      </c>
      <c r="G219" s="39" t="str">
        <f aca="false">IFERROR(INDEX(medicine_master!$B$2:$B$26,MATCH($C219,medicine_master!$A$2:$A$26,0)),"Not found")</f>
        <v>Clotrimazole Cream</v>
      </c>
      <c r="H219" s="39" t="str">
        <f aca="false">IFERROR(INDEX(medicine_master!$C$2:$C$26,MATCH($C219,medicine_master!$A$2:$A$26,0)),"Not found")</f>
        <v>Dermatology</v>
      </c>
      <c r="I219" s="39" t="n">
        <f aca="false">YEAR(B219)</f>
        <v>2026</v>
      </c>
      <c r="J219" s="39" t="n">
        <f aca="false">MONTH(B219)</f>
        <v>6</v>
      </c>
      <c r="K219" s="39" t="str">
        <f aca="false">TEXT(B219,"mmm")</f>
        <v>Jun</v>
      </c>
      <c r="L219" s="45" t="n">
        <f aca="false">IFERROR(INDEX(medicine_master!$I$2:$I$26,MATCH($C219,medicine_master!$A$2:$A$26,0)),0)</f>
        <v>48</v>
      </c>
      <c r="M219" s="45" t="n">
        <f aca="false">IFERROR(INDEX(medicine_master!$G$2:$G$26,MATCH($C219,medicine_master!$A$2:$A$26,0)),0)</f>
        <v>32</v>
      </c>
      <c r="N219" s="45" t="n">
        <f aca="false">IF(D219="Sale",E219*L219,0)</f>
        <v>960</v>
      </c>
      <c r="O219" s="45" t="n">
        <f aca="false">IF(D219="Sale",E219*M219,0)</f>
        <v>640</v>
      </c>
      <c r="P219" s="45" t="n">
        <f aca="false">N219-O219</f>
        <v>320</v>
      </c>
      <c r="Q219" s="45" t="n">
        <f aca="false">IF(D219="Purchase",E219*M219,0)</f>
        <v>0</v>
      </c>
    </row>
    <row r="220" customFormat="false" ht="15" hidden="false" customHeight="false" outlineLevel="0" collapsed="false">
      <c r="A220" s="39" t="s">
        <v>544</v>
      </c>
      <c r="B220" s="44" t="n">
        <v>46331</v>
      </c>
      <c r="C220" s="39" t="s">
        <v>157</v>
      </c>
      <c r="D220" s="39" t="s">
        <v>138</v>
      </c>
      <c r="E220" s="39" t="n">
        <v>25</v>
      </c>
      <c r="F220" s="39" t="str">
        <f aca="false">IF(COUNTIF(medicine_master!$A$2:$A$26,C220)&gt;0,"Valid","Invalid")</f>
        <v>Valid</v>
      </c>
      <c r="G220" s="39" t="str">
        <f aca="false">IFERROR(INDEX(medicine_master!$B$2:$B$26,MATCH($C220,medicine_master!$A$2:$A$26,0)),"Not found")</f>
        <v>Multivitamin Tablets</v>
      </c>
      <c r="H220" s="39" t="str">
        <f aca="false">IFERROR(INDEX(medicine_master!$C$2:$C$26,MATCH($C220,medicine_master!$A$2:$A$26,0)),"Not found")</f>
        <v>Vitamin</v>
      </c>
      <c r="I220" s="39" t="n">
        <f aca="false">YEAR(B220)</f>
        <v>2026</v>
      </c>
      <c r="J220" s="39" t="n">
        <f aca="false">MONTH(B220)</f>
        <v>11</v>
      </c>
      <c r="K220" s="39" t="str">
        <f aca="false">TEXT(B220,"mmm")</f>
        <v>Nov</v>
      </c>
      <c r="L220" s="45" t="n">
        <f aca="false">IFERROR(INDEX(medicine_master!$I$2:$I$26,MATCH($C220,medicine_master!$A$2:$A$26,0)),0)</f>
        <v>105</v>
      </c>
      <c r="M220" s="45" t="n">
        <f aca="false">IFERROR(INDEX(medicine_master!$G$2:$G$26,MATCH($C220,medicine_master!$A$2:$A$26,0)),0)</f>
        <v>72</v>
      </c>
      <c r="N220" s="45" t="n">
        <f aca="false">IF(D220="Sale",E220*L220,0)</f>
        <v>0</v>
      </c>
      <c r="O220" s="45" t="n">
        <f aca="false">IF(D220="Sale",E220*M220,0)</f>
        <v>0</v>
      </c>
      <c r="P220" s="45" t="n">
        <f aca="false">N220-O220</f>
        <v>0</v>
      </c>
      <c r="Q220" s="45" t="n">
        <f aca="false">IF(D220="Purchase",E220*M220,0)</f>
        <v>1800</v>
      </c>
    </row>
    <row r="221" customFormat="false" ht="15" hidden="false" customHeight="false" outlineLevel="0" collapsed="false">
      <c r="A221" s="39" t="s">
        <v>545</v>
      </c>
      <c r="B221" s="44" t="n">
        <v>46220</v>
      </c>
      <c r="C221" s="39" t="s">
        <v>158</v>
      </c>
      <c r="D221" s="39" t="s">
        <v>138</v>
      </c>
      <c r="E221" s="39" t="n">
        <v>30</v>
      </c>
      <c r="F221" s="39" t="str">
        <f aca="false">IF(COUNTIF(medicine_master!$A$2:$A$26,C221)&gt;0,"Valid","Invalid")</f>
        <v>Valid</v>
      </c>
      <c r="G221" s="39" t="str">
        <f aca="false">IFERROR(INDEX(medicine_master!$B$2:$B$26,MATCH($C221,medicine_master!$A$2:$A$26,0)),"Not found")</f>
        <v>Cough Syrup 100ml</v>
      </c>
      <c r="H221" s="39" t="str">
        <f aca="false">IFERROR(INDEX(medicine_master!$C$2:$C$26,MATCH($C221,medicine_master!$A$2:$A$26,0)),"Not found")</f>
        <v>Cold &amp; Cough</v>
      </c>
      <c r="I221" s="39" t="n">
        <f aca="false">YEAR(B221)</f>
        <v>2026</v>
      </c>
      <c r="J221" s="39" t="n">
        <f aca="false">MONTH(B221)</f>
        <v>7</v>
      </c>
      <c r="K221" s="39" t="str">
        <f aca="false">TEXT(B221,"mmm")</f>
        <v>Jul</v>
      </c>
      <c r="L221" s="45" t="n">
        <f aca="false">IFERROR(INDEX(medicine_master!$I$2:$I$26,MATCH($C221,medicine_master!$A$2:$A$26,0)),0)</f>
        <v>72</v>
      </c>
      <c r="M221" s="45" t="n">
        <f aca="false">IFERROR(INDEX(medicine_master!$G$2:$G$26,MATCH($C221,medicine_master!$A$2:$A$26,0)),0)</f>
        <v>52</v>
      </c>
      <c r="N221" s="45" t="n">
        <f aca="false">IF(D221="Sale",E221*L221,0)</f>
        <v>0</v>
      </c>
      <c r="O221" s="45" t="n">
        <f aca="false">IF(D221="Sale",E221*M221,0)</f>
        <v>0</v>
      </c>
      <c r="P221" s="45" t="n">
        <f aca="false">N221-O221</f>
        <v>0</v>
      </c>
      <c r="Q221" s="45" t="n">
        <f aca="false">IF(D221="Purchase",E221*M221,0)</f>
        <v>1560</v>
      </c>
    </row>
    <row r="222" customFormat="false" ht="15" hidden="false" customHeight="false" outlineLevel="0" collapsed="false">
      <c r="A222" s="39" t="s">
        <v>546</v>
      </c>
      <c r="B222" s="44" t="n">
        <v>46064</v>
      </c>
      <c r="C222" s="39" t="s">
        <v>146</v>
      </c>
      <c r="D222" s="39" t="s">
        <v>137</v>
      </c>
      <c r="E222" s="39" t="n">
        <v>25</v>
      </c>
      <c r="F222" s="39" t="str">
        <f aca="false">IF(COUNTIF(medicine_master!$A$2:$A$26,C222)&gt;0,"Valid","Invalid")</f>
        <v>Valid</v>
      </c>
      <c r="G222" s="39" t="str">
        <f aca="false">IFERROR(INDEX(medicine_master!$B$2:$B$26,MATCH($C222,medicine_master!$A$2:$A$26,0)),"Not found")</f>
        <v>Diclofenac Gel</v>
      </c>
      <c r="H222" s="39" t="str">
        <f aca="false">IFERROR(INDEX(medicine_master!$C$2:$C$26,MATCH($C222,medicine_master!$A$2:$A$26,0)),"Not found")</f>
        <v>Pain Relief</v>
      </c>
      <c r="I222" s="39" t="n">
        <f aca="false">YEAR(B222)</f>
        <v>2026</v>
      </c>
      <c r="J222" s="39" t="n">
        <f aca="false">MONTH(B222)</f>
        <v>2</v>
      </c>
      <c r="K222" s="39" t="str">
        <f aca="false">TEXT(B222,"mmm")</f>
        <v>Feb</v>
      </c>
      <c r="L222" s="45" t="n">
        <f aca="false">IFERROR(INDEX(medicine_master!$I$2:$I$26,MATCH($C222,medicine_master!$A$2:$A$26,0)),0)</f>
        <v>55</v>
      </c>
      <c r="M222" s="45" t="n">
        <f aca="false">IFERROR(INDEX(medicine_master!$G$2:$G$26,MATCH($C222,medicine_master!$A$2:$A$26,0)),0)</f>
        <v>38</v>
      </c>
      <c r="N222" s="45" t="n">
        <f aca="false">IF(D222="Sale",E222*L222,0)</f>
        <v>1375</v>
      </c>
      <c r="O222" s="45" t="n">
        <f aca="false">IF(D222="Sale",E222*M222,0)</f>
        <v>950</v>
      </c>
      <c r="P222" s="45" t="n">
        <f aca="false">N222-O222</f>
        <v>425</v>
      </c>
      <c r="Q222" s="45" t="n">
        <f aca="false">IF(D222="Purchase",E222*M222,0)</f>
        <v>0</v>
      </c>
    </row>
    <row r="223" customFormat="false" ht="15" hidden="false" customHeight="false" outlineLevel="0" collapsed="false">
      <c r="A223" s="39" t="s">
        <v>547</v>
      </c>
      <c r="B223" s="44" t="n">
        <v>46253</v>
      </c>
      <c r="C223" s="39" t="s">
        <v>149</v>
      </c>
      <c r="D223" s="39" t="s">
        <v>137</v>
      </c>
      <c r="E223" s="39" t="n">
        <v>30</v>
      </c>
      <c r="F223" s="39" t="str">
        <f aca="false">IF(COUNTIF(medicine_master!$A$2:$A$26,C223)&gt;0,"Valid","Invalid")</f>
        <v>Valid</v>
      </c>
      <c r="G223" s="39" t="str">
        <f aca="false">IFERROR(INDEX(medicine_master!$B$2:$B$26,MATCH($C223,medicine_master!$A$2:$A$26,0)),"Not found")</f>
        <v>Azithromycin 500mg</v>
      </c>
      <c r="H223" s="39" t="str">
        <f aca="false">IFERROR(INDEX(medicine_master!$C$2:$C$26,MATCH($C223,medicine_master!$A$2:$A$26,0)),"Not found")</f>
        <v>Antibiotic</v>
      </c>
      <c r="I223" s="39" t="n">
        <f aca="false">YEAR(B223)</f>
        <v>2026</v>
      </c>
      <c r="J223" s="39" t="n">
        <f aca="false">MONTH(B223)</f>
        <v>8</v>
      </c>
      <c r="K223" s="39" t="str">
        <f aca="false">TEXT(B223,"mmm")</f>
        <v>Aug</v>
      </c>
      <c r="L223" s="45" t="n">
        <f aca="false">IFERROR(INDEX(medicine_master!$I$2:$I$26,MATCH($C223,medicine_master!$A$2:$A$26,0)),0)</f>
        <v>50</v>
      </c>
      <c r="M223" s="45" t="n">
        <f aca="false">IFERROR(INDEX(medicine_master!$G$2:$G$26,MATCH($C223,medicine_master!$A$2:$A$26,0)),0)</f>
        <v>35</v>
      </c>
      <c r="N223" s="45" t="n">
        <f aca="false">IF(D223="Sale",E223*L223,0)</f>
        <v>1500</v>
      </c>
      <c r="O223" s="45" t="n">
        <f aca="false">IF(D223="Sale",E223*M223,0)</f>
        <v>1050</v>
      </c>
      <c r="P223" s="45" t="n">
        <f aca="false">N223-O223</f>
        <v>450</v>
      </c>
      <c r="Q223" s="45" t="n">
        <f aca="false">IF(D223="Purchase",E223*M223,0)</f>
        <v>0</v>
      </c>
    </row>
    <row r="224" customFormat="false" ht="15" hidden="false" customHeight="false" outlineLevel="0" collapsed="false">
      <c r="A224" s="39" t="s">
        <v>548</v>
      </c>
      <c r="B224" s="44" t="n">
        <v>46311</v>
      </c>
      <c r="C224" s="39" t="s">
        <v>149</v>
      </c>
      <c r="D224" s="39" t="s">
        <v>137</v>
      </c>
      <c r="E224" s="39" t="n">
        <v>30</v>
      </c>
      <c r="F224" s="39" t="str">
        <f aca="false">IF(COUNTIF(medicine_master!$A$2:$A$26,C224)&gt;0,"Valid","Invalid")</f>
        <v>Valid</v>
      </c>
      <c r="G224" s="39" t="str">
        <f aca="false">IFERROR(INDEX(medicine_master!$B$2:$B$26,MATCH($C224,medicine_master!$A$2:$A$26,0)),"Not found")</f>
        <v>Azithromycin 500mg</v>
      </c>
      <c r="H224" s="39" t="str">
        <f aca="false">IFERROR(INDEX(medicine_master!$C$2:$C$26,MATCH($C224,medicine_master!$A$2:$A$26,0)),"Not found")</f>
        <v>Antibiotic</v>
      </c>
      <c r="I224" s="39" t="n">
        <f aca="false">YEAR(B224)</f>
        <v>2026</v>
      </c>
      <c r="J224" s="39" t="n">
        <f aca="false">MONTH(B224)</f>
        <v>10</v>
      </c>
      <c r="K224" s="39" t="str">
        <f aca="false">TEXT(B224,"mmm")</f>
        <v>Oct</v>
      </c>
      <c r="L224" s="45" t="n">
        <f aca="false">IFERROR(INDEX(medicine_master!$I$2:$I$26,MATCH($C224,medicine_master!$A$2:$A$26,0)),0)</f>
        <v>50</v>
      </c>
      <c r="M224" s="45" t="n">
        <f aca="false">IFERROR(INDEX(medicine_master!$G$2:$G$26,MATCH($C224,medicine_master!$A$2:$A$26,0)),0)</f>
        <v>35</v>
      </c>
      <c r="N224" s="45" t="n">
        <f aca="false">IF(D224="Sale",E224*L224,0)</f>
        <v>1500</v>
      </c>
      <c r="O224" s="45" t="n">
        <f aca="false">IF(D224="Sale",E224*M224,0)</f>
        <v>1050</v>
      </c>
      <c r="P224" s="45" t="n">
        <f aca="false">N224-O224</f>
        <v>450</v>
      </c>
      <c r="Q224" s="45" t="n">
        <f aca="false">IF(D224="Purchase",E224*M224,0)</f>
        <v>0</v>
      </c>
    </row>
    <row r="225" customFormat="false" ht="15" hidden="false" customHeight="false" outlineLevel="0" collapsed="false">
      <c r="A225" s="39" t="s">
        <v>549</v>
      </c>
      <c r="B225" s="44" t="n">
        <v>46145</v>
      </c>
      <c r="C225" s="39" t="s">
        <v>150</v>
      </c>
      <c r="D225" s="39" t="s">
        <v>138</v>
      </c>
      <c r="E225" s="39" t="n">
        <v>30</v>
      </c>
      <c r="F225" s="39" t="str">
        <f aca="false">IF(COUNTIF(medicine_master!$A$2:$A$26,C225)&gt;0,"Valid","Invalid")</f>
        <v>Valid</v>
      </c>
      <c r="G225" s="39" t="str">
        <f aca="false">IFERROR(INDEX(medicine_master!$B$2:$B$26,MATCH($C225,medicine_master!$A$2:$A$26,0)),"Not found")</f>
        <v>Pantoprazole 40mg</v>
      </c>
      <c r="H225" s="39" t="str">
        <f aca="false">IFERROR(INDEX(medicine_master!$C$2:$C$26,MATCH($C225,medicine_master!$A$2:$A$26,0)),"Not found")</f>
        <v>Gastric</v>
      </c>
      <c r="I225" s="39" t="n">
        <f aca="false">YEAR(B225)</f>
        <v>2026</v>
      </c>
      <c r="J225" s="39" t="n">
        <f aca="false">MONTH(B225)</f>
        <v>5</v>
      </c>
      <c r="K225" s="39" t="str">
        <f aca="false">TEXT(B225,"mmm")</f>
        <v>May</v>
      </c>
      <c r="L225" s="45" t="n">
        <f aca="false">IFERROR(INDEX(medicine_master!$I$2:$I$26,MATCH($C225,medicine_master!$A$2:$A$26,0)),0)</f>
        <v>35</v>
      </c>
      <c r="M225" s="45" t="n">
        <f aca="false">IFERROR(INDEX(medicine_master!$G$2:$G$26,MATCH($C225,medicine_master!$A$2:$A$26,0)),0)</f>
        <v>24</v>
      </c>
      <c r="N225" s="45" t="n">
        <f aca="false">IF(D225="Sale",E225*L225,0)</f>
        <v>0</v>
      </c>
      <c r="O225" s="45" t="n">
        <f aca="false">IF(D225="Sale",E225*M225,0)</f>
        <v>0</v>
      </c>
      <c r="P225" s="45" t="n">
        <f aca="false">N225-O225</f>
        <v>0</v>
      </c>
      <c r="Q225" s="45" t="n">
        <f aca="false">IF(D225="Purchase",E225*M225,0)</f>
        <v>720</v>
      </c>
    </row>
    <row r="226" customFormat="false" ht="15" hidden="false" customHeight="false" outlineLevel="0" collapsed="false">
      <c r="A226" s="39" t="s">
        <v>550</v>
      </c>
      <c r="B226" s="44" t="n">
        <v>46181</v>
      </c>
      <c r="C226" s="39" t="s">
        <v>159</v>
      </c>
      <c r="D226" s="39" t="s">
        <v>137</v>
      </c>
      <c r="E226" s="39" t="n">
        <v>10</v>
      </c>
      <c r="F226" s="39" t="str">
        <f aca="false">IF(COUNTIF(medicine_master!$A$2:$A$26,C226)&gt;0,"Valid","Invalid")</f>
        <v>Valid</v>
      </c>
      <c r="G226" s="39" t="str">
        <f aca="false">IFERROR(INDEX(medicine_master!$B$2:$B$26,MATCH($C226,medicine_master!$A$2:$A$26,0)),"Not found")</f>
        <v>Antiseptic Liquid 100ml</v>
      </c>
      <c r="H226" s="39" t="str">
        <f aca="false">IFERROR(INDEX(medicine_master!$C$2:$C$26,MATCH($C226,medicine_master!$A$2:$A$26,0)),"Not found")</f>
        <v>First Aid</v>
      </c>
      <c r="I226" s="39" t="n">
        <f aca="false">YEAR(B226)</f>
        <v>2026</v>
      </c>
      <c r="J226" s="39" t="n">
        <f aca="false">MONTH(B226)</f>
        <v>6</v>
      </c>
      <c r="K226" s="39" t="str">
        <f aca="false">TEXT(B226,"mmm")</f>
        <v>Jun</v>
      </c>
      <c r="L226" s="45" t="n">
        <f aca="false">IFERROR(INDEX(medicine_master!$I$2:$I$26,MATCH($C226,medicine_master!$A$2:$A$26,0)),0)</f>
        <v>65</v>
      </c>
      <c r="M226" s="45" t="n">
        <f aca="false">IFERROR(INDEX(medicine_master!$G$2:$G$26,MATCH($C226,medicine_master!$A$2:$A$26,0)),0)</f>
        <v>48</v>
      </c>
      <c r="N226" s="45" t="n">
        <f aca="false">IF(D226="Sale",E226*L226,0)</f>
        <v>650</v>
      </c>
      <c r="O226" s="45" t="n">
        <f aca="false">IF(D226="Sale",E226*M226,0)</f>
        <v>480</v>
      </c>
      <c r="P226" s="45" t="n">
        <f aca="false">N226-O226</f>
        <v>170</v>
      </c>
      <c r="Q226" s="45" t="n">
        <f aca="false">IF(D226="Purchase",E226*M226,0)</f>
        <v>0</v>
      </c>
    </row>
    <row r="227" customFormat="false" ht="15" hidden="false" customHeight="false" outlineLevel="0" collapsed="false">
      <c r="A227" s="39" t="s">
        <v>551</v>
      </c>
      <c r="B227" s="44" t="n">
        <v>46206</v>
      </c>
      <c r="C227" s="39" t="s">
        <v>159</v>
      </c>
      <c r="D227" s="39" t="s">
        <v>137</v>
      </c>
      <c r="E227" s="39" t="n">
        <v>10</v>
      </c>
      <c r="F227" s="39" t="str">
        <f aca="false">IF(COUNTIF(medicine_master!$A$2:$A$26,C227)&gt;0,"Valid","Invalid")</f>
        <v>Valid</v>
      </c>
      <c r="G227" s="39" t="str">
        <f aca="false">IFERROR(INDEX(medicine_master!$B$2:$B$26,MATCH($C227,medicine_master!$A$2:$A$26,0)),"Not found")</f>
        <v>Antiseptic Liquid 100ml</v>
      </c>
      <c r="H227" s="39" t="str">
        <f aca="false">IFERROR(INDEX(medicine_master!$C$2:$C$26,MATCH($C227,medicine_master!$A$2:$A$26,0)),"Not found")</f>
        <v>First Aid</v>
      </c>
      <c r="I227" s="39" t="n">
        <f aca="false">YEAR(B227)</f>
        <v>2026</v>
      </c>
      <c r="J227" s="39" t="n">
        <f aca="false">MONTH(B227)</f>
        <v>7</v>
      </c>
      <c r="K227" s="39" t="str">
        <f aca="false">TEXT(B227,"mmm")</f>
        <v>Jul</v>
      </c>
      <c r="L227" s="45" t="n">
        <f aca="false">IFERROR(INDEX(medicine_master!$I$2:$I$26,MATCH($C227,medicine_master!$A$2:$A$26,0)),0)</f>
        <v>65</v>
      </c>
      <c r="M227" s="45" t="n">
        <f aca="false">IFERROR(INDEX(medicine_master!$G$2:$G$26,MATCH($C227,medicine_master!$A$2:$A$26,0)),0)</f>
        <v>48</v>
      </c>
      <c r="N227" s="45" t="n">
        <f aca="false">IF(D227="Sale",E227*L227,0)</f>
        <v>650</v>
      </c>
      <c r="O227" s="45" t="n">
        <f aca="false">IF(D227="Sale",E227*M227,0)</f>
        <v>480</v>
      </c>
      <c r="P227" s="45" t="n">
        <f aca="false">N227-O227</f>
        <v>170</v>
      </c>
      <c r="Q227" s="45" t="n">
        <f aca="false">IF(D227="Purchase",E227*M227,0)</f>
        <v>0</v>
      </c>
    </row>
    <row r="228" customFormat="false" ht="15" hidden="false" customHeight="false" outlineLevel="0" collapsed="false">
      <c r="A228" s="39" t="s">
        <v>552</v>
      </c>
      <c r="B228" s="44" t="n">
        <v>46069</v>
      </c>
      <c r="C228" s="39" t="s">
        <v>149</v>
      </c>
      <c r="D228" s="39" t="s">
        <v>137</v>
      </c>
      <c r="E228" s="39" t="n">
        <v>30</v>
      </c>
      <c r="F228" s="39" t="str">
        <f aca="false">IF(COUNTIF(medicine_master!$A$2:$A$26,C228)&gt;0,"Valid","Invalid")</f>
        <v>Valid</v>
      </c>
      <c r="G228" s="39" t="str">
        <f aca="false">IFERROR(INDEX(medicine_master!$B$2:$B$26,MATCH($C228,medicine_master!$A$2:$A$26,0)),"Not found")</f>
        <v>Azithromycin 500mg</v>
      </c>
      <c r="H228" s="39" t="str">
        <f aca="false">IFERROR(INDEX(medicine_master!$C$2:$C$26,MATCH($C228,medicine_master!$A$2:$A$26,0)),"Not found")</f>
        <v>Antibiotic</v>
      </c>
      <c r="I228" s="39" t="n">
        <f aca="false">YEAR(B228)</f>
        <v>2026</v>
      </c>
      <c r="J228" s="39" t="n">
        <f aca="false">MONTH(B228)</f>
        <v>2</v>
      </c>
      <c r="K228" s="39" t="str">
        <f aca="false">TEXT(B228,"mmm")</f>
        <v>Feb</v>
      </c>
      <c r="L228" s="45" t="n">
        <f aca="false">IFERROR(INDEX(medicine_master!$I$2:$I$26,MATCH($C228,medicine_master!$A$2:$A$26,0)),0)</f>
        <v>50</v>
      </c>
      <c r="M228" s="45" t="n">
        <f aca="false">IFERROR(INDEX(medicine_master!$G$2:$G$26,MATCH($C228,medicine_master!$A$2:$A$26,0)),0)</f>
        <v>35</v>
      </c>
      <c r="N228" s="45" t="n">
        <f aca="false">IF(D228="Sale",E228*L228,0)</f>
        <v>1500</v>
      </c>
      <c r="O228" s="45" t="n">
        <f aca="false">IF(D228="Sale",E228*M228,0)</f>
        <v>1050</v>
      </c>
      <c r="P228" s="45" t="n">
        <f aca="false">N228-O228</f>
        <v>450</v>
      </c>
      <c r="Q228" s="45" t="n">
        <f aca="false">IF(D228="Purchase",E228*M228,0)</f>
        <v>0</v>
      </c>
    </row>
    <row r="229" customFormat="false" ht="15" hidden="false" customHeight="false" outlineLevel="0" collapsed="false">
      <c r="A229" s="39" t="s">
        <v>553</v>
      </c>
      <c r="B229" s="44" t="n">
        <v>46117</v>
      </c>
      <c r="C229" s="39" t="s">
        <v>404</v>
      </c>
      <c r="D229" s="39" t="s">
        <v>137</v>
      </c>
      <c r="E229" s="39" t="n">
        <v>25</v>
      </c>
      <c r="F229" s="39" t="str">
        <f aca="false">IF(COUNTIF(medicine_master!$A$2:$A$26,C229)&gt;0,"Valid","Invalid")</f>
        <v>Valid</v>
      </c>
      <c r="G229" s="39" t="str">
        <f aca="false">IFERROR(INDEX(medicine_master!$B$2:$B$26,MATCH($C229,medicine_master!$A$2:$A$26,0)),"Not found")</f>
        <v>ORS Sachet</v>
      </c>
      <c r="H229" s="39" t="str">
        <f aca="false">IFERROR(INDEX(medicine_master!$C$2:$C$26,MATCH($C229,medicine_master!$A$2:$A$26,0)),"Not found")</f>
        <v>First Aid</v>
      </c>
      <c r="I229" s="39" t="n">
        <f aca="false">YEAR(B229)</f>
        <v>2026</v>
      </c>
      <c r="J229" s="39" t="n">
        <f aca="false">MONTH(B229)</f>
        <v>4</v>
      </c>
      <c r="K229" s="39" t="str">
        <f aca="false">TEXT(B229,"mmm")</f>
        <v>Apr</v>
      </c>
      <c r="L229" s="45" t="n">
        <f aca="false">IFERROR(INDEX(medicine_master!$I$2:$I$26,MATCH($C229,medicine_master!$A$2:$A$26,0)),0)</f>
        <v>10</v>
      </c>
      <c r="M229" s="45" t="n">
        <f aca="false">IFERROR(INDEX(medicine_master!$G$2:$G$26,MATCH($C229,medicine_master!$A$2:$A$26,0)),0)</f>
        <v>6</v>
      </c>
      <c r="N229" s="45" t="n">
        <f aca="false">IF(D229="Sale",E229*L229,0)</f>
        <v>250</v>
      </c>
      <c r="O229" s="45" t="n">
        <f aca="false">IF(D229="Sale",E229*M229,0)</f>
        <v>150</v>
      </c>
      <c r="P229" s="45" t="n">
        <f aca="false">N229-O229</f>
        <v>100</v>
      </c>
      <c r="Q229" s="45" t="n">
        <f aca="false">IF(D229="Purchase",E229*M229,0)</f>
        <v>0</v>
      </c>
    </row>
    <row r="230" customFormat="false" ht="15" hidden="false" customHeight="false" outlineLevel="0" collapsed="false">
      <c r="A230" s="39" t="s">
        <v>554</v>
      </c>
      <c r="B230" s="44" t="n">
        <v>46321</v>
      </c>
      <c r="C230" s="39" t="s">
        <v>152</v>
      </c>
      <c r="D230" s="39" t="s">
        <v>137</v>
      </c>
      <c r="E230" s="39" t="n">
        <v>50</v>
      </c>
      <c r="F230" s="39" t="str">
        <f aca="false">IF(COUNTIF(medicine_master!$A$2:$A$26,C230)&gt;0,"Valid","Invalid")</f>
        <v>Valid</v>
      </c>
      <c r="G230" s="39" t="str">
        <f aca="false">IFERROR(INDEX(medicine_master!$B$2:$B$26,MATCH($C230,medicine_master!$A$2:$A$26,0)),"Not found")</f>
        <v>Amoxicillin 500mg</v>
      </c>
      <c r="H230" s="39" t="str">
        <f aca="false">IFERROR(INDEX(medicine_master!$C$2:$C$26,MATCH($C230,medicine_master!$A$2:$A$26,0)),"Not found")</f>
        <v>Antibiotic</v>
      </c>
      <c r="I230" s="39" t="n">
        <f aca="false">YEAR(B230)</f>
        <v>2026</v>
      </c>
      <c r="J230" s="39" t="n">
        <f aca="false">MONTH(B230)</f>
        <v>10</v>
      </c>
      <c r="K230" s="39" t="str">
        <f aca="false">TEXT(B230,"mmm")</f>
        <v>Oct</v>
      </c>
      <c r="L230" s="45" t="n">
        <f aca="false">IFERROR(INDEX(medicine_master!$I$2:$I$26,MATCH($C230,medicine_master!$A$2:$A$26,0)),0)</f>
        <v>40</v>
      </c>
      <c r="M230" s="45" t="n">
        <f aca="false">IFERROR(INDEX(medicine_master!$G$2:$G$26,MATCH($C230,medicine_master!$A$2:$A$26,0)),0)</f>
        <v>28</v>
      </c>
      <c r="N230" s="45" t="n">
        <f aca="false">IF(D230="Sale",E230*L230,0)</f>
        <v>2000</v>
      </c>
      <c r="O230" s="45" t="n">
        <f aca="false">IF(D230="Sale",E230*M230,0)</f>
        <v>1400</v>
      </c>
      <c r="P230" s="45" t="n">
        <f aca="false">N230-O230</f>
        <v>600</v>
      </c>
      <c r="Q230" s="45" t="n">
        <f aca="false">IF(D230="Purchase",E230*M230,0)</f>
        <v>0</v>
      </c>
    </row>
    <row r="231" customFormat="false" ht="15" hidden="false" customHeight="false" outlineLevel="0" collapsed="false">
      <c r="A231" s="39" t="s">
        <v>555</v>
      </c>
      <c r="B231" s="44" t="n">
        <v>46382</v>
      </c>
      <c r="C231" s="39" t="s">
        <v>158</v>
      </c>
      <c r="D231" s="39" t="s">
        <v>138</v>
      </c>
      <c r="E231" s="39" t="n">
        <v>20</v>
      </c>
      <c r="F231" s="39" t="str">
        <f aca="false">IF(COUNTIF(medicine_master!$A$2:$A$26,C231)&gt;0,"Valid","Invalid")</f>
        <v>Valid</v>
      </c>
      <c r="G231" s="39" t="str">
        <f aca="false">IFERROR(INDEX(medicine_master!$B$2:$B$26,MATCH($C231,medicine_master!$A$2:$A$26,0)),"Not found")</f>
        <v>Cough Syrup 100ml</v>
      </c>
      <c r="H231" s="39" t="str">
        <f aca="false">IFERROR(INDEX(medicine_master!$C$2:$C$26,MATCH($C231,medicine_master!$A$2:$A$26,0)),"Not found")</f>
        <v>Cold &amp; Cough</v>
      </c>
      <c r="I231" s="39" t="n">
        <f aca="false">YEAR(B231)</f>
        <v>2026</v>
      </c>
      <c r="J231" s="39" t="n">
        <f aca="false">MONTH(B231)</f>
        <v>12</v>
      </c>
      <c r="K231" s="39" t="str">
        <f aca="false">TEXT(B231,"mmm")</f>
        <v>Dec</v>
      </c>
      <c r="L231" s="45" t="n">
        <f aca="false">IFERROR(INDEX(medicine_master!$I$2:$I$26,MATCH($C231,medicine_master!$A$2:$A$26,0)),0)</f>
        <v>72</v>
      </c>
      <c r="M231" s="45" t="n">
        <f aca="false">IFERROR(INDEX(medicine_master!$G$2:$G$26,MATCH($C231,medicine_master!$A$2:$A$26,0)),0)</f>
        <v>52</v>
      </c>
      <c r="N231" s="45" t="n">
        <f aca="false">IF(D231="Sale",E231*L231,0)</f>
        <v>0</v>
      </c>
      <c r="O231" s="45" t="n">
        <f aca="false">IF(D231="Sale",E231*M231,0)</f>
        <v>0</v>
      </c>
      <c r="P231" s="45" t="n">
        <f aca="false">N231-O231</f>
        <v>0</v>
      </c>
      <c r="Q231" s="45" t="n">
        <f aca="false">IF(D231="Purchase",E231*M231,0)</f>
        <v>1040</v>
      </c>
    </row>
    <row r="232" customFormat="false" ht="15" hidden="false" customHeight="false" outlineLevel="0" collapsed="false">
      <c r="A232" s="39" t="s">
        <v>556</v>
      </c>
      <c r="B232" s="44" t="n">
        <v>46368</v>
      </c>
      <c r="C232" s="39" t="s">
        <v>153</v>
      </c>
      <c r="D232" s="39" t="s">
        <v>137</v>
      </c>
      <c r="E232" s="39" t="n">
        <v>40</v>
      </c>
      <c r="F232" s="39" t="str">
        <f aca="false">IF(COUNTIF(medicine_master!$A$2:$A$26,C232)&gt;0,"Valid","Invalid")</f>
        <v>Valid</v>
      </c>
      <c r="G232" s="39" t="str">
        <f aca="false">IFERROR(INDEX(medicine_master!$B$2:$B$26,MATCH($C232,medicine_master!$A$2:$A$26,0)),"Not found")</f>
        <v>Atorvastatin 10mg</v>
      </c>
      <c r="H232" s="39" t="str">
        <f aca="false">IFERROR(INDEX(medicine_master!$C$2:$C$26,MATCH($C232,medicine_master!$A$2:$A$26,0)),"Not found")</f>
        <v>Cardiac</v>
      </c>
      <c r="I232" s="39" t="n">
        <f aca="false">YEAR(B232)</f>
        <v>2026</v>
      </c>
      <c r="J232" s="39" t="n">
        <f aca="false">MONTH(B232)</f>
        <v>12</v>
      </c>
      <c r="K232" s="39" t="str">
        <f aca="false">TEXT(B232,"mmm")</f>
        <v>Dec</v>
      </c>
      <c r="L232" s="45" t="n">
        <f aca="false">IFERROR(INDEX(medicine_master!$I$2:$I$26,MATCH($C232,medicine_master!$A$2:$A$26,0)),0)</f>
        <v>28</v>
      </c>
      <c r="M232" s="45" t="n">
        <f aca="false">IFERROR(INDEX(medicine_master!$G$2:$G$26,MATCH($C232,medicine_master!$A$2:$A$26,0)),0)</f>
        <v>19</v>
      </c>
      <c r="N232" s="45" t="n">
        <f aca="false">IF(D232="Sale",E232*L232,0)</f>
        <v>1120</v>
      </c>
      <c r="O232" s="45" t="n">
        <f aca="false">IF(D232="Sale",E232*M232,0)</f>
        <v>760</v>
      </c>
      <c r="P232" s="45" t="n">
        <f aca="false">N232-O232</f>
        <v>360</v>
      </c>
      <c r="Q232" s="45" t="n">
        <f aca="false">IF(D232="Purchase",E232*M232,0)</f>
        <v>0</v>
      </c>
    </row>
    <row r="233" customFormat="false" ht="15" hidden="false" customHeight="false" outlineLevel="0" collapsed="false">
      <c r="A233" s="39" t="s">
        <v>557</v>
      </c>
      <c r="B233" s="44" t="n">
        <v>46126</v>
      </c>
      <c r="C233" s="39" t="s">
        <v>160</v>
      </c>
      <c r="D233" s="39" t="s">
        <v>137</v>
      </c>
      <c r="E233" s="39" t="n">
        <v>5</v>
      </c>
      <c r="F233" s="39" t="str">
        <f aca="false">IF(COUNTIF(medicine_master!$A$2:$A$26,C233)&gt;0,"Valid","Invalid")</f>
        <v>Valid</v>
      </c>
      <c r="G233" s="39" t="str">
        <f aca="false">IFERROR(INDEX(medicine_master!$B$2:$B$26,MATCH($C233,medicine_master!$A$2:$A$26,0)),"Not found")</f>
        <v>Calamine Lotion</v>
      </c>
      <c r="H233" s="39" t="str">
        <f aca="false">IFERROR(INDEX(medicine_master!$C$2:$C$26,MATCH($C233,medicine_master!$A$2:$A$26,0)),"Not found")</f>
        <v>Dermatology</v>
      </c>
      <c r="I233" s="39" t="n">
        <f aca="false">YEAR(B233)</f>
        <v>2026</v>
      </c>
      <c r="J233" s="39" t="n">
        <f aca="false">MONTH(B233)</f>
        <v>4</v>
      </c>
      <c r="K233" s="39" t="str">
        <f aca="false">TEXT(B233,"mmm")</f>
        <v>Apr</v>
      </c>
      <c r="L233" s="45" t="n">
        <f aca="false">IFERROR(INDEX(medicine_master!$I$2:$I$26,MATCH($C233,medicine_master!$A$2:$A$26,0)),0)</f>
        <v>60</v>
      </c>
      <c r="M233" s="45" t="n">
        <f aca="false">IFERROR(INDEX(medicine_master!$G$2:$G$26,MATCH($C233,medicine_master!$A$2:$A$26,0)),0)</f>
        <v>42</v>
      </c>
      <c r="N233" s="45" t="n">
        <f aca="false">IF(D233="Sale",E233*L233,0)</f>
        <v>300</v>
      </c>
      <c r="O233" s="45" t="n">
        <f aca="false">IF(D233="Sale",E233*M233,0)</f>
        <v>210</v>
      </c>
      <c r="P233" s="45" t="n">
        <f aca="false">N233-O233</f>
        <v>90</v>
      </c>
      <c r="Q233" s="45" t="n">
        <f aca="false">IF(D233="Purchase",E233*M233,0)</f>
        <v>0</v>
      </c>
    </row>
    <row r="234" customFormat="false" ht="15" hidden="false" customHeight="false" outlineLevel="0" collapsed="false">
      <c r="A234" s="39" t="s">
        <v>558</v>
      </c>
      <c r="B234" s="44" t="n">
        <v>46338</v>
      </c>
      <c r="C234" s="39" t="s">
        <v>495</v>
      </c>
      <c r="D234" s="39" t="s">
        <v>137</v>
      </c>
      <c r="E234" s="39" t="n">
        <v>25</v>
      </c>
      <c r="F234" s="39" t="str">
        <f aca="false">IF(COUNTIF(medicine_master!$A$2:$A$26,C234)&gt;0,"Valid","Invalid")</f>
        <v>Valid</v>
      </c>
      <c r="G234" s="39" t="str">
        <f aca="false">IFERROR(INDEX(medicine_master!$B$2:$B$26,MATCH($C234,medicine_master!$A$2:$A$26,0)),"Not found")</f>
        <v>Metformin 500mg</v>
      </c>
      <c r="H234" s="39" t="str">
        <f aca="false">IFERROR(INDEX(medicine_master!$C$2:$C$26,MATCH($C234,medicine_master!$A$2:$A$26,0)),"Not found")</f>
        <v>Diabetes</v>
      </c>
      <c r="I234" s="39" t="n">
        <f aca="false">YEAR(B234)</f>
        <v>2026</v>
      </c>
      <c r="J234" s="39" t="n">
        <f aca="false">MONTH(B234)</f>
        <v>11</v>
      </c>
      <c r="K234" s="39" t="str">
        <f aca="false">TEXT(B234,"mmm")</f>
        <v>Nov</v>
      </c>
      <c r="L234" s="45" t="n">
        <f aca="false">IFERROR(INDEX(medicine_master!$I$2:$I$26,MATCH($C234,medicine_master!$A$2:$A$26,0)),0)</f>
        <v>24</v>
      </c>
      <c r="M234" s="45" t="n">
        <f aca="false">IFERROR(INDEX(medicine_master!$G$2:$G$26,MATCH($C234,medicine_master!$A$2:$A$26,0)),0)</f>
        <v>16</v>
      </c>
      <c r="N234" s="45" t="n">
        <f aca="false">IF(D234="Sale",E234*L234,0)</f>
        <v>600</v>
      </c>
      <c r="O234" s="45" t="n">
        <f aca="false">IF(D234="Sale",E234*M234,0)</f>
        <v>400</v>
      </c>
      <c r="P234" s="45" t="n">
        <f aca="false">N234-O234</f>
        <v>200</v>
      </c>
      <c r="Q234" s="45" t="n">
        <f aca="false">IF(D234="Purchase",E234*M234,0)</f>
        <v>0</v>
      </c>
    </row>
    <row r="235" customFormat="false" ht="15" hidden="false" customHeight="false" outlineLevel="0" collapsed="false">
      <c r="A235" s="39" t="s">
        <v>559</v>
      </c>
      <c r="B235" s="44" t="n">
        <v>46346</v>
      </c>
      <c r="C235" s="39" t="s">
        <v>152</v>
      </c>
      <c r="D235" s="39" t="s">
        <v>137</v>
      </c>
      <c r="E235" s="39" t="n">
        <v>30</v>
      </c>
      <c r="F235" s="39" t="str">
        <f aca="false">IF(COUNTIF(medicine_master!$A$2:$A$26,C235)&gt;0,"Valid","Invalid")</f>
        <v>Valid</v>
      </c>
      <c r="G235" s="39" t="str">
        <f aca="false">IFERROR(INDEX(medicine_master!$B$2:$B$26,MATCH($C235,medicine_master!$A$2:$A$26,0)),"Not found")</f>
        <v>Amoxicillin 500mg</v>
      </c>
      <c r="H235" s="39" t="str">
        <f aca="false">IFERROR(INDEX(medicine_master!$C$2:$C$26,MATCH($C235,medicine_master!$A$2:$A$26,0)),"Not found")</f>
        <v>Antibiotic</v>
      </c>
      <c r="I235" s="39" t="n">
        <f aca="false">YEAR(B235)</f>
        <v>2026</v>
      </c>
      <c r="J235" s="39" t="n">
        <f aca="false">MONTH(B235)</f>
        <v>11</v>
      </c>
      <c r="K235" s="39" t="str">
        <f aca="false">TEXT(B235,"mmm")</f>
        <v>Nov</v>
      </c>
      <c r="L235" s="45" t="n">
        <f aca="false">IFERROR(INDEX(medicine_master!$I$2:$I$26,MATCH($C235,medicine_master!$A$2:$A$26,0)),0)</f>
        <v>40</v>
      </c>
      <c r="M235" s="45" t="n">
        <f aca="false">IFERROR(INDEX(medicine_master!$G$2:$G$26,MATCH($C235,medicine_master!$A$2:$A$26,0)),0)</f>
        <v>28</v>
      </c>
      <c r="N235" s="45" t="n">
        <f aca="false">IF(D235="Sale",E235*L235,0)</f>
        <v>1200</v>
      </c>
      <c r="O235" s="45" t="n">
        <f aca="false">IF(D235="Sale",E235*M235,0)</f>
        <v>840</v>
      </c>
      <c r="P235" s="45" t="n">
        <f aca="false">N235-O235</f>
        <v>360</v>
      </c>
      <c r="Q235" s="45" t="n">
        <f aca="false">IF(D235="Purchase",E235*M235,0)</f>
        <v>0</v>
      </c>
    </row>
    <row r="236" customFormat="false" ht="15" hidden="false" customHeight="false" outlineLevel="0" collapsed="false">
      <c r="A236" s="39" t="s">
        <v>560</v>
      </c>
      <c r="B236" s="44" t="n">
        <v>46128</v>
      </c>
      <c r="C236" s="39" t="s">
        <v>145</v>
      </c>
      <c r="D236" s="39" t="s">
        <v>137</v>
      </c>
      <c r="E236" s="39" t="n">
        <v>25</v>
      </c>
      <c r="F236" s="39" t="str">
        <f aca="false">IF(COUNTIF(medicine_master!$A$2:$A$26,C236)&gt;0,"Valid","Invalid")</f>
        <v>Valid</v>
      </c>
      <c r="G236" s="39" t="str">
        <f aca="false">IFERROR(INDEX(medicine_master!$B$2:$B$26,MATCH($C236,medicine_master!$A$2:$A$26,0)),"Not found")</f>
        <v>Clotrimazole Cream</v>
      </c>
      <c r="H236" s="39" t="str">
        <f aca="false">IFERROR(INDEX(medicine_master!$C$2:$C$26,MATCH($C236,medicine_master!$A$2:$A$26,0)),"Not found")</f>
        <v>Dermatology</v>
      </c>
      <c r="I236" s="39" t="n">
        <f aca="false">YEAR(B236)</f>
        <v>2026</v>
      </c>
      <c r="J236" s="39" t="n">
        <f aca="false">MONTH(B236)</f>
        <v>4</v>
      </c>
      <c r="K236" s="39" t="str">
        <f aca="false">TEXT(B236,"mmm")</f>
        <v>Apr</v>
      </c>
      <c r="L236" s="45" t="n">
        <f aca="false">IFERROR(INDEX(medicine_master!$I$2:$I$26,MATCH($C236,medicine_master!$A$2:$A$26,0)),0)</f>
        <v>48</v>
      </c>
      <c r="M236" s="45" t="n">
        <f aca="false">IFERROR(INDEX(medicine_master!$G$2:$G$26,MATCH($C236,medicine_master!$A$2:$A$26,0)),0)</f>
        <v>32</v>
      </c>
      <c r="N236" s="45" t="n">
        <f aca="false">IF(D236="Sale",E236*L236,0)</f>
        <v>1200</v>
      </c>
      <c r="O236" s="45" t="n">
        <f aca="false">IF(D236="Sale",E236*M236,0)</f>
        <v>800</v>
      </c>
      <c r="P236" s="45" t="n">
        <f aca="false">N236-O236</f>
        <v>400</v>
      </c>
      <c r="Q236" s="45" t="n">
        <f aca="false">IF(D236="Purchase",E236*M236,0)</f>
        <v>0</v>
      </c>
    </row>
    <row r="237" customFormat="false" ht="15" hidden="false" customHeight="false" outlineLevel="0" collapsed="false">
      <c r="A237" s="39" t="s">
        <v>561</v>
      </c>
      <c r="B237" s="44" t="n">
        <v>46073</v>
      </c>
      <c r="C237" s="39" t="s">
        <v>153</v>
      </c>
      <c r="D237" s="39" t="s">
        <v>137</v>
      </c>
      <c r="E237" s="39" t="n">
        <v>40</v>
      </c>
      <c r="F237" s="39" t="str">
        <f aca="false">IF(COUNTIF(medicine_master!$A$2:$A$26,C237)&gt;0,"Valid","Invalid")</f>
        <v>Valid</v>
      </c>
      <c r="G237" s="39" t="str">
        <f aca="false">IFERROR(INDEX(medicine_master!$B$2:$B$26,MATCH($C237,medicine_master!$A$2:$A$26,0)),"Not found")</f>
        <v>Atorvastatin 10mg</v>
      </c>
      <c r="H237" s="39" t="str">
        <f aca="false">IFERROR(INDEX(medicine_master!$C$2:$C$26,MATCH($C237,medicine_master!$A$2:$A$26,0)),"Not found")</f>
        <v>Cardiac</v>
      </c>
      <c r="I237" s="39" t="n">
        <f aca="false">YEAR(B237)</f>
        <v>2026</v>
      </c>
      <c r="J237" s="39" t="n">
        <f aca="false">MONTH(B237)</f>
        <v>2</v>
      </c>
      <c r="K237" s="39" t="str">
        <f aca="false">TEXT(B237,"mmm")</f>
        <v>Feb</v>
      </c>
      <c r="L237" s="45" t="n">
        <f aca="false">IFERROR(INDEX(medicine_master!$I$2:$I$26,MATCH($C237,medicine_master!$A$2:$A$26,0)),0)</f>
        <v>28</v>
      </c>
      <c r="M237" s="45" t="n">
        <f aca="false">IFERROR(INDEX(medicine_master!$G$2:$G$26,MATCH($C237,medicine_master!$A$2:$A$26,0)),0)</f>
        <v>19</v>
      </c>
      <c r="N237" s="45" t="n">
        <f aca="false">IF(D237="Sale",E237*L237,0)</f>
        <v>1120</v>
      </c>
      <c r="O237" s="45" t="n">
        <f aca="false">IF(D237="Sale",E237*M237,0)</f>
        <v>760</v>
      </c>
      <c r="P237" s="45" t="n">
        <f aca="false">N237-O237</f>
        <v>360</v>
      </c>
      <c r="Q237" s="45" t="n">
        <f aca="false">IF(D237="Purchase",E237*M237,0)</f>
        <v>0</v>
      </c>
    </row>
    <row r="238" customFormat="false" ht="15" hidden="false" customHeight="false" outlineLevel="0" collapsed="false">
      <c r="A238" s="39" t="s">
        <v>562</v>
      </c>
      <c r="B238" s="44" t="n">
        <v>46279</v>
      </c>
      <c r="C238" s="39" t="s">
        <v>153</v>
      </c>
      <c r="D238" s="39" t="s">
        <v>138</v>
      </c>
      <c r="E238" s="39" t="n">
        <v>10</v>
      </c>
      <c r="F238" s="39" t="str">
        <f aca="false">IF(COUNTIF(medicine_master!$A$2:$A$26,C238)&gt;0,"Valid","Invalid")</f>
        <v>Valid</v>
      </c>
      <c r="G238" s="39" t="str">
        <f aca="false">IFERROR(INDEX(medicine_master!$B$2:$B$26,MATCH($C238,medicine_master!$A$2:$A$26,0)),"Not found")</f>
        <v>Atorvastatin 10mg</v>
      </c>
      <c r="H238" s="39" t="str">
        <f aca="false">IFERROR(INDEX(medicine_master!$C$2:$C$26,MATCH($C238,medicine_master!$A$2:$A$26,0)),"Not found")</f>
        <v>Cardiac</v>
      </c>
      <c r="I238" s="39" t="n">
        <f aca="false">YEAR(B238)</f>
        <v>2026</v>
      </c>
      <c r="J238" s="39" t="n">
        <f aca="false">MONTH(B238)</f>
        <v>9</v>
      </c>
      <c r="K238" s="39" t="str">
        <f aca="false">TEXT(B238,"mmm")</f>
        <v>Sep</v>
      </c>
      <c r="L238" s="45" t="n">
        <f aca="false">IFERROR(INDEX(medicine_master!$I$2:$I$26,MATCH($C238,medicine_master!$A$2:$A$26,0)),0)</f>
        <v>28</v>
      </c>
      <c r="M238" s="45" t="n">
        <f aca="false">IFERROR(INDEX(medicine_master!$G$2:$G$26,MATCH($C238,medicine_master!$A$2:$A$26,0)),0)</f>
        <v>19</v>
      </c>
      <c r="N238" s="45" t="n">
        <f aca="false">IF(D238="Sale",E238*L238,0)</f>
        <v>0</v>
      </c>
      <c r="O238" s="45" t="n">
        <f aca="false">IF(D238="Sale",E238*M238,0)</f>
        <v>0</v>
      </c>
      <c r="P238" s="45" t="n">
        <f aca="false">N238-O238</f>
        <v>0</v>
      </c>
      <c r="Q238" s="45" t="n">
        <f aca="false">IF(D238="Purchase",E238*M238,0)</f>
        <v>190</v>
      </c>
    </row>
    <row r="239" customFormat="false" ht="15" hidden="false" customHeight="false" outlineLevel="0" collapsed="false">
      <c r="A239" s="39" t="s">
        <v>563</v>
      </c>
      <c r="B239" s="44" t="n">
        <v>46204</v>
      </c>
      <c r="C239" s="39" t="s">
        <v>148</v>
      </c>
      <c r="D239" s="39" t="s">
        <v>137</v>
      </c>
      <c r="E239" s="39" t="n">
        <v>40</v>
      </c>
      <c r="F239" s="39" t="str">
        <f aca="false">IF(COUNTIF(medicine_master!$A$2:$A$26,C239)&gt;0,"Valid","Invalid")</f>
        <v>Valid</v>
      </c>
      <c r="G239" s="39" t="str">
        <f aca="false">IFERROR(INDEX(medicine_master!$B$2:$B$26,MATCH($C239,medicine_master!$A$2:$A$26,0)),"Not found")</f>
        <v>Dextromethorphan Syrup</v>
      </c>
      <c r="H239" s="39" t="str">
        <f aca="false">IFERROR(INDEX(medicine_master!$C$2:$C$26,MATCH($C239,medicine_master!$A$2:$A$26,0)),"Not found")</f>
        <v>Cold &amp; Cough</v>
      </c>
      <c r="I239" s="39" t="n">
        <f aca="false">YEAR(B239)</f>
        <v>2026</v>
      </c>
      <c r="J239" s="39" t="n">
        <f aca="false">MONTH(B239)</f>
        <v>7</v>
      </c>
      <c r="K239" s="39" t="str">
        <f aca="false">TEXT(B239,"mmm")</f>
        <v>Jul</v>
      </c>
      <c r="L239" s="45" t="n">
        <f aca="false">IFERROR(INDEX(medicine_master!$I$2:$I$26,MATCH($C239,medicine_master!$A$2:$A$26,0)),0)</f>
        <v>80</v>
      </c>
      <c r="M239" s="45" t="n">
        <f aca="false">IFERROR(INDEX(medicine_master!$G$2:$G$26,MATCH($C239,medicine_master!$A$2:$A$26,0)),0)</f>
        <v>58</v>
      </c>
      <c r="N239" s="45" t="n">
        <f aca="false">IF(D239="Sale",E239*L239,0)</f>
        <v>3200</v>
      </c>
      <c r="O239" s="45" t="n">
        <f aca="false">IF(D239="Sale",E239*M239,0)</f>
        <v>2320</v>
      </c>
      <c r="P239" s="45" t="n">
        <f aca="false">N239-O239</f>
        <v>880</v>
      </c>
      <c r="Q239" s="45" t="n">
        <f aca="false">IF(D239="Purchase",E239*M239,0)</f>
        <v>0</v>
      </c>
    </row>
    <row r="240" customFormat="false" ht="15" hidden="false" customHeight="false" outlineLevel="0" collapsed="false">
      <c r="A240" s="39" t="s">
        <v>564</v>
      </c>
      <c r="B240" s="44" t="n">
        <v>46077</v>
      </c>
      <c r="C240" s="39" t="s">
        <v>404</v>
      </c>
      <c r="D240" s="39" t="s">
        <v>137</v>
      </c>
      <c r="E240" s="39" t="n">
        <v>20</v>
      </c>
      <c r="F240" s="39" t="str">
        <f aca="false">IF(COUNTIF(medicine_master!$A$2:$A$26,C240)&gt;0,"Valid","Invalid")</f>
        <v>Valid</v>
      </c>
      <c r="G240" s="39" t="str">
        <f aca="false">IFERROR(INDEX(medicine_master!$B$2:$B$26,MATCH($C240,medicine_master!$A$2:$A$26,0)),"Not found")</f>
        <v>ORS Sachet</v>
      </c>
      <c r="H240" s="39" t="str">
        <f aca="false">IFERROR(INDEX(medicine_master!$C$2:$C$26,MATCH($C240,medicine_master!$A$2:$A$26,0)),"Not found")</f>
        <v>First Aid</v>
      </c>
      <c r="I240" s="39" t="n">
        <f aca="false">YEAR(B240)</f>
        <v>2026</v>
      </c>
      <c r="J240" s="39" t="n">
        <f aca="false">MONTH(B240)</f>
        <v>2</v>
      </c>
      <c r="K240" s="39" t="str">
        <f aca="false">TEXT(B240,"mmm")</f>
        <v>Feb</v>
      </c>
      <c r="L240" s="45" t="n">
        <f aca="false">IFERROR(INDEX(medicine_master!$I$2:$I$26,MATCH($C240,medicine_master!$A$2:$A$26,0)),0)</f>
        <v>10</v>
      </c>
      <c r="M240" s="45" t="n">
        <f aca="false">IFERROR(INDEX(medicine_master!$G$2:$G$26,MATCH($C240,medicine_master!$A$2:$A$26,0)),0)</f>
        <v>6</v>
      </c>
      <c r="N240" s="45" t="n">
        <f aca="false">IF(D240="Sale",E240*L240,0)</f>
        <v>200</v>
      </c>
      <c r="O240" s="45" t="n">
        <f aca="false">IF(D240="Sale",E240*M240,0)</f>
        <v>120</v>
      </c>
      <c r="P240" s="45" t="n">
        <f aca="false">N240-O240</f>
        <v>80</v>
      </c>
      <c r="Q240" s="45" t="n">
        <f aca="false">IF(D240="Purchase",E240*M240,0)</f>
        <v>0</v>
      </c>
    </row>
    <row r="241" customFormat="false" ht="15" hidden="false" customHeight="false" outlineLevel="0" collapsed="false">
      <c r="A241" s="39" t="s">
        <v>565</v>
      </c>
      <c r="B241" s="44" t="n">
        <v>46331</v>
      </c>
      <c r="C241" s="39" t="s">
        <v>326</v>
      </c>
      <c r="D241" s="39" t="s">
        <v>138</v>
      </c>
      <c r="E241" s="39" t="n">
        <v>30</v>
      </c>
      <c r="F241" s="39" t="str">
        <f aca="false">IF(COUNTIF(medicine_master!$A$2:$A$26,C241)&gt;0,"Valid","Invalid")</f>
        <v>Valid</v>
      </c>
      <c r="G241" s="39" t="str">
        <f aca="false">IFERROR(INDEX(medicine_master!$B$2:$B$26,MATCH($C241,medicine_master!$A$2:$A$26,0)),"Not found")</f>
        <v>Omeprazole 20mg</v>
      </c>
      <c r="H241" s="39" t="str">
        <f aca="false">IFERROR(INDEX(medicine_master!$C$2:$C$26,MATCH($C241,medicine_master!$A$2:$A$26,0)),"Not found")</f>
        <v>Gastric</v>
      </c>
      <c r="I241" s="39" t="n">
        <f aca="false">YEAR(B241)</f>
        <v>2026</v>
      </c>
      <c r="J241" s="39" t="n">
        <f aca="false">MONTH(B241)</f>
        <v>11</v>
      </c>
      <c r="K241" s="39" t="str">
        <f aca="false">TEXT(B241,"mmm")</f>
        <v>Nov</v>
      </c>
      <c r="L241" s="45" t="n">
        <f aca="false">IFERROR(INDEX(medicine_master!$I$2:$I$26,MATCH($C241,medicine_master!$A$2:$A$26,0)),0)</f>
        <v>26</v>
      </c>
      <c r="M241" s="45" t="n">
        <f aca="false">IFERROR(INDEX(medicine_master!$G$2:$G$26,MATCH($C241,medicine_master!$A$2:$A$26,0)),0)</f>
        <v>18</v>
      </c>
      <c r="N241" s="45" t="n">
        <f aca="false">IF(D241="Sale",E241*L241,0)</f>
        <v>0</v>
      </c>
      <c r="O241" s="45" t="n">
        <f aca="false">IF(D241="Sale",E241*M241,0)</f>
        <v>0</v>
      </c>
      <c r="P241" s="45" t="n">
        <f aca="false">N241-O241</f>
        <v>0</v>
      </c>
      <c r="Q241" s="45" t="n">
        <f aca="false">IF(D241="Purchase",E241*M241,0)</f>
        <v>540</v>
      </c>
    </row>
    <row r="242" customFormat="false" ht="15" hidden="false" customHeight="false" outlineLevel="0" collapsed="false">
      <c r="A242" s="39" t="s">
        <v>566</v>
      </c>
      <c r="B242" s="44" t="n">
        <v>46176</v>
      </c>
      <c r="C242" s="39" t="s">
        <v>326</v>
      </c>
      <c r="D242" s="39" t="s">
        <v>138</v>
      </c>
      <c r="E242" s="39" t="n">
        <v>20</v>
      </c>
      <c r="F242" s="39" t="str">
        <f aca="false">IF(COUNTIF(medicine_master!$A$2:$A$26,C242)&gt;0,"Valid","Invalid")</f>
        <v>Valid</v>
      </c>
      <c r="G242" s="39" t="str">
        <f aca="false">IFERROR(INDEX(medicine_master!$B$2:$B$26,MATCH($C242,medicine_master!$A$2:$A$26,0)),"Not found")</f>
        <v>Omeprazole 20mg</v>
      </c>
      <c r="H242" s="39" t="str">
        <f aca="false">IFERROR(INDEX(medicine_master!$C$2:$C$26,MATCH($C242,medicine_master!$A$2:$A$26,0)),"Not found")</f>
        <v>Gastric</v>
      </c>
      <c r="I242" s="39" t="n">
        <f aca="false">YEAR(B242)</f>
        <v>2026</v>
      </c>
      <c r="J242" s="39" t="n">
        <f aca="false">MONTH(B242)</f>
        <v>6</v>
      </c>
      <c r="K242" s="39" t="str">
        <f aca="false">TEXT(B242,"mmm")</f>
        <v>Jun</v>
      </c>
      <c r="L242" s="45" t="n">
        <f aca="false">IFERROR(INDEX(medicine_master!$I$2:$I$26,MATCH($C242,medicine_master!$A$2:$A$26,0)),0)</f>
        <v>26</v>
      </c>
      <c r="M242" s="45" t="n">
        <f aca="false">IFERROR(INDEX(medicine_master!$G$2:$G$26,MATCH($C242,medicine_master!$A$2:$A$26,0)),0)</f>
        <v>18</v>
      </c>
      <c r="N242" s="45" t="n">
        <f aca="false">IF(D242="Sale",E242*L242,0)</f>
        <v>0</v>
      </c>
      <c r="O242" s="45" t="n">
        <f aca="false">IF(D242="Sale",E242*M242,0)</f>
        <v>0</v>
      </c>
      <c r="P242" s="45" t="n">
        <f aca="false">N242-O242</f>
        <v>0</v>
      </c>
      <c r="Q242" s="45" t="n">
        <f aca="false">IF(D242="Purchase",E242*M242,0)</f>
        <v>360</v>
      </c>
    </row>
    <row r="243" customFormat="false" ht="15" hidden="false" customHeight="false" outlineLevel="0" collapsed="false">
      <c r="A243" s="39" t="s">
        <v>567</v>
      </c>
      <c r="B243" s="44" t="n">
        <v>46112</v>
      </c>
      <c r="C243" s="39" t="s">
        <v>495</v>
      </c>
      <c r="D243" s="39" t="s">
        <v>137</v>
      </c>
      <c r="E243" s="39" t="n">
        <v>20</v>
      </c>
      <c r="F243" s="39" t="str">
        <f aca="false">IF(COUNTIF(medicine_master!$A$2:$A$26,C243)&gt;0,"Valid","Invalid")</f>
        <v>Valid</v>
      </c>
      <c r="G243" s="39" t="str">
        <f aca="false">IFERROR(INDEX(medicine_master!$B$2:$B$26,MATCH($C243,medicine_master!$A$2:$A$26,0)),"Not found")</f>
        <v>Metformin 500mg</v>
      </c>
      <c r="H243" s="39" t="str">
        <f aca="false">IFERROR(INDEX(medicine_master!$C$2:$C$26,MATCH($C243,medicine_master!$A$2:$A$26,0)),"Not found")</f>
        <v>Diabetes</v>
      </c>
      <c r="I243" s="39" t="n">
        <f aca="false">YEAR(B243)</f>
        <v>2026</v>
      </c>
      <c r="J243" s="39" t="n">
        <f aca="false">MONTH(B243)</f>
        <v>3</v>
      </c>
      <c r="K243" s="39" t="str">
        <f aca="false">TEXT(B243,"mmm")</f>
        <v>Mar</v>
      </c>
      <c r="L243" s="45" t="n">
        <f aca="false">IFERROR(INDEX(medicine_master!$I$2:$I$26,MATCH($C243,medicine_master!$A$2:$A$26,0)),0)</f>
        <v>24</v>
      </c>
      <c r="M243" s="45" t="n">
        <f aca="false">IFERROR(INDEX(medicine_master!$G$2:$G$26,MATCH($C243,medicine_master!$A$2:$A$26,0)),0)</f>
        <v>16</v>
      </c>
      <c r="N243" s="45" t="n">
        <f aca="false">IF(D243="Sale",E243*L243,0)</f>
        <v>480</v>
      </c>
      <c r="O243" s="45" t="n">
        <f aca="false">IF(D243="Sale",E243*M243,0)</f>
        <v>320</v>
      </c>
      <c r="P243" s="45" t="n">
        <f aca="false">N243-O243</f>
        <v>160</v>
      </c>
      <c r="Q243" s="45" t="n">
        <f aca="false">IF(D243="Purchase",E243*M243,0)</f>
        <v>0</v>
      </c>
    </row>
    <row r="244" customFormat="false" ht="15" hidden="false" customHeight="false" outlineLevel="0" collapsed="false">
      <c r="A244" s="39" t="s">
        <v>568</v>
      </c>
      <c r="B244" s="44" t="n">
        <v>46369</v>
      </c>
      <c r="C244" s="39" t="s">
        <v>145</v>
      </c>
      <c r="D244" s="39" t="s">
        <v>137</v>
      </c>
      <c r="E244" s="39" t="n">
        <v>5</v>
      </c>
      <c r="F244" s="39" t="str">
        <f aca="false">IF(COUNTIF(medicine_master!$A$2:$A$26,C244)&gt;0,"Valid","Invalid")</f>
        <v>Valid</v>
      </c>
      <c r="G244" s="39" t="str">
        <f aca="false">IFERROR(INDEX(medicine_master!$B$2:$B$26,MATCH($C244,medicine_master!$A$2:$A$26,0)),"Not found")</f>
        <v>Clotrimazole Cream</v>
      </c>
      <c r="H244" s="39" t="str">
        <f aca="false">IFERROR(INDEX(medicine_master!$C$2:$C$26,MATCH($C244,medicine_master!$A$2:$A$26,0)),"Not found")</f>
        <v>Dermatology</v>
      </c>
      <c r="I244" s="39" t="n">
        <f aca="false">YEAR(B244)</f>
        <v>2026</v>
      </c>
      <c r="J244" s="39" t="n">
        <f aca="false">MONTH(B244)</f>
        <v>12</v>
      </c>
      <c r="K244" s="39" t="str">
        <f aca="false">TEXT(B244,"mmm")</f>
        <v>Dec</v>
      </c>
      <c r="L244" s="45" t="n">
        <f aca="false">IFERROR(INDEX(medicine_master!$I$2:$I$26,MATCH($C244,medicine_master!$A$2:$A$26,0)),0)</f>
        <v>48</v>
      </c>
      <c r="M244" s="45" t="n">
        <f aca="false">IFERROR(INDEX(medicine_master!$G$2:$G$26,MATCH($C244,medicine_master!$A$2:$A$26,0)),0)</f>
        <v>32</v>
      </c>
      <c r="N244" s="45" t="n">
        <f aca="false">IF(D244="Sale",E244*L244,0)</f>
        <v>240</v>
      </c>
      <c r="O244" s="45" t="n">
        <f aca="false">IF(D244="Sale",E244*M244,0)</f>
        <v>160</v>
      </c>
      <c r="P244" s="45" t="n">
        <f aca="false">N244-O244</f>
        <v>80</v>
      </c>
      <c r="Q244" s="45" t="n">
        <f aca="false">IF(D244="Purchase",E244*M244,0)</f>
        <v>0</v>
      </c>
    </row>
    <row r="245" customFormat="false" ht="15" hidden="false" customHeight="false" outlineLevel="0" collapsed="false">
      <c r="A245" s="39" t="s">
        <v>569</v>
      </c>
      <c r="B245" s="44" t="n">
        <v>46273</v>
      </c>
      <c r="C245" s="39" t="s">
        <v>404</v>
      </c>
      <c r="D245" s="39" t="s">
        <v>138</v>
      </c>
      <c r="E245" s="39" t="n">
        <v>25</v>
      </c>
      <c r="F245" s="39" t="str">
        <f aca="false">IF(COUNTIF(medicine_master!$A$2:$A$26,C245)&gt;0,"Valid","Invalid")</f>
        <v>Valid</v>
      </c>
      <c r="G245" s="39" t="str">
        <f aca="false">IFERROR(INDEX(medicine_master!$B$2:$B$26,MATCH($C245,medicine_master!$A$2:$A$26,0)),"Not found")</f>
        <v>ORS Sachet</v>
      </c>
      <c r="H245" s="39" t="str">
        <f aca="false">IFERROR(INDEX(medicine_master!$C$2:$C$26,MATCH($C245,medicine_master!$A$2:$A$26,0)),"Not found")</f>
        <v>First Aid</v>
      </c>
      <c r="I245" s="39" t="n">
        <f aca="false">YEAR(B245)</f>
        <v>2026</v>
      </c>
      <c r="J245" s="39" t="n">
        <f aca="false">MONTH(B245)</f>
        <v>9</v>
      </c>
      <c r="K245" s="39" t="str">
        <f aca="false">TEXT(B245,"mmm")</f>
        <v>Sep</v>
      </c>
      <c r="L245" s="45" t="n">
        <f aca="false">IFERROR(INDEX(medicine_master!$I$2:$I$26,MATCH($C245,medicine_master!$A$2:$A$26,0)),0)</f>
        <v>10</v>
      </c>
      <c r="M245" s="45" t="n">
        <f aca="false">IFERROR(INDEX(medicine_master!$G$2:$G$26,MATCH($C245,medicine_master!$A$2:$A$26,0)),0)</f>
        <v>6</v>
      </c>
      <c r="N245" s="45" t="n">
        <f aca="false">IF(D245="Sale",E245*L245,0)</f>
        <v>0</v>
      </c>
      <c r="O245" s="45" t="n">
        <f aca="false">IF(D245="Sale",E245*M245,0)</f>
        <v>0</v>
      </c>
      <c r="P245" s="45" t="n">
        <f aca="false">N245-O245</f>
        <v>0</v>
      </c>
      <c r="Q245" s="45" t="n">
        <f aca="false">IF(D245="Purchase",E245*M245,0)</f>
        <v>150</v>
      </c>
    </row>
    <row r="246" customFormat="false" ht="15" hidden="false" customHeight="false" outlineLevel="0" collapsed="false">
      <c r="A246" s="39" t="s">
        <v>570</v>
      </c>
      <c r="B246" s="44" t="n">
        <v>46202</v>
      </c>
      <c r="C246" s="39" t="s">
        <v>158</v>
      </c>
      <c r="D246" s="39" t="s">
        <v>138</v>
      </c>
      <c r="E246" s="39" t="n">
        <v>15</v>
      </c>
      <c r="F246" s="39" t="str">
        <f aca="false">IF(COUNTIF(medicine_master!$A$2:$A$26,C246)&gt;0,"Valid","Invalid")</f>
        <v>Valid</v>
      </c>
      <c r="G246" s="39" t="str">
        <f aca="false">IFERROR(INDEX(medicine_master!$B$2:$B$26,MATCH($C246,medicine_master!$A$2:$A$26,0)),"Not found")</f>
        <v>Cough Syrup 100ml</v>
      </c>
      <c r="H246" s="39" t="str">
        <f aca="false">IFERROR(INDEX(medicine_master!$C$2:$C$26,MATCH($C246,medicine_master!$A$2:$A$26,0)),"Not found")</f>
        <v>Cold &amp; Cough</v>
      </c>
      <c r="I246" s="39" t="n">
        <f aca="false">YEAR(B246)</f>
        <v>2026</v>
      </c>
      <c r="J246" s="39" t="n">
        <f aca="false">MONTH(B246)</f>
        <v>6</v>
      </c>
      <c r="K246" s="39" t="str">
        <f aca="false">TEXT(B246,"mmm")</f>
        <v>Jun</v>
      </c>
      <c r="L246" s="45" t="n">
        <f aca="false">IFERROR(INDEX(medicine_master!$I$2:$I$26,MATCH($C246,medicine_master!$A$2:$A$26,0)),0)</f>
        <v>72</v>
      </c>
      <c r="M246" s="45" t="n">
        <f aca="false">IFERROR(INDEX(medicine_master!$G$2:$G$26,MATCH($C246,medicine_master!$A$2:$A$26,0)),0)</f>
        <v>52</v>
      </c>
      <c r="N246" s="45" t="n">
        <f aca="false">IF(D246="Sale",E246*L246,0)</f>
        <v>0</v>
      </c>
      <c r="O246" s="45" t="n">
        <f aca="false">IF(D246="Sale",E246*M246,0)</f>
        <v>0</v>
      </c>
      <c r="P246" s="45" t="n">
        <f aca="false">N246-O246</f>
        <v>0</v>
      </c>
      <c r="Q246" s="45" t="n">
        <f aca="false">IF(D246="Purchase",E246*M246,0)</f>
        <v>780</v>
      </c>
    </row>
    <row r="247" customFormat="false" ht="15" hidden="false" customHeight="false" outlineLevel="0" collapsed="false">
      <c r="A247" s="39" t="s">
        <v>571</v>
      </c>
      <c r="B247" s="44" t="n">
        <v>46307</v>
      </c>
      <c r="C247" s="39" t="s">
        <v>495</v>
      </c>
      <c r="D247" s="39" t="s">
        <v>137</v>
      </c>
      <c r="E247" s="39" t="n">
        <v>5</v>
      </c>
      <c r="F247" s="39" t="str">
        <f aca="false">IF(COUNTIF(medicine_master!$A$2:$A$26,C247)&gt;0,"Valid","Invalid")</f>
        <v>Valid</v>
      </c>
      <c r="G247" s="39" t="str">
        <f aca="false">IFERROR(INDEX(medicine_master!$B$2:$B$26,MATCH($C247,medicine_master!$A$2:$A$26,0)),"Not found")</f>
        <v>Metformin 500mg</v>
      </c>
      <c r="H247" s="39" t="str">
        <f aca="false">IFERROR(INDEX(medicine_master!$C$2:$C$26,MATCH($C247,medicine_master!$A$2:$A$26,0)),"Not found")</f>
        <v>Diabetes</v>
      </c>
      <c r="I247" s="39" t="n">
        <f aca="false">YEAR(B247)</f>
        <v>2026</v>
      </c>
      <c r="J247" s="39" t="n">
        <f aca="false">MONTH(B247)</f>
        <v>10</v>
      </c>
      <c r="K247" s="39" t="str">
        <f aca="false">TEXT(B247,"mmm")</f>
        <v>Oct</v>
      </c>
      <c r="L247" s="45" t="n">
        <f aca="false">IFERROR(INDEX(medicine_master!$I$2:$I$26,MATCH($C247,medicine_master!$A$2:$A$26,0)),0)</f>
        <v>24</v>
      </c>
      <c r="M247" s="45" t="n">
        <f aca="false">IFERROR(INDEX(medicine_master!$G$2:$G$26,MATCH($C247,medicine_master!$A$2:$A$26,0)),0)</f>
        <v>16</v>
      </c>
      <c r="N247" s="45" t="n">
        <f aca="false">IF(D247="Sale",E247*L247,0)</f>
        <v>120</v>
      </c>
      <c r="O247" s="45" t="n">
        <f aca="false">IF(D247="Sale",E247*M247,0)</f>
        <v>80</v>
      </c>
      <c r="P247" s="45" t="n">
        <f aca="false">N247-O247</f>
        <v>40</v>
      </c>
      <c r="Q247" s="45" t="n">
        <f aca="false">IF(D247="Purchase",E247*M247,0)</f>
        <v>0</v>
      </c>
    </row>
    <row r="248" customFormat="false" ht="15" hidden="false" customHeight="false" outlineLevel="0" collapsed="false">
      <c r="A248" s="39" t="s">
        <v>572</v>
      </c>
      <c r="B248" s="44" t="n">
        <v>46071</v>
      </c>
      <c r="C248" s="39" t="s">
        <v>180</v>
      </c>
      <c r="D248" s="39" t="s">
        <v>137</v>
      </c>
      <c r="E248" s="39" t="n">
        <v>20</v>
      </c>
      <c r="F248" s="39" t="str">
        <f aca="false">IF(COUNTIF(medicine_master!$A$2:$A$26,C248)&gt;0,"Valid","Invalid")</f>
        <v>Valid</v>
      </c>
      <c r="G248" s="39" t="str">
        <f aca="false">IFERROR(INDEX(medicine_master!$B$2:$B$26,MATCH($C248,medicine_master!$A$2:$A$26,0)),"Not found")</f>
        <v>Vitamin C 500mg</v>
      </c>
      <c r="H248" s="39" t="str">
        <f aca="false">IFERROR(INDEX(medicine_master!$C$2:$C$26,MATCH($C248,medicine_master!$A$2:$A$26,0)),"Not found")</f>
        <v>Vitamin</v>
      </c>
      <c r="I248" s="39" t="n">
        <f aca="false">YEAR(B248)</f>
        <v>2026</v>
      </c>
      <c r="J248" s="39" t="n">
        <f aca="false">MONTH(B248)</f>
        <v>2</v>
      </c>
      <c r="K248" s="39" t="str">
        <f aca="false">TEXT(B248,"mmm")</f>
        <v>Feb</v>
      </c>
      <c r="L248" s="45" t="n">
        <f aca="false">IFERROR(INDEX(medicine_master!$I$2:$I$26,MATCH($C248,medicine_master!$A$2:$A$26,0)),0)</f>
        <v>22</v>
      </c>
      <c r="M248" s="45" t="n">
        <f aca="false">IFERROR(INDEX(medicine_master!$G$2:$G$26,MATCH($C248,medicine_master!$A$2:$A$26,0)),0)</f>
        <v>14</v>
      </c>
      <c r="N248" s="45" t="n">
        <f aca="false">IF(D248="Sale",E248*L248,0)</f>
        <v>440</v>
      </c>
      <c r="O248" s="45" t="n">
        <f aca="false">IF(D248="Sale",E248*M248,0)</f>
        <v>280</v>
      </c>
      <c r="P248" s="45" t="n">
        <f aca="false">N248-O248</f>
        <v>160</v>
      </c>
      <c r="Q248" s="45" t="n">
        <f aca="false">IF(D248="Purchase",E248*M248,0)</f>
        <v>0</v>
      </c>
    </row>
    <row r="249" customFormat="false" ht="15" hidden="false" customHeight="false" outlineLevel="0" collapsed="false">
      <c r="A249" s="39" t="s">
        <v>573</v>
      </c>
      <c r="B249" s="44" t="n">
        <v>46170</v>
      </c>
      <c r="C249" s="39" t="s">
        <v>321</v>
      </c>
      <c r="D249" s="39" t="s">
        <v>137</v>
      </c>
      <c r="E249" s="39" t="n">
        <v>20</v>
      </c>
      <c r="F249" s="39" t="str">
        <f aca="false">IF(COUNTIF(medicine_master!$A$2:$A$26,C249)&gt;0,"Valid","Invalid")</f>
        <v>Valid</v>
      </c>
      <c r="G249" s="39" t="str">
        <f aca="false">IFERROR(INDEX(medicine_master!$B$2:$B$26,MATCH($C249,medicine_master!$A$2:$A$26,0)),"Not found")</f>
        <v>Levocetirizine 5mg</v>
      </c>
      <c r="H249" s="39" t="str">
        <f aca="false">IFERROR(INDEX(medicine_master!$C$2:$C$26,MATCH($C249,medicine_master!$A$2:$A$26,0)),"Not found")</f>
        <v>Allergy</v>
      </c>
      <c r="I249" s="39" t="n">
        <f aca="false">YEAR(B249)</f>
        <v>2026</v>
      </c>
      <c r="J249" s="39" t="n">
        <f aca="false">MONTH(B249)</f>
        <v>5</v>
      </c>
      <c r="K249" s="39" t="str">
        <f aca="false">TEXT(B249,"mmm")</f>
        <v>May</v>
      </c>
      <c r="L249" s="45" t="n">
        <f aca="false">IFERROR(INDEX(medicine_master!$I$2:$I$26,MATCH($C249,medicine_master!$A$2:$A$26,0)),0)</f>
        <v>22</v>
      </c>
      <c r="M249" s="45" t="n">
        <f aca="false">IFERROR(INDEX(medicine_master!$G$2:$G$26,MATCH($C249,medicine_master!$A$2:$A$26,0)),0)</f>
        <v>14</v>
      </c>
      <c r="N249" s="45" t="n">
        <f aca="false">IF(D249="Sale",E249*L249,0)</f>
        <v>440</v>
      </c>
      <c r="O249" s="45" t="n">
        <f aca="false">IF(D249="Sale",E249*M249,0)</f>
        <v>280</v>
      </c>
      <c r="P249" s="45" t="n">
        <f aca="false">N249-O249</f>
        <v>160</v>
      </c>
      <c r="Q249" s="45" t="n">
        <f aca="false">IF(D249="Purchase",E249*M249,0)</f>
        <v>0</v>
      </c>
    </row>
    <row r="250" customFormat="false" ht="15" hidden="false" customHeight="false" outlineLevel="0" collapsed="false">
      <c r="A250" s="39" t="s">
        <v>574</v>
      </c>
      <c r="B250" s="44" t="n">
        <v>46382</v>
      </c>
      <c r="C250" s="39" t="s">
        <v>145</v>
      </c>
      <c r="D250" s="39" t="s">
        <v>138</v>
      </c>
      <c r="E250" s="39" t="n">
        <v>15</v>
      </c>
      <c r="F250" s="39" t="str">
        <f aca="false">IF(COUNTIF(medicine_master!$A$2:$A$26,C250)&gt;0,"Valid","Invalid")</f>
        <v>Valid</v>
      </c>
      <c r="G250" s="39" t="str">
        <f aca="false">IFERROR(INDEX(medicine_master!$B$2:$B$26,MATCH($C250,medicine_master!$A$2:$A$26,0)),"Not found")</f>
        <v>Clotrimazole Cream</v>
      </c>
      <c r="H250" s="39" t="str">
        <f aca="false">IFERROR(INDEX(medicine_master!$C$2:$C$26,MATCH($C250,medicine_master!$A$2:$A$26,0)),"Not found")</f>
        <v>Dermatology</v>
      </c>
      <c r="I250" s="39" t="n">
        <f aca="false">YEAR(B250)</f>
        <v>2026</v>
      </c>
      <c r="J250" s="39" t="n">
        <f aca="false">MONTH(B250)</f>
        <v>12</v>
      </c>
      <c r="K250" s="39" t="str">
        <f aca="false">TEXT(B250,"mmm")</f>
        <v>Dec</v>
      </c>
      <c r="L250" s="45" t="n">
        <f aca="false">IFERROR(INDEX(medicine_master!$I$2:$I$26,MATCH($C250,medicine_master!$A$2:$A$26,0)),0)</f>
        <v>48</v>
      </c>
      <c r="M250" s="45" t="n">
        <f aca="false">IFERROR(INDEX(medicine_master!$G$2:$G$26,MATCH($C250,medicine_master!$A$2:$A$26,0)),0)</f>
        <v>32</v>
      </c>
      <c r="N250" s="45" t="n">
        <f aca="false">IF(D250="Sale",E250*L250,0)</f>
        <v>0</v>
      </c>
      <c r="O250" s="45" t="n">
        <f aca="false">IF(D250="Sale",E250*M250,0)</f>
        <v>0</v>
      </c>
      <c r="P250" s="45" t="n">
        <f aca="false">N250-O250</f>
        <v>0</v>
      </c>
      <c r="Q250" s="45" t="n">
        <f aca="false">IF(D250="Purchase",E250*M250,0)</f>
        <v>480</v>
      </c>
    </row>
    <row r="251" customFormat="false" ht="15" hidden="false" customHeight="false" outlineLevel="0" collapsed="false">
      <c r="A251" s="39" t="s">
        <v>575</v>
      </c>
      <c r="B251" s="44" t="n">
        <v>46237</v>
      </c>
      <c r="C251" s="39" t="s">
        <v>404</v>
      </c>
      <c r="D251" s="39" t="s">
        <v>138</v>
      </c>
      <c r="E251" s="39" t="n">
        <v>40</v>
      </c>
      <c r="F251" s="39" t="str">
        <f aca="false">IF(COUNTIF(medicine_master!$A$2:$A$26,C251)&gt;0,"Valid","Invalid")</f>
        <v>Valid</v>
      </c>
      <c r="G251" s="39" t="str">
        <f aca="false">IFERROR(INDEX(medicine_master!$B$2:$B$26,MATCH($C251,medicine_master!$A$2:$A$26,0)),"Not found")</f>
        <v>ORS Sachet</v>
      </c>
      <c r="H251" s="39" t="str">
        <f aca="false">IFERROR(INDEX(medicine_master!$C$2:$C$26,MATCH($C251,medicine_master!$A$2:$A$26,0)),"Not found")</f>
        <v>First Aid</v>
      </c>
      <c r="I251" s="39" t="n">
        <f aca="false">YEAR(B251)</f>
        <v>2026</v>
      </c>
      <c r="J251" s="39" t="n">
        <f aca="false">MONTH(B251)</f>
        <v>8</v>
      </c>
      <c r="K251" s="39" t="str">
        <f aca="false">TEXT(B251,"mmm")</f>
        <v>Aug</v>
      </c>
      <c r="L251" s="45" t="n">
        <f aca="false">IFERROR(INDEX(medicine_master!$I$2:$I$26,MATCH($C251,medicine_master!$A$2:$A$26,0)),0)</f>
        <v>10</v>
      </c>
      <c r="M251" s="45" t="n">
        <f aca="false">IFERROR(INDEX(medicine_master!$G$2:$G$26,MATCH($C251,medicine_master!$A$2:$A$26,0)),0)</f>
        <v>6</v>
      </c>
      <c r="N251" s="45" t="n">
        <f aca="false">IF(D251="Sale",E251*L251,0)</f>
        <v>0</v>
      </c>
      <c r="O251" s="45" t="n">
        <f aca="false">IF(D251="Sale",E251*M251,0)</f>
        <v>0</v>
      </c>
      <c r="P251" s="45" t="n">
        <f aca="false">N251-O251</f>
        <v>0</v>
      </c>
      <c r="Q251" s="45" t="n">
        <f aca="false">IF(D251="Purchase",E251*M251,0)</f>
        <v>240</v>
      </c>
    </row>
    <row r="252" customFormat="false" ht="15" hidden="false" customHeight="false" outlineLevel="0" collapsed="false">
      <c r="A252" s="39" t="s">
        <v>576</v>
      </c>
      <c r="B252" s="44" t="n">
        <v>46054</v>
      </c>
      <c r="C252" s="39" t="s">
        <v>145</v>
      </c>
      <c r="D252" s="39" t="s">
        <v>138</v>
      </c>
      <c r="E252" s="39" t="n">
        <v>20</v>
      </c>
      <c r="F252" s="39" t="str">
        <f aca="false">IF(COUNTIF(medicine_master!$A$2:$A$26,C252)&gt;0,"Valid","Invalid")</f>
        <v>Valid</v>
      </c>
      <c r="G252" s="39" t="str">
        <f aca="false">IFERROR(INDEX(medicine_master!$B$2:$B$26,MATCH($C252,medicine_master!$A$2:$A$26,0)),"Not found")</f>
        <v>Clotrimazole Cream</v>
      </c>
      <c r="H252" s="39" t="str">
        <f aca="false">IFERROR(INDEX(medicine_master!$C$2:$C$26,MATCH($C252,medicine_master!$A$2:$A$26,0)),"Not found")</f>
        <v>Dermatology</v>
      </c>
      <c r="I252" s="39" t="n">
        <f aca="false">YEAR(B252)</f>
        <v>2026</v>
      </c>
      <c r="J252" s="39" t="n">
        <f aca="false">MONTH(B252)</f>
        <v>2</v>
      </c>
      <c r="K252" s="39" t="str">
        <f aca="false">TEXT(B252,"mmm")</f>
        <v>Feb</v>
      </c>
      <c r="L252" s="45" t="n">
        <f aca="false">IFERROR(INDEX(medicine_master!$I$2:$I$26,MATCH($C252,medicine_master!$A$2:$A$26,0)),0)</f>
        <v>48</v>
      </c>
      <c r="M252" s="45" t="n">
        <f aca="false">IFERROR(INDEX(medicine_master!$G$2:$G$26,MATCH($C252,medicine_master!$A$2:$A$26,0)),0)</f>
        <v>32</v>
      </c>
      <c r="N252" s="45" t="n">
        <f aca="false">IF(D252="Sale",E252*L252,0)</f>
        <v>0</v>
      </c>
      <c r="O252" s="45" t="n">
        <f aca="false">IF(D252="Sale",E252*M252,0)</f>
        <v>0</v>
      </c>
      <c r="P252" s="45" t="n">
        <f aca="false">N252-O252</f>
        <v>0</v>
      </c>
      <c r="Q252" s="45" t="n">
        <f aca="false">IF(D252="Purchase",E252*M252,0)</f>
        <v>640</v>
      </c>
    </row>
    <row r="253" customFormat="false" ht="15" hidden="false" customHeight="false" outlineLevel="0" collapsed="false">
      <c r="A253" s="39" t="s">
        <v>577</v>
      </c>
      <c r="B253" s="44" t="n">
        <v>46041</v>
      </c>
      <c r="C253" s="39" t="s">
        <v>160</v>
      </c>
      <c r="D253" s="39" t="s">
        <v>138</v>
      </c>
      <c r="E253" s="39" t="n">
        <v>30</v>
      </c>
      <c r="F253" s="39" t="str">
        <f aca="false">IF(COUNTIF(medicine_master!$A$2:$A$26,C253)&gt;0,"Valid","Invalid")</f>
        <v>Valid</v>
      </c>
      <c r="G253" s="39" t="str">
        <f aca="false">IFERROR(INDEX(medicine_master!$B$2:$B$26,MATCH($C253,medicine_master!$A$2:$A$26,0)),"Not found")</f>
        <v>Calamine Lotion</v>
      </c>
      <c r="H253" s="39" t="str">
        <f aca="false">IFERROR(INDEX(medicine_master!$C$2:$C$26,MATCH($C253,medicine_master!$A$2:$A$26,0)),"Not found")</f>
        <v>Dermatology</v>
      </c>
      <c r="I253" s="39" t="n">
        <f aca="false">YEAR(B253)</f>
        <v>2026</v>
      </c>
      <c r="J253" s="39" t="n">
        <f aca="false">MONTH(B253)</f>
        <v>1</v>
      </c>
      <c r="K253" s="39" t="str">
        <f aca="false">TEXT(B253,"mmm")</f>
        <v>Jan</v>
      </c>
      <c r="L253" s="45" t="n">
        <f aca="false">IFERROR(INDEX(medicine_master!$I$2:$I$26,MATCH($C253,medicine_master!$A$2:$A$26,0)),0)</f>
        <v>60</v>
      </c>
      <c r="M253" s="45" t="n">
        <f aca="false">IFERROR(INDEX(medicine_master!$G$2:$G$26,MATCH($C253,medicine_master!$A$2:$A$26,0)),0)</f>
        <v>42</v>
      </c>
      <c r="N253" s="45" t="n">
        <f aca="false">IF(D253="Sale",E253*L253,0)</f>
        <v>0</v>
      </c>
      <c r="O253" s="45" t="n">
        <f aca="false">IF(D253="Sale",E253*M253,0)</f>
        <v>0</v>
      </c>
      <c r="P253" s="45" t="n">
        <f aca="false">N253-O253</f>
        <v>0</v>
      </c>
      <c r="Q253" s="45" t="n">
        <f aca="false">IF(D253="Purchase",E253*M253,0)</f>
        <v>1260</v>
      </c>
    </row>
    <row r="254" customFormat="false" ht="15" hidden="false" customHeight="false" outlineLevel="0" collapsed="false">
      <c r="A254" s="39" t="s">
        <v>578</v>
      </c>
      <c r="B254" s="44" t="n">
        <v>46216</v>
      </c>
      <c r="C254" s="39" t="s">
        <v>321</v>
      </c>
      <c r="D254" s="39" t="s">
        <v>137</v>
      </c>
      <c r="E254" s="39" t="n">
        <v>20</v>
      </c>
      <c r="F254" s="39" t="str">
        <f aca="false">IF(COUNTIF(medicine_master!$A$2:$A$26,C254)&gt;0,"Valid","Invalid")</f>
        <v>Valid</v>
      </c>
      <c r="G254" s="39" t="str">
        <f aca="false">IFERROR(INDEX(medicine_master!$B$2:$B$26,MATCH($C254,medicine_master!$A$2:$A$26,0)),"Not found")</f>
        <v>Levocetirizine 5mg</v>
      </c>
      <c r="H254" s="39" t="str">
        <f aca="false">IFERROR(INDEX(medicine_master!$C$2:$C$26,MATCH($C254,medicine_master!$A$2:$A$26,0)),"Not found")</f>
        <v>Allergy</v>
      </c>
      <c r="I254" s="39" t="n">
        <f aca="false">YEAR(B254)</f>
        <v>2026</v>
      </c>
      <c r="J254" s="39" t="n">
        <f aca="false">MONTH(B254)</f>
        <v>7</v>
      </c>
      <c r="K254" s="39" t="str">
        <f aca="false">TEXT(B254,"mmm")</f>
        <v>Jul</v>
      </c>
      <c r="L254" s="45" t="n">
        <f aca="false">IFERROR(INDEX(medicine_master!$I$2:$I$26,MATCH($C254,medicine_master!$A$2:$A$26,0)),0)</f>
        <v>22</v>
      </c>
      <c r="M254" s="45" t="n">
        <f aca="false">IFERROR(INDEX(medicine_master!$G$2:$G$26,MATCH($C254,medicine_master!$A$2:$A$26,0)),0)</f>
        <v>14</v>
      </c>
      <c r="N254" s="45" t="n">
        <f aca="false">IF(D254="Sale",E254*L254,0)</f>
        <v>440</v>
      </c>
      <c r="O254" s="45" t="n">
        <f aca="false">IF(D254="Sale",E254*M254,0)</f>
        <v>280</v>
      </c>
      <c r="P254" s="45" t="n">
        <f aca="false">N254-O254</f>
        <v>160</v>
      </c>
      <c r="Q254" s="45" t="n">
        <f aca="false">IF(D254="Purchase",E254*M254,0)</f>
        <v>0</v>
      </c>
    </row>
    <row r="255" customFormat="false" ht="15" hidden="false" customHeight="false" outlineLevel="0" collapsed="false">
      <c r="A255" s="39" t="s">
        <v>579</v>
      </c>
      <c r="B255" s="44" t="n">
        <v>46188</v>
      </c>
      <c r="C255" s="39" t="s">
        <v>404</v>
      </c>
      <c r="D255" s="39" t="s">
        <v>138</v>
      </c>
      <c r="E255" s="39" t="n">
        <v>10</v>
      </c>
      <c r="F255" s="39" t="str">
        <f aca="false">IF(COUNTIF(medicine_master!$A$2:$A$26,C255)&gt;0,"Valid","Invalid")</f>
        <v>Valid</v>
      </c>
      <c r="G255" s="39" t="str">
        <f aca="false">IFERROR(INDEX(medicine_master!$B$2:$B$26,MATCH($C255,medicine_master!$A$2:$A$26,0)),"Not found")</f>
        <v>ORS Sachet</v>
      </c>
      <c r="H255" s="39" t="str">
        <f aca="false">IFERROR(INDEX(medicine_master!$C$2:$C$26,MATCH($C255,medicine_master!$A$2:$A$26,0)),"Not found")</f>
        <v>First Aid</v>
      </c>
      <c r="I255" s="39" t="n">
        <f aca="false">YEAR(B255)</f>
        <v>2026</v>
      </c>
      <c r="J255" s="39" t="n">
        <f aca="false">MONTH(B255)</f>
        <v>6</v>
      </c>
      <c r="K255" s="39" t="str">
        <f aca="false">TEXT(B255,"mmm")</f>
        <v>Jun</v>
      </c>
      <c r="L255" s="45" t="n">
        <f aca="false">IFERROR(INDEX(medicine_master!$I$2:$I$26,MATCH($C255,medicine_master!$A$2:$A$26,0)),0)</f>
        <v>10</v>
      </c>
      <c r="M255" s="45" t="n">
        <f aca="false">IFERROR(INDEX(medicine_master!$G$2:$G$26,MATCH($C255,medicine_master!$A$2:$A$26,0)),0)</f>
        <v>6</v>
      </c>
      <c r="N255" s="45" t="n">
        <f aca="false">IF(D255="Sale",E255*L255,0)</f>
        <v>0</v>
      </c>
      <c r="O255" s="45" t="n">
        <f aca="false">IF(D255="Sale",E255*M255,0)</f>
        <v>0</v>
      </c>
      <c r="P255" s="45" t="n">
        <f aca="false">N255-O255</f>
        <v>0</v>
      </c>
      <c r="Q255" s="45" t="n">
        <f aca="false">IF(D255="Purchase",E255*M255,0)</f>
        <v>60</v>
      </c>
    </row>
    <row r="256" customFormat="false" ht="15" hidden="false" customHeight="false" outlineLevel="0" collapsed="false">
      <c r="A256" s="39" t="s">
        <v>580</v>
      </c>
      <c r="B256" s="44" t="n">
        <v>46077</v>
      </c>
      <c r="C256" s="39" t="s">
        <v>180</v>
      </c>
      <c r="D256" s="39" t="s">
        <v>137</v>
      </c>
      <c r="E256" s="39" t="n">
        <v>15</v>
      </c>
      <c r="F256" s="39" t="str">
        <f aca="false">IF(COUNTIF(medicine_master!$A$2:$A$26,C256)&gt;0,"Valid","Invalid")</f>
        <v>Valid</v>
      </c>
      <c r="G256" s="39" t="str">
        <f aca="false">IFERROR(INDEX(medicine_master!$B$2:$B$26,MATCH($C256,medicine_master!$A$2:$A$26,0)),"Not found")</f>
        <v>Vitamin C 500mg</v>
      </c>
      <c r="H256" s="39" t="str">
        <f aca="false">IFERROR(INDEX(medicine_master!$C$2:$C$26,MATCH($C256,medicine_master!$A$2:$A$26,0)),"Not found")</f>
        <v>Vitamin</v>
      </c>
      <c r="I256" s="39" t="n">
        <f aca="false">YEAR(B256)</f>
        <v>2026</v>
      </c>
      <c r="J256" s="39" t="n">
        <f aca="false">MONTH(B256)</f>
        <v>2</v>
      </c>
      <c r="K256" s="39" t="str">
        <f aca="false">TEXT(B256,"mmm")</f>
        <v>Feb</v>
      </c>
      <c r="L256" s="45" t="n">
        <f aca="false">IFERROR(INDEX(medicine_master!$I$2:$I$26,MATCH($C256,medicine_master!$A$2:$A$26,0)),0)</f>
        <v>22</v>
      </c>
      <c r="M256" s="45" t="n">
        <f aca="false">IFERROR(INDEX(medicine_master!$G$2:$G$26,MATCH($C256,medicine_master!$A$2:$A$26,0)),0)</f>
        <v>14</v>
      </c>
      <c r="N256" s="45" t="n">
        <f aca="false">IF(D256="Sale",E256*L256,0)</f>
        <v>330</v>
      </c>
      <c r="O256" s="45" t="n">
        <f aca="false">IF(D256="Sale",E256*M256,0)</f>
        <v>210</v>
      </c>
      <c r="P256" s="45" t="n">
        <f aca="false">N256-O256</f>
        <v>120</v>
      </c>
      <c r="Q256" s="45" t="n">
        <f aca="false">IF(D256="Purchase",E256*M256,0)</f>
        <v>0</v>
      </c>
    </row>
    <row r="257" customFormat="false" ht="15" hidden="false" customHeight="false" outlineLevel="0" collapsed="false">
      <c r="A257" s="39" t="s">
        <v>581</v>
      </c>
      <c r="B257" s="44" t="n">
        <v>46184</v>
      </c>
      <c r="C257" s="39" t="s">
        <v>345</v>
      </c>
      <c r="D257" s="39" t="s">
        <v>138</v>
      </c>
      <c r="E257" s="39" t="n">
        <v>10</v>
      </c>
      <c r="F257" s="39" t="str">
        <f aca="false">IF(COUNTIF(medicine_master!$A$2:$A$26,C257)&gt;0,"Valid","Invalid")</f>
        <v>Valid</v>
      </c>
      <c r="G257" s="39" t="str">
        <f aca="false">IFERROR(INDEX(medicine_master!$B$2:$B$26,MATCH($C257,medicine_master!$A$2:$A$26,0)),"Not found")</f>
        <v>Paracetamol 500mg</v>
      </c>
      <c r="H257" s="39" t="str">
        <f aca="false">IFERROR(INDEX(medicine_master!$C$2:$C$26,MATCH($C257,medicine_master!$A$2:$A$26,0)),"Not found")</f>
        <v>Pain Relief</v>
      </c>
      <c r="I257" s="39" t="n">
        <f aca="false">YEAR(B257)</f>
        <v>2026</v>
      </c>
      <c r="J257" s="39" t="n">
        <f aca="false">MONTH(B257)</f>
        <v>6</v>
      </c>
      <c r="K257" s="39" t="str">
        <f aca="false">TEXT(B257,"mmm")</f>
        <v>Jun</v>
      </c>
      <c r="L257" s="45" t="n">
        <f aca="false">IFERROR(INDEX(medicine_master!$I$2:$I$26,MATCH($C257,medicine_master!$A$2:$A$26,0)),0)</f>
        <v>18</v>
      </c>
      <c r="M257" s="45" t="n">
        <f aca="false">IFERROR(INDEX(medicine_master!$G$2:$G$26,MATCH($C257,medicine_master!$A$2:$A$26,0)),0)</f>
        <v>12</v>
      </c>
      <c r="N257" s="45" t="n">
        <f aca="false">IF(D257="Sale",E257*L257,0)</f>
        <v>0</v>
      </c>
      <c r="O257" s="45" t="n">
        <f aca="false">IF(D257="Sale",E257*M257,0)</f>
        <v>0</v>
      </c>
      <c r="P257" s="45" t="n">
        <f aca="false">N257-O257</f>
        <v>0</v>
      </c>
      <c r="Q257" s="45" t="n">
        <f aca="false">IF(D257="Purchase",E257*M257,0)</f>
        <v>120</v>
      </c>
    </row>
    <row r="258" customFormat="false" ht="15" hidden="false" customHeight="false" outlineLevel="0" collapsed="false">
      <c r="A258" s="39" t="s">
        <v>582</v>
      </c>
      <c r="B258" s="44" t="n">
        <v>46200</v>
      </c>
      <c r="C258" s="39" t="s">
        <v>180</v>
      </c>
      <c r="D258" s="39" t="s">
        <v>137</v>
      </c>
      <c r="E258" s="39" t="n">
        <v>5</v>
      </c>
      <c r="F258" s="39" t="str">
        <f aca="false">IF(COUNTIF(medicine_master!$A$2:$A$26,C258)&gt;0,"Valid","Invalid")</f>
        <v>Valid</v>
      </c>
      <c r="G258" s="39" t="str">
        <f aca="false">IFERROR(INDEX(medicine_master!$B$2:$B$26,MATCH($C258,medicine_master!$A$2:$A$26,0)),"Not found")</f>
        <v>Vitamin C 500mg</v>
      </c>
      <c r="H258" s="39" t="str">
        <f aca="false">IFERROR(INDEX(medicine_master!$C$2:$C$26,MATCH($C258,medicine_master!$A$2:$A$26,0)),"Not found")</f>
        <v>Vitamin</v>
      </c>
      <c r="I258" s="39" t="n">
        <f aca="false">YEAR(B258)</f>
        <v>2026</v>
      </c>
      <c r="J258" s="39" t="n">
        <f aca="false">MONTH(B258)</f>
        <v>6</v>
      </c>
      <c r="K258" s="39" t="str">
        <f aca="false">TEXT(B258,"mmm")</f>
        <v>Jun</v>
      </c>
      <c r="L258" s="45" t="n">
        <f aca="false">IFERROR(INDEX(medicine_master!$I$2:$I$26,MATCH($C258,medicine_master!$A$2:$A$26,0)),0)</f>
        <v>22</v>
      </c>
      <c r="M258" s="45" t="n">
        <f aca="false">IFERROR(INDEX(medicine_master!$G$2:$G$26,MATCH($C258,medicine_master!$A$2:$A$26,0)),0)</f>
        <v>14</v>
      </c>
      <c r="N258" s="45" t="n">
        <f aca="false">IF(D258="Sale",E258*L258,0)</f>
        <v>110</v>
      </c>
      <c r="O258" s="45" t="n">
        <f aca="false">IF(D258="Sale",E258*M258,0)</f>
        <v>70</v>
      </c>
      <c r="P258" s="45" t="n">
        <f aca="false">N258-O258</f>
        <v>40</v>
      </c>
      <c r="Q258" s="45" t="n">
        <f aca="false">IF(D258="Purchase",E258*M258,0)</f>
        <v>0</v>
      </c>
    </row>
    <row r="259" customFormat="false" ht="15" hidden="false" customHeight="false" outlineLevel="0" collapsed="false">
      <c r="A259" s="39" t="s">
        <v>583</v>
      </c>
      <c r="B259" s="44" t="n">
        <v>46269</v>
      </c>
      <c r="C259" s="39" t="s">
        <v>151</v>
      </c>
      <c r="D259" s="39" t="s">
        <v>138</v>
      </c>
      <c r="E259" s="39" t="n">
        <v>25</v>
      </c>
      <c r="F259" s="39" t="str">
        <f aca="false">IF(COUNTIF(medicine_master!$A$2:$A$26,C259)&gt;0,"Valid","Invalid")</f>
        <v>Valid</v>
      </c>
      <c r="G259" s="39" t="str">
        <f aca="false">IFERROR(INDEX(medicine_master!$B$2:$B$26,MATCH($C259,medicine_master!$A$2:$A$26,0)),"Not found")</f>
        <v>Cetirizine 10mg</v>
      </c>
      <c r="H259" s="39" t="str">
        <f aca="false">IFERROR(INDEX(medicine_master!$C$2:$C$26,MATCH($C259,medicine_master!$A$2:$A$26,0)),"Not found")</f>
        <v>Allergy</v>
      </c>
      <c r="I259" s="39" t="n">
        <f aca="false">YEAR(B259)</f>
        <v>2026</v>
      </c>
      <c r="J259" s="39" t="n">
        <f aca="false">MONTH(B259)</f>
        <v>9</v>
      </c>
      <c r="K259" s="39" t="str">
        <f aca="false">TEXT(B259,"mmm")</f>
        <v>Sep</v>
      </c>
      <c r="L259" s="45" t="n">
        <f aca="false">IFERROR(INDEX(medicine_master!$I$2:$I$26,MATCH($C259,medicine_master!$A$2:$A$26,0)),0)</f>
        <v>13</v>
      </c>
      <c r="M259" s="45" t="n">
        <f aca="false">IFERROR(INDEX(medicine_master!$G$2:$G$26,MATCH($C259,medicine_master!$A$2:$A$26,0)),0)</f>
        <v>8</v>
      </c>
      <c r="N259" s="45" t="n">
        <f aca="false">IF(D259="Sale",E259*L259,0)</f>
        <v>0</v>
      </c>
      <c r="O259" s="45" t="n">
        <f aca="false">IF(D259="Sale",E259*M259,0)</f>
        <v>0</v>
      </c>
      <c r="P259" s="45" t="n">
        <f aca="false">N259-O259</f>
        <v>0</v>
      </c>
      <c r="Q259" s="45" t="n">
        <f aca="false">IF(D259="Purchase",E259*M259,0)</f>
        <v>200</v>
      </c>
    </row>
    <row r="260" customFormat="false" ht="15" hidden="false" customHeight="false" outlineLevel="0" collapsed="false">
      <c r="A260" s="39" t="s">
        <v>584</v>
      </c>
      <c r="B260" s="44" t="n">
        <v>46350</v>
      </c>
      <c r="C260" s="39" t="s">
        <v>321</v>
      </c>
      <c r="D260" s="39" t="s">
        <v>138</v>
      </c>
      <c r="E260" s="39" t="n">
        <v>25</v>
      </c>
      <c r="F260" s="39" t="str">
        <f aca="false">IF(COUNTIF(medicine_master!$A$2:$A$26,C260)&gt;0,"Valid","Invalid")</f>
        <v>Valid</v>
      </c>
      <c r="G260" s="39" t="str">
        <f aca="false">IFERROR(INDEX(medicine_master!$B$2:$B$26,MATCH($C260,medicine_master!$A$2:$A$26,0)),"Not found")</f>
        <v>Levocetirizine 5mg</v>
      </c>
      <c r="H260" s="39" t="str">
        <f aca="false">IFERROR(INDEX(medicine_master!$C$2:$C$26,MATCH($C260,medicine_master!$A$2:$A$26,0)),"Not found")</f>
        <v>Allergy</v>
      </c>
      <c r="I260" s="39" t="n">
        <f aca="false">YEAR(B260)</f>
        <v>2026</v>
      </c>
      <c r="J260" s="39" t="n">
        <f aca="false">MONTH(B260)</f>
        <v>11</v>
      </c>
      <c r="K260" s="39" t="str">
        <f aca="false">TEXT(B260,"mmm")</f>
        <v>Nov</v>
      </c>
      <c r="L260" s="45" t="n">
        <f aca="false">IFERROR(INDEX(medicine_master!$I$2:$I$26,MATCH($C260,medicine_master!$A$2:$A$26,0)),0)</f>
        <v>22</v>
      </c>
      <c r="M260" s="45" t="n">
        <f aca="false">IFERROR(INDEX(medicine_master!$G$2:$G$26,MATCH($C260,medicine_master!$A$2:$A$26,0)),0)</f>
        <v>14</v>
      </c>
      <c r="N260" s="45" t="n">
        <f aca="false">IF(D260="Sale",E260*L260,0)</f>
        <v>0</v>
      </c>
      <c r="O260" s="45" t="n">
        <f aca="false">IF(D260="Sale",E260*M260,0)</f>
        <v>0</v>
      </c>
      <c r="P260" s="45" t="n">
        <f aca="false">N260-O260</f>
        <v>0</v>
      </c>
      <c r="Q260" s="45" t="n">
        <f aca="false">IF(D260="Purchase",E260*M260,0)</f>
        <v>350</v>
      </c>
    </row>
    <row r="261" customFormat="false" ht="15" hidden="false" customHeight="false" outlineLevel="0" collapsed="false">
      <c r="A261" s="39" t="s">
        <v>585</v>
      </c>
      <c r="B261" s="44" t="n">
        <v>46073</v>
      </c>
      <c r="C261" s="39" t="s">
        <v>345</v>
      </c>
      <c r="D261" s="39" t="s">
        <v>137</v>
      </c>
      <c r="E261" s="39" t="n">
        <v>30</v>
      </c>
      <c r="F261" s="39" t="str">
        <f aca="false">IF(COUNTIF(medicine_master!$A$2:$A$26,C261)&gt;0,"Valid","Invalid")</f>
        <v>Valid</v>
      </c>
      <c r="G261" s="39" t="str">
        <f aca="false">IFERROR(INDEX(medicine_master!$B$2:$B$26,MATCH($C261,medicine_master!$A$2:$A$26,0)),"Not found")</f>
        <v>Paracetamol 500mg</v>
      </c>
      <c r="H261" s="39" t="str">
        <f aca="false">IFERROR(INDEX(medicine_master!$C$2:$C$26,MATCH($C261,medicine_master!$A$2:$A$26,0)),"Not found")</f>
        <v>Pain Relief</v>
      </c>
      <c r="I261" s="39" t="n">
        <f aca="false">YEAR(B261)</f>
        <v>2026</v>
      </c>
      <c r="J261" s="39" t="n">
        <f aca="false">MONTH(B261)</f>
        <v>2</v>
      </c>
      <c r="K261" s="39" t="str">
        <f aca="false">TEXT(B261,"mmm")</f>
        <v>Feb</v>
      </c>
      <c r="L261" s="45" t="n">
        <f aca="false">IFERROR(INDEX(medicine_master!$I$2:$I$26,MATCH($C261,medicine_master!$A$2:$A$26,0)),0)</f>
        <v>18</v>
      </c>
      <c r="M261" s="45" t="n">
        <f aca="false">IFERROR(INDEX(medicine_master!$G$2:$G$26,MATCH($C261,medicine_master!$A$2:$A$26,0)),0)</f>
        <v>12</v>
      </c>
      <c r="N261" s="45" t="n">
        <f aca="false">IF(D261="Sale",E261*L261,0)</f>
        <v>540</v>
      </c>
      <c r="O261" s="45" t="n">
        <f aca="false">IF(D261="Sale",E261*M261,0)</f>
        <v>360</v>
      </c>
      <c r="P261" s="45" t="n">
        <f aca="false">N261-O261</f>
        <v>180</v>
      </c>
      <c r="Q261" s="45" t="n">
        <f aca="false">IF(D261="Purchase",E261*M261,0)</f>
        <v>0</v>
      </c>
    </row>
    <row r="262" customFormat="false" ht="15" hidden="false" customHeight="false" outlineLevel="0" collapsed="false">
      <c r="A262" s="39" t="s">
        <v>586</v>
      </c>
      <c r="B262" s="44" t="n">
        <v>46313</v>
      </c>
      <c r="C262" s="39" t="s">
        <v>147</v>
      </c>
      <c r="D262" s="39" t="s">
        <v>137</v>
      </c>
      <c r="E262" s="39" t="n">
        <v>40</v>
      </c>
      <c r="F262" s="39" t="str">
        <f aca="false">IF(COUNTIF(medicine_master!$A$2:$A$26,C262)&gt;0,"Valid","Invalid")</f>
        <v>Valid</v>
      </c>
      <c r="G262" s="39" t="str">
        <f aca="false">IFERROR(INDEX(medicine_master!$B$2:$B$26,MATCH($C262,medicine_master!$A$2:$A$26,0)),"Not found")</f>
        <v>Insulin Injection</v>
      </c>
      <c r="H262" s="39" t="str">
        <f aca="false">IFERROR(INDEX(medicine_master!$C$2:$C$26,MATCH($C262,medicine_master!$A$2:$A$26,0)),"Not found")</f>
        <v>Diabetes</v>
      </c>
      <c r="I262" s="39" t="n">
        <f aca="false">YEAR(B262)</f>
        <v>2026</v>
      </c>
      <c r="J262" s="39" t="n">
        <f aca="false">MONTH(B262)</f>
        <v>10</v>
      </c>
      <c r="K262" s="39" t="str">
        <f aca="false">TEXT(B262,"mmm")</f>
        <v>Oct</v>
      </c>
      <c r="L262" s="45" t="n">
        <f aca="false">IFERROR(INDEX(medicine_master!$I$2:$I$26,MATCH($C262,medicine_master!$A$2:$A$26,0)),0)</f>
        <v>225</v>
      </c>
      <c r="M262" s="45" t="n">
        <f aca="false">IFERROR(INDEX(medicine_master!$G$2:$G$26,MATCH($C262,medicine_master!$A$2:$A$26,0)),0)</f>
        <v>165</v>
      </c>
      <c r="N262" s="45" t="n">
        <f aca="false">IF(D262="Sale",E262*L262,0)</f>
        <v>9000</v>
      </c>
      <c r="O262" s="45" t="n">
        <f aca="false">IF(D262="Sale",E262*M262,0)</f>
        <v>6600</v>
      </c>
      <c r="P262" s="45" t="n">
        <f aca="false">N262-O262</f>
        <v>2400</v>
      </c>
      <c r="Q262" s="45" t="n">
        <f aca="false">IF(D262="Purchase",E262*M262,0)</f>
        <v>0</v>
      </c>
    </row>
    <row r="263" customFormat="false" ht="15" hidden="false" customHeight="false" outlineLevel="0" collapsed="false">
      <c r="A263" s="39" t="s">
        <v>587</v>
      </c>
      <c r="B263" s="44" t="n">
        <v>46187</v>
      </c>
      <c r="C263" s="39" t="s">
        <v>321</v>
      </c>
      <c r="D263" s="39" t="s">
        <v>138</v>
      </c>
      <c r="E263" s="39" t="n">
        <v>15</v>
      </c>
      <c r="F263" s="39" t="str">
        <f aca="false">IF(COUNTIF(medicine_master!$A$2:$A$26,C263)&gt;0,"Valid","Invalid")</f>
        <v>Valid</v>
      </c>
      <c r="G263" s="39" t="str">
        <f aca="false">IFERROR(INDEX(medicine_master!$B$2:$B$26,MATCH($C263,medicine_master!$A$2:$A$26,0)),"Not found")</f>
        <v>Levocetirizine 5mg</v>
      </c>
      <c r="H263" s="39" t="str">
        <f aca="false">IFERROR(INDEX(medicine_master!$C$2:$C$26,MATCH($C263,medicine_master!$A$2:$A$26,0)),"Not found")</f>
        <v>Allergy</v>
      </c>
      <c r="I263" s="39" t="n">
        <f aca="false">YEAR(B263)</f>
        <v>2026</v>
      </c>
      <c r="J263" s="39" t="n">
        <f aca="false">MONTH(B263)</f>
        <v>6</v>
      </c>
      <c r="K263" s="39" t="str">
        <f aca="false">TEXT(B263,"mmm")</f>
        <v>Jun</v>
      </c>
      <c r="L263" s="45" t="n">
        <f aca="false">IFERROR(INDEX(medicine_master!$I$2:$I$26,MATCH($C263,medicine_master!$A$2:$A$26,0)),0)</f>
        <v>22</v>
      </c>
      <c r="M263" s="45" t="n">
        <f aca="false">IFERROR(INDEX(medicine_master!$G$2:$G$26,MATCH($C263,medicine_master!$A$2:$A$26,0)),0)</f>
        <v>14</v>
      </c>
      <c r="N263" s="45" t="n">
        <f aca="false">IF(D263="Sale",E263*L263,0)</f>
        <v>0</v>
      </c>
      <c r="O263" s="45" t="n">
        <f aca="false">IF(D263="Sale",E263*M263,0)</f>
        <v>0</v>
      </c>
      <c r="P263" s="45" t="n">
        <f aca="false">N263-O263</f>
        <v>0</v>
      </c>
      <c r="Q263" s="45" t="n">
        <f aca="false">IF(D263="Purchase",E263*M263,0)</f>
        <v>210</v>
      </c>
    </row>
    <row r="264" customFormat="false" ht="15" hidden="false" customHeight="false" outlineLevel="0" collapsed="false">
      <c r="A264" s="39" t="s">
        <v>588</v>
      </c>
      <c r="B264" s="44" t="n">
        <v>46029</v>
      </c>
      <c r="C264" s="39" t="s">
        <v>150</v>
      </c>
      <c r="D264" s="39" t="s">
        <v>138</v>
      </c>
      <c r="E264" s="39" t="n">
        <v>15</v>
      </c>
      <c r="F264" s="39" t="str">
        <f aca="false">IF(COUNTIF(medicine_master!$A$2:$A$26,C264)&gt;0,"Valid","Invalid")</f>
        <v>Valid</v>
      </c>
      <c r="G264" s="39" t="str">
        <f aca="false">IFERROR(INDEX(medicine_master!$B$2:$B$26,MATCH($C264,medicine_master!$A$2:$A$26,0)),"Not found")</f>
        <v>Pantoprazole 40mg</v>
      </c>
      <c r="H264" s="39" t="str">
        <f aca="false">IFERROR(INDEX(medicine_master!$C$2:$C$26,MATCH($C264,medicine_master!$A$2:$A$26,0)),"Not found")</f>
        <v>Gastric</v>
      </c>
      <c r="I264" s="39" t="n">
        <f aca="false">YEAR(B264)</f>
        <v>2026</v>
      </c>
      <c r="J264" s="39" t="n">
        <f aca="false">MONTH(B264)</f>
        <v>1</v>
      </c>
      <c r="K264" s="39" t="str">
        <f aca="false">TEXT(B264,"mmm")</f>
        <v>Jan</v>
      </c>
      <c r="L264" s="45" t="n">
        <f aca="false">IFERROR(INDEX(medicine_master!$I$2:$I$26,MATCH($C264,medicine_master!$A$2:$A$26,0)),0)</f>
        <v>35</v>
      </c>
      <c r="M264" s="45" t="n">
        <f aca="false">IFERROR(INDEX(medicine_master!$G$2:$G$26,MATCH($C264,medicine_master!$A$2:$A$26,0)),0)</f>
        <v>24</v>
      </c>
      <c r="N264" s="45" t="n">
        <f aca="false">IF(D264="Sale",E264*L264,0)</f>
        <v>0</v>
      </c>
      <c r="O264" s="45" t="n">
        <f aca="false">IF(D264="Sale",E264*M264,0)</f>
        <v>0</v>
      </c>
      <c r="P264" s="45" t="n">
        <f aca="false">N264-O264</f>
        <v>0</v>
      </c>
      <c r="Q264" s="45" t="n">
        <f aca="false">IF(D264="Purchase",E264*M264,0)</f>
        <v>360</v>
      </c>
    </row>
    <row r="265" customFormat="false" ht="15" hidden="false" customHeight="false" outlineLevel="0" collapsed="false">
      <c r="A265" s="39" t="s">
        <v>589</v>
      </c>
      <c r="B265" s="44" t="n">
        <v>46169</v>
      </c>
      <c r="C265" s="39" t="s">
        <v>177</v>
      </c>
      <c r="D265" s="39" t="s">
        <v>138</v>
      </c>
      <c r="E265" s="39" t="n">
        <v>25</v>
      </c>
      <c r="F265" s="39" t="str">
        <f aca="false">IF(COUNTIF(medicine_master!$A$2:$A$26,C265)&gt;0,"Valid","Invalid")</f>
        <v>Valid</v>
      </c>
      <c r="G265" s="39" t="str">
        <f aca="false">IFERROR(INDEX(medicine_master!$B$2:$B$26,MATCH($C265,medicine_master!$A$2:$A$26,0)),"Not found")</f>
        <v>Bandage Roll</v>
      </c>
      <c r="H265" s="39" t="str">
        <f aca="false">IFERROR(INDEX(medicine_master!$C$2:$C$26,MATCH($C265,medicine_master!$A$2:$A$26,0)),"Not found")</f>
        <v>First Aid</v>
      </c>
      <c r="I265" s="39" t="n">
        <f aca="false">YEAR(B265)</f>
        <v>2026</v>
      </c>
      <c r="J265" s="39" t="n">
        <f aca="false">MONTH(B265)</f>
        <v>5</v>
      </c>
      <c r="K265" s="39" t="str">
        <f aca="false">TEXT(B265,"mmm")</f>
        <v>May</v>
      </c>
      <c r="L265" s="45" t="n">
        <f aca="false">IFERROR(INDEX(medicine_master!$I$2:$I$26,MATCH($C265,medicine_master!$A$2:$A$26,0)),0)</f>
        <v>25</v>
      </c>
      <c r="M265" s="45" t="n">
        <f aca="false">IFERROR(INDEX(medicine_master!$G$2:$G$26,MATCH($C265,medicine_master!$A$2:$A$26,0)),0)</f>
        <v>15</v>
      </c>
      <c r="N265" s="45" t="n">
        <f aca="false">IF(D265="Sale",E265*L265,0)</f>
        <v>0</v>
      </c>
      <c r="O265" s="45" t="n">
        <f aca="false">IF(D265="Sale",E265*M265,0)</f>
        <v>0</v>
      </c>
      <c r="P265" s="45" t="n">
        <f aca="false">N265-O265</f>
        <v>0</v>
      </c>
      <c r="Q265" s="45" t="n">
        <f aca="false">IF(D265="Purchase",E265*M265,0)</f>
        <v>375</v>
      </c>
    </row>
    <row r="266" customFormat="false" ht="15" hidden="false" customHeight="false" outlineLevel="0" collapsed="false">
      <c r="A266" s="39" t="s">
        <v>590</v>
      </c>
      <c r="B266" s="44" t="n">
        <v>46210</v>
      </c>
      <c r="C266" s="39" t="s">
        <v>160</v>
      </c>
      <c r="D266" s="39" t="s">
        <v>137</v>
      </c>
      <c r="E266" s="39" t="n">
        <v>30</v>
      </c>
      <c r="F266" s="39" t="str">
        <f aca="false">IF(COUNTIF(medicine_master!$A$2:$A$26,C266)&gt;0,"Valid","Invalid")</f>
        <v>Valid</v>
      </c>
      <c r="G266" s="39" t="str">
        <f aca="false">IFERROR(INDEX(medicine_master!$B$2:$B$26,MATCH($C266,medicine_master!$A$2:$A$26,0)),"Not found")</f>
        <v>Calamine Lotion</v>
      </c>
      <c r="H266" s="39" t="str">
        <f aca="false">IFERROR(INDEX(medicine_master!$C$2:$C$26,MATCH($C266,medicine_master!$A$2:$A$26,0)),"Not found")</f>
        <v>Dermatology</v>
      </c>
      <c r="I266" s="39" t="n">
        <f aca="false">YEAR(B266)</f>
        <v>2026</v>
      </c>
      <c r="J266" s="39" t="n">
        <f aca="false">MONTH(B266)</f>
        <v>7</v>
      </c>
      <c r="K266" s="39" t="str">
        <f aca="false">TEXT(B266,"mmm")</f>
        <v>Jul</v>
      </c>
      <c r="L266" s="45" t="n">
        <f aca="false">IFERROR(INDEX(medicine_master!$I$2:$I$26,MATCH($C266,medicine_master!$A$2:$A$26,0)),0)</f>
        <v>60</v>
      </c>
      <c r="M266" s="45" t="n">
        <f aca="false">IFERROR(INDEX(medicine_master!$G$2:$G$26,MATCH($C266,medicine_master!$A$2:$A$26,0)),0)</f>
        <v>42</v>
      </c>
      <c r="N266" s="45" t="n">
        <f aca="false">IF(D266="Sale",E266*L266,0)</f>
        <v>1800</v>
      </c>
      <c r="O266" s="45" t="n">
        <f aca="false">IF(D266="Sale",E266*M266,0)</f>
        <v>1260</v>
      </c>
      <c r="P266" s="45" t="n">
        <f aca="false">N266-O266</f>
        <v>540</v>
      </c>
      <c r="Q266" s="45" t="n">
        <f aca="false">IF(D266="Purchase",E266*M266,0)</f>
        <v>0</v>
      </c>
    </row>
    <row r="267" customFormat="false" ht="15" hidden="false" customHeight="false" outlineLevel="0" collapsed="false">
      <c r="A267" s="39" t="s">
        <v>591</v>
      </c>
      <c r="B267" s="44" t="n">
        <v>46033</v>
      </c>
      <c r="C267" s="39" t="s">
        <v>150</v>
      </c>
      <c r="D267" s="39" t="s">
        <v>137</v>
      </c>
      <c r="E267" s="39" t="n">
        <v>20</v>
      </c>
      <c r="F267" s="39" t="str">
        <f aca="false">IF(COUNTIF(medicine_master!$A$2:$A$26,C267)&gt;0,"Valid","Invalid")</f>
        <v>Valid</v>
      </c>
      <c r="G267" s="39" t="str">
        <f aca="false">IFERROR(INDEX(medicine_master!$B$2:$B$26,MATCH($C267,medicine_master!$A$2:$A$26,0)),"Not found")</f>
        <v>Pantoprazole 40mg</v>
      </c>
      <c r="H267" s="39" t="str">
        <f aca="false">IFERROR(INDEX(medicine_master!$C$2:$C$26,MATCH($C267,medicine_master!$A$2:$A$26,0)),"Not found")</f>
        <v>Gastric</v>
      </c>
      <c r="I267" s="39" t="n">
        <f aca="false">YEAR(B267)</f>
        <v>2026</v>
      </c>
      <c r="J267" s="39" t="n">
        <f aca="false">MONTH(B267)</f>
        <v>1</v>
      </c>
      <c r="K267" s="39" t="str">
        <f aca="false">TEXT(B267,"mmm")</f>
        <v>Jan</v>
      </c>
      <c r="L267" s="45" t="n">
        <f aca="false">IFERROR(INDEX(medicine_master!$I$2:$I$26,MATCH($C267,medicine_master!$A$2:$A$26,0)),0)</f>
        <v>35</v>
      </c>
      <c r="M267" s="45" t="n">
        <f aca="false">IFERROR(INDEX(medicine_master!$G$2:$G$26,MATCH($C267,medicine_master!$A$2:$A$26,0)),0)</f>
        <v>24</v>
      </c>
      <c r="N267" s="45" t="n">
        <f aca="false">IF(D267="Sale",E267*L267,0)</f>
        <v>700</v>
      </c>
      <c r="O267" s="45" t="n">
        <f aca="false">IF(D267="Sale",E267*M267,0)</f>
        <v>480</v>
      </c>
      <c r="P267" s="45" t="n">
        <f aca="false">N267-O267</f>
        <v>220</v>
      </c>
      <c r="Q267" s="45" t="n">
        <f aca="false">IF(D267="Purchase",E267*M267,0)</f>
        <v>0</v>
      </c>
    </row>
    <row r="268" customFormat="false" ht="15" hidden="false" customHeight="false" outlineLevel="0" collapsed="false">
      <c r="A268" s="39" t="s">
        <v>592</v>
      </c>
      <c r="B268" s="44" t="n">
        <v>46141</v>
      </c>
      <c r="C268" s="39" t="s">
        <v>144</v>
      </c>
      <c r="D268" s="39" t="s">
        <v>137</v>
      </c>
      <c r="E268" s="39" t="n">
        <v>15</v>
      </c>
      <c r="F268" s="39" t="str">
        <f aca="false">IF(COUNTIF(medicine_master!$A$2:$A$26,C268)&gt;0,"Valid","Invalid")</f>
        <v>Valid</v>
      </c>
      <c r="G268" s="39" t="str">
        <f aca="false">IFERROR(INDEX(medicine_master!$B$2:$B$26,MATCH($C268,medicine_master!$A$2:$A$26,0)),"Not found")</f>
        <v>Glimepiride 2mg</v>
      </c>
      <c r="H268" s="39" t="str">
        <f aca="false">IFERROR(INDEX(medicine_master!$C$2:$C$26,MATCH($C268,medicine_master!$A$2:$A$26,0)),"Not found")</f>
        <v>Diabetes</v>
      </c>
      <c r="I268" s="39" t="n">
        <f aca="false">YEAR(B268)</f>
        <v>2026</v>
      </c>
      <c r="J268" s="39" t="n">
        <f aca="false">MONTH(B268)</f>
        <v>4</v>
      </c>
      <c r="K268" s="39" t="str">
        <f aca="false">TEXT(B268,"mmm")</f>
        <v>Apr</v>
      </c>
      <c r="L268" s="45" t="n">
        <f aca="false">IFERROR(INDEX(medicine_master!$I$2:$I$26,MATCH($C268,medicine_master!$A$2:$A$26,0)),0)</f>
        <v>52</v>
      </c>
      <c r="M268" s="45" t="n">
        <f aca="false">IFERROR(INDEX(medicine_master!$G$2:$G$26,MATCH($C268,medicine_master!$A$2:$A$26,0)),0)</f>
        <v>38</v>
      </c>
      <c r="N268" s="45" t="n">
        <f aca="false">IF(D268="Sale",E268*L268,0)</f>
        <v>780</v>
      </c>
      <c r="O268" s="45" t="n">
        <f aca="false">IF(D268="Sale",E268*M268,0)</f>
        <v>570</v>
      </c>
      <c r="P268" s="45" t="n">
        <f aca="false">N268-O268</f>
        <v>210</v>
      </c>
      <c r="Q268" s="45" t="n">
        <f aca="false">IF(D268="Purchase",E268*M268,0)</f>
        <v>0</v>
      </c>
    </row>
    <row r="269" customFormat="false" ht="15" hidden="false" customHeight="false" outlineLevel="0" collapsed="false">
      <c r="A269" s="39" t="s">
        <v>593</v>
      </c>
      <c r="B269" s="44" t="n">
        <v>46278</v>
      </c>
      <c r="C269" s="39" t="s">
        <v>326</v>
      </c>
      <c r="D269" s="39" t="s">
        <v>137</v>
      </c>
      <c r="E269" s="39" t="n">
        <v>15</v>
      </c>
      <c r="F269" s="39" t="str">
        <f aca="false">IF(COUNTIF(medicine_master!$A$2:$A$26,C269)&gt;0,"Valid","Invalid")</f>
        <v>Valid</v>
      </c>
      <c r="G269" s="39" t="str">
        <f aca="false">IFERROR(INDEX(medicine_master!$B$2:$B$26,MATCH($C269,medicine_master!$A$2:$A$26,0)),"Not found")</f>
        <v>Omeprazole 20mg</v>
      </c>
      <c r="H269" s="39" t="str">
        <f aca="false">IFERROR(INDEX(medicine_master!$C$2:$C$26,MATCH($C269,medicine_master!$A$2:$A$26,0)),"Not found")</f>
        <v>Gastric</v>
      </c>
      <c r="I269" s="39" t="n">
        <f aca="false">YEAR(B269)</f>
        <v>2026</v>
      </c>
      <c r="J269" s="39" t="n">
        <f aca="false">MONTH(B269)</f>
        <v>9</v>
      </c>
      <c r="K269" s="39" t="str">
        <f aca="false">TEXT(B269,"mmm")</f>
        <v>Sep</v>
      </c>
      <c r="L269" s="45" t="n">
        <f aca="false">IFERROR(INDEX(medicine_master!$I$2:$I$26,MATCH($C269,medicine_master!$A$2:$A$26,0)),0)</f>
        <v>26</v>
      </c>
      <c r="M269" s="45" t="n">
        <f aca="false">IFERROR(INDEX(medicine_master!$G$2:$G$26,MATCH($C269,medicine_master!$A$2:$A$26,0)),0)</f>
        <v>18</v>
      </c>
      <c r="N269" s="45" t="n">
        <f aca="false">IF(D269="Sale",E269*L269,0)</f>
        <v>390</v>
      </c>
      <c r="O269" s="45" t="n">
        <f aca="false">IF(D269="Sale",E269*M269,0)</f>
        <v>270</v>
      </c>
      <c r="P269" s="45" t="n">
        <f aca="false">N269-O269</f>
        <v>120</v>
      </c>
      <c r="Q269" s="45" t="n">
        <f aca="false">IF(D269="Purchase",E269*M269,0)</f>
        <v>0</v>
      </c>
    </row>
    <row r="270" customFormat="false" ht="15" hidden="false" customHeight="false" outlineLevel="0" collapsed="false">
      <c r="A270" s="39" t="s">
        <v>594</v>
      </c>
      <c r="B270" s="44" t="n">
        <v>46364</v>
      </c>
      <c r="C270" s="39" t="s">
        <v>144</v>
      </c>
      <c r="D270" s="39" t="s">
        <v>138</v>
      </c>
      <c r="E270" s="39" t="n">
        <v>40</v>
      </c>
      <c r="F270" s="39" t="str">
        <f aca="false">IF(COUNTIF(medicine_master!$A$2:$A$26,C270)&gt;0,"Valid","Invalid")</f>
        <v>Valid</v>
      </c>
      <c r="G270" s="39" t="str">
        <f aca="false">IFERROR(INDEX(medicine_master!$B$2:$B$26,MATCH($C270,medicine_master!$A$2:$A$26,0)),"Not found")</f>
        <v>Glimepiride 2mg</v>
      </c>
      <c r="H270" s="39" t="str">
        <f aca="false">IFERROR(INDEX(medicine_master!$C$2:$C$26,MATCH($C270,medicine_master!$A$2:$A$26,0)),"Not found")</f>
        <v>Diabetes</v>
      </c>
      <c r="I270" s="39" t="n">
        <f aca="false">YEAR(B270)</f>
        <v>2026</v>
      </c>
      <c r="J270" s="39" t="n">
        <f aca="false">MONTH(B270)</f>
        <v>12</v>
      </c>
      <c r="K270" s="39" t="str">
        <f aca="false">TEXT(B270,"mmm")</f>
        <v>Dec</v>
      </c>
      <c r="L270" s="45" t="n">
        <f aca="false">IFERROR(INDEX(medicine_master!$I$2:$I$26,MATCH($C270,medicine_master!$A$2:$A$26,0)),0)</f>
        <v>52</v>
      </c>
      <c r="M270" s="45" t="n">
        <f aca="false">IFERROR(INDEX(medicine_master!$G$2:$G$26,MATCH($C270,medicine_master!$A$2:$A$26,0)),0)</f>
        <v>38</v>
      </c>
      <c r="N270" s="45" t="n">
        <f aca="false">IF(D270="Sale",E270*L270,0)</f>
        <v>0</v>
      </c>
      <c r="O270" s="45" t="n">
        <f aca="false">IF(D270="Sale",E270*M270,0)</f>
        <v>0</v>
      </c>
      <c r="P270" s="45" t="n">
        <f aca="false">N270-O270</f>
        <v>0</v>
      </c>
      <c r="Q270" s="45" t="n">
        <f aca="false">IF(D270="Purchase",E270*M270,0)</f>
        <v>1520</v>
      </c>
    </row>
    <row r="271" customFormat="false" ht="15" hidden="false" customHeight="false" outlineLevel="0" collapsed="false">
      <c r="A271" s="39" t="s">
        <v>595</v>
      </c>
      <c r="B271" s="44" t="n">
        <v>46142</v>
      </c>
      <c r="C271" s="39" t="s">
        <v>153</v>
      </c>
      <c r="D271" s="39" t="s">
        <v>137</v>
      </c>
      <c r="E271" s="39" t="n">
        <v>10</v>
      </c>
      <c r="F271" s="39" t="str">
        <f aca="false">IF(COUNTIF(medicine_master!$A$2:$A$26,C271)&gt;0,"Valid","Invalid")</f>
        <v>Valid</v>
      </c>
      <c r="G271" s="39" t="str">
        <f aca="false">IFERROR(INDEX(medicine_master!$B$2:$B$26,MATCH($C271,medicine_master!$A$2:$A$26,0)),"Not found")</f>
        <v>Atorvastatin 10mg</v>
      </c>
      <c r="H271" s="39" t="str">
        <f aca="false">IFERROR(INDEX(medicine_master!$C$2:$C$26,MATCH($C271,medicine_master!$A$2:$A$26,0)),"Not found")</f>
        <v>Cardiac</v>
      </c>
      <c r="I271" s="39" t="n">
        <f aca="false">YEAR(B271)</f>
        <v>2026</v>
      </c>
      <c r="J271" s="39" t="n">
        <f aca="false">MONTH(B271)</f>
        <v>4</v>
      </c>
      <c r="K271" s="39" t="str">
        <f aca="false">TEXT(B271,"mmm")</f>
        <v>Apr</v>
      </c>
      <c r="L271" s="45" t="n">
        <f aca="false">IFERROR(INDEX(medicine_master!$I$2:$I$26,MATCH($C271,medicine_master!$A$2:$A$26,0)),0)</f>
        <v>28</v>
      </c>
      <c r="M271" s="45" t="n">
        <f aca="false">IFERROR(INDEX(medicine_master!$G$2:$G$26,MATCH($C271,medicine_master!$A$2:$A$26,0)),0)</f>
        <v>19</v>
      </c>
      <c r="N271" s="45" t="n">
        <f aca="false">IF(D271="Sale",E271*L271,0)</f>
        <v>280</v>
      </c>
      <c r="O271" s="45" t="n">
        <f aca="false">IF(D271="Sale",E271*M271,0)</f>
        <v>190</v>
      </c>
      <c r="P271" s="45" t="n">
        <f aca="false">N271-O271</f>
        <v>90</v>
      </c>
      <c r="Q271" s="45" t="n">
        <f aca="false">IF(D271="Purchase",E271*M271,0)</f>
        <v>0</v>
      </c>
    </row>
    <row r="272" customFormat="false" ht="15" hidden="false" customHeight="false" outlineLevel="0" collapsed="false">
      <c r="A272" s="39" t="s">
        <v>596</v>
      </c>
      <c r="B272" s="44" t="n">
        <v>46137</v>
      </c>
      <c r="C272" s="39" t="s">
        <v>145</v>
      </c>
      <c r="D272" s="39" t="s">
        <v>138</v>
      </c>
      <c r="E272" s="39" t="n">
        <v>25</v>
      </c>
      <c r="F272" s="39" t="str">
        <f aca="false">IF(COUNTIF(medicine_master!$A$2:$A$26,C272)&gt;0,"Valid","Invalid")</f>
        <v>Valid</v>
      </c>
      <c r="G272" s="39" t="str">
        <f aca="false">IFERROR(INDEX(medicine_master!$B$2:$B$26,MATCH($C272,medicine_master!$A$2:$A$26,0)),"Not found")</f>
        <v>Clotrimazole Cream</v>
      </c>
      <c r="H272" s="39" t="str">
        <f aca="false">IFERROR(INDEX(medicine_master!$C$2:$C$26,MATCH($C272,medicine_master!$A$2:$A$26,0)),"Not found")</f>
        <v>Dermatology</v>
      </c>
      <c r="I272" s="39" t="n">
        <f aca="false">YEAR(B272)</f>
        <v>2026</v>
      </c>
      <c r="J272" s="39" t="n">
        <f aca="false">MONTH(B272)</f>
        <v>4</v>
      </c>
      <c r="K272" s="39" t="str">
        <f aca="false">TEXT(B272,"mmm")</f>
        <v>Apr</v>
      </c>
      <c r="L272" s="45" t="n">
        <f aca="false">IFERROR(INDEX(medicine_master!$I$2:$I$26,MATCH($C272,medicine_master!$A$2:$A$26,0)),0)</f>
        <v>48</v>
      </c>
      <c r="M272" s="45" t="n">
        <f aca="false">IFERROR(INDEX(medicine_master!$G$2:$G$26,MATCH($C272,medicine_master!$A$2:$A$26,0)),0)</f>
        <v>32</v>
      </c>
      <c r="N272" s="45" t="n">
        <f aca="false">IF(D272="Sale",E272*L272,0)</f>
        <v>0</v>
      </c>
      <c r="O272" s="45" t="n">
        <f aca="false">IF(D272="Sale",E272*M272,0)</f>
        <v>0</v>
      </c>
      <c r="P272" s="45" t="n">
        <f aca="false">N272-O272</f>
        <v>0</v>
      </c>
      <c r="Q272" s="45" t="n">
        <f aca="false">IF(D272="Purchase",E272*M272,0)</f>
        <v>800</v>
      </c>
    </row>
    <row r="273" customFormat="false" ht="15" hidden="false" customHeight="false" outlineLevel="0" collapsed="false">
      <c r="A273" s="39" t="s">
        <v>597</v>
      </c>
      <c r="B273" s="44" t="n">
        <v>46259</v>
      </c>
      <c r="C273" s="39" t="s">
        <v>178</v>
      </c>
      <c r="D273" s="39" t="s">
        <v>138</v>
      </c>
      <c r="E273" s="39" t="n">
        <v>10</v>
      </c>
      <c r="F273" s="39" t="str">
        <f aca="false">IF(COUNTIF(medicine_master!$A$2:$A$26,C273)&gt;0,"Valid","Invalid")</f>
        <v>Valid</v>
      </c>
      <c r="G273" s="39" t="str">
        <f aca="false">IFERROR(INDEX(medicine_master!$B$2:$B$26,MATCH($C273,medicine_master!$A$2:$A$26,0)),"Not found")</f>
        <v>Aspirin 75mg</v>
      </c>
      <c r="H273" s="39" t="str">
        <f aca="false">IFERROR(INDEX(medicine_master!$C$2:$C$26,MATCH($C273,medicine_master!$A$2:$A$26,0)),"Not found")</f>
        <v>Cardiac</v>
      </c>
      <c r="I273" s="39" t="n">
        <f aca="false">YEAR(B273)</f>
        <v>2026</v>
      </c>
      <c r="J273" s="39" t="n">
        <f aca="false">MONTH(B273)</f>
        <v>8</v>
      </c>
      <c r="K273" s="39" t="str">
        <f aca="false">TEXT(B273,"mmm")</f>
        <v>Aug</v>
      </c>
      <c r="L273" s="45" t="n">
        <f aca="false">IFERROR(INDEX(medicine_master!$I$2:$I$26,MATCH($C273,medicine_master!$A$2:$A$26,0)),0)</f>
        <v>15</v>
      </c>
      <c r="M273" s="45" t="n">
        <f aca="false">IFERROR(INDEX(medicine_master!$G$2:$G$26,MATCH($C273,medicine_master!$A$2:$A$26,0)),0)</f>
        <v>10</v>
      </c>
      <c r="N273" s="45" t="n">
        <f aca="false">IF(D273="Sale",E273*L273,0)</f>
        <v>0</v>
      </c>
      <c r="O273" s="45" t="n">
        <f aca="false">IF(D273="Sale",E273*M273,0)</f>
        <v>0</v>
      </c>
      <c r="P273" s="45" t="n">
        <f aca="false">N273-O273</f>
        <v>0</v>
      </c>
      <c r="Q273" s="45" t="n">
        <f aca="false">IF(D273="Purchase",E273*M273,0)</f>
        <v>100</v>
      </c>
    </row>
    <row r="274" customFormat="false" ht="15" hidden="false" customHeight="false" outlineLevel="0" collapsed="false">
      <c r="A274" s="39" t="s">
        <v>598</v>
      </c>
      <c r="B274" s="44" t="n">
        <v>46257</v>
      </c>
      <c r="C274" s="39" t="s">
        <v>153</v>
      </c>
      <c r="D274" s="39" t="s">
        <v>137</v>
      </c>
      <c r="E274" s="39" t="n">
        <v>20</v>
      </c>
      <c r="F274" s="39" t="str">
        <f aca="false">IF(COUNTIF(medicine_master!$A$2:$A$26,C274)&gt;0,"Valid","Invalid")</f>
        <v>Valid</v>
      </c>
      <c r="G274" s="39" t="str">
        <f aca="false">IFERROR(INDEX(medicine_master!$B$2:$B$26,MATCH($C274,medicine_master!$A$2:$A$26,0)),"Not found")</f>
        <v>Atorvastatin 10mg</v>
      </c>
      <c r="H274" s="39" t="str">
        <f aca="false">IFERROR(INDEX(medicine_master!$C$2:$C$26,MATCH($C274,medicine_master!$A$2:$A$26,0)),"Not found")</f>
        <v>Cardiac</v>
      </c>
      <c r="I274" s="39" t="n">
        <f aca="false">YEAR(B274)</f>
        <v>2026</v>
      </c>
      <c r="J274" s="39" t="n">
        <f aca="false">MONTH(B274)</f>
        <v>8</v>
      </c>
      <c r="K274" s="39" t="str">
        <f aca="false">TEXT(B274,"mmm")</f>
        <v>Aug</v>
      </c>
      <c r="L274" s="45" t="n">
        <f aca="false">IFERROR(INDEX(medicine_master!$I$2:$I$26,MATCH($C274,medicine_master!$A$2:$A$26,0)),0)</f>
        <v>28</v>
      </c>
      <c r="M274" s="45" t="n">
        <f aca="false">IFERROR(INDEX(medicine_master!$G$2:$G$26,MATCH($C274,medicine_master!$A$2:$A$26,0)),0)</f>
        <v>19</v>
      </c>
      <c r="N274" s="45" t="n">
        <f aca="false">IF(D274="Sale",E274*L274,0)</f>
        <v>560</v>
      </c>
      <c r="O274" s="45" t="n">
        <f aca="false">IF(D274="Sale",E274*M274,0)</f>
        <v>380</v>
      </c>
      <c r="P274" s="45" t="n">
        <f aca="false">N274-O274</f>
        <v>180</v>
      </c>
      <c r="Q274" s="45" t="n">
        <f aca="false">IF(D274="Purchase",E274*M274,0)</f>
        <v>0</v>
      </c>
    </row>
    <row r="275" customFormat="false" ht="15" hidden="false" customHeight="false" outlineLevel="0" collapsed="false">
      <c r="A275" s="39" t="s">
        <v>599</v>
      </c>
      <c r="B275" s="44" t="n">
        <v>46131</v>
      </c>
      <c r="C275" s="39" t="s">
        <v>179</v>
      </c>
      <c r="D275" s="39" t="s">
        <v>138</v>
      </c>
      <c r="E275" s="39" t="n">
        <v>5</v>
      </c>
      <c r="F275" s="39" t="str">
        <f aca="false">IF(COUNTIF(medicine_master!$A$2:$A$26,C275)&gt;0,"Valid","Invalid")</f>
        <v>Valid</v>
      </c>
      <c r="G275" s="39" t="str">
        <f aca="false">IFERROR(INDEX(medicine_master!$B$2:$B$26,MATCH($C275,medicine_master!$A$2:$A$26,0)),"Not found")</f>
        <v>Ibuprofen 400mg</v>
      </c>
      <c r="H275" s="39" t="str">
        <f aca="false">IFERROR(INDEX(medicine_master!$C$2:$C$26,MATCH($C275,medicine_master!$A$2:$A$26,0)),"Not found")</f>
        <v>Pain Relief</v>
      </c>
      <c r="I275" s="39" t="n">
        <f aca="false">YEAR(B275)</f>
        <v>2026</v>
      </c>
      <c r="J275" s="39" t="n">
        <f aca="false">MONTH(B275)</f>
        <v>4</v>
      </c>
      <c r="K275" s="39" t="str">
        <f aca="false">TEXT(B275,"mmm")</f>
        <v>Apr</v>
      </c>
      <c r="L275" s="45" t="n">
        <f aca="false">IFERROR(INDEX(medicine_master!$I$2:$I$26,MATCH($C275,medicine_master!$A$2:$A$26,0)),0)</f>
        <v>30</v>
      </c>
      <c r="M275" s="45" t="n">
        <f aca="false">IFERROR(INDEX(medicine_master!$G$2:$G$26,MATCH($C275,medicine_master!$A$2:$A$26,0)),0)</f>
        <v>22</v>
      </c>
      <c r="N275" s="45" t="n">
        <f aca="false">IF(D275="Sale",E275*L275,0)</f>
        <v>0</v>
      </c>
      <c r="O275" s="45" t="n">
        <f aca="false">IF(D275="Sale",E275*M275,0)</f>
        <v>0</v>
      </c>
      <c r="P275" s="45" t="n">
        <f aca="false">N275-O275</f>
        <v>0</v>
      </c>
      <c r="Q275" s="45" t="n">
        <f aca="false">IF(D275="Purchase",E275*M275,0)</f>
        <v>110</v>
      </c>
    </row>
    <row r="276" customFormat="false" ht="15" hidden="false" customHeight="false" outlineLevel="0" collapsed="false">
      <c r="A276" s="39" t="s">
        <v>600</v>
      </c>
      <c r="B276" s="44" t="n">
        <v>46168</v>
      </c>
      <c r="C276" s="39" t="s">
        <v>390</v>
      </c>
      <c r="D276" s="39" t="s">
        <v>137</v>
      </c>
      <c r="E276" s="39" t="n">
        <v>20</v>
      </c>
      <c r="F276" s="39" t="str">
        <f aca="false">IF(COUNTIF(medicine_master!$A$2:$A$26,C276)&gt;0,"Valid","Invalid")</f>
        <v>Valid</v>
      </c>
      <c r="G276" s="39" t="str">
        <f aca="false">IFERROR(INDEX(medicine_master!$B$2:$B$26,MATCH($C276,medicine_master!$A$2:$A$26,0)),"Not found")</f>
        <v>Montelukast 10mg</v>
      </c>
      <c r="H276" s="39" t="str">
        <f aca="false">IFERROR(INDEX(medicine_master!$C$2:$C$26,MATCH($C276,medicine_master!$A$2:$A$26,0)),"Not found")</f>
        <v>Allergy</v>
      </c>
      <c r="I276" s="39" t="n">
        <f aca="false">YEAR(B276)</f>
        <v>2026</v>
      </c>
      <c r="J276" s="39" t="n">
        <f aca="false">MONTH(B276)</f>
        <v>5</v>
      </c>
      <c r="K276" s="39" t="str">
        <f aca="false">TEXT(B276,"mmm")</f>
        <v>May</v>
      </c>
      <c r="L276" s="45" t="n">
        <f aca="false">IFERROR(INDEX(medicine_master!$I$2:$I$26,MATCH($C276,medicine_master!$A$2:$A$26,0)),0)</f>
        <v>39</v>
      </c>
      <c r="M276" s="45" t="n">
        <f aca="false">IFERROR(INDEX(medicine_master!$G$2:$G$26,MATCH($C276,medicine_master!$A$2:$A$26,0)),0)</f>
        <v>27</v>
      </c>
      <c r="N276" s="45" t="n">
        <f aca="false">IF(D276="Sale",E276*L276,0)</f>
        <v>780</v>
      </c>
      <c r="O276" s="45" t="n">
        <f aca="false">IF(D276="Sale",E276*M276,0)</f>
        <v>540</v>
      </c>
      <c r="P276" s="45" t="n">
        <f aca="false">N276-O276</f>
        <v>240</v>
      </c>
      <c r="Q276" s="45" t="n">
        <f aca="false">IF(D276="Purchase",E276*M276,0)</f>
        <v>0</v>
      </c>
    </row>
    <row r="277" customFormat="false" ht="15" hidden="false" customHeight="false" outlineLevel="0" collapsed="false">
      <c r="A277" s="39" t="s">
        <v>601</v>
      </c>
      <c r="B277" s="44" t="n">
        <v>46056</v>
      </c>
      <c r="C277" s="39" t="s">
        <v>145</v>
      </c>
      <c r="D277" s="39" t="s">
        <v>137</v>
      </c>
      <c r="E277" s="39" t="n">
        <v>20</v>
      </c>
      <c r="F277" s="39" t="str">
        <f aca="false">IF(COUNTIF(medicine_master!$A$2:$A$26,C277)&gt;0,"Valid","Invalid")</f>
        <v>Valid</v>
      </c>
      <c r="G277" s="39" t="str">
        <f aca="false">IFERROR(INDEX(medicine_master!$B$2:$B$26,MATCH($C277,medicine_master!$A$2:$A$26,0)),"Not found")</f>
        <v>Clotrimazole Cream</v>
      </c>
      <c r="H277" s="39" t="str">
        <f aca="false">IFERROR(INDEX(medicine_master!$C$2:$C$26,MATCH($C277,medicine_master!$A$2:$A$26,0)),"Not found")</f>
        <v>Dermatology</v>
      </c>
      <c r="I277" s="39" t="n">
        <f aca="false">YEAR(B277)</f>
        <v>2026</v>
      </c>
      <c r="J277" s="39" t="n">
        <f aca="false">MONTH(B277)</f>
        <v>2</v>
      </c>
      <c r="K277" s="39" t="str">
        <f aca="false">TEXT(B277,"mmm")</f>
        <v>Feb</v>
      </c>
      <c r="L277" s="45" t="n">
        <f aca="false">IFERROR(INDEX(medicine_master!$I$2:$I$26,MATCH($C277,medicine_master!$A$2:$A$26,0)),0)</f>
        <v>48</v>
      </c>
      <c r="M277" s="45" t="n">
        <f aca="false">IFERROR(INDEX(medicine_master!$G$2:$G$26,MATCH($C277,medicine_master!$A$2:$A$26,0)),0)</f>
        <v>32</v>
      </c>
      <c r="N277" s="45" t="n">
        <f aca="false">IF(D277="Sale",E277*L277,0)</f>
        <v>960</v>
      </c>
      <c r="O277" s="45" t="n">
        <f aca="false">IF(D277="Sale",E277*M277,0)</f>
        <v>640</v>
      </c>
      <c r="P277" s="45" t="n">
        <f aca="false">N277-O277</f>
        <v>320</v>
      </c>
      <c r="Q277" s="45" t="n">
        <f aca="false">IF(D277="Purchase",E277*M277,0)</f>
        <v>0</v>
      </c>
    </row>
    <row r="278" customFormat="false" ht="15" hidden="false" customHeight="false" outlineLevel="0" collapsed="false">
      <c r="A278" s="39" t="s">
        <v>602</v>
      </c>
      <c r="B278" s="44" t="n">
        <v>46098</v>
      </c>
      <c r="C278" s="39" t="s">
        <v>148</v>
      </c>
      <c r="D278" s="39" t="s">
        <v>138</v>
      </c>
      <c r="E278" s="39" t="n">
        <v>10</v>
      </c>
      <c r="F278" s="39" t="str">
        <f aca="false">IF(COUNTIF(medicine_master!$A$2:$A$26,C278)&gt;0,"Valid","Invalid")</f>
        <v>Valid</v>
      </c>
      <c r="G278" s="39" t="str">
        <f aca="false">IFERROR(INDEX(medicine_master!$B$2:$B$26,MATCH($C278,medicine_master!$A$2:$A$26,0)),"Not found")</f>
        <v>Dextromethorphan Syrup</v>
      </c>
      <c r="H278" s="39" t="str">
        <f aca="false">IFERROR(INDEX(medicine_master!$C$2:$C$26,MATCH($C278,medicine_master!$A$2:$A$26,0)),"Not found")</f>
        <v>Cold &amp; Cough</v>
      </c>
      <c r="I278" s="39" t="n">
        <f aca="false">YEAR(B278)</f>
        <v>2026</v>
      </c>
      <c r="J278" s="39" t="n">
        <f aca="false">MONTH(B278)</f>
        <v>3</v>
      </c>
      <c r="K278" s="39" t="str">
        <f aca="false">TEXT(B278,"mmm")</f>
        <v>Mar</v>
      </c>
      <c r="L278" s="45" t="n">
        <f aca="false">IFERROR(INDEX(medicine_master!$I$2:$I$26,MATCH($C278,medicine_master!$A$2:$A$26,0)),0)</f>
        <v>80</v>
      </c>
      <c r="M278" s="45" t="n">
        <f aca="false">IFERROR(INDEX(medicine_master!$G$2:$G$26,MATCH($C278,medicine_master!$A$2:$A$26,0)),0)</f>
        <v>58</v>
      </c>
      <c r="N278" s="45" t="n">
        <f aca="false">IF(D278="Sale",E278*L278,0)</f>
        <v>0</v>
      </c>
      <c r="O278" s="45" t="n">
        <f aca="false">IF(D278="Sale",E278*M278,0)</f>
        <v>0</v>
      </c>
      <c r="P278" s="45" t="n">
        <f aca="false">N278-O278</f>
        <v>0</v>
      </c>
      <c r="Q278" s="45" t="n">
        <f aca="false">IF(D278="Purchase",E278*M278,0)</f>
        <v>580</v>
      </c>
    </row>
    <row r="279" customFormat="false" ht="15" hidden="false" customHeight="false" outlineLevel="0" collapsed="false">
      <c r="A279" s="39" t="s">
        <v>603</v>
      </c>
      <c r="B279" s="44" t="n">
        <v>46049</v>
      </c>
      <c r="C279" s="39" t="s">
        <v>178</v>
      </c>
      <c r="D279" s="39" t="s">
        <v>138</v>
      </c>
      <c r="E279" s="39" t="n">
        <v>30</v>
      </c>
      <c r="F279" s="39" t="str">
        <f aca="false">IF(COUNTIF(medicine_master!$A$2:$A$26,C279)&gt;0,"Valid","Invalid")</f>
        <v>Valid</v>
      </c>
      <c r="G279" s="39" t="str">
        <f aca="false">IFERROR(INDEX(medicine_master!$B$2:$B$26,MATCH($C279,medicine_master!$A$2:$A$26,0)),"Not found")</f>
        <v>Aspirin 75mg</v>
      </c>
      <c r="H279" s="39" t="str">
        <f aca="false">IFERROR(INDEX(medicine_master!$C$2:$C$26,MATCH($C279,medicine_master!$A$2:$A$26,0)),"Not found")</f>
        <v>Cardiac</v>
      </c>
      <c r="I279" s="39" t="n">
        <f aca="false">YEAR(B279)</f>
        <v>2026</v>
      </c>
      <c r="J279" s="39" t="n">
        <f aca="false">MONTH(B279)</f>
        <v>1</v>
      </c>
      <c r="K279" s="39" t="str">
        <f aca="false">TEXT(B279,"mmm")</f>
        <v>Jan</v>
      </c>
      <c r="L279" s="45" t="n">
        <f aca="false">IFERROR(INDEX(medicine_master!$I$2:$I$26,MATCH($C279,medicine_master!$A$2:$A$26,0)),0)</f>
        <v>15</v>
      </c>
      <c r="M279" s="45" t="n">
        <f aca="false">IFERROR(INDEX(medicine_master!$G$2:$G$26,MATCH($C279,medicine_master!$A$2:$A$26,0)),0)</f>
        <v>10</v>
      </c>
      <c r="N279" s="45" t="n">
        <f aca="false">IF(D279="Sale",E279*L279,0)</f>
        <v>0</v>
      </c>
      <c r="O279" s="45" t="n">
        <f aca="false">IF(D279="Sale",E279*M279,0)</f>
        <v>0</v>
      </c>
      <c r="P279" s="45" t="n">
        <f aca="false">N279-O279</f>
        <v>0</v>
      </c>
      <c r="Q279" s="45" t="n">
        <f aca="false">IF(D279="Purchase",E279*M279,0)</f>
        <v>300</v>
      </c>
    </row>
    <row r="280" customFormat="false" ht="15" hidden="false" customHeight="false" outlineLevel="0" collapsed="false">
      <c r="A280" s="39" t="s">
        <v>604</v>
      </c>
      <c r="B280" s="44" t="n">
        <v>46120</v>
      </c>
      <c r="C280" s="39" t="s">
        <v>144</v>
      </c>
      <c r="D280" s="39" t="s">
        <v>137</v>
      </c>
      <c r="E280" s="39" t="n">
        <v>20</v>
      </c>
      <c r="F280" s="39" t="str">
        <f aca="false">IF(COUNTIF(medicine_master!$A$2:$A$26,C280)&gt;0,"Valid","Invalid")</f>
        <v>Valid</v>
      </c>
      <c r="G280" s="39" t="str">
        <f aca="false">IFERROR(INDEX(medicine_master!$B$2:$B$26,MATCH($C280,medicine_master!$A$2:$A$26,0)),"Not found")</f>
        <v>Glimepiride 2mg</v>
      </c>
      <c r="H280" s="39" t="str">
        <f aca="false">IFERROR(INDEX(medicine_master!$C$2:$C$26,MATCH($C280,medicine_master!$A$2:$A$26,0)),"Not found")</f>
        <v>Diabetes</v>
      </c>
      <c r="I280" s="39" t="n">
        <f aca="false">YEAR(B280)</f>
        <v>2026</v>
      </c>
      <c r="J280" s="39" t="n">
        <f aca="false">MONTH(B280)</f>
        <v>4</v>
      </c>
      <c r="K280" s="39" t="str">
        <f aca="false">TEXT(B280,"mmm")</f>
        <v>Apr</v>
      </c>
      <c r="L280" s="45" t="n">
        <f aca="false">IFERROR(INDEX(medicine_master!$I$2:$I$26,MATCH($C280,medicine_master!$A$2:$A$26,0)),0)</f>
        <v>52</v>
      </c>
      <c r="M280" s="45" t="n">
        <f aca="false">IFERROR(INDEX(medicine_master!$G$2:$G$26,MATCH($C280,medicine_master!$A$2:$A$26,0)),0)</f>
        <v>38</v>
      </c>
      <c r="N280" s="45" t="n">
        <f aca="false">IF(D280="Sale",E280*L280,0)</f>
        <v>1040</v>
      </c>
      <c r="O280" s="45" t="n">
        <f aca="false">IF(D280="Sale",E280*M280,0)</f>
        <v>760</v>
      </c>
      <c r="P280" s="45" t="n">
        <f aca="false">N280-O280</f>
        <v>280</v>
      </c>
      <c r="Q280" s="45" t="n">
        <f aca="false">IF(D280="Purchase",E280*M280,0)</f>
        <v>0</v>
      </c>
    </row>
    <row r="281" customFormat="false" ht="15" hidden="false" customHeight="false" outlineLevel="0" collapsed="false">
      <c r="A281" s="39" t="s">
        <v>605</v>
      </c>
      <c r="B281" s="44" t="n">
        <v>46195</v>
      </c>
      <c r="C281" s="39" t="s">
        <v>145</v>
      </c>
      <c r="D281" s="39" t="s">
        <v>137</v>
      </c>
      <c r="E281" s="39" t="n">
        <v>20</v>
      </c>
      <c r="F281" s="39" t="str">
        <f aca="false">IF(COUNTIF(medicine_master!$A$2:$A$26,C281)&gt;0,"Valid","Invalid")</f>
        <v>Valid</v>
      </c>
      <c r="G281" s="39" t="str">
        <f aca="false">IFERROR(INDEX(medicine_master!$B$2:$B$26,MATCH($C281,medicine_master!$A$2:$A$26,0)),"Not found")</f>
        <v>Clotrimazole Cream</v>
      </c>
      <c r="H281" s="39" t="str">
        <f aca="false">IFERROR(INDEX(medicine_master!$C$2:$C$26,MATCH($C281,medicine_master!$A$2:$A$26,0)),"Not found")</f>
        <v>Dermatology</v>
      </c>
      <c r="I281" s="39" t="n">
        <f aca="false">YEAR(B281)</f>
        <v>2026</v>
      </c>
      <c r="J281" s="39" t="n">
        <f aca="false">MONTH(B281)</f>
        <v>6</v>
      </c>
      <c r="K281" s="39" t="str">
        <f aca="false">TEXT(B281,"mmm")</f>
        <v>Jun</v>
      </c>
      <c r="L281" s="45" t="n">
        <f aca="false">IFERROR(INDEX(medicine_master!$I$2:$I$26,MATCH($C281,medicine_master!$A$2:$A$26,0)),0)</f>
        <v>48</v>
      </c>
      <c r="M281" s="45" t="n">
        <f aca="false">IFERROR(INDEX(medicine_master!$G$2:$G$26,MATCH($C281,medicine_master!$A$2:$A$26,0)),0)</f>
        <v>32</v>
      </c>
      <c r="N281" s="45" t="n">
        <f aca="false">IF(D281="Sale",E281*L281,0)</f>
        <v>960</v>
      </c>
      <c r="O281" s="45" t="n">
        <f aca="false">IF(D281="Sale",E281*M281,0)</f>
        <v>640</v>
      </c>
      <c r="P281" s="45" t="n">
        <f aca="false">N281-O281</f>
        <v>320</v>
      </c>
      <c r="Q281" s="45" t="n">
        <f aca="false">IF(D281="Purchase",E281*M281,0)</f>
        <v>0</v>
      </c>
    </row>
    <row r="282" customFormat="false" ht="15" hidden="false" customHeight="false" outlineLevel="0" collapsed="false">
      <c r="A282" s="39" t="s">
        <v>606</v>
      </c>
      <c r="B282" s="44" t="n">
        <v>46144</v>
      </c>
      <c r="C282" s="39" t="s">
        <v>153</v>
      </c>
      <c r="D282" s="39" t="s">
        <v>138</v>
      </c>
      <c r="E282" s="39" t="n">
        <v>10</v>
      </c>
      <c r="F282" s="39" t="str">
        <f aca="false">IF(COUNTIF(medicine_master!$A$2:$A$26,C282)&gt;0,"Valid","Invalid")</f>
        <v>Valid</v>
      </c>
      <c r="G282" s="39" t="str">
        <f aca="false">IFERROR(INDEX(medicine_master!$B$2:$B$26,MATCH($C282,medicine_master!$A$2:$A$26,0)),"Not found")</f>
        <v>Atorvastatin 10mg</v>
      </c>
      <c r="H282" s="39" t="str">
        <f aca="false">IFERROR(INDEX(medicine_master!$C$2:$C$26,MATCH($C282,medicine_master!$A$2:$A$26,0)),"Not found")</f>
        <v>Cardiac</v>
      </c>
      <c r="I282" s="39" t="n">
        <f aca="false">YEAR(B282)</f>
        <v>2026</v>
      </c>
      <c r="J282" s="39" t="n">
        <f aca="false">MONTH(B282)</f>
        <v>5</v>
      </c>
      <c r="K282" s="39" t="str">
        <f aca="false">TEXT(B282,"mmm")</f>
        <v>May</v>
      </c>
      <c r="L282" s="45" t="n">
        <f aca="false">IFERROR(INDEX(medicine_master!$I$2:$I$26,MATCH($C282,medicine_master!$A$2:$A$26,0)),0)</f>
        <v>28</v>
      </c>
      <c r="M282" s="45" t="n">
        <f aca="false">IFERROR(INDEX(medicine_master!$G$2:$G$26,MATCH($C282,medicine_master!$A$2:$A$26,0)),0)</f>
        <v>19</v>
      </c>
      <c r="N282" s="45" t="n">
        <f aca="false">IF(D282="Sale",E282*L282,0)</f>
        <v>0</v>
      </c>
      <c r="O282" s="45" t="n">
        <f aca="false">IF(D282="Sale",E282*M282,0)</f>
        <v>0</v>
      </c>
      <c r="P282" s="45" t="n">
        <f aca="false">N282-O282</f>
        <v>0</v>
      </c>
      <c r="Q282" s="45" t="n">
        <f aca="false">IF(D282="Purchase",E282*M282,0)</f>
        <v>190</v>
      </c>
    </row>
    <row r="283" customFormat="false" ht="15" hidden="false" customHeight="false" outlineLevel="0" collapsed="false">
      <c r="A283" s="39" t="s">
        <v>607</v>
      </c>
      <c r="B283" s="44" t="n">
        <v>46385</v>
      </c>
      <c r="C283" s="39" t="s">
        <v>345</v>
      </c>
      <c r="D283" s="39" t="s">
        <v>138</v>
      </c>
      <c r="E283" s="39" t="n">
        <v>25</v>
      </c>
      <c r="F283" s="39" t="str">
        <f aca="false">IF(COUNTIF(medicine_master!$A$2:$A$26,C283)&gt;0,"Valid","Invalid")</f>
        <v>Valid</v>
      </c>
      <c r="G283" s="39" t="str">
        <f aca="false">IFERROR(INDEX(medicine_master!$B$2:$B$26,MATCH($C283,medicine_master!$A$2:$A$26,0)),"Not found")</f>
        <v>Paracetamol 500mg</v>
      </c>
      <c r="H283" s="39" t="str">
        <f aca="false">IFERROR(INDEX(medicine_master!$C$2:$C$26,MATCH($C283,medicine_master!$A$2:$A$26,0)),"Not found")</f>
        <v>Pain Relief</v>
      </c>
      <c r="I283" s="39" t="n">
        <f aca="false">YEAR(B283)</f>
        <v>2026</v>
      </c>
      <c r="J283" s="39" t="n">
        <f aca="false">MONTH(B283)</f>
        <v>12</v>
      </c>
      <c r="K283" s="39" t="str">
        <f aca="false">TEXT(B283,"mmm")</f>
        <v>Dec</v>
      </c>
      <c r="L283" s="45" t="n">
        <f aca="false">IFERROR(INDEX(medicine_master!$I$2:$I$26,MATCH($C283,medicine_master!$A$2:$A$26,0)),0)</f>
        <v>18</v>
      </c>
      <c r="M283" s="45" t="n">
        <f aca="false">IFERROR(INDEX(medicine_master!$G$2:$G$26,MATCH($C283,medicine_master!$A$2:$A$26,0)),0)</f>
        <v>12</v>
      </c>
      <c r="N283" s="45" t="n">
        <f aca="false">IF(D283="Sale",E283*L283,0)</f>
        <v>0</v>
      </c>
      <c r="O283" s="45" t="n">
        <f aca="false">IF(D283="Sale",E283*M283,0)</f>
        <v>0</v>
      </c>
      <c r="P283" s="45" t="n">
        <f aca="false">N283-O283</f>
        <v>0</v>
      </c>
      <c r="Q283" s="45" t="n">
        <f aca="false">IF(D283="Purchase",E283*M283,0)</f>
        <v>300</v>
      </c>
    </row>
    <row r="284" customFormat="false" ht="15" hidden="false" customHeight="false" outlineLevel="0" collapsed="false">
      <c r="A284" s="39" t="s">
        <v>608</v>
      </c>
      <c r="B284" s="44" t="n">
        <v>46304</v>
      </c>
      <c r="C284" s="39" t="s">
        <v>390</v>
      </c>
      <c r="D284" s="39" t="s">
        <v>137</v>
      </c>
      <c r="E284" s="39" t="n">
        <v>20</v>
      </c>
      <c r="F284" s="39" t="str">
        <f aca="false">IF(COUNTIF(medicine_master!$A$2:$A$26,C284)&gt;0,"Valid","Invalid")</f>
        <v>Valid</v>
      </c>
      <c r="G284" s="39" t="str">
        <f aca="false">IFERROR(INDEX(medicine_master!$B$2:$B$26,MATCH($C284,medicine_master!$A$2:$A$26,0)),"Not found")</f>
        <v>Montelukast 10mg</v>
      </c>
      <c r="H284" s="39" t="str">
        <f aca="false">IFERROR(INDEX(medicine_master!$C$2:$C$26,MATCH($C284,medicine_master!$A$2:$A$26,0)),"Not found")</f>
        <v>Allergy</v>
      </c>
      <c r="I284" s="39" t="n">
        <f aca="false">YEAR(B284)</f>
        <v>2026</v>
      </c>
      <c r="J284" s="39" t="n">
        <f aca="false">MONTH(B284)</f>
        <v>10</v>
      </c>
      <c r="K284" s="39" t="str">
        <f aca="false">TEXT(B284,"mmm")</f>
        <v>Oct</v>
      </c>
      <c r="L284" s="45" t="n">
        <f aca="false">IFERROR(INDEX(medicine_master!$I$2:$I$26,MATCH($C284,medicine_master!$A$2:$A$26,0)),0)</f>
        <v>39</v>
      </c>
      <c r="M284" s="45" t="n">
        <f aca="false">IFERROR(INDEX(medicine_master!$G$2:$G$26,MATCH($C284,medicine_master!$A$2:$A$26,0)),0)</f>
        <v>27</v>
      </c>
      <c r="N284" s="45" t="n">
        <f aca="false">IF(D284="Sale",E284*L284,0)</f>
        <v>780</v>
      </c>
      <c r="O284" s="45" t="n">
        <f aca="false">IF(D284="Sale",E284*M284,0)</f>
        <v>540</v>
      </c>
      <c r="P284" s="45" t="n">
        <f aca="false">N284-O284</f>
        <v>240</v>
      </c>
      <c r="Q284" s="45" t="n">
        <f aca="false">IF(D284="Purchase",E284*M284,0)</f>
        <v>0</v>
      </c>
    </row>
    <row r="285" customFormat="false" ht="15" hidden="false" customHeight="false" outlineLevel="0" collapsed="false">
      <c r="A285" s="39" t="s">
        <v>609</v>
      </c>
      <c r="B285" s="44" t="n">
        <v>46186</v>
      </c>
      <c r="C285" s="39" t="s">
        <v>145</v>
      </c>
      <c r="D285" s="39" t="s">
        <v>137</v>
      </c>
      <c r="E285" s="39" t="n">
        <v>25</v>
      </c>
      <c r="F285" s="39" t="str">
        <f aca="false">IF(COUNTIF(medicine_master!$A$2:$A$26,C285)&gt;0,"Valid","Invalid")</f>
        <v>Valid</v>
      </c>
      <c r="G285" s="39" t="str">
        <f aca="false">IFERROR(INDEX(medicine_master!$B$2:$B$26,MATCH($C285,medicine_master!$A$2:$A$26,0)),"Not found")</f>
        <v>Clotrimazole Cream</v>
      </c>
      <c r="H285" s="39" t="str">
        <f aca="false">IFERROR(INDEX(medicine_master!$C$2:$C$26,MATCH($C285,medicine_master!$A$2:$A$26,0)),"Not found")</f>
        <v>Dermatology</v>
      </c>
      <c r="I285" s="39" t="n">
        <f aca="false">YEAR(B285)</f>
        <v>2026</v>
      </c>
      <c r="J285" s="39" t="n">
        <f aca="false">MONTH(B285)</f>
        <v>6</v>
      </c>
      <c r="K285" s="39" t="str">
        <f aca="false">TEXT(B285,"mmm")</f>
        <v>Jun</v>
      </c>
      <c r="L285" s="45" t="n">
        <f aca="false">IFERROR(INDEX(medicine_master!$I$2:$I$26,MATCH($C285,medicine_master!$A$2:$A$26,0)),0)</f>
        <v>48</v>
      </c>
      <c r="M285" s="45" t="n">
        <f aca="false">IFERROR(INDEX(medicine_master!$G$2:$G$26,MATCH($C285,medicine_master!$A$2:$A$26,0)),0)</f>
        <v>32</v>
      </c>
      <c r="N285" s="45" t="n">
        <f aca="false">IF(D285="Sale",E285*L285,0)</f>
        <v>1200</v>
      </c>
      <c r="O285" s="45" t="n">
        <f aca="false">IF(D285="Sale",E285*M285,0)</f>
        <v>800</v>
      </c>
      <c r="P285" s="45" t="n">
        <f aca="false">N285-O285</f>
        <v>400</v>
      </c>
      <c r="Q285" s="45" t="n">
        <f aca="false">IF(D285="Purchase",E285*M285,0)</f>
        <v>0</v>
      </c>
    </row>
    <row r="286" customFormat="false" ht="15" hidden="false" customHeight="false" outlineLevel="0" collapsed="false">
      <c r="A286" s="39" t="s">
        <v>610</v>
      </c>
      <c r="B286" s="44" t="n">
        <v>46332</v>
      </c>
      <c r="C286" s="39" t="s">
        <v>179</v>
      </c>
      <c r="D286" s="39" t="s">
        <v>137</v>
      </c>
      <c r="E286" s="39" t="n">
        <v>50</v>
      </c>
      <c r="F286" s="39" t="str">
        <f aca="false">IF(COUNTIF(medicine_master!$A$2:$A$26,C286)&gt;0,"Valid","Invalid")</f>
        <v>Valid</v>
      </c>
      <c r="G286" s="39" t="str">
        <f aca="false">IFERROR(INDEX(medicine_master!$B$2:$B$26,MATCH($C286,medicine_master!$A$2:$A$26,0)),"Not found")</f>
        <v>Ibuprofen 400mg</v>
      </c>
      <c r="H286" s="39" t="str">
        <f aca="false">IFERROR(INDEX(medicine_master!$C$2:$C$26,MATCH($C286,medicine_master!$A$2:$A$26,0)),"Not found")</f>
        <v>Pain Relief</v>
      </c>
      <c r="I286" s="39" t="n">
        <f aca="false">YEAR(B286)</f>
        <v>2026</v>
      </c>
      <c r="J286" s="39" t="n">
        <f aca="false">MONTH(B286)</f>
        <v>11</v>
      </c>
      <c r="K286" s="39" t="str">
        <f aca="false">TEXT(B286,"mmm")</f>
        <v>Nov</v>
      </c>
      <c r="L286" s="45" t="n">
        <f aca="false">IFERROR(INDEX(medicine_master!$I$2:$I$26,MATCH($C286,medicine_master!$A$2:$A$26,0)),0)</f>
        <v>30</v>
      </c>
      <c r="M286" s="45" t="n">
        <f aca="false">IFERROR(INDEX(medicine_master!$G$2:$G$26,MATCH($C286,medicine_master!$A$2:$A$26,0)),0)</f>
        <v>22</v>
      </c>
      <c r="N286" s="45" t="n">
        <f aca="false">IF(D286="Sale",E286*L286,0)</f>
        <v>1500</v>
      </c>
      <c r="O286" s="45" t="n">
        <f aca="false">IF(D286="Sale",E286*M286,0)</f>
        <v>1100</v>
      </c>
      <c r="P286" s="45" t="n">
        <f aca="false">N286-O286</f>
        <v>400</v>
      </c>
      <c r="Q286" s="45" t="n">
        <f aca="false">IF(D286="Purchase",E286*M286,0)</f>
        <v>0</v>
      </c>
    </row>
    <row r="287" customFormat="false" ht="15" hidden="false" customHeight="false" outlineLevel="0" collapsed="false">
      <c r="A287" s="39" t="s">
        <v>611</v>
      </c>
      <c r="B287" s="44" t="n">
        <v>46091</v>
      </c>
      <c r="C287" s="39" t="s">
        <v>147</v>
      </c>
      <c r="D287" s="39" t="s">
        <v>138</v>
      </c>
      <c r="E287" s="39" t="n">
        <v>5</v>
      </c>
      <c r="F287" s="39" t="str">
        <f aca="false">IF(COUNTIF(medicine_master!$A$2:$A$26,C287)&gt;0,"Valid","Invalid")</f>
        <v>Valid</v>
      </c>
      <c r="G287" s="39" t="str">
        <f aca="false">IFERROR(INDEX(medicine_master!$B$2:$B$26,MATCH($C287,medicine_master!$A$2:$A$26,0)),"Not found")</f>
        <v>Insulin Injection</v>
      </c>
      <c r="H287" s="39" t="str">
        <f aca="false">IFERROR(INDEX(medicine_master!$C$2:$C$26,MATCH($C287,medicine_master!$A$2:$A$26,0)),"Not found")</f>
        <v>Diabetes</v>
      </c>
      <c r="I287" s="39" t="n">
        <f aca="false">YEAR(B287)</f>
        <v>2026</v>
      </c>
      <c r="J287" s="39" t="n">
        <f aca="false">MONTH(B287)</f>
        <v>3</v>
      </c>
      <c r="K287" s="39" t="str">
        <f aca="false">TEXT(B287,"mmm")</f>
        <v>Mar</v>
      </c>
      <c r="L287" s="45" t="n">
        <f aca="false">IFERROR(INDEX(medicine_master!$I$2:$I$26,MATCH($C287,medicine_master!$A$2:$A$26,0)),0)</f>
        <v>225</v>
      </c>
      <c r="M287" s="45" t="n">
        <f aca="false">IFERROR(INDEX(medicine_master!$G$2:$G$26,MATCH($C287,medicine_master!$A$2:$A$26,0)),0)</f>
        <v>165</v>
      </c>
      <c r="N287" s="45" t="n">
        <f aca="false">IF(D287="Sale",E287*L287,0)</f>
        <v>0</v>
      </c>
      <c r="O287" s="45" t="n">
        <f aca="false">IF(D287="Sale",E287*M287,0)</f>
        <v>0</v>
      </c>
      <c r="P287" s="45" t="n">
        <f aca="false">N287-O287</f>
        <v>0</v>
      </c>
      <c r="Q287" s="45" t="n">
        <f aca="false">IF(D287="Purchase",E287*M287,0)</f>
        <v>825</v>
      </c>
    </row>
    <row r="288" customFormat="false" ht="15" hidden="false" customHeight="false" outlineLevel="0" collapsed="false">
      <c r="A288" s="39" t="s">
        <v>612</v>
      </c>
      <c r="B288" s="44" t="n">
        <v>46170</v>
      </c>
      <c r="C288" s="39" t="s">
        <v>404</v>
      </c>
      <c r="D288" s="39" t="s">
        <v>137</v>
      </c>
      <c r="E288" s="39" t="n">
        <v>5</v>
      </c>
      <c r="F288" s="39" t="str">
        <f aca="false">IF(COUNTIF(medicine_master!$A$2:$A$26,C288)&gt;0,"Valid","Invalid")</f>
        <v>Valid</v>
      </c>
      <c r="G288" s="39" t="str">
        <f aca="false">IFERROR(INDEX(medicine_master!$B$2:$B$26,MATCH($C288,medicine_master!$A$2:$A$26,0)),"Not found")</f>
        <v>ORS Sachet</v>
      </c>
      <c r="H288" s="39" t="str">
        <f aca="false">IFERROR(INDEX(medicine_master!$C$2:$C$26,MATCH($C288,medicine_master!$A$2:$A$26,0)),"Not found")</f>
        <v>First Aid</v>
      </c>
      <c r="I288" s="39" t="n">
        <f aca="false">YEAR(B288)</f>
        <v>2026</v>
      </c>
      <c r="J288" s="39" t="n">
        <f aca="false">MONTH(B288)</f>
        <v>5</v>
      </c>
      <c r="K288" s="39" t="str">
        <f aca="false">TEXT(B288,"mmm")</f>
        <v>May</v>
      </c>
      <c r="L288" s="45" t="n">
        <f aca="false">IFERROR(INDEX(medicine_master!$I$2:$I$26,MATCH($C288,medicine_master!$A$2:$A$26,0)),0)</f>
        <v>10</v>
      </c>
      <c r="M288" s="45" t="n">
        <f aca="false">IFERROR(INDEX(medicine_master!$G$2:$G$26,MATCH($C288,medicine_master!$A$2:$A$26,0)),0)</f>
        <v>6</v>
      </c>
      <c r="N288" s="45" t="n">
        <f aca="false">IF(D288="Sale",E288*L288,0)</f>
        <v>50</v>
      </c>
      <c r="O288" s="45" t="n">
        <f aca="false">IF(D288="Sale",E288*M288,0)</f>
        <v>30</v>
      </c>
      <c r="P288" s="45" t="n">
        <f aca="false">N288-O288</f>
        <v>20</v>
      </c>
      <c r="Q288" s="45" t="n">
        <f aca="false">IF(D288="Purchase",E288*M288,0)</f>
        <v>0</v>
      </c>
    </row>
    <row r="289" customFormat="false" ht="15" hidden="false" customHeight="false" outlineLevel="0" collapsed="false">
      <c r="A289" s="39" t="s">
        <v>613</v>
      </c>
      <c r="B289" s="44" t="n">
        <v>46387</v>
      </c>
      <c r="C289" s="39" t="s">
        <v>495</v>
      </c>
      <c r="D289" s="39" t="s">
        <v>138</v>
      </c>
      <c r="E289" s="39" t="n">
        <v>30</v>
      </c>
      <c r="F289" s="39" t="str">
        <f aca="false">IF(COUNTIF(medicine_master!$A$2:$A$26,C289)&gt;0,"Valid","Invalid")</f>
        <v>Valid</v>
      </c>
      <c r="G289" s="39" t="str">
        <f aca="false">IFERROR(INDEX(medicine_master!$B$2:$B$26,MATCH($C289,medicine_master!$A$2:$A$26,0)),"Not found")</f>
        <v>Metformin 500mg</v>
      </c>
      <c r="H289" s="39" t="str">
        <f aca="false">IFERROR(INDEX(medicine_master!$C$2:$C$26,MATCH($C289,medicine_master!$A$2:$A$26,0)),"Not found")</f>
        <v>Diabetes</v>
      </c>
      <c r="I289" s="39" t="n">
        <f aca="false">YEAR(B289)</f>
        <v>2026</v>
      </c>
      <c r="J289" s="39" t="n">
        <f aca="false">MONTH(B289)</f>
        <v>12</v>
      </c>
      <c r="K289" s="39" t="str">
        <f aca="false">TEXT(B289,"mmm")</f>
        <v>Dec</v>
      </c>
      <c r="L289" s="45" t="n">
        <f aca="false">IFERROR(INDEX(medicine_master!$I$2:$I$26,MATCH($C289,medicine_master!$A$2:$A$26,0)),0)</f>
        <v>24</v>
      </c>
      <c r="M289" s="45" t="n">
        <f aca="false">IFERROR(INDEX(medicine_master!$G$2:$G$26,MATCH($C289,medicine_master!$A$2:$A$26,0)),0)</f>
        <v>16</v>
      </c>
      <c r="N289" s="45" t="n">
        <f aca="false">IF(D289="Sale",E289*L289,0)</f>
        <v>0</v>
      </c>
      <c r="O289" s="45" t="n">
        <f aca="false">IF(D289="Sale",E289*M289,0)</f>
        <v>0</v>
      </c>
      <c r="P289" s="45" t="n">
        <f aca="false">N289-O289</f>
        <v>0</v>
      </c>
      <c r="Q289" s="45" t="n">
        <f aca="false">IF(D289="Purchase",E289*M289,0)</f>
        <v>480</v>
      </c>
    </row>
    <row r="290" customFormat="false" ht="15" hidden="false" customHeight="false" outlineLevel="0" collapsed="false">
      <c r="A290" s="39" t="s">
        <v>614</v>
      </c>
      <c r="B290" s="44" t="n">
        <v>46095</v>
      </c>
      <c r="C290" s="39" t="s">
        <v>326</v>
      </c>
      <c r="D290" s="39" t="s">
        <v>138</v>
      </c>
      <c r="E290" s="39" t="n">
        <v>20</v>
      </c>
      <c r="F290" s="39" t="str">
        <f aca="false">IF(COUNTIF(medicine_master!$A$2:$A$26,C290)&gt;0,"Valid","Invalid")</f>
        <v>Valid</v>
      </c>
      <c r="G290" s="39" t="str">
        <f aca="false">IFERROR(INDEX(medicine_master!$B$2:$B$26,MATCH($C290,medicine_master!$A$2:$A$26,0)),"Not found")</f>
        <v>Omeprazole 20mg</v>
      </c>
      <c r="H290" s="39" t="str">
        <f aca="false">IFERROR(INDEX(medicine_master!$C$2:$C$26,MATCH($C290,medicine_master!$A$2:$A$26,0)),"Not found")</f>
        <v>Gastric</v>
      </c>
      <c r="I290" s="39" t="n">
        <f aca="false">YEAR(B290)</f>
        <v>2026</v>
      </c>
      <c r="J290" s="39" t="n">
        <f aca="false">MONTH(B290)</f>
        <v>3</v>
      </c>
      <c r="K290" s="39" t="str">
        <f aca="false">TEXT(B290,"mmm")</f>
        <v>Mar</v>
      </c>
      <c r="L290" s="45" t="n">
        <f aca="false">IFERROR(INDEX(medicine_master!$I$2:$I$26,MATCH($C290,medicine_master!$A$2:$A$26,0)),0)</f>
        <v>26</v>
      </c>
      <c r="M290" s="45" t="n">
        <f aca="false">IFERROR(INDEX(medicine_master!$G$2:$G$26,MATCH($C290,medicine_master!$A$2:$A$26,0)),0)</f>
        <v>18</v>
      </c>
      <c r="N290" s="45" t="n">
        <f aca="false">IF(D290="Sale",E290*L290,0)</f>
        <v>0</v>
      </c>
      <c r="O290" s="45" t="n">
        <f aca="false">IF(D290="Sale",E290*M290,0)</f>
        <v>0</v>
      </c>
      <c r="P290" s="45" t="n">
        <f aca="false">N290-O290</f>
        <v>0</v>
      </c>
      <c r="Q290" s="45" t="n">
        <f aca="false">IF(D290="Purchase",E290*M290,0)</f>
        <v>360</v>
      </c>
    </row>
    <row r="291" customFormat="false" ht="15" hidden="false" customHeight="false" outlineLevel="0" collapsed="false">
      <c r="A291" s="39" t="s">
        <v>615</v>
      </c>
      <c r="B291" s="44" t="n">
        <v>46083</v>
      </c>
      <c r="C291" s="39" t="s">
        <v>495</v>
      </c>
      <c r="D291" s="39" t="s">
        <v>137</v>
      </c>
      <c r="E291" s="39" t="n">
        <v>20</v>
      </c>
      <c r="F291" s="39" t="str">
        <f aca="false">IF(COUNTIF(medicine_master!$A$2:$A$26,C291)&gt;0,"Valid","Invalid")</f>
        <v>Valid</v>
      </c>
      <c r="G291" s="39" t="str">
        <f aca="false">IFERROR(INDEX(medicine_master!$B$2:$B$26,MATCH($C291,medicine_master!$A$2:$A$26,0)),"Not found")</f>
        <v>Metformin 500mg</v>
      </c>
      <c r="H291" s="39" t="str">
        <f aca="false">IFERROR(INDEX(medicine_master!$C$2:$C$26,MATCH($C291,medicine_master!$A$2:$A$26,0)),"Not found")</f>
        <v>Diabetes</v>
      </c>
      <c r="I291" s="39" t="n">
        <f aca="false">YEAR(B291)</f>
        <v>2026</v>
      </c>
      <c r="J291" s="39" t="n">
        <f aca="false">MONTH(B291)</f>
        <v>3</v>
      </c>
      <c r="K291" s="39" t="str">
        <f aca="false">TEXT(B291,"mmm")</f>
        <v>Mar</v>
      </c>
      <c r="L291" s="45" t="n">
        <f aca="false">IFERROR(INDEX(medicine_master!$I$2:$I$26,MATCH($C291,medicine_master!$A$2:$A$26,0)),0)</f>
        <v>24</v>
      </c>
      <c r="M291" s="45" t="n">
        <f aca="false">IFERROR(INDEX(medicine_master!$G$2:$G$26,MATCH($C291,medicine_master!$A$2:$A$26,0)),0)</f>
        <v>16</v>
      </c>
      <c r="N291" s="45" t="n">
        <f aca="false">IF(D291="Sale",E291*L291,0)</f>
        <v>480</v>
      </c>
      <c r="O291" s="45" t="n">
        <f aca="false">IF(D291="Sale",E291*M291,0)</f>
        <v>320</v>
      </c>
      <c r="P291" s="45" t="n">
        <f aca="false">N291-O291</f>
        <v>160</v>
      </c>
      <c r="Q291" s="45" t="n">
        <f aca="false">IF(D291="Purchase",E291*M291,0)</f>
        <v>0</v>
      </c>
    </row>
    <row r="292" customFormat="false" ht="15" hidden="false" customHeight="false" outlineLevel="0" collapsed="false">
      <c r="A292" s="39" t="s">
        <v>616</v>
      </c>
      <c r="B292" s="44" t="n">
        <v>46313</v>
      </c>
      <c r="C292" s="39" t="s">
        <v>151</v>
      </c>
      <c r="D292" s="39" t="s">
        <v>138</v>
      </c>
      <c r="E292" s="39" t="n">
        <v>5</v>
      </c>
      <c r="F292" s="39" t="str">
        <f aca="false">IF(COUNTIF(medicine_master!$A$2:$A$26,C292)&gt;0,"Valid","Invalid")</f>
        <v>Valid</v>
      </c>
      <c r="G292" s="39" t="str">
        <f aca="false">IFERROR(INDEX(medicine_master!$B$2:$B$26,MATCH($C292,medicine_master!$A$2:$A$26,0)),"Not found")</f>
        <v>Cetirizine 10mg</v>
      </c>
      <c r="H292" s="39" t="str">
        <f aca="false">IFERROR(INDEX(medicine_master!$C$2:$C$26,MATCH($C292,medicine_master!$A$2:$A$26,0)),"Not found")</f>
        <v>Allergy</v>
      </c>
      <c r="I292" s="39" t="n">
        <f aca="false">YEAR(B292)</f>
        <v>2026</v>
      </c>
      <c r="J292" s="39" t="n">
        <f aca="false">MONTH(B292)</f>
        <v>10</v>
      </c>
      <c r="K292" s="39" t="str">
        <f aca="false">TEXT(B292,"mmm")</f>
        <v>Oct</v>
      </c>
      <c r="L292" s="45" t="n">
        <f aca="false">IFERROR(INDEX(medicine_master!$I$2:$I$26,MATCH($C292,medicine_master!$A$2:$A$26,0)),0)</f>
        <v>13</v>
      </c>
      <c r="M292" s="45" t="n">
        <f aca="false">IFERROR(INDEX(medicine_master!$G$2:$G$26,MATCH($C292,medicine_master!$A$2:$A$26,0)),0)</f>
        <v>8</v>
      </c>
      <c r="N292" s="45" t="n">
        <f aca="false">IF(D292="Sale",E292*L292,0)</f>
        <v>0</v>
      </c>
      <c r="O292" s="45" t="n">
        <f aca="false">IF(D292="Sale",E292*M292,0)</f>
        <v>0</v>
      </c>
      <c r="P292" s="45" t="n">
        <f aca="false">N292-O292</f>
        <v>0</v>
      </c>
      <c r="Q292" s="45" t="n">
        <f aca="false">IF(D292="Purchase",E292*M292,0)</f>
        <v>40</v>
      </c>
    </row>
    <row r="293" customFormat="false" ht="15" hidden="false" customHeight="false" outlineLevel="0" collapsed="false">
      <c r="A293" s="39" t="s">
        <v>617</v>
      </c>
      <c r="B293" s="44" t="n">
        <v>46124</v>
      </c>
      <c r="C293" s="39" t="s">
        <v>179</v>
      </c>
      <c r="D293" s="39" t="s">
        <v>138</v>
      </c>
      <c r="E293" s="39" t="n">
        <v>15</v>
      </c>
      <c r="F293" s="39" t="str">
        <f aca="false">IF(COUNTIF(medicine_master!$A$2:$A$26,C293)&gt;0,"Valid","Invalid")</f>
        <v>Valid</v>
      </c>
      <c r="G293" s="39" t="str">
        <f aca="false">IFERROR(INDEX(medicine_master!$B$2:$B$26,MATCH($C293,medicine_master!$A$2:$A$26,0)),"Not found")</f>
        <v>Ibuprofen 400mg</v>
      </c>
      <c r="H293" s="39" t="str">
        <f aca="false">IFERROR(INDEX(medicine_master!$C$2:$C$26,MATCH($C293,medicine_master!$A$2:$A$26,0)),"Not found")</f>
        <v>Pain Relief</v>
      </c>
      <c r="I293" s="39" t="n">
        <f aca="false">YEAR(B293)</f>
        <v>2026</v>
      </c>
      <c r="J293" s="39" t="n">
        <f aca="false">MONTH(B293)</f>
        <v>4</v>
      </c>
      <c r="K293" s="39" t="str">
        <f aca="false">TEXT(B293,"mmm")</f>
        <v>Apr</v>
      </c>
      <c r="L293" s="45" t="n">
        <f aca="false">IFERROR(INDEX(medicine_master!$I$2:$I$26,MATCH($C293,medicine_master!$A$2:$A$26,0)),0)</f>
        <v>30</v>
      </c>
      <c r="M293" s="45" t="n">
        <f aca="false">IFERROR(INDEX(medicine_master!$G$2:$G$26,MATCH($C293,medicine_master!$A$2:$A$26,0)),0)</f>
        <v>22</v>
      </c>
      <c r="N293" s="45" t="n">
        <f aca="false">IF(D293="Sale",E293*L293,0)</f>
        <v>0</v>
      </c>
      <c r="O293" s="45" t="n">
        <f aca="false">IF(D293="Sale",E293*M293,0)</f>
        <v>0</v>
      </c>
      <c r="P293" s="45" t="n">
        <f aca="false">N293-O293</f>
        <v>0</v>
      </c>
      <c r="Q293" s="45" t="n">
        <f aca="false">IF(D293="Purchase",E293*M293,0)</f>
        <v>330</v>
      </c>
    </row>
    <row r="294" customFormat="false" ht="15" hidden="false" customHeight="false" outlineLevel="0" collapsed="false">
      <c r="A294" s="39" t="s">
        <v>618</v>
      </c>
      <c r="B294" s="44" t="n">
        <v>46327</v>
      </c>
      <c r="C294" s="39" t="s">
        <v>145</v>
      </c>
      <c r="D294" s="39" t="s">
        <v>137</v>
      </c>
      <c r="E294" s="39" t="n">
        <v>20</v>
      </c>
      <c r="F294" s="39" t="str">
        <f aca="false">IF(COUNTIF(medicine_master!$A$2:$A$26,C294)&gt;0,"Valid","Invalid")</f>
        <v>Valid</v>
      </c>
      <c r="G294" s="39" t="str">
        <f aca="false">IFERROR(INDEX(medicine_master!$B$2:$B$26,MATCH($C294,medicine_master!$A$2:$A$26,0)),"Not found")</f>
        <v>Clotrimazole Cream</v>
      </c>
      <c r="H294" s="39" t="str">
        <f aca="false">IFERROR(INDEX(medicine_master!$C$2:$C$26,MATCH($C294,medicine_master!$A$2:$A$26,0)),"Not found")</f>
        <v>Dermatology</v>
      </c>
      <c r="I294" s="39" t="n">
        <f aca="false">YEAR(B294)</f>
        <v>2026</v>
      </c>
      <c r="J294" s="39" t="n">
        <f aca="false">MONTH(B294)</f>
        <v>11</v>
      </c>
      <c r="K294" s="39" t="str">
        <f aca="false">TEXT(B294,"mmm")</f>
        <v>Nov</v>
      </c>
      <c r="L294" s="45" t="n">
        <f aca="false">IFERROR(INDEX(medicine_master!$I$2:$I$26,MATCH($C294,medicine_master!$A$2:$A$26,0)),0)</f>
        <v>48</v>
      </c>
      <c r="M294" s="45" t="n">
        <f aca="false">IFERROR(INDEX(medicine_master!$G$2:$G$26,MATCH($C294,medicine_master!$A$2:$A$26,0)),0)</f>
        <v>32</v>
      </c>
      <c r="N294" s="45" t="n">
        <f aca="false">IF(D294="Sale",E294*L294,0)</f>
        <v>960</v>
      </c>
      <c r="O294" s="45" t="n">
        <f aca="false">IF(D294="Sale",E294*M294,0)</f>
        <v>640</v>
      </c>
      <c r="P294" s="45" t="n">
        <f aca="false">N294-O294</f>
        <v>320</v>
      </c>
      <c r="Q294" s="45" t="n">
        <f aca="false">IF(D294="Purchase",E294*M294,0)</f>
        <v>0</v>
      </c>
    </row>
    <row r="295" customFormat="false" ht="15" hidden="false" customHeight="false" outlineLevel="0" collapsed="false">
      <c r="A295" s="39" t="s">
        <v>619</v>
      </c>
      <c r="B295" s="44" t="n">
        <v>46325</v>
      </c>
      <c r="C295" s="39" t="s">
        <v>144</v>
      </c>
      <c r="D295" s="39" t="s">
        <v>137</v>
      </c>
      <c r="E295" s="39" t="n">
        <v>40</v>
      </c>
      <c r="F295" s="39" t="str">
        <f aca="false">IF(COUNTIF(medicine_master!$A$2:$A$26,C295)&gt;0,"Valid","Invalid")</f>
        <v>Valid</v>
      </c>
      <c r="G295" s="39" t="str">
        <f aca="false">IFERROR(INDEX(medicine_master!$B$2:$B$26,MATCH($C295,medicine_master!$A$2:$A$26,0)),"Not found")</f>
        <v>Glimepiride 2mg</v>
      </c>
      <c r="H295" s="39" t="str">
        <f aca="false">IFERROR(INDEX(medicine_master!$C$2:$C$26,MATCH($C295,medicine_master!$A$2:$A$26,0)),"Not found")</f>
        <v>Diabetes</v>
      </c>
      <c r="I295" s="39" t="n">
        <f aca="false">YEAR(B295)</f>
        <v>2026</v>
      </c>
      <c r="J295" s="39" t="n">
        <f aca="false">MONTH(B295)</f>
        <v>10</v>
      </c>
      <c r="K295" s="39" t="str">
        <f aca="false">TEXT(B295,"mmm")</f>
        <v>Oct</v>
      </c>
      <c r="L295" s="45" t="n">
        <f aca="false">IFERROR(INDEX(medicine_master!$I$2:$I$26,MATCH($C295,medicine_master!$A$2:$A$26,0)),0)</f>
        <v>52</v>
      </c>
      <c r="M295" s="45" t="n">
        <f aca="false">IFERROR(INDEX(medicine_master!$G$2:$G$26,MATCH($C295,medicine_master!$A$2:$A$26,0)),0)</f>
        <v>38</v>
      </c>
      <c r="N295" s="45" t="n">
        <f aca="false">IF(D295="Sale",E295*L295,0)</f>
        <v>2080</v>
      </c>
      <c r="O295" s="45" t="n">
        <f aca="false">IF(D295="Sale",E295*M295,0)</f>
        <v>1520</v>
      </c>
      <c r="P295" s="45" t="n">
        <f aca="false">N295-O295</f>
        <v>560</v>
      </c>
      <c r="Q295" s="45" t="n">
        <f aca="false">IF(D295="Purchase",E295*M295,0)</f>
        <v>0</v>
      </c>
    </row>
    <row r="296" customFormat="false" ht="15" hidden="false" customHeight="false" outlineLevel="0" collapsed="false">
      <c r="A296" s="39" t="s">
        <v>620</v>
      </c>
      <c r="B296" s="44" t="n">
        <v>46286</v>
      </c>
      <c r="C296" s="39" t="s">
        <v>390</v>
      </c>
      <c r="D296" s="39" t="s">
        <v>137</v>
      </c>
      <c r="E296" s="39" t="n">
        <v>30</v>
      </c>
      <c r="F296" s="39" t="str">
        <f aca="false">IF(COUNTIF(medicine_master!$A$2:$A$26,C296)&gt;0,"Valid","Invalid")</f>
        <v>Valid</v>
      </c>
      <c r="G296" s="39" t="str">
        <f aca="false">IFERROR(INDEX(medicine_master!$B$2:$B$26,MATCH($C296,medicine_master!$A$2:$A$26,0)),"Not found")</f>
        <v>Montelukast 10mg</v>
      </c>
      <c r="H296" s="39" t="str">
        <f aca="false">IFERROR(INDEX(medicine_master!$C$2:$C$26,MATCH($C296,medicine_master!$A$2:$A$26,0)),"Not found")</f>
        <v>Allergy</v>
      </c>
      <c r="I296" s="39" t="n">
        <f aca="false">YEAR(B296)</f>
        <v>2026</v>
      </c>
      <c r="J296" s="39" t="n">
        <f aca="false">MONTH(B296)</f>
        <v>9</v>
      </c>
      <c r="K296" s="39" t="str">
        <f aca="false">TEXT(B296,"mmm")</f>
        <v>Sep</v>
      </c>
      <c r="L296" s="45" t="n">
        <f aca="false">IFERROR(INDEX(medicine_master!$I$2:$I$26,MATCH($C296,medicine_master!$A$2:$A$26,0)),0)</f>
        <v>39</v>
      </c>
      <c r="M296" s="45" t="n">
        <f aca="false">IFERROR(INDEX(medicine_master!$G$2:$G$26,MATCH($C296,medicine_master!$A$2:$A$26,0)),0)</f>
        <v>27</v>
      </c>
      <c r="N296" s="45" t="n">
        <f aca="false">IF(D296="Sale",E296*L296,0)</f>
        <v>1170</v>
      </c>
      <c r="O296" s="45" t="n">
        <f aca="false">IF(D296="Sale",E296*M296,0)</f>
        <v>810</v>
      </c>
      <c r="P296" s="45" t="n">
        <f aca="false">N296-O296</f>
        <v>360</v>
      </c>
      <c r="Q296" s="45" t="n">
        <f aca="false">IF(D296="Purchase",E296*M296,0)</f>
        <v>0</v>
      </c>
    </row>
    <row r="297" customFormat="false" ht="15" hidden="false" customHeight="false" outlineLevel="0" collapsed="false">
      <c r="A297" s="39" t="s">
        <v>621</v>
      </c>
      <c r="B297" s="44" t="n">
        <v>46220</v>
      </c>
      <c r="C297" s="39" t="s">
        <v>157</v>
      </c>
      <c r="D297" s="39" t="s">
        <v>138</v>
      </c>
      <c r="E297" s="39" t="n">
        <v>20</v>
      </c>
      <c r="F297" s="39" t="str">
        <f aca="false">IF(COUNTIF(medicine_master!$A$2:$A$26,C297)&gt;0,"Valid","Invalid")</f>
        <v>Valid</v>
      </c>
      <c r="G297" s="39" t="str">
        <f aca="false">IFERROR(INDEX(medicine_master!$B$2:$B$26,MATCH($C297,medicine_master!$A$2:$A$26,0)),"Not found")</f>
        <v>Multivitamin Tablets</v>
      </c>
      <c r="H297" s="39" t="str">
        <f aca="false">IFERROR(INDEX(medicine_master!$C$2:$C$26,MATCH($C297,medicine_master!$A$2:$A$26,0)),"Not found")</f>
        <v>Vitamin</v>
      </c>
      <c r="I297" s="39" t="n">
        <f aca="false">YEAR(B297)</f>
        <v>2026</v>
      </c>
      <c r="J297" s="39" t="n">
        <f aca="false">MONTH(B297)</f>
        <v>7</v>
      </c>
      <c r="K297" s="39" t="str">
        <f aca="false">TEXT(B297,"mmm")</f>
        <v>Jul</v>
      </c>
      <c r="L297" s="45" t="n">
        <f aca="false">IFERROR(INDEX(medicine_master!$I$2:$I$26,MATCH($C297,medicine_master!$A$2:$A$26,0)),0)</f>
        <v>105</v>
      </c>
      <c r="M297" s="45" t="n">
        <f aca="false">IFERROR(INDEX(medicine_master!$G$2:$G$26,MATCH($C297,medicine_master!$A$2:$A$26,0)),0)</f>
        <v>72</v>
      </c>
      <c r="N297" s="45" t="n">
        <f aca="false">IF(D297="Sale",E297*L297,0)</f>
        <v>0</v>
      </c>
      <c r="O297" s="45" t="n">
        <f aca="false">IF(D297="Sale",E297*M297,0)</f>
        <v>0</v>
      </c>
      <c r="P297" s="45" t="n">
        <f aca="false">N297-O297</f>
        <v>0</v>
      </c>
      <c r="Q297" s="45" t="n">
        <f aca="false">IF(D297="Purchase",E297*M297,0)</f>
        <v>1440</v>
      </c>
    </row>
    <row r="298" customFormat="false" ht="15" hidden="false" customHeight="false" outlineLevel="0" collapsed="false">
      <c r="A298" s="39" t="s">
        <v>622</v>
      </c>
      <c r="B298" s="44" t="n">
        <v>46165</v>
      </c>
      <c r="C298" s="39" t="s">
        <v>326</v>
      </c>
      <c r="D298" s="39" t="s">
        <v>137</v>
      </c>
      <c r="E298" s="39" t="n">
        <v>5</v>
      </c>
      <c r="F298" s="39" t="str">
        <f aca="false">IF(COUNTIF(medicine_master!$A$2:$A$26,C298)&gt;0,"Valid","Invalid")</f>
        <v>Valid</v>
      </c>
      <c r="G298" s="39" t="str">
        <f aca="false">IFERROR(INDEX(medicine_master!$B$2:$B$26,MATCH($C298,medicine_master!$A$2:$A$26,0)),"Not found")</f>
        <v>Omeprazole 20mg</v>
      </c>
      <c r="H298" s="39" t="str">
        <f aca="false">IFERROR(INDEX(medicine_master!$C$2:$C$26,MATCH($C298,medicine_master!$A$2:$A$26,0)),"Not found")</f>
        <v>Gastric</v>
      </c>
      <c r="I298" s="39" t="n">
        <f aca="false">YEAR(B298)</f>
        <v>2026</v>
      </c>
      <c r="J298" s="39" t="n">
        <f aca="false">MONTH(B298)</f>
        <v>5</v>
      </c>
      <c r="K298" s="39" t="str">
        <f aca="false">TEXT(B298,"mmm")</f>
        <v>May</v>
      </c>
      <c r="L298" s="45" t="n">
        <f aca="false">IFERROR(INDEX(medicine_master!$I$2:$I$26,MATCH($C298,medicine_master!$A$2:$A$26,0)),0)</f>
        <v>26</v>
      </c>
      <c r="M298" s="45" t="n">
        <f aca="false">IFERROR(INDEX(medicine_master!$G$2:$G$26,MATCH($C298,medicine_master!$A$2:$A$26,0)),0)</f>
        <v>18</v>
      </c>
      <c r="N298" s="45" t="n">
        <f aca="false">IF(D298="Sale",E298*L298,0)</f>
        <v>130</v>
      </c>
      <c r="O298" s="45" t="n">
        <f aca="false">IF(D298="Sale",E298*M298,0)</f>
        <v>90</v>
      </c>
      <c r="P298" s="45" t="n">
        <f aca="false">N298-O298</f>
        <v>40</v>
      </c>
      <c r="Q298" s="45" t="n">
        <f aca="false">IF(D298="Purchase",E298*M298,0)</f>
        <v>0</v>
      </c>
    </row>
    <row r="299" customFormat="false" ht="15" hidden="false" customHeight="false" outlineLevel="0" collapsed="false">
      <c r="A299" s="39" t="s">
        <v>623</v>
      </c>
      <c r="B299" s="44" t="n">
        <v>46288</v>
      </c>
      <c r="C299" s="39" t="s">
        <v>177</v>
      </c>
      <c r="D299" s="39" t="s">
        <v>137</v>
      </c>
      <c r="E299" s="39" t="n">
        <v>10</v>
      </c>
      <c r="F299" s="39" t="str">
        <f aca="false">IF(COUNTIF(medicine_master!$A$2:$A$26,C299)&gt;0,"Valid","Invalid")</f>
        <v>Valid</v>
      </c>
      <c r="G299" s="39" t="str">
        <f aca="false">IFERROR(INDEX(medicine_master!$B$2:$B$26,MATCH($C299,medicine_master!$A$2:$A$26,0)),"Not found")</f>
        <v>Bandage Roll</v>
      </c>
      <c r="H299" s="39" t="str">
        <f aca="false">IFERROR(INDEX(medicine_master!$C$2:$C$26,MATCH($C299,medicine_master!$A$2:$A$26,0)),"Not found")</f>
        <v>First Aid</v>
      </c>
      <c r="I299" s="39" t="n">
        <f aca="false">YEAR(B299)</f>
        <v>2026</v>
      </c>
      <c r="J299" s="39" t="n">
        <f aca="false">MONTH(B299)</f>
        <v>9</v>
      </c>
      <c r="K299" s="39" t="str">
        <f aca="false">TEXT(B299,"mmm")</f>
        <v>Sep</v>
      </c>
      <c r="L299" s="45" t="n">
        <f aca="false">IFERROR(INDEX(medicine_master!$I$2:$I$26,MATCH($C299,medicine_master!$A$2:$A$26,0)),0)</f>
        <v>25</v>
      </c>
      <c r="M299" s="45" t="n">
        <f aca="false">IFERROR(INDEX(medicine_master!$G$2:$G$26,MATCH($C299,medicine_master!$A$2:$A$26,0)),0)</f>
        <v>15</v>
      </c>
      <c r="N299" s="45" t="n">
        <f aca="false">IF(D299="Sale",E299*L299,0)</f>
        <v>250</v>
      </c>
      <c r="O299" s="45" t="n">
        <f aca="false">IF(D299="Sale",E299*M299,0)</f>
        <v>150</v>
      </c>
      <c r="P299" s="45" t="n">
        <f aca="false">N299-O299</f>
        <v>100</v>
      </c>
      <c r="Q299" s="45" t="n">
        <f aca="false">IF(D299="Purchase",E299*M299,0)</f>
        <v>0</v>
      </c>
    </row>
    <row r="300" customFormat="false" ht="15" hidden="false" customHeight="false" outlineLevel="0" collapsed="false">
      <c r="A300" s="39" t="s">
        <v>624</v>
      </c>
      <c r="B300" s="44" t="n">
        <v>46108</v>
      </c>
      <c r="C300" s="39" t="s">
        <v>180</v>
      </c>
      <c r="D300" s="39" t="s">
        <v>138</v>
      </c>
      <c r="E300" s="39" t="n">
        <v>25</v>
      </c>
      <c r="F300" s="39" t="str">
        <f aca="false">IF(COUNTIF(medicine_master!$A$2:$A$26,C300)&gt;0,"Valid","Invalid")</f>
        <v>Valid</v>
      </c>
      <c r="G300" s="39" t="str">
        <f aca="false">IFERROR(INDEX(medicine_master!$B$2:$B$26,MATCH($C300,medicine_master!$A$2:$A$26,0)),"Not found")</f>
        <v>Vitamin C 500mg</v>
      </c>
      <c r="H300" s="39" t="str">
        <f aca="false">IFERROR(INDEX(medicine_master!$C$2:$C$26,MATCH($C300,medicine_master!$A$2:$A$26,0)),"Not found")</f>
        <v>Vitamin</v>
      </c>
      <c r="I300" s="39" t="n">
        <f aca="false">YEAR(B300)</f>
        <v>2026</v>
      </c>
      <c r="J300" s="39" t="n">
        <f aca="false">MONTH(B300)</f>
        <v>3</v>
      </c>
      <c r="K300" s="39" t="str">
        <f aca="false">TEXT(B300,"mmm")</f>
        <v>Mar</v>
      </c>
      <c r="L300" s="45" t="n">
        <f aca="false">IFERROR(INDEX(medicine_master!$I$2:$I$26,MATCH($C300,medicine_master!$A$2:$A$26,0)),0)</f>
        <v>22</v>
      </c>
      <c r="M300" s="45" t="n">
        <f aca="false">IFERROR(INDEX(medicine_master!$G$2:$G$26,MATCH($C300,medicine_master!$A$2:$A$26,0)),0)</f>
        <v>14</v>
      </c>
      <c r="N300" s="45" t="n">
        <f aca="false">IF(D300="Sale",E300*L300,0)</f>
        <v>0</v>
      </c>
      <c r="O300" s="45" t="n">
        <f aca="false">IF(D300="Sale",E300*M300,0)</f>
        <v>0</v>
      </c>
      <c r="P300" s="45" t="n">
        <f aca="false">N300-O300</f>
        <v>0</v>
      </c>
      <c r="Q300" s="45" t="n">
        <f aca="false">IF(D300="Purchase",E300*M300,0)</f>
        <v>350</v>
      </c>
    </row>
    <row r="301" customFormat="false" ht="15" hidden="false" customHeight="false" outlineLevel="0" collapsed="false">
      <c r="A301" s="39" t="s">
        <v>625</v>
      </c>
      <c r="B301" s="44" t="n">
        <v>46159</v>
      </c>
      <c r="C301" s="39" t="s">
        <v>404</v>
      </c>
      <c r="D301" s="39" t="s">
        <v>137</v>
      </c>
      <c r="E301" s="39" t="n">
        <v>50</v>
      </c>
      <c r="F301" s="39" t="str">
        <f aca="false">IF(COUNTIF(medicine_master!$A$2:$A$26,C301)&gt;0,"Valid","Invalid")</f>
        <v>Valid</v>
      </c>
      <c r="G301" s="39" t="str">
        <f aca="false">IFERROR(INDEX(medicine_master!$B$2:$B$26,MATCH($C301,medicine_master!$A$2:$A$26,0)),"Not found")</f>
        <v>ORS Sachet</v>
      </c>
      <c r="H301" s="39" t="str">
        <f aca="false">IFERROR(INDEX(medicine_master!$C$2:$C$26,MATCH($C301,medicine_master!$A$2:$A$26,0)),"Not found")</f>
        <v>First Aid</v>
      </c>
      <c r="I301" s="39" t="n">
        <f aca="false">YEAR(B301)</f>
        <v>2026</v>
      </c>
      <c r="J301" s="39" t="n">
        <f aca="false">MONTH(B301)</f>
        <v>5</v>
      </c>
      <c r="K301" s="39" t="str">
        <f aca="false">TEXT(B301,"mmm")</f>
        <v>May</v>
      </c>
      <c r="L301" s="45" t="n">
        <f aca="false">IFERROR(INDEX(medicine_master!$I$2:$I$26,MATCH($C301,medicine_master!$A$2:$A$26,0)),0)</f>
        <v>10</v>
      </c>
      <c r="M301" s="45" t="n">
        <f aca="false">IFERROR(INDEX(medicine_master!$G$2:$G$26,MATCH($C301,medicine_master!$A$2:$A$26,0)),0)</f>
        <v>6</v>
      </c>
      <c r="N301" s="45" t="n">
        <f aca="false">IF(D301="Sale",E301*L301,0)</f>
        <v>500</v>
      </c>
      <c r="O301" s="45" t="n">
        <f aca="false">IF(D301="Sale",E301*M301,0)</f>
        <v>300</v>
      </c>
      <c r="P301" s="45" t="n">
        <f aca="false">N301-O301</f>
        <v>200</v>
      </c>
      <c r="Q301" s="45" t="n">
        <f aca="false">IF(D301="Purchase",E301*M301,0)</f>
        <v>0</v>
      </c>
    </row>
    <row r="302" customFormat="false" ht="15" hidden="false" customHeight="false" outlineLevel="0" collapsed="false">
      <c r="A302" s="39" t="s">
        <v>626</v>
      </c>
      <c r="B302" s="44" t="n">
        <v>46237</v>
      </c>
      <c r="C302" s="39" t="s">
        <v>160</v>
      </c>
      <c r="D302" s="39" t="s">
        <v>137</v>
      </c>
      <c r="E302" s="39" t="n">
        <v>5</v>
      </c>
      <c r="F302" s="39" t="str">
        <f aca="false">IF(COUNTIF(medicine_master!$A$2:$A$26,C302)&gt;0,"Valid","Invalid")</f>
        <v>Valid</v>
      </c>
      <c r="G302" s="39" t="str">
        <f aca="false">IFERROR(INDEX(medicine_master!$B$2:$B$26,MATCH($C302,medicine_master!$A$2:$A$26,0)),"Not found")</f>
        <v>Calamine Lotion</v>
      </c>
      <c r="H302" s="39" t="str">
        <f aca="false">IFERROR(INDEX(medicine_master!$C$2:$C$26,MATCH($C302,medicine_master!$A$2:$A$26,0)),"Not found")</f>
        <v>Dermatology</v>
      </c>
      <c r="I302" s="39" t="n">
        <f aca="false">YEAR(B302)</f>
        <v>2026</v>
      </c>
      <c r="J302" s="39" t="n">
        <f aca="false">MONTH(B302)</f>
        <v>8</v>
      </c>
      <c r="K302" s="39" t="str">
        <f aca="false">TEXT(B302,"mmm")</f>
        <v>Aug</v>
      </c>
      <c r="L302" s="45" t="n">
        <f aca="false">IFERROR(INDEX(medicine_master!$I$2:$I$26,MATCH($C302,medicine_master!$A$2:$A$26,0)),0)</f>
        <v>60</v>
      </c>
      <c r="M302" s="45" t="n">
        <f aca="false">IFERROR(INDEX(medicine_master!$G$2:$G$26,MATCH($C302,medicine_master!$A$2:$A$26,0)),0)</f>
        <v>42</v>
      </c>
      <c r="N302" s="45" t="n">
        <f aca="false">IF(D302="Sale",E302*L302,0)</f>
        <v>300</v>
      </c>
      <c r="O302" s="45" t="n">
        <f aca="false">IF(D302="Sale",E302*M302,0)</f>
        <v>210</v>
      </c>
      <c r="P302" s="45" t="n">
        <f aca="false">N302-O302</f>
        <v>90</v>
      </c>
      <c r="Q302" s="45" t="n">
        <f aca="false">IF(D302="Purchase",E302*M302,0)</f>
        <v>0</v>
      </c>
    </row>
    <row r="303" customFormat="false" ht="15" hidden="false" customHeight="false" outlineLevel="0" collapsed="false">
      <c r="A303" s="39" t="s">
        <v>627</v>
      </c>
      <c r="B303" s="44" t="n">
        <v>46125</v>
      </c>
      <c r="C303" s="39" t="s">
        <v>145</v>
      </c>
      <c r="D303" s="39" t="s">
        <v>137</v>
      </c>
      <c r="E303" s="39" t="n">
        <v>20</v>
      </c>
      <c r="F303" s="39" t="str">
        <f aca="false">IF(COUNTIF(medicine_master!$A$2:$A$26,C303)&gt;0,"Valid","Invalid")</f>
        <v>Valid</v>
      </c>
      <c r="G303" s="39" t="str">
        <f aca="false">IFERROR(INDEX(medicine_master!$B$2:$B$26,MATCH($C303,medicine_master!$A$2:$A$26,0)),"Not found")</f>
        <v>Clotrimazole Cream</v>
      </c>
      <c r="H303" s="39" t="str">
        <f aca="false">IFERROR(INDEX(medicine_master!$C$2:$C$26,MATCH($C303,medicine_master!$A$2:$A$26,0)),"Not found")</f>
        <v>Dermatology</v>
      </c>
      <c r="I303" s="39" t="n">
        <f aca="false">YEAR(B303)</f>
        <v>2026</v>
      </c>
      <c r="J303" s="39" t="n">
        <f aca="false">MONTH(B303)</f>
        <v>4</v>
      </c>
      <c r="K303" s="39" t="str">
        <f aca="false">TEXT(B303,"mmm")</f>
        <v>Apr</v>
      </c>
      <c r="L303" s="45" t="n">
        <f aca="false">IFERROR(INDEX(medicine_master!$I$2:$I$26,MATCH($C303,medicine_master!$A$2:$A$26,0)),0)</f>
        <v>48</v>
      </c>
      <c r="M303" s="45" t="n">
        <f aca="false">IFERROR(INDEX(medicine_master!$G$2:$G$26,MATCH($C303,medicine_master!$A$2:$A$26,0)),0)</f>
        <v>32</v>
      </c>
      <c r="N303" s="45" t="n">
        <f aca="false">IF(D303="Sale",E303*L303,0)</f>
        <v>960</v>
      </c>
      <c r="O303" s="45" t="n">
        <f aca="false">IF(D303="Sale",E303*M303,0)</f>
        <v>640</v>
      </c>
      <c r="P303" s="45" t="n">
        <f aca="false">N303-O303</f>
        <v>320</v>
      </c>
      <c r="Q303" s="45" t="n">
        <f aca="false">IF(D303="Purchase",E303*M303,0)</f>
        <v>0</v>
      </c>
    </row>
    <row r="304" customFormat="false" ht="15" hidden="false" customHeight="false" outlineLevel="0" collapsed="false">
      <c r="A304" s="39" t="s">
        <v>628</v>
      </c>
      <c r="B304" s="44" t="n">
        <v>46130</v>
      </c>
      <c r="C304" s="39" t="s">
        <v>167</v>
      </c>
      <c r="D304" s="39" t="s">
        <v>138</v>
      </c>
      <c r="E304" s="39" t="n">
        <v>25</v>
      </c>
      <c r="F304" s="39" t="str">
        <f aca="false">IF(COUNTIF(medicine_master!$A$2:$A$26,C304)&gt;0,"Valid","Invalid")</f>
        <v>Valid</v>
      </c>
      <c r="G304" s="39" t="str">
        <f aca="false">IFERROR(INDEX(medicine_master!$B$2:$B$26,MATCH($C304,medicine_master!$A$2:$A$26,0)),"Not found")</f>
        <v>Amlodipine 5mg</v>
      </c>
      <c r="H304" s="39" t="str">
        <f aca="false">IFERROR(INDEX(medicine_master!$C$2:$C$26,MATCH($C304,medicine_master!$A$2:$A$26,0)),"Not found")</f>
        <v>Cardiac</v>
      </c>
      <c r="I304" s="39" t="n">
        <f aca="false">YEAR(B304)</f>
        <v>2026</v>
      </c>
      <c r="J304" s="39" t="n">
        <f aca="false">MONTH(B304)</f>
        <v>4</v>
      </c>
      <c r="K304" s="39" t="str">
        <f aca="false">TEXT(B304,"mmm")</f>
        <v>Apr</v>
      </c>
      <c r="L304" s="45" t="n">
        <f aca="false">IFERROR(INDEX(medicine_master!$I$2:$I$26,MATCH($C304,medicine_master!$A$2:$A$26,0)),0)</f>
        <v>19</v>
      </c>
      <c r="M304" s="45" t="n">
        <f aca="false">IFERROR(INDEX(medicine_master!$G$2:$G$26,MATCH($C304,medicine_master!$A$2:$A$26,0)),0)</f>
        <v>13</v>
      </c>
      <c r="N304" s="45" t="n">
        <f aca="false">IF(D304="Sale",E304*L304,0)</f>
        <v>0</v>
      </c>
      <c r="O304" s="45" t="n">
        <f aca="false">IF(D304="Sale",E304*M304,0)</f>
        <v>0</v>
      </c>
      <c r="P304" s="45" t="n">
        <f aca="false">N304-O304</f>
        <v>0</v>
      </c>
      <c r="Q304" s="45" t="n">
        <f aca="false">IF(D304="Purchase",E304*M304,0)</f>
        <v>325</v>
      </c>
    </row>
    <row r="305" customFormat="false" ht="15" hidden="false" customHeight="false" outlineLevel="0" collapsed="false">
      <c r="A305" s="39" t="s">
        <v>629</v>
      </c>
      <c r="B305" s="44" t="n">
        <v>46205</v>
      </c>
      <c r="C305" s="39" t="s">
        <v>148</v>
      </c>
      <c r="D305" s="39" t="s">
        <v>138</v>
      </c>
      <c r="E305" s="39" t="n">
        <v>15</v>
      </c>
      <c r="F305" s="39" t="str">
        <f aca="false">IF(COUNTIF(medicine_master!$A$2:$A$26,C305)&gt;0,"Valid","Invalid")</f>
        <v>Valid</v>
      </c>
      <c r="G305" s="39" t="str">
        <f aca="false">IFERROR(INDEX(medicine_master!$B$2:$B$26,MATCH($C305,medicine_master!$A$2:$A$26,0)),"Not found")</f>
        <v>Dextromethorphan Syrup</v>
      </c>
      <c r="H305" s="39" t="str">
        <f aca="false">IFERROR(INDEX(medicine_master!$C$2:$C$26,MATCH($C305,medicine_master!$A$2:$A$26,0)),"Not found")</f>
        <v>Cold &amp; Cough</v>
      </c>
      <c r="I305" s="39" t="n">
        <f aca="false">YEAR(B305)</f>
        <v>2026</v>
      </c>
      <c r="J305" s="39" t="n">
        <f aca="false">MONTH(B305)</f>
        <v>7</v>
      </c>
      <c r="K305" s="39" t="str">
        <f aca="false">TEXT(B305,"mmm")</f>
        <v>Jul</v>
      </c>
      <c r="L305" s="45" t="n">
        <f aca="false">IFERROR(INDEX(medicine_master!$I$2:$I$26,MATCH($C305,medicine_master!$A$2:$A$26,0)),0)</f>
        <v>80</v>
      </c>
      <c r="M305" s="45" t="n">
        <f aca="false">IFERROR(INDEX(medicine_master!$G$2:$G$26,MATCH($C305,medicine_master!$A$2:$A$26,0)),0)</f>
        <v>58</v>
      </c>
      <c r="N305" s="45" t="n">
        <f aca="false">IF(D305="Sale",E305*L305,0)</f>
        <v>0</v>
      </c>
      <c r="O305" s="45" t="n">
        <f aca="false">IF(D305="Sale",E305*M305,0)</f>
        <v>0</v>
      </c>
      <c r="P305" s="45" t="n">
        <f aca="false">N305-O305</f>
        <v>0</v>
      </c>
      <c r="Q305" s="45" t="n">
        <f aca="false">IF(D305="Purchase",E305*M305,0)</f>
        <v>870</v>
      </c>
    </row>
    <row r="306" customFormat="false" ht="15" hidden="false" customHeight="false" outlineLevel="0" collapsed="false">
      <c r="A306" s="39" t="s">
        <v>630</v>
      </c>
      <c r="B306" s="44" t="n">
        <v>46026</v>
      </c>
      <c r="C306" s="39" t="s">
        <v>321</v>
      </c>
      <c r="D306" s="39" t="s">
        <v>138</v>
      </c>
      <c r="E306" s="39" t="n">
        <v>25</v>
      </c>
      <c r="F306" s="39" t="str">
        <f aca="false">IF(COUNTIF(medicine_master!$A$2:$A$26,C306)&gt;0,"Valid","Invalid")</f>
        <v>Valid</v>
      </c>
      <c r="G306" s="39" t="str">
        <f aca="false">IFERROR(INDEX(medicine_master!$B$2:$B$26,MATCH($C306,medicine_master!$A$2:$A$26,0)),"Not found")</f>
        <v>Levocetirizine 5mg</v>
      </c>
      <c r="H306" s="39" t="str">
        <f aca="false">IFERROR(INDEX(medicine_master!$C$2:$C$26,MATCH($C306,medicine_master!$A$2:$A$26,0)),"Not found")</f>
        <v>Allergy</v>
      </c>
      <c r="I306" s="39" t="n">
        <f aca="false">YEAR(B306)</f>
        <v>2026</v>
      </c>
      <c r="J306" s="39" t="n">
        <f aca="false">MONTH(B306)</f>
        <v>1</v>
      </c>
      <c r="K306" s="39" t="str">
        <f aca="false">TEXT(B306,"mmm")</f>
        <v>Jan</v>
      </c>
      <c r="L306" s="45" t="n">
        <f aca="false">IFERROR(INDEX(medicine_master!$I$2:$I$26,MATCH($C306,medicine_master!$A$2:$A$26,0)),0)</f>
        <v>22</v>
      </c>
      <c r="M306" s="45" t="n">
        <f aca="false">IFERROR(INDEX(medicine_master!$G$2:$G$26,MATCH($C306,medicine_master!$A$2:$A$26,0)),0)</f>
        <v>14</v>
      </c>
      <c r="N306" s="45" t="n">
        <f aca="false">IF(D306="Sale",E306*L306,0)</f>
        <v>0</v>
      </c>
      <c r="O306" s="45" t="n">
        <f aca="false">IF(D306="Sale",E306*M306,0)</f>
        <v>0</v>
      </c>
      <c r="P306" s="45" t="n">
        <f aca="false">N306-O306</f>
        <v>0</v>
      </c>
      <c r="Q306" s="45" t="n">
        <f aca="false">IF(D306="Purchase",E306*M306,0)</f>
        <v>350</v>
      </c>
    </row>
    <row r="307" customFormat="false" ht="15" hidden="false" customHeight="false" outlineLevel="0" collapsed="false">
      <c r="A307" s="39" t="s">
        <v>631</v>
      </c>
      <c r="B307" s="44" t="n">
        <v>46038</v>
      </c>
      <c r="C307" s="39" t="s">
        <v>167</v>
      </c>
      <c r="D307" s="39" t="s">
        <v>137</v>
      </c>
      <c r="E307" s="39" t="n">
        <v>15</v>
      </c>
      <c r="F307" s="39" t="str">
        <f aca="false">IF(COUNTIF(medicine_master!$A$2:$A$26,C307)&gt;0,"Valid","Invalid")</f>
        <v>Valid</v>
      </c>
      <c r="G307" s="39" t="str">
        <f aca="false">IFERROR(INDEX(medicine_master!$B$2:$B$26,MATCH($C307,medicine_master!$A$2:$A$26,0)),"Not found")</f>
        <v>Amlodipine 5mg</v>
      </c>
      <c r="H307" s="39" t="str">
        <f aca="false">IFERROR(INDEX(medicine_master!$C$2:$C$26,MATCH($C307,medicine_master!$A$2:$A$26,0)),"Not found")</f>
        <v>Cardiac</v>
      </c>
      <c r="I307" s="39" t="n">
        <f aca="false">YEAR(B307)</f>
        <v>2026</v>
      </c>
      <c r="J307" s="39" t="n">
        <f aca="false">MONTH(B307)</f>
        <v>1</v>
      </c>
      <c r="K307" s="39" t="str">
        <f aca="false">TEXT(B307,"mmm")</f>
        <v>Jan</v>
      </c>
      <c r="L307" s="45" t="n">
        <f aca="false">IFERROR(INDEX(medicine_master!$I$2:$I$26,MATCH($C307,medicine_master!$A$2:$A$26,0)),0)</f>
        <v>19</v>
      </c>
      <c r="M307" s="45" t="n">
        <f aca="false">IFERROR(INDEX(medicine_master!$G$2:$G$26,MATCH($C307,medicine_master!$A$2:$A$26,0)),0)</f>
        <v>13</v>
      </c>
      <c r="N307" s="45" t="n">
        <f aca="false">IF(D307="Sale",E307*L307,0)</f>
        <v>285</v>
      </c>
      <c r="O307" s="45" t="n">
        <f aca="false">IF(D307="Sale",E307*M307,0)</f>
        <v>195</v>
      </c>
      <c r="P307" s="45" t="n">
        <f aca="false">N307-O307</f>
        <v>90</v>
      </c>
      <c r="Q307" s="45" t="n">
        <f aca="false">IF(D307="Purchase",E307*M307,0)</f>
        <v>0</v>
      </c>
    </row>
    <row r="308" customFormat="false" ht="15" hidden="false" customHeight="false" outlineLevel="0" collapsed="false">
      <c r="A308" s="39" t="s">
        <v>632</v>
      </c>
      <c r="B308" s="44" t="n">
        <v>46333</v>
      </c>
      <c r="C308" s="39" t="s">
        <v>151</v>
      </c>
      <c r="D308" s="39" t="s">
        <v>137</v>
      </c>
      <c r="E308" s="39" t="n">
        <v>5</v>
      </c>
      <c r="F308" s="39" t="str">
        <f aca="false">IF(COUNTIF(medicine_master!$A$2:$A$26,C308)&gt;0,"Valid","Invalid")</f>
        <v>Valid</v>
      </c>
      <c r="G308" s="39" t="str">
        <f aca="false">IFERROR(INDEX(medicine_master!$B$2:$B$26,MATCH($C308,medicine_master!$A$2:$A$26,0)),"Not found")</f>
        <v>Cetirizine 10mg</v>
      </c>
      <c r="H308" s="39" t="str">
        <f aca="false">IFERROR(INDEX(medicine_master!$C$2:$C$26,MATCH($C308,medicine_master!$A$2:$A$26,0)),"Not found")</f>
        <v>Allergy</v>
      </c>
      <c r="I308" s="39" t="n">
        <f aca="false">YEAR(B308)</f>
        <v>2026</v>
      </c>
      <c r="J308" s="39" t="n">
        <f aca="false">MONTH(B308)</f>
        <v>11</v>
      </c>
      <c r="K308" s="39" t="str">
        <f aca="false">TEXT(B308,"mmm")</f>
        <v>Nov</v>
      </c>
      <c r="L308" s="45" t="n">
        <f aca="false">IFERROR(INDEX(medicine_master!$I$2:$I$26,MATCH($C308,medicine_master!$A$2:$A$26,0)),0)</f>
        <v>13</v>
      </c>
      <c r="M308" s="45" t="n">
        <f aca="false">IFERROR(INDEX(medicine_master!$G$2:$G$26,MATCH($C308,medicine_master!$A$2:$A$26,0)),0)</f>
        <v>8</v>
      </c>
      <c r="N308" s="45" t="n">
        <f aca="false">IF(D308="Sale",E308*L308,0)</f>
        <v>65</v>
      </c>
      <c r="O308" s="45" t="n">
        <f aca="false">IF(D308="Sale",E308*M308,0)</f>
        <v>40</v>
      </c>
      <c r="P308" s="45" t="n">
        <f aca="false">N308-O308</f>
        <v>25</v>
      </c>
      <c r="Q308" s="45" t="n">
        <f aca="false">IF(D308="Purchase",E308*M308,0)</f>
        <v>0</v>
      </c>
    </row>
    <row r="309" customFormat="false" ht="15" hidden="false" customHeight="false" outlineLevel="0" collapsed="false">
      <c r="A309" s="39" t="s">
        <v>633</v>
      </c>
      <c r="B309" s="44" t="n">
        <v>46269</v>
      </c>
      <c r="C309" s="39" t="s">
        <v>167</v>
      </c>
      <c r="D309" s="39" t="s">
        <v>137</v>
      </c>
      <c r="E309" s="39" t="n">
        <v>40</v>
      </c>
      <c r="F309" s="39" t="str">
        <f aca="false">IF(COUNTIF(medicine_master!$A$2:$A$26,C309)&gt;0,"Valid","Invalid")</f>
        <v>Valid</v>
      </c>
      <c r="G309" s="39" t="str">
        <f aca="false">IFERROR(INDEX(medicine_master!$B$2:$B$26,MATCH($C309,medicine_master!$A$2:$A$26,0)),"Not found")</f>
        <v>Amlodipine 5mg</v>
      </c>
      <c r="H309" s="39" t="str">
        <f aca="false">IFERROR(INDEX(medicine_master!$C$2:$C$26,MATCH($C309,medicine_master!$A$2:$A$26,0)),"Not found")</f>
        <v>Cardiac</v>
      </c>
      <c r="I309" s="39" t="n">
        <f aca="false">YEAR(B309)</f>
        <v>2026</v>
      </c>
      <c r="J309" s="39" t="n">
        <f aca="false">MONTH(B309)</f>
        <v>9</v>
      </c>
      <c r="K309" s="39" t="str">
        <f aca="false">TEXT(B309,"mmm")</f>
        <v>Sep</v>
      </c>
      <c r="L309" s="45" t="n">
        <f aca="false">IFERROR(INDEX(medicine_master!$I$2:$I$26,MATCH($C309,medicine_master!$A$2:$A$26,0)),0)</f>
        <v>19</v>
      </c>
      <c r="M309" s="45" t="n">
        <f aca="false">IFERROR(INDEX(medicine_master!$G$2:$G$26,MATCH($C309,medicine_master!$A$2:$A$26,0)),0)</f>
        <v>13</v>
      </c>
      <c r="N309" s="45" t="n">
        <f aca="false">IF(D309="Sale",E309*L309,0)</f>
        <v>760</v>
      </c>
      <c r="O309" s="45" t="n">
        <f aca="false">IF(D309="Sale",E309*M309,0)</f>
        <v>520</v>
      </c>
      <c r="P309" s="45" t="n">
        <f aca="false">N309-O309</f>
        <v>240</v>
      </c>
      <c r="Q309" s="45" t="n">
        <f aca="false">IF(D309="Purchase",E309*M309,0)</f>
        <v>0</v>
      </c>
    </row>
    <row r="310" customFormat="false" ht="15" hidden="false" customHeight="false" outlineLevel="0" collapsed="false">
      <c r="A310" s="39" t="s">
        <v>634</v>
      </c>
      <c r="B310" s="44" t="n">
        <v>46249</v>
      </c>
      <c r="C310" s="39" t="s">
        <v>180</v>
      </c>
      <c r="D310" s="39" t="s">
        <v>138</v>
      </c>
      <c r="E310" s="39" t="n">
        <v>5</v>
      </c>
      <c r="F310" s="39" t="str">
        <f aca="false">IF(COUNTIF(medicine_master!$A$2:$A$26,C310)&gt;0,"Valid","Invalid")</f>
        <v>Valid</v>
      </c>
      <c r="G310" s="39" t="str">
        <f aca="false">IFERROR(INDEX(medicine_master!$B$2:$B$26,MATCH($C310,medicine_master!$A$2:$A$26,0)),"Not found")</f>
        <v>Vitamin C 500mg</v>
      </c>
      <c r="H310" s="39" t="str">
        <f aca="false">IFERROR(INDEX(medicine_master!$C$2:$C$26,MATCH($C310,medicine_master!$A$2:$A$26,0)),"Not found")</f>
        <v>Vitamin</v>
      </c>
      <c r="I310" s="39" t="n">
        <f aca="false">YEAR(B310)</f>
        <v>2026</v>
      </c>
      <c r="J310" s="39" t="n">
        <f aca="false">MONTH(B310)</f>
        <v>8</v>
      </c>
      <c r="K310" s="39" t="str">
        <f aca="false">TEXT(B310,"mmm")</f>
        <v>Aug</v>
      </c>
      <c r="L310" s="45" t="n">
        <f aca="false">IFERROR(INDEX(medicine_master!$I$2:$I$26,MATCH($C310,medicine_master!$A$2:$A$26,0)),0)</f>
        <v>22</v>
      </c>
      <c r="M310" s="45" t="n">
        <f aca="false">IFERROR(INDEX(medicine_master!$G$2:$G$26,MATCH($C310,medicine_master!$A$2:$A$26,0)),0)</f>
        <v>14</v>
      </c>
      <c r="N310" s="45" t="n">
        <f aca="false">IF(D310="Sale",E310*L310,0)</f>
        <v>0</v>
      </c>
      <c r="O310" s="45" t="n">
        <f aca="false">IF(D310="Sale",E310*M310,0)</f>
        <v>0</v>
      </c>
      <c r="P310" s="45" t="n">
        <f aca="false">N310-O310</f>
        <v>0</v>
      </c>
      <c r="Q310" s="45" t="n">
        <f aca="false">IF(D310="Purchase",E310*M310,0)</f>
        <v>70</v>
      </c>
    </row>
    <row r="311" customFormat="false" ht="15" hidden="false" customHeight="false" outlineLevel="0" collapsed="false">
      <c r="A311" s="39" t="s">
        <v>635</v>
      </c>
      <c r="B311" s="44" t="n">
        <v>46340</v>
      </c>
      <c r="C311" s="39" t="s">
        <v>390</v>
      </c>
      <c r="D311" s="39" t="s">
        <v>137</v>
      </c>
      <c r="E311" s="39" t="n">
        <v>25</v>
      </c>
      <c r="F311" s="39" t="str">
        <f aca="false">IF(COUNTIF(medicine_master!$A$2:$A$26,C311)&gt;0,"Valid","Invalid")</f>
        <v>Valid</v>
      </c>
      <c r="G311" s="39" t="str">
        <f aca="false">IFERROR(INDEX(medicine_master!$B$2:$B$26,MATCH($C311,medicine_master!$A$2:$A$26,0)),"Not found")</f>
        <v>Montelukast 10mg</v>
      </c>
      <c r="H311" s="39" t="str">
        <f aca="false">IFERROR(INDEX(medicine_master!$C$2:$C$26,MATCH($C311,medicine_master!$A$2:$A$26,0)),"Not found")</f>
        <v>Allergy</v>
      </c>
      <c r="I311" s="39" t="n">
        <f aca="false">YEAR(B311)</f>
        <v>2026</v>
      </c>
      <c r="J311" s="39" t="n">
        <f aca="false">MONTH(B311)</f>
        <v>11</v>
      </c>
      <c r="K311" s="39" t="str">
        <f aca="false">TEXT(B311,"mmm")</f>
        <v>Nov</v>
      </c>
      <c r="L311" s="45" t="n">
        <f aca="false">IFERROR(INDEX(medicine_master!$I$2:$I$26,MATCH($C311,medicine_master!$A$2:$A$26,0)),0)</f>
        <v>39</v>
      </c>
      <c r="M311" s="45" t="n">
        <f aca="false">IFERROR(INDEX(medicine_master!$G$2:$G$26,MATCH($C311,medicine_master!$A$2:$A$26,0)),0)</f>
        <v>27</v>
      </c>
      <c r="N311" s="45" t="n">
        <f aca="false">IF(D311="Sale",E311*L311,0)</f>
        <v>975</v>
      </c>
      <c r="O311" s="45" t="n">
        <f aca="false">IF(D311="Sale",E311*M311,0)</f>
        <v>675</v>
      </c>
      <c r="P311" s="45" t="n">
        <f aca="false">N311-O311</f>
        <v>300</v>
      </c>
      <c r="Q311" s="45" t="n">
        <f aca="false">IF(D311="Purchase",E311*M311,0)</f>
        <v>0</v>
      </c>
    </row>
    <row r="312" customFormat="false" ht="15" hidden="false" customHeight="false" outlineLevel="0" collapsed="false">
      <c r="A312" s="39" t="s">
        <v>636</v>
      </c>
      <c r="B312" s="44" t="n">
        <v>46258</v>
      </c>
      <c r="C312" s="39" t="s">
        <v>159</v>
      </c>
      <c r="D312" s="39" t="s">
        <v>137</v>
      </c>
      <c r="E312" s="39" t="n">
        <v>10</v>
      </c>
      <c r="F312" s="39" t="str">
        <f aca="false">IF(COUNTIF(medicine_master!$A$2:$A$26,C312)&gt;0,"Valid","Invalid")</f>
        <v>Valid</v>
      </c>
      <c r="G312" s="39" t="str">
        <f aca="false">IFERROR(INDEX(medicine_master!$B$2:$B$26,MATCH($C312,medicine_master!$A$2:$A$26,0)),"Not found")</f>
        <v>Antiseptic Liquid 100ml</v>
      </c>
      <c r="H312" s="39" t="str">
        <f aca="false">IFERROR(INDEX(medicine_master!$C$2:$C$26,MATCH($C312,medicine_master!$A$2:$A$26,0)),"Not found")</f>
        <v>First Aid</v>
      </c>
      <c r="I312" s="39" t="n">
        <f aca="false">YEAR(B312)</f>
        <v>2026</v>
      </c>
      <c r="J312" s="39" t="n">
        <f aca="false">MONTH(B312)</f>
        <v>8</v>
      </c>
      <c r="K312" s="39" t="str">
        <f aca="false">TEXT(B312,"mmm")</f>
        <v>Aug</v>
      </c>
      <c r="L312" s="45" t="n">
        <f aca="false">IFERROR(INDEX(medicine_master!$I$2:$I$26,MATCH($C312,medicine_master!$A$2:$A$26,0)),0)</f>
        <v>65</v>
      </c>
      <c r="M312" s="45" t="n">
        <f aca="false">IFERROR(INDEX(medicine_master!$G$2:$G$26,MATCH($C312,medicine_master!$A$2:$A$26,0)),0)</f>
        <v>48</v>
      </c>
      <c r="N312" s="45" t="n">
        <f aca="false">IF(D312="Sale",E312*L312,0)</f>
        <v>650</v>
      </c>
      <c r="O312" s="45" t="n">
        <f aca="false">IF(D312="Sale",E312*M312,0)</f>
        <v>480</v>
      </c>
      <c r="P312" s="45" t="n">
        <f aca="false">N312-O312</f>
        <v>170</v>
      </c>
      <c r="Q312" s="45" t="n">
        <f aca="false">IF(D312="Purchase",E312*M312,0)</f>
        <v>0</v>
      </c>
    </row>
    <row r="313" customFormat="false" ht="15" hidden="false" customHeight="false" outlineLevel="0" collapsed="false">
      <c r="A313" s="39" t="s">
        <v>637</v>
      </c>
      <c r="B313" s="44" t="n">
        <v>46381</v>
      </c>
      <c r="C313" s="39" t="s">
        <v>146</v>
      </c>
      <c r="D313" s="39" t="s">
        <v>137</v>
      </c>
      <c r="E313" s="39" t="n">
        <v>15</v>
      </c>
      <c r="F313" s="39" t="str">
        <f aca="false">IF(COUNTIF(medicine_master!$A$2:$A$26,C313)&gt;0,"Valid","Invalid")</f>
        <v>Valid</v>
      </c>
      <c r="G313" s="39" t="str">
        <f aca="false">IFERROR(INDEX(medicine_master!$B$2:$B$26,MATCH($C313,medicine_master!$A$2:$A$26,0)),"Not found")</f>
        <v>Diclofenac Gel</v>
      </c>
      <c r="H313" s="39" t="str">
        <f aca="false">IFERROR(INDEX(medicine_master!$C$2:$C$26,MATCH($C313,medicine_master!$A$2:$A$26,0)),"Not found")</f>
        <v>Pain Relief</v>
      </c>
      <c r="I313" s="39" t="n">
        <f aca="false">YEAR(B313)</f>
        <v>2026</v>
      </c>
      <c r="J313" s="39" t="n">
        <f aca="false">MONTH(B313)</f>
        <v>12</v>
      </c>
      <c r="K313" s="39" t="str">
        <f aca="false">TEXT(B313,"mmm")</f>
        <v>Dec</v>
      </c>
      <c r="L313" s="45" t="n">
        <f aca="false">IFERROR(INDEX(medicine_master!$I$2:$I$26,MATCH($C313,medicine_master!$A$2:$A$26,0)),0)</f>
        <v>55</v>
      </c>
      <c r="M313" s="45" t="n">
        <f aca="false">IFERROR(INDEX(medicine_master!$G$2:$G$26,MATCH($C313,medicine_master!$A$2:$A$26,0)),0)</f>
        <v>38</v>
      </c>
      <c r="N313" s="45" t="n">
        <f aca="false">IF(D313="Sale",E313*L313,0)</f>
        <v>825</v>
      </c>
      <c r="O313" s="45" t="n">
        <f aca="false">IF(D313="Sale",E313*M313,0)</f>
        <v>570</v>
      </c>
      <c r="P313" s="45" t="n">
        <f aca="false">N313-O313</f>
        <v>255</v>
      </c>
      <c r="Q313" s="45" t="n">
        <f aca="false">IF(D313="Purchase",E313*M313,0)</f>
        <v>0</v>
      </c>
    </row>
    <row r="314" customFormat="false" ht="15" hidden="false" customHeight="false" outlineLevel="0" collapsed="false">
      <c r="A314" s="39" t="s">
        <v>638</v>
      </c>
      <c r="B314" s="44" t="n">
        <v>46025</v>
      </c>
      <c r="C314" s="39" t="s">
        <v>167</v>
      </c>
      <c r="D314" s="39" t="s">
        <v>138</v>
      </c>
      <c r="E314" s="39" t="n">
        <v>15</v>
      </c>
      <c r="F314" s="39" t="str">
        <f aca="false">IF(COUNTIF(medicine_master!$A$2:$A$26,C314)&gt;0,"Valid","Invalid")</f>
        <v>Valid</v>
      </c>
      <c r="G314" s="39" t="str">
        <f aca="false">IFERROR(INDEX(medicine_master!$B$2:$B$26,MATCH($C314,medicine_master!$A$2:$A$26,0)),"Not found")</f>
        <v>Amlodipine 5mg</v>
      </c>
      <c r="H314" s="39" t="str">
        <f aca="false">IFERROR(INDEX(medicine_master!$C$2:$C$26,MATCH($C314,medicine_master!$A$2:$A$26,0)),"Not found")</f>
        <v>Cardiac</v>
      </c>
      <c r="I314" s="39" t="n">
        <f aca="false">YEAR(B314)</f>
        <v>2026</v>
      </c>
      <c r="J314" s="39" t="n">
        <f aca="false">MONTH(B314)</f>
        <v>1</v>
      </c>
      <c r="K314" s="39" t="str">
        <f aca="false">TEXT(B314,"mmm")</f>
        <v>Jan</v>
      </c>
      <c r="L314" s="45" t="n">
        <f aca="false">IFERROR(INDEX(medicine_master!$I$2:$I$26,MATCH($C314,medicine_master!$A$2:$A$26,0)),0)</f>
        <v>19</v>
      </c>
      <c r="M314" s="45" t="n">
        <f aca="false">IFERROR(INDEX(medicine_master!$G$2:$G$26,MATCH($C314,medicine_master!$A$2:$A$26,0)),0)</f>
        <v>13</v>
      </c>
      <c r="N314" s="45" t="n">
        <f aca="false">IF(D314="Sale",E314*L314,0)</f>
        <v>0</v>
      </c>
      <c r="O314" s="45" t="n">
        <f aca="false">IF(D314="Sale",E314*M314,0)</f>
        <v>0</v>
      </c>
      <c r="P314" s="45" t="n">
        <f aca="false">N314-O314</f>
        <v>0</v>
      </c>
      <c r="Q314" s="45" t="n">
        <f aca="false">IF(D314="Purchase",E314*M314,0)</f>
        <v>195</v>
      </c>
    </row>
    <row r="315" customFormat="false" ht="15" hidden="false" customHeight="false" outlineLevel="0" collapsed="false">
      <c r="A315" s="39" t="s">
        <v>639</v>
      </c>
      <c r="B315" s="44" t="n">
        <v>46346</v>
      </c>
      <c r="C315" s="39" t="s">
        <v>160</v>
      </c>
      <c r="D315" s="39" t="s">
        <v>138</v>
      </c>
      <c r="E315" s="39" t="n">
        <v>5</v>
      </c>
      <c r="F315" s="39" t="str">
        <f aca="false">IF(COUNTIF(medicine_master!$A$2:$A$26,C315)&gt;0,"Valid","Invalid")</f>
        <v>Valid</v>
      </c>
      <c r="G315" s="39" t="str">
        <f aca="false">IFERROR(INDEX(medicine_master!$B$2:$B$26,MATCH($C315,medicine_master!$A$2:$A$26,0)),"Not found")</f>
        <v>Calamine Lotion</v>
      </c>
      <c r="H315" s="39" t="str">
        <f aca="false">IFERROR(INDEX(medicine_master!$C$2:$C$26,MATCH($C315,medicine_master!$A$2:$A$26,0)),"Not found")</f>
        <v>Dermatology</v>
      </c>
      <c r="I315" s="39" t="n">
        <f aca="false">YEAR(B315)</f>
        <v>2026</v>
      </c>
      <c r="J315" s="39" t="n">
        <f aca="false">MONTH(B315)</f>
        <v>11</v>
      </c>
      <c r="K315" s="39" t="str">
        <f aca="false">TEXT(B315,"mmm")</f>
        <v>Nov</v>
      </c>
      <c r="L315" s="45" t="n">
        <f aca="false">IFERROR(INDEX(medicine_master!$I$2:$I$26,MATCH($C315,medicine_master!$A$2:$A$26,0)),0)</f>
        <v>60</v>
      </c>
      <c r="M315" s="45" t="n">
        <f aca="false">IFERROR(INDEX(medicine_master!$G$2:$G$26,MATCH($C315,medicine_master!$A$2:$A$26,0)),0)</f>
        <v>42</v>
      </c>
      <c r="N315" s="45" t="n">
        <f aca="false">IF(D315="Sale",E315*L315,0)</f>
        <v>0</v>
      </c>
      <c r="O315" s="45" t="n">
        <f aca="false">IF(D315="Sale",E315*M315,0)</f>
        <v>0</v>
      </c>
      <c r="P315" s="45" t="n">
        <f aca="false">N315-O315</f>
        <v>0</v>
      </c>
      <c r="Q315" s="45" t="n">
        <f aca="false">IF(D315="Purchase",E315*M315,0)</f>
        <v>210</v>
      </c>
    </row>
    <row r="316" customFormat="false" ht="15" hidden="false" customHeight="false" outlineLevel="0" collapsed="false">
      <c r="A316" s="39" t="s">
        <v>640</v>
      </c>
      <c r="B316" s="44" t="n">
        <v>46215</v>
      </c>
      <c r="C316" s="39" t="s">
        <v>390</v>
      </c>
      <c r="D316" s="39" t="s">
        <v>137</v>
      </c>
      <c r="E316" s="39" t="n">
        <v>20</v>
      </c>
      <c r="F316" s="39" t="str">
        <f aca="false">IF(COUNTIF(medicine_master!$A$2:$A$26,C316)&gt;0,"Valid","Invalid")</f>
        <v>Valid</v>
      </c>
      <c r="G316" s="39" t="str">
        <f aca="false">IFERROR(INDEX(medicine_master!$B$2:$B$26,MATCH($C316,medicine_master!$A$2:$A$26,0)),"Not found")</f>
        <v>Montelukast 10mg</v>
      </c>
      <c r="H316" s="39" t="str">
        <f aca="false">IFERROR(INDEX(medicine_master!$C$2:$C$26,MATCH($C316,medicine_master!$A$2:$A$26,0)),"Not found")</f>
        <v>Allergy</v>
      </c>
      <c r="I316" s="39" t="n">
        <f aca="false">YEAR(B316)</f>
        <v>2026</v>
      </c>
      <c r="J316" s="39" t="n">
        <f aca="false">MONTH(B316)</f>
        <v>7</v>
      </c>
      <c r="K316" s="39" t="str">
        <f aca="false">TEXT(B316,"mmm")</f>
        <v>Jul</v>
      </c>
      <c r="L316" s="45" t="n">
        <f aca="false">IFERROR(INDEX(medicine_master!$I$2:$I$26,MATCH($C316,medicine_master!$A$2:$A$26,0)),0)</f>
        <v>39</v>
      </c>
      <c r="M316" s="45" t="n">
        <f aca="false">IFERROR(INDEX(medicine_master!$G$2:$G$26,MATCH($C316,medicine_master!$A$2:$A$26,0)),0)</f>
        <v>27</v>
      </c>
      <c r="N316" s="45" t="n">
        <f aca="false">IF(D316="Sale",E316*L316,0)</f>
        <v>780</v>
      </c>
      <c r="O316" s="45" t="n">
        <f aca="false">IF(D316="Sale",E316*M316,0)</f>
        <v>540</v>
      </c>
      <c r="P316" s="45" t="n">
        <f aca="false">N316-O316</f>
        <v>240</v>
      </c>
      <c r="Q316" s="45" t="n">
        <f aca="false">IF(D316="Purchase",E316*M316,0)</f>
        <v>0</v>
      </c>
    </row>
    <row r="317" customFormat="false" ht="15" hidden="false" customHeight="false" outlineLevel="0" collapsed="false">
      <c r="A317" s="39" t="s">
        <v>641</v>
      </c>
      <c r="B317" s="44" t="n">
        <v>46327</v>
      </c>
      <c r="C317" s="39" t="s">
        <v>178</v>
      </c>
      <c r="D317" s="39" t="s">
        <v>137</v>
      </c>
      <c r="E317" s="39" t="n">
        <v>15</v>
      </c>
      <c r="F317" s="39" t="str">
        <f aca="false">IF(COUNTIF(medicine_master!$A$2:$A$26,C317)&gt;0,"Valid","Invalid")</f>
        <v>Valid</v>
      </c>
      <c r="G317" s="39" t="str">
        <f aca="false">IFERROR(INDEX(medicine_master!$B$2:$B$26,MATCH($C317,medicine_master!$A$2:$A$26,0)),"Not found")</f>
        <v>Aspirin 75mg</v>
      </c>
      <c r="H317" s="39" t="str">
        <f aca="false">IFERROR(INDEX(medicine_master!$C$2:$C$26,MATCH($C317,medicine_master!$A$2:$A$26,0)),"Not found")</f>
        <v>Cardiac</v>
      </c>
      <c r="I317" s="39" t="n">
        <f aca="false">YEAR(B317)</f>
        <v>2026</v>
      </c>
      <c r="J317" s="39" t="n">
        <f aca="false">MONTH(B317)</f>
        <v>11</v>
      </c>
      <c r="K317" s="39" t="str">
        <f aca="false">TEXT(B317,"mmm")</f>
        <v>Nov</v>
      </c>
      <c r="L317" s="45" t="n">
        <f aca="false">IFERROR(INDEX(medicine_master!$I$2:$I$26,MATCH($C317,medicine_master!$A$2:$A$26,0)),0)</f>
        <v>15</v>
      </c>
      <c r="M317" s="45" t="n">
        <f aca="false">IFERROR(INDEX(medicine_master!$G$2:$G$26,MATCH($C317,medicine_master!$A$2:$A$26,0)),0)</f>
        <v>10</v>
      </c>
      <c r="N317" s="45" t="n">
        <f aca="false">IF(D317="Sale",E317*L317,0)</f>
        <v>225</v>
      </c>
      <c r="O317" s="45" t="n">
        <f aca="false">IF(D317="Sale",E317*M317,0)</f>
        <v>150</v>
      </c>
      <c r="P317" s="45" t="n">
        <f aca="false">N317-O317</f>
        <v>75</v>
      </c>
      <c r="Q317" s="45" t="n">
        <f aca="false">IF(D317="Purchase",E317*M317,0)</f>
        <v>0</v>
      </c>
    </row>
    <row r="318" customFormat="false" ht="15" hidden="false" customHeight="false" outlineLevel="0" collapsed="false">
      <c r="A318" s="39" t="s">
        <v>642</v>
      </c>
      <c r="B318" s="44" t="n">
        <v>46315</v>
      </c>
      <c r="C318" s="39" t="s">
        <v>152</v>
      </c>
      <c r="D318" s="39" t="s">
        <v>138</v>
      </c>
      <c r="E318" s="39" t="n">
        <v>20</v>
      </c>
      <c r="F318" s="39" t="str">
        <f aca="false">IF(COUNTIF(medicine_master!$A$2:$A$26,C318)&gt;0,"Valid","Invalid")</f>
        <v>Valid</v>
      </c>
      <c r="G318" s="39" t="str">
        <f aca="false">IFERROR(INDEX(medicine_master!$B$2:$B$26,MATCH($C318,medicine_master!$A$2:$A$26,0)),"Not found")</f>
        <v>Amoxicillin 500mg</v>
      </c>
      <c r="H318" s="39" t="str">
        <f aca="false">IFERROR(INDEX(medicine_master!$C$2:$C$26,MATCH($C318,medicine_master!$A$2:$A$26,0)),"Not found")</f>
        <v>Antibiotic</v>
      </c>
      <c r="I318" s="39" t="n">
        <f aca="false">YEAR(B318)</f>
        <v>2026</v>
      </c>
      <c r="J318" s="39" t="n">
        <f aca="false">MONTH(B318)</f>
        <v>10</v>
      </c>
      <c r="K318" s="39" t="str">
        <f aca="false">TEXT(B318,"mmm")</f>
        <v>Oct</v>
      </c>
      <c r="L318" s="45" t="n">
        <f aca="false">IFERROR(INDEX(medicine_master!$I$2:$I$26,MATCH($C318,medicine_master!$A$2:$A$26,0)),0)</f>
        <v>40</v>
      </c>
      <c r="M318" s="45" t="n">
        <f aca="false">IFERROR(INDEX(medicine_master!$G$2:$G$26,MATCH($C318,medicine_master!$A$2:$A$26,0)),0)</f>
        <v>28</v>
      </c>
      <c r="N318" s="45" t="n">
        <f aca="false">IF(D318="Sale",E318*L318,0)</f>
        <v>0</v>
      </c>
      <c r="O318" s="45" t="n">
        <f aca="false">IF(D318="Sale",E318*M318,0)</f>
        <v>0</v>
      </c>
      <c r="P318" s="45" t="n">
        <f aca="false">N318-O318</f>
        <v>0</v>
      </c>
      <c r="Q318" s="45" t="n">
        <f aca="false">IF(D318="Purchase",E318*M318,0)</f>
        <v>560</v>
      </c>
    </row>
    <row r="319" customFormat="false" ht="15" hidden="false" customHeight="false" outlineLevel="0" collapsed="false">
      <c r="A319" s="39" t="s">
        <v>643</v>
      </c>
      <c r="B319" s="44" t="n">
        <v>46341</v>
      </c>
      <c r="C319" s="39" t="s">
        <v>153</v>
      </c>
      <c r="D319" s="39" t="s">
        <v>137</v>
      </c>
      <c r="E319" s="39" t="n">
        <v>40</v>
      </c>
      <c r="F319" s="39" t="str">
        <f aca="false">IF(COUNTIF(medicine_master!$A$2:$A$26,C319)&gt;0,"Valid","Invalid")</f>
        <v>Valid</v>
      </c>
      <c r="G319" s="39" t="str">
        <f aca="false">IFERROR(INDEX(medicine_master!$B$2:$B$26,MATCH($C319,medicine_master!$A$2:$A$26,0)),"Not found")</f>
        <v>Atorvastatin 10mg</v>
      </c>
      <c r="H319" s="39" t="str">
        <f aca="false">IFERROR(INDEX(medicine_master!$C$2:$C$26,MATCH($C319,medicine_master!$A$2:$A$26,0)),"Not found")</f>
        <v>Cardiac</v>
      </c>
      <c r="I319" s="39" t="n">
        <f aca="false">YEAR(B319)</f>
        <v>2026</v>
      </c>
      <c r="J319" s="39" t="n">
        <f aca="false">MONTH(B319)</f>
        <v>11</v>
      </c>
      <c r="K319" s="39" t="str">
        <f aca="false">TEXT(B319,"mmm")</f>
        <v>Nov</v>
      </c>
      <c r="L319" s="45" t="n">
        <f aca="false">IFERROR(INDEX(medicine_master!$I$2:$I$26,MATCH($C319,medicine_master!$A$2:$A$26,0)),0)</f>
        <v>28</v>
      </c>
      <c r="M319" s="45" t="n">
        <f aca="false">IFERROR(INDEX(medicine_master!$G$2:$G$26,MATCH($C319,medicine_master!$A$2:$A$26,0)),0)</f>
        <v>19</v>
      </c>
      <c r="N319" s="45" t="n">
        <f aca="false">IF(D319="Sale",E319*L319,0)</f>
        <v>1120</v>
      </c>
      <c r="O319" s="45" t="n">
        <f aca="false">IF(D319="Sale",E319*M319,0)</f>
        <v>760</v>
      </c>
      <c r="P319" s="45" t="n">
        <f aca="false">N319-O319</f>
        <v>360</v>
      </c>
      <c r="Q319" s="45" t="n">
        <f aca="false">IF(D319="Purchase",E319*M319,0)</f>
        <v>0</v>
      </c>
    </row>
    <row r="320" customFormat="false" ht="15" hidden="false" customHeight="false" outlineLevel="0" collapsed="false">
      <c r="A320" s="39" t="s">
        <v>644</v>
      </c>
      <c r="B320" s="44" t="n">
        <v>46248</v>
      </c>
      <c r="C320" s="39" t="s">
        <v>178</v>
      </c>
      <c r="D320" s="39" t="s">
        <v>137</v>
      </c>
      <c r="E320" s="39" t="n">
        <v>5</v>
      </c>
      <c r="F320" s="39" t="str">
        <f aca="false">IF(COUNTIF(medicine_master!$A$2:$A$26,C320)&gt;0,"Valid","Invalid")</f>
        <v>Valid</v>
      </c>
      <c r="G320" s="39" t="str">
        <f aca="false">IFERROR(INDEX(medicine_master!$B$2:$B$26,MATCH($C320,medicine_master!$A$2:$A$26,0)),"Not found")</f>
        <v>Aspirin 75mg</v>
      </c>
      <c r="H320" s="39" t="str">
        <f aca="false">IFERROR(INDEX(medicine_master!$C$2:$C$26,MATCH($C320,medicine_master!$A$2:$A$26,0)),"Not found")</f>
        <v>Cardiac</v>
      </c>
      <c r="I320" s="39" t="n">
        <f aca="false">YEAR(B320)</f>
        <v>2026</v>
      </c>
      <c r="J320" s="39" t="n">
        <f aca="false">MONTH(B320)</f>
        <v>8</v>
      </c>
      <c r="K320" s="39" t="str">
        <f aca="false">TEXT(B320,"mmm")</f>
        <v>Aug</v>
      </c>
      <c r="L320" s="45" t="n">
        <f aca="false">IFERROR(INDEX(medicine_master!$I$2:$I$26,MATCH($C320,medicine_master!$A$2:$A$26,0)),0)</f>
        <v>15</v>
      </c>
      <c r="M320" s="45" t="n">
        <f aca="false">IFERROR(INDEX(medicine_master!$G$2:$G$26,MATCH($C320,medicine_master!$A$2:$A$26,0)),0)</f>
        <v>10</v>
      </c>
      <c r="N320" s="45" t="n">
        <f aca="false">IF(D320="Sale",E320*L320,0)</f>
        <v>75</v>
      </c>
      <c r="O320" s="45" t="n">
        <f aca="false">IF(D320="Sale",E320*M320,0)</f>
        <v>50</v>
      </c>
      <c r="P320" s="45" t="n">
        <f aca="false">N320-O320</f>
        <v>25</v>
      </c>
      <c r="Q320" s="45" t="n">
        <f aca="false">IF(D320="Purchase",E320*M320,0)</f>
        <v>0</v>
      </c>
    </row>
    <row r="321" customFormat="false" ht="15" hidden="false" customHeight="false" outlineLevel="0" collapsed="false">
      <c r="A321" s="39" t="s">
        <v>645</v>
      </c>
      <c r="B321" s="44" t="n">
        <v>46094</v>
      </c>
      <c r="C321" s="39" t="s">
        <v>146</v>
      </c>
      <c r="D321" s="39" t="s">
        <v>137</v>
      </c>
      <c r="E321" s="39" t="n">
        <v>15</v>
      </c>
      <c r="F321" s="39" t="str">
        <f aca="false">IF(COUNTIF(medicine_master!$A$2:$A$26,C321)&gt;0,"Valid","Invalid")</f>
        <v>Valid</v>
      </c>
      <c r="G321" s="39" t="str">
        <f aca="false">IFERROR(INDEX(medicine_master!$B$2:$B$26,MATCH($C321,medicine_master!$A$2:$A$26,0)),"Not found")</f>
        <v>Diclofenac Gel</v>
      </c>
      <c r="H321" s="39" t="str">
        <f aca="false">IFERROR(INDEX(medicine_master!$C$2:$C$26,MATCH($C321,medicine_master!$A$2:$A$26,0)),"Not found")</f>
        <v>Pain Relief</v>
      </c>
      <c r="I321" s="39" t="n">
        <f aca="false">YEAR(B321)</f>
        <v>2026</v>
      </c>
      <c r="J321" s="39" t="n">
        <f aca="false">MONTH(B321)</f>
        <v>3</v>
      </c>
      <c r="K321" s="39" t="str">
        <f aca="false">TEXT(B321,"mmm")</f>
        <v>Mar</v>
      </c>
      <c r="L321" s="45" t="n">
        <f aca="false">IFERROR(INDEX(medicine_master!$I$2:$I$26,MATCH($C321,medicine_master!$A$2:$A$26,0)),0)</f>
        <v>55</v>
      </c>
      <c r="M321" s="45" t="n">
        <f aca="false">IFERROR(INDEX(medicine_master!$G$2:$G$26,MATCH($C321,medicine_master!$A$2:$A$26,0)),0)</f>
        <v>38</v>
      </c>
      <c r="N321" s="45" t="n">
        <f aca="false">IF(D321="Sale",E321*L321,0)</f>
        <v>825</v>
      </c>
      <c r="O321" s="45" t="n">
        <f aca="false">IF(D321="Sale",E321*M321,0)</f>
        <v>570</v>
      </c>
      <c r="P321" s="45" t="n">
        <f aca="false">N321-O321</f>
        <v>255</v>
      </c>
      <c r="Q321" s="45" t="n">
        <f aca="false">IF(D321="Purchase",E321*M321,0)</f>
        <v>0</v>
      </c>
    </row>
    <row r="322" customFormat="false" ht="15" hidden="false" customHeight="false" outlineLevel="0" collapsed="false">
      <c r="A322" s="39" t="s">
        <v>646</v>
      </c>
      <c r="B322" s="44" t="n">
        <v>46265</v>
      </c>
      <c r="C322" s="39" t="s">
        <v>167</v>
      </c>
      <c r="D322" s="39" t="s">
        <v>138</v>
      </c>
      <c r="E322" s="39" t="n">
        <v>5</v>
      </c>
      <c r="F322" s="39" t="str">
        <f aca="false">IF(COUNTIF(medicine_master!$A$2:$A$26,C322)&gt;0,"Valid","Invalid")</f>
        <v>Valid</v>
      </c>
      <c r="G322" s="39" t="str">
        <f aca="false">IFERROR(INDEX(medicine_master!$B$2:$B$26,MATCH($C322,medicine_master!$A$2:$A$26,0)),"Not found")</f>
        <v>Amlodipine 5mg</v>
      </c>
      <c r="H322" s="39" t="str">
        <f aca="false">IFERROR(INDEX(medicine_master!$C$2:$C$26,MATCH($C322,medicine_master!$A$2:$A$26,0)),"Not found")</f>
        <v>Cardiac</v>
      </c>
      <c r="I322" s="39" t="n">
        <f aca="false">YEAR(B322)</f>
        <v>2026</v>
      </c>
      <c r="J322" s="39" t="n">
        <f aca="false">MONTH(B322)</f>
        <v>8</v>
      </c>
      <c r="K322" s="39" t="str">
        <f aca="false">TEXT(B322,"mmm")</f>
        <v>Aug</v>
      </c>
      <c r="L322" s="45" t="n">
        <f aca="false">IFERROR(INDEX(medicine_master!$I$2:$I$26,MATCH($C322,medicine_master!$A$2:$A$26,0)),0)</f>
        <v>19</v>
      </c>
      <c r="M322" s="45" t="n">
        <f aca="false">IFERROR(INDEX(medicine_master!$G$2:$G$26,MATCH($C322,medicine_master!$A$2:$A$26,0)),0)</f>
        <v>13</v>
      </c>
      <c r="N322" s="45" t="n">
        <f aca="false">IF(D322="Sale",E322*L322,0)</f>
        <v>0</v>
      </c>
      <c r="O322" s="45" t="n">
        <f aca="false">IF(D322="Sale",E322*M322,0)</f>
        <v>0</v>
      </c>
      <c r="P322" s="45" t="n">
        <f aca="false">N322-O322</f>
        <v>0</v>
      </c>
      <c r="Q322" s="45" t="n">
        <f aca="false">IF(D322="Purchase",E322*M322,0)</f>
        <v>65</v>
      </c>
    </row>
    <row r="323" customFormat="false" ht="15" hidden="false" customHeight="false" outlineLevel="0" collapsed="false">
      <c r="A323" s="39" t="s">
        <v>647</v>
      </c>
      <c r="B323" s="44" t="n">
        <v>46335</v>
      </c>
      <c r="C323" s="39" t="s">
        <v>326</v>
      </c>
      <c r="D323" s="39" t="s">
        <v>138</v>
      </c>
      <c r="E323" s="39" t="n">
        <v>30</v>
      </c>
      <c r="F323" s="39" t="str">
        <f aca="false">IF(COUNTIF(medicine_master!$A$2:$A$26,C323)&gt;0,"Valid","Invalid")</f>
        <v>Valid</v>
      </c>
      <c r="G323" s="39" t="str">
        <f aca="false">IFERROR(INDEX(medicine_master!$B$2:$B$26,MATCH($C323,medicine_master!$A$2:$A$26,0)),"Not found")</f>
        <v>Omeprazole 20mg</v>
      </c>
      <c r="H323" s="39" t="str">
        <f aca="false">IFERROR(INDEX(medicine_master!$C$2:$C$26,MATCH($C323,medicine_master!$A$2:$A$26,0)),"Not found")</f>
        <v>Gastric</v>
      </c>
      <c r="I323" s="39" t="n">
        <f aca="false">YEAR(B323)</f>
        <v>2026</v>
      </c>
      <c r="J323" s="39" t="n">
        <f aca="false">MONTH(B323)</f>
        <v>11</v>
      </c>
      <c r="K323" s="39" t="str">
        <f aca="false">TEXT(B323,"mmm")</f>
        <v>Nov</v>
      </c>
      <c r="L323" s="45" t="n">
        <f aca="false">IFERROR(INDEX(medicine_master!$I$2:$I$26,MATCH($C323,medicine_master!$A$2:$A$26,0)),0)</f>
        <v>26</v>
      </c>
      <c r="M323" s="45" t="n">
        <f aca="false">IFERROR(INDEX(medicine_master!$G$2:$G$26,MATCH($C323,medicine_master!$A$2:$A$26,0)),0)</f>
        <v>18</v>
      </c>
      <c r="N323" s="45" t="n">
        <f aca="false">IF(D323="Sale",E323*L323,0)</f>
        <v>0</v>
      </c>
      <c r="O323" s="45" t="n">
        <f aca="false">IF(D323="Sale",E323*M323,0)</f>
        <v>0</v>
      </c>
      <c r="P323" s="45" t="n">
        <f aca="false">N323-O323</f>
        <v>0</v>
      </c>
      <c r="Q323" s="45" t="n">
        <f aca="false">IF(D323="Purchase",E323*M323,0)</f>
        <v>540</v>
      </c>
    </row>
    <row r="324" customFormat="false" ht="15" hidden="false" customHeight="false" outlineLevel="0" collapsed="false">
      <c r="A324" s="39" t="s">
        <v>648</v>
      </c>
      <c r="B324" s="44" t="n">
        <v>46284</v>
      </c>
      <c r="C324" s="39" t="s">
        <v>152</v>
      </c>
      <c r="D324" s="39" t="s">
        <v>138</v>
      </c>
      <c r="E324" s="39" t="n">
        <v>50</v>
      </c>
      <c r="F324" s="39" t="str">
        <f aca="false">IF(COUNTIF(medicine_master!$A$2:$A$26,C324)&gt;0,"Valid","Invalid")</f>
        <v>Valid</v>
      </c>
      <c r="G324" s="39" t="str">
        <f aca="false">IFERROR(INDEX(medicine_master!$B$2:$B$26,MATCH($C324,medicine_master!$A$2:$A$26,0)),"Not found")</f>
        <v>Amoxicillin 500mg</v>
      </c>
      <c r="H324" s="39" t="str">
        <f aca="false">IFERROR(INDEX(medicine_master!$C$2:$C$26,MATCH($C324,medicine_master!$A$2:$A$26,0)),"Not found")</f>
        <v>Antibiotic</v>
      </c>
      <c r="I324" s="39" t="n">
        <f aca="false">YEAR(B324)</f>
        <v>2026</v>
      </c>
      <c r="J324" s="39" t="n">
        <f aca="false">MONTH(B324)</f>
        <v>9</v>
      </c>
      <c r="K324" s="39" t="str">
        <f aca="false">TEXT(B324,"mmm")</f>
        <v>Sep</v>
      </c>
      <c r="L324" s="45" t="n">
        <f aca="false">IFERROR(INDEX(medicine_master!$I$2:$I$26,MATCH($C324,medicine_master!$A$2:$A$26,0)),0)</f>
        <v>40</v>
      </c>
      <c r="M324" s="45" t="n">
        <f aca="false">IFERROR(INDEX(medicine_master!$G$2:$G$26,MATCH($C324,medicine_master!$A$2:$A$26,0)),0)</f>
        <v>28</v>
      </c>
      <c r="N324" s="45" t="n">
        <f aca="false">IF(D324="Sale",E324*L324,0)</f>
        <v>0</v>
      </c>
      <c r="O324" s="45" t="n">
        <f aca="false">IF(D324="Sale",E324*M324,0)</f>
        <v>0</v>
      </c>
      <c r="P324" s="45" t="n">
        <f aca="false">N324-O324</f>
        <v>0</v>
      </c>
      <c r="Q324" s="45" t="n">
        <f aca="false">IF(D324="Purchase",E324*M324,0)</f>
        <v>1400</v>
      </c>
    </row>
    <row r="325" customFormat="false" ht="15" hidden="false" customHeight="false" outlineLevel="0" collapsed="false">
      <c r="A325" s="39" t="s">
        <v>649</v>
      </c>
      <c r="B325" s="44" t="n">
        <v>46199</v>
      </c>
      <c r="C325" s="39" t="s">
        <v>326</v>
      </c>
      <c r="D325" s="39" t="s">
        <v>137</v>
      </c>
      <c r="E325" s="39" t="n">
        <v>50</v>
      </c>
      <c r="F325" s="39" t="str">
        <f aca="false">IF(COUNTIF(medicine_master!$A$2:$A$26,C325)&gt;0,"Valid","Invalid")</f>
        <v>Valid</v>
      </c>
      <c r="G325" s="39" t="str">
        <f aca="false">IFERROR(INDEX(medicine_master!$B$2:$B$26,MATCH($C325,medicine_master!$A$2:$A$26,0)),"Not found")</f>
        <v>Omeprazole 20mg</v>
      </c>
      <c r="H325" s="39" t="str">
        <f aca="false">IFERROR(INDEX(medicine_master!$C$2:$C$26,MATCH($C325,medicine_master!$A$2:$A$26,0)),"Not found")</f>
        <v>Gastric</v>
      </c>
      <c r="I325" s="39" t="n">
        <f aca="false">YEAR(B325)</f>
        <v>2026</v>
      </c>
      <c r="J325" s="39" t="n">
        <f aca="false">MONTH(B325)</f>
        <v>6</v>
      </c>
      <c r="K325" s="39" t="str">
        <f aca="false">TEXT(B325,"mmm")</f>
        <v>Jun</v>
      </c>
      <c r="L325" s="45" t="n">
        <f aca="false">IFERROR(INDEX(medicine_master!$I$2:$I$26,MATCH($C325,medicine_master!$A$2:$A$26,0)),0)</f>
        <v>26</v>
      </c>
      <c r="M325" s="45" t="n">
        <f aca="false">IFERROR(INDEX(medicine_master!$G$2:$G$26,MATCH($C325,medicine_master!$A$2:$A$26,0)),0)</f>
        <v>18</v>
      </c>
      <c r="N325" s="45" t="n">
        <f aca="false">IF(D325="Sale",E325*L325,0)</f>
        <v>1300</v>
      </c>
      <c r="O325" s="45" t="n">
        <f aca="false">IF(D325="Sale",E325*M325,0)</f>
        <v>900</v>
      </c>
      <c r="P325" s="45" t="n">
        <f aca="false">N325-O325</f>
        <v>400</v>
      </c>
      <c r="Q325" s="45" t="n">
        <f aca="false">IF(D325="Purchase",E325*M325,0)</f>
        <v>0</v>
      </c>
    </row>
    <row r="326" customFormat="false" ht="15" hidden="false" customHeight="false" outlineLevel="0" collapsed="false">
      <c r="A326" s="39" t="s">
        <v>650</v>
      </c>
      <c r="B326" s="44" t="n">
        <v>46083</v>
      </c>
      <c r="C326" s="39" t="s">
        <v>150</v>
      </c>
      <c r="D326" s="39" t="s">
        <v>137</v>
      </c>
      <c r="E326" s="39" t="n">
        <v>20</v>
      </c>
      <c r="F326" s="39" t="str">
        <f aca="false">IF(COUNTIF(medicine_master!$A$2:$A$26,C326)&gt;0,"Valid","Invalid")</f>
        <v>Valid</v>
      </c>
      <c r="G326" s="39" t="str">
        <f aca="false">IFERROR(INDEX(medicine_master!$B$2:$B$26,MATCH($C326,medicine_master!$A$2:$A$26,0)),"Not found")</f>
        <v>Pantoprazole 40mg</v>
      </c>
      <c r="H326" s="39" t="str">
        <f aca="false">IFERROR(INDEX(medicine_master!$C$2:$C$26,MATCH($C326,medicine_master!$A$2:$A$26,0)),"Not found")</f>
        <v>Gastric</v>
      </c>
      <c r="I326" s="39" t="n">
        <f aca="false">YEAR(B326)</f>
        <v>2026</v>
      </c>
      <c r="J326" s="39" t="n">
        <f aca="false">MONTH(B326)</f>
        <v>3</v>
      </c>
      <c r="K326" s="39" t="str">
        <f aca="false">TEXT(B326,"mmm")</f>
        <v>Mar</v>
      </c>
      <c r="L326" s="45" t="n">
        <f aca="false">IFERROR(INDEX(medicine_master!$I$2:$I$26,MATCH($C326,medicine_master!$A$2:$A$26,0)),0)</f>
        <v>35</v>
      </c>
      <c r="M326" s="45" t="n">
        <f aca="false">IFERROR(INDEX(medicine_master!$G$2:$G$26,MATCH($C326,medicine_master!$A$2:$A$26,0)),0)</f>
        <v>24</v>
      </c>
      <c r="N326" s="45" t="n">
        <f aca="false">IF(D326="Sale",E326*L326,0)</f>
        <v>700</v>
      </c>
      <c r="O326" s="45" t="n">
        <f aca="false">IF(D326="Sale",E326*M326,0)</f>
        <v>480</v>
      </c>
      <c r="P326" s="45" t="n">
        <f aca="false">N326-O326</f>
        <v>220</v>
      </c>
      <c r="Q326" s="45" t="n">
        <f aca="false">IF(D326="Purchase",E326*M326,0)</f>
        <v>0</v>
      </c>
    </row>
    <row r="327" customFormat="false" ht="15" hidden="false" customHeight="false" outlineLevel="0" collapsed="false">
      <c r="A327" s="39" t="s">
        <v>651</v>
      </c>
      <c r="B327" s="44" t="n">
        <v>46167</v>
      </c>
      <c r="C327" s="39" t="s">
        <v>147</v>
      </c>
      <c r="D327" s="39" t="s">
        <v>137</v>
      </c>
      <c r="E327" s="39" t="n">
        <v>20</v>
      </c>
      <c r="F327" s="39" t="str">
        <f aca="false">IF(COUNTIF(medicine_master!$A$2:$A$26,C327)&gt;0,"Valid","Invalid")</f>
        <v>Valid</v>
      </c>
      <c r="G327" s="39" t="str">
        <f aca="false">IFERROR(INDEX(medicine_master!$B$2:$B$26,MATCH($C327,medicine_master!$A$2:$A$26,0)),"Not found")</f>
        <v>Insulin Injection</v>
      </c>
      <c r="H327" s="39" t="str">
        <f aca="false">IFERROR(INDEX(medicine_master!$C$2:$C$26,MATCH($C327,medicine_master!$A$2:$A$26,0)),"Not found")</f>
        <v>Diabetes</v>
      </c>
      <c r="I327" s="39" t="n">
        <f aca="false">YEAR(B327)</f>
        <v>2026</v>
      </c>
      <c r="J327" s="39" t="n">
        <f aca="false">MONTH(B327)</f>
        <v>5</v>
      </c>
      <c r="K327" s="39" t="str">
        <f aca="false">TEXT(B327,"mmm")</f>
        <v>May</v>
      </c>
      <c r="L327" s="45" t="n">
        <f aca="false">IFERROR(INDEX(medicine_master!$I$2:$I$26,MATCH($C327,medicine_master!$A$2:$A$26,0)),0)</f>
        <v>225</v>
      </c>
      <c r="M327" s="45" t="n">
        <f aca="false">IFERROR(INDEX(medicine_master!$G$2:$G$26,MATCH($C327,medicine_master!$A$2:$A$26,0)),0)</f>
        <v>165</v>
      </c>
      <c r="N327" s="45" t="n">
        <f aca="false">IF(D327="Sale",E327*L327,0)</f>
        <v>4500</v>
      </c>
      <c r="O327" s="45" t="n">
        <f aca="false">IF(D327="Sale",E327*M327,0)</f>
        <v>3300</v>
      </c>
      <c r="P327" s="45" t="n">
        <f aca="false">N327-O327</f>
        <v>1200</v>
      </c>
      <c r="Q327" s="45" t="n">
        <f aca="false">IF(D327="Purchase",E327*M327,0)</f>
        <v>0</v>
      </c>
    </row>
    <row r="328" customFormat="false" ht="15" hidden="false" customHeight="false" outlineLevel="0" collapsed="false">
      <c r="A328" s="39" t="s">
        <v>652</v>
      </c>
      <c r="B328" s="44" t="n">
        <v>46291</v>
      </c>
      <c r="C328" s="39" t="s">
        <v>147</v>
      </c>
      <c r="D328" s="39" t="s">
        <v>137</v>
      </c>
      <c r="E328" s="39" t="n">
        <v>5</v>
      </c>
      <c r="F328" s="39" t="str">
        <f aca="false">IF(COUNTIF(medicine_master!$A$2:$A$26,C328)&gt;0,"Valid","Invalid")</f>
        <v>Valid</v>
      </c>
      <c r="G328" s="39" t="str">
        <f aca="false">IFERROR(INDEX(medicine_master!$B$2:$B$26,MATCH($C328,medicine_master!$A$2:$A$26,0)),"Not found")</f>
        <v>Insulin Injection</v>
      </c>
      <c r="H328" s="39" t="str">
        <f aca="false">IFERROR(INDEX(medicine_master!$C$2:$C$26,MATCH($C328,medicine_master!$A$2:$A$26,0)),"Not found")</f>
        <v>Diabetes</v>
      </c>
      <c r="I328" s="39" t="n">
        <f aca="false">YEAR(B328)</f>
        <v>2026</v>
      </c>
      <c r="J328" s="39" t="n">
        <f aca="false">MONTH(B328)</f>
        <v>9</v>
      </c>
      <c r="K328" s="39" t="str">
        <f aca="false">TEXT(B328,"mmm")</f>
        <v>Sep</v>
      </c>
      <c r="L328" s="45" t="n">
        <f aca="false">IFERROR(INDEX(medicine_master!$I$2:$I$26,MATCH($C328,medicine_master!$A$2:$A$26,0)),0)</f>
        <v>225</v>
      </c>
      <c r="M328" s="45" t="n">
        <f aca="false">IFERROR(INDEX(medicine_master!$G$2:$G$26,MATCH($C328,medicine_master!$A$2:$A$26,0)),0)</f>
        <v>165</v>
      </c>
      <c r="N328" s="45" t="n">
        <f aca="false">IF(D328="Sale",E328*L328,0)</f>
        <v>1125</v>
      </c>
      <c r="O328" s="45" t="n">
        <f aca="false">IF(D328="Sale",E328*M328,0)</f>
        <v>825</v>
      </c>
      <c r="P328" s="45" t="n">
        <f aca="false">N328-O328</f>
        <v>300</v>
      </c>
      <c r="Q328" s="45" t="n">
        <f aca="false">IF(D328="Purchase",E328*M328,0)</f>
        <v>0</v>
      </c>
    </row>
    <row r="329" customFormat="false" ht="15" hidden="false" customHeight="false" outlineLevel="0" collapsed="false">
      <c r="A329" s="39" t="s">
        <v>653</v>
      </c>
      <c r="B329" s="44" t="n">
        <v>46090</v>
      </c>
      <c r="C329" s="39" t="s">
        <v>153</v>
      </c>
      <c r="D329" s="39" t="s">
        <v>137</v>
      </c>
      <c r="E329" s="39" t="n">
        <v>20</v>
      </c>
      <c r="F329" s="39" t="str">
        <f aca="false">IF(COUNTIF(medicine_master!$A$2:$A$26,C329)&gt;0,"Valid","Invalid")</f>
        <v>Valid</v>
      </c>
      <c r="G329" s="39" t="str">
        <f aca="false">IFERROR(INDEX(medicine_master!$B$2:$B$26,MATCH($C329,medicine_master!$A$2:$A$26,0)),"Not found")</f>
        <v>Atorvastatin 10mg</v>
      </c>
      <c r="H329" s="39" t="str">
        <f aca="false">IFERROR(INDEX(medicine_master!$C$2:$C$26,MATCH($C329,medicine_master!$A$2:$A$26,0)),"Not found")</f>
        <v>Cardiac</v>
      </c>
      <c r="I329" s="39" t="n">
        <f aca="false">YEAR(B329)</f>
        <v>2026</v>
      </c>
      <c r="J329" s="39" t="n">
        <f aca="false">MONTH(B329)</f>
        <v>3</v>
      </c>
      <c r="K329" s="39" t="str">
        <f aca="false">TEXT(B329,"mmm")</f>
        <v>Mar</v>
      </c>
      <c r="L329" s="45" t="n">
        <f aca="false">IFERROR(INDEX(medicine_master!$I$2:$I$26,MATCH($C329,medicine_master!$A$2:$A$26,0)),0)</f>
        <v>28</v>
      </c>
      <c r="M329" s="45" t="n">
        <f aca="false">IFERROR(INDEX(medicine_master!$G$2:$G$26,MATCH($C329,medicine_master!$A$2:$A$26,0)),0)</f>
        <v>19</v>
      </c>
      <c r="N329" s="45" t="n">
        <f aca="false">IF(D329="Sale",E329*L329,0)</f>
        <v>560</v>
      </c>
      <c r="O329" s="45" t="n">
        <f aca="false">IF(D329="Sale",E329*M329,0)</f>
        <v>380</v>
      </c>
      <c r="P329" s="45" t="n">
        <f aca="false">N329-O329</f>
        <v>180</v>
      </c>
      <c r="Q329" s="45" t="n">
        <f aca="false">IF(D329="Purchase",E329*M329,0)</f>
        <v>0</v>
      </c>
    </row>
    <row r="330" customFormat="false" ht="15" hidden="false" customHeight="false" outlineLevel="0" collapsed="false">
      <c r="A330" s="39" t="s">
        <v>654</v>
      </c>
      <c r="B330" s="44" t="n">
        <v>46345</v>
      </c>
      <c r="C330" s="39" t="s">
        <v>326</v>
      </c>
      <c r="D330" s="39" t="s">
        <v>138</v>
      </c>
      <c r="E330" s="39" t="n">
        <v>40</v>
      </c>
      <c r="F330" s="39" t="str">
        <f aca="false">IF(COUNTIF(medicine_master!$A$2:$A$26,C330)&gt;0,"Valid","Invalid")</f>
        <v>Valid</v>
      </c>
      <c r="G330" s="39" t="str">
        <f aca="false">IFERROR(INDEX(medicine_master!$B$2:$B$26,MATCH($C330,medicine_master!$A$2:$A$26,0)),"Not found")</f>
        <v>Omeprazole 20mg</v>
      </c>
      <c r="H330" s="39" t="str">
        <f aca="false">IFERROR(INDEX(medicine_master!$C$2:$C$26,MATCH($C330,medicine_master!$A$2:$A$26,0)),"Not found")</f>
        <v>Gastric</v>
      </c>
      <c r="I330" s="39" t="n">
        <f aca="false">YEAR(B330)</f>
        <v>2026</v>
      </c>
      <c r="J330" s="39" t="n">
        <f aca="false">MONTH(B330)</f>
        <v>11</v>
      </c>
      <c r="K330" s="39" t="str">
        <f aca="false">TEXT(B330,"mmm")</f>
        <v>Nov</v>
      </c>
      <c r="L330" s="45" t="n">
        <f aca="false">IFERROR(INDEX(medicine_master!$I$2:$I$26,MATCH($C330,medicine_master!$A$2:$A$26,0)),0)</f>
        <v>26</v>
      </c>
      <c r="M330" s="45" t="n">
        <f aca="false">IFERROR(INDEX(medicine_master!$G$2:$G$26,MATCH($C330,medicine_master!$A$2:$A$26,0)),0)</f>
        <v>18</v>
      </c>
      <c r="N330" s="45" t="n">
        <f aca="false">IF(D330="Sale",E330*L330,0)</f>
        <v>0</v>
      </c>
      <c r="O330" s="45" t="n">
        <f aca="false">IF(D330="Sale",E330*M330,0)</f>
        <v>0</v>
      </c>
      <c r="P330" s="45" t="n">
        <f aca="false">N330-O330</f>
        <v>0</v>
      </c>
      <c r="Q330" s="45" t="n">
        <f aca="false">IF(D330="Purchase",E330*M330,0)</f>
        <v>720</v>
      </c>
    </row>
    <row r="331" customFormat="false" ht="15" hidden="false" customHeight="false" outlineLevel="0" collapsed="false">
      <c r="A331" s="39" t="s">
        <v>655</v>
      </c>
      <c r="B331" s="44" t="n">
        <v>46192</v>
      </c>
      <c r="C331" s="39" t="s">
        <v>326</v>
      </c>
      <c r="D331" s="39" t="s">
        <v>138</v>
      </c>
      <c r="E331" s="39" t="n">
        <v>40</v>
      </c>
      <c r="F331" s="39" t="str">
        <f aca="false">IF(COUNTIF(medicine_master!$A$2:$A$26,C331)&gt;0,"Valid","Invalid")</f>
        <v>Valid</v>
      </c>
      <c r="G331" s="39" t="str">
        <f aca="false">IFERROR(INDEX(medicine_master!$B$2:$B$26,MATCH($C331,medicine_master!$A$2:$A$26,0)),"Not found")</f>
        <v>Omeprazole 20mg</v>
      </c>
      <c r="H331" s="39" t="str">
        <f aca="false">IFERROR(INDEX(medicine_master!$C$2:$C$26,MATCH($C331,medicine_master!$A$2:$A$26,0)),"Not found")</f>
        <v>Gastric</v>
      </c>
      <c r="I331" s="39" t="n">
        <f aca="false">YEAR(B331)</f>
        <v>2026</v>
      </c>
      <c r="J331" s="39" t="n">
        <f aca="false">MONTH(B331)</f>
        <v>6</v>
      </c>
      <c r="K331" s="39" t="str">
        <f aca="false">TEXT(B331,"mmm")</f>
        <v>Jun</v>
      </c>
      <c r="L331" s="45" t="n">
        <f aca="false">IFERROR(INDEX(medicine_master!$I$2:$I$26,MATCH($C331,medicine_master!$A$2:$A$26,0)),0)</f>
        <v>26</v>
      </c>
      <c r="M331" s="45" t="n">
        <f aca="false">IFERROR(INDEX(medicine_master!$G$2:$G$26,MATCH($C331,medicine_master!$A$2:$A$26,0)),0)</f>
        <v>18</v>
      </c>
      <c r="N331" s="45" t="n">
        <f aca="false">IF(D331="Sale",E331*L331,0)</f>
        <v>0</v>
      </c>
      <c r="O331" s="45" t="n">
        <f aca="false">IF(D331="Sale",E331*M331,0)</f>
        <v>0</v>
      </c>
      <c r="P331" s="45" t="n">
        <f aca="false">N331-O331</f>
        <v>0</v>
      </c>
      <c r="Q331" s="45" t="n">
        <f aca="false">IF(D331="Purchase",E331*M331,0)</f>
        <v>720</v>
      </c>
    </row>
    <row r="332" customFormat="false" ht="15" hidden="false" customHeight="false" outlineLevel="0" collapsed="false">
      <c r="A332" s="39" t="s">
        <v>656</v>
      </c>
      <c r="B332" s="44" t="n">
        <v>46248</v>
      </c>
      <c r="C332" s="39" t="s">
        <v>147</v>
      </c>
      <c r="D332" s="39" t="s">
        <v>138</v>
      </c>
      <c r="E332" s="39" t="n">
        <v>5</v>
      </c>
      <c r="F332" s="39" t="str">
        <f aca="false">IF(COUNTIF(medicine_master!$A$2:$A$26,C332)&gt;0,"Valid","Invalid")</f>
        <v>Valid</v>
      </c>
      <c r="G332" s="39" t="str">
        <f aca="false">IFERROR(INDEX(medicine_master!$B$2:$B$26,MATCH($C332,medicine_master!$A$2:$A$26,0)),"Not found")</f>
        <v>Insulin Injection</v>
      </c>
      <c r="H332" s="39" t="str">
        <f aca="false">IFERROR(INDEX(medicine_master!$C$2:$C$26,MATCH($C332,medicine_master!$A$2:$A$26,0)),"Not found")</f>
        <v>Diabetes</v>
      </c>
      <c r="I332" s="39" t="n">
        <f aca="false">YEAR(B332)</f>
        <v>2026</v>
      </c>
      <c r="J332" s="39" t="n">
        <f aca="false">MONTH(B332)</f>
        <v>8</v>
      </c>
      <c r="K332" s="39" t="str">
        <f aca="false">TEXT(B332,"mmm")</f>
        <v>Aug</v>
      </c>
      <c r="L332" s="45" t="n">
        <f aca="false">IFERROR(INDEX(medicine_master!$I$2:$I$26,MATCH($C332,medicine_master!$A$2:$A$26,0)),0)</f>
        <v>225</v>
      </c>
      <c r="M332" s="45" t="n">
        <f aca="false">IFERROR(INDEX(medicine_master!$G$2:$G$26,MATCH($C332,medicine_master!$A$2:$A$26,0)),0)</f>
        <v>165</v>
      </c>
      <c r="N332" s="45" t="n">
        <f aca="false">IF(D332="Sale",E332*L332,0)</f>
        <v>0</v>
      </c>
      <c r="O332" s="45" t="n">
        <f aca="false">IF(D332="Sale",E332*M332,0)</f>
        <v>0</v>
      </c>
      <c r="P332" s="45" t="n">
        <f aca="false">N332-O332</f>
        <v>0</v>
      </c>
      <c r="Q332" s="45" t="n">
        <f aca="false">IF(D332="Purchase",E332*M332,0)</f>
        <v>825</v>
      </c>
    </row>
    <row r="333" customFormat="false" ht="15" hidden="false" customHeight="false" outlineLevel="0" collapsed="false">
      <c r="A333" s="39" t="s">
        <v>657</v>
      </c>
      <c r="B333" s="44" t="n">
        <v>46273</v>
      </c>
      <c r="C333" s="39" t="s">
        <v>152</v>
      </c>
      <c r="D333" s="39" t="s">
        <v>138</v>
      </c>
      <c r="E333" s="39" t="n">
        <v>20</v>
      </c>
      <c r="F333" s="39" t="str">
        <f aca="false">IF(COUNTIF(medicine_master!$A$2:$A$26,C333)&gt;0,"Valid","Invalid")</f>
        <v>Valid</v>
      </c>
      <c r="G333" s="39" t="str">
        <f aca="false">IFERROR(INDEX(medicine_master!$B$2:$B$26,MATCH($C333,medicine_master!$A$2:$A$26,0)),"Not found")</f>
        <v>Amoxicillin 500mg</v>
      </c>
      <c r="H333" s="39" t="str">
        <f aca="false">IFERROR(INDEX(medicine_master!$C$2:$C$26,MATCH($C333,medicine_master!$A$2:$A$26,0)),"Not found")</f>
        <v>Antibiotic</v>
      </c>
      <c r="I333" s="39" t="n">
        <f aca="false">YEAR(B333)</f>
        <v>2026</v>
      </c>
      <c r="J333" s="39" t="n">
        <f aca="false">MONTH(B333)</f>
        <v>9</v>
      </c>
      <c r="K333" s="39" t="str">
        <f aca="false">TEXT(B333,"mmm")</f>
        <v>Sep</v>
      </c>
      <c r="L333" s="45" t="n">
        <f aca="false">IFERROR(INDEX(medicine_master!$I$2:$I$26,MATCH($C333,medicine_master!$A$2:$A$26,0)),0)</f>
        <v>40</v>
      </c>
      <c r="M333" s="45" t="n">
        <f aca="false">IFERROR(INDEX(medicine_master!$G$2:$G$26,MATCH($C333,medicine_master!$A$2:$A$26,0)),0)</f>
        <v>28</v>
      </c>
      <c r="N333" s="45" t="n">
        <f aca="false">IF(D333="Sale",E333*L333,0)</f>
        <v>0</v>
      </c>
      <c r="O333" s="45" t="n">
        <f aca="false">IF(D333="Sale",E333*M333,0)</f>
        <v>0</v>
      </c>
      <c r="P333" s="45" t="n">
        <f aca="false">N333-O333</f>
        <v>0</v>
      </c>
      <c r="Q333" s="45" t="n">
        <f aca="false">IF(D333="Purchase",E333*M333,0)</f>
        <v>560</v>
      </c>
    </row>
    <row r="334" customFormat="false" ht="15" hidden="false" customHeight="false" outlineLevel="0" collapsed="false">
      <c r="A334" s="39" t="s">
        <v>658</v>
      </c>
      <c r="B334" s="44" t="n">
        <v>46059</v>
      </c>
      <c r="C334" s="39" t="s">
        <v>177</v>
      </c>
      <c r="D334" s="39" t="s">
        <v>137</v>
      </c>
      <c r="E334" s="39" t="n">
        <v>5</v>
      </c>
      <c r="F334" s="39" t="str">
        <f aca="false">IF(COUNTIF(medicine_master!$A$2:$A$26,C334)&gt;0,"Valid","Invalid")</f>
        <v>Valid</v>
      </c>
      <c r="G334" s="39" t="str">
        <f aca="false">IFERROR(INDEX(medicine_master!$B$2:$B$26,MATCH($C334,medicine_master!$A$2:$A$26,0)),"Not found")</f>
        <v>Bandage Roll</v>
      </c>
      <c r="H334" s="39" t="str">
        <f aca="false">IFERROR(INDEX(medicine_master!$C$2:$C$26,MATCH($C334,medicine_master!$A$2:$A$26,0)),"Not found")</f>
        <v>First Aid</v>
      </c>
      <c r="I334" s="39" t="n">
        <f aca="false">YEAR(B334)</f>
        <v>2026</v>
      </c>
      <c r="J334" s="39" t="n">
        <f aca="false">MONTH(B334)</f>
        <v>2</v>
      </c>
      <c r="K334" s="39" t="str">
        <f aca="false">TEXT(B334,"mmm")</f>
        <v>Feb</v>
      </c>
      <c r="L334" s="45" t="n">
        <f aca="false">IFERROR(INDEX(medicine_master!$I$2:$I$26,MATCH($C334,medicine_master!$A$2:$A$26,0)),0)</f>
        <v>25</v>
      </c>
      <c r="M334" s="45" t="n">
        <f aca="false">IFERROR(INDEX(medicine_master!$G$2:$G$26,MATCH($C334,medicine_master!$A$2:$A$26,0)),0)</f>
        <v>15</v>
      </c>
      <c r="N334" s="45" t="n">
        <f aca="false">IF(D334="Sale",E334*L334,0)</f>
        <v>125</v>
      </c>
      <c r="O334" s="45" t="n">
        <f aca="false">IF(D334="Sale",E334*M334,0)</f>
        <v>75</v>
      </c>
      <c r="P334" s="45" t="n">
        <f aca="false">N334-O334</f>
        <v>50</v>
      </c>
      <c r="Q334" s="45" t="n">
        <f aca="false">IF(D334="Purchase",E334*M334,0)</f>
        <v>0</v>
      </c>
    </row>
    <row r="335" customFormat="false" ht="15" hidden="false" customHeight="false" outlineLevel="0" collapsed="false">
      <c r="A335" s="39" t="s">
        <v>659</v>
      </c>
      <c r="B335" s="44" t="n">
        <v>46103</v>
      </c>
      <c r="C335" s="39" t="s">
        <v>160</v>
      </c>
      <c r="D335" s="39" t="s">
        <v>137</v>
      </c>
      <c r="E335" s="39" t="n">
        <v>20</v>
      </c>
      <c r="F335" s="39" t="str">
        <f aca="false">IF(COUNTIF(medicine_master!$A$2:$A$26,C335)&gt;0,"Valid","Invalid")</f>
        <v>Valid</v>
      </c>
      <c r="G335" s="39" t="str">
        <f aca="false">IFERROR(INDEX(medicine_master!$B$2:$B$26,MATCH($C335,medicine_master!$A$2:$A$26,0)),"Not found")</f>
        <v>Calamine Lotion</v>
      </c>
      <c r="H335" s="39" t="str">
        <f aca="false">IFERROR(INDEX(medicine_master!$C$2:$C$26,MATCH($C335,medicine_master!$A$2:$A$26,0)),"Not found")</f>
        <v>Dermatology</v>
      </c>
      <c r="I335" s="39" t="n">
        <f aca="false">YEAR(B335)</f>
        <v>2026</v>
      </c>
      <c r="J335" s="39" t="n">
        <f aca="false">MONTH(B335)</f>
        <v>3</v>
      </c>
      <c r="K335" s="39" t="str">
        <f aca="false">TEXT(B335,"mmm")</f>
        <v>Mar</v>
      </c>
      <c r="L335" s="45" t="n">
        <f aca="false">IFERROR(INDEX(medicine_master!$I$2:$I$26,MATCH($C335,medicine_master!$A$2:$A$26,0)),0)</f>
        <v>60</v>
      </c>
      <c r="M335" s="45" t="n">
        <f aca="false">IFERROR(INDEX(medicine_master!$G$2:$G$26,MATCH($C335,medicine_master!$A$2:$A$26,0)),0)</f>
        <v>42</v>
      </c>
      <c r="N335" s="45" t="n">
        <f aca="false">IF(D335="Sale",E335*L335,0)</f>
        <v>1200</v>
      </c>
      <c r="O335" s="45" t="n">
        <f aca="false">IF(D335="Sale",E335*M335,0)</f>
        <v>840</v>
      </c>
      <c r="P335" s="45" t="n">
        <f aca="false">N335-O335</f>
        <v>360</v>
      </c>
      <c r="Q335" s="45" t="n">
        <f aca="false">IF(D335="Purchase",E335*M335,0)</f>
        <v>0</v>
      </c>
    </row>
    <row r="336" customFormat="false" ht="15" hidden="false" customHeight="false" outlineLevel="0" collapsed="false">
      <c r="A336" s="39" t="s">
        <v>660</v>
      </c>
      <c r="B336" s="44" t="n">
        <v>46371</v>
      </c>
      <c r="C336" s="39" t="s">
        <v>404</v>
      </c>
      <c r="D336" s="39" t="s">
        <v>137</v>
      </c>
      <c r="E336" s="39" t="n">
        <v>15</v>
      </c>
      <c r="F336" s="39" t="str">
        <f aca="false">IF(COUNTIF(medicine_master!$A$2:$A$26,C336)&gt;0,"Valid","Invalid")</f>
        <v>Valid</v>
      </c>
      <c r="G336" s="39" t="str">
        <f aca="false">IFERROR(INDEX(medicine_master!$B$2:$B$26,MATCH($C336,medicine_master!$A$2:$A$26,0)),"Not found")</f>
        <v>ORS Sachet</v>
      </c>
      <c r="H336" s="39" t="str">
        <f aca="false">IFERROR(INDEX(medicine_master!$C$2:$C$26,MATCH($C336,medicine_master!$A$2:$A$26,0)),"Not found")</f>
        <v>First Aid</v>
      </c>
      <c r="I336" s="39" t="n">
        <f aca="false">YEAR(B336)</f>
        <v>2026</v>
      </c>
      <c r="J336" s="39" t="n">
        <f aca="false">MONTH(B336)</f>
        <v>12</v>
      </c>
      <c r="K336" s="39" t="str">
        <f aca="false">TEXT(B336,"mmm")</f>
        <v>Dec</v>
      </c>
      <c r="L336" s="45" t="n">
        <f aca="false">IFERROR(INDEX(medicine_master!$I$2:$I$26,MATCH($C336,medicine_master!$A$2:$A$26,0)),0)</f>
        <v>10</v>
      </c>
      <c r="M336" s="45" t="n">
        <f aca="false">IFERROR(INDEX(medicine_master!$G$2:$G$26,MATCH($C336,medicine_master!$A$2:$A$26,0)),0)</f>
        <v>6</v>
      </c>
      <c r="N336" s="45" t="n">
        <f aca="false">IF(D336="Sale",E336*L336,0)</f>
        <v>150</v>
      </c>
      <c r="O336" s="45" t="n">
        <f aca="false">IF(D336="Sale",E336*M336,0)</f>
        <v>90</v>
      </c>
      <c r="P336" s="45" t="n">
        <f aca="false">N336-O336</f>
        <v>60</v>
      </c>
      <c r="Q336" s="45" t="n">
        <f aca="false">IF(D336="Purchase",E336*M336,0)</f>
        <v>0</v>
      </c>
    </row>
    <row r="337" customFormat="false" ht="15" hidden="false" customHeight="false" outlineLevel="0" collapsed="false">
      <c r="A337" s="39" t="s">
        <v>661</v>
      </c>
      <c r="B337" s="44" t="n">
        <v>46376</v>
      </c>
      <c r="C337" s="39" t="s">
        <v>157</v>
      </c>
      <c r="D337" s="39" t="s">
        <v>137</v>
      </c>
      <c r="E337" s="39" t="n">
        <v>15</v>
      </c>
      <c r="F337" s="39" t="str">
        <f aca="false">IF(COUNTIF(medicine_master!$A$2:$A$26,C337)&gt;0,"Valid","Invalid")</f>
        <v>Valid</v>
      </c>
      <c r="G337" s="39" t="str">
        <f aca="false">IFERROR(INDEX(medicine_master!$B$2:$B$26,MATCH($C337,medicine_master!$A$2:$A$26,0)),"Not found")</f>
        <v>Multivitamin Tablets</v>
      </c>
      <c r="H337" s="39" t="str">
        <f aca="false">IFERROR(INDEX(medicine_master!$C$2:$C$26,MATCH($C337,medicine_master!$A$2:$A$26,0)),"Not found")</f>
        <v>Vitamin</v>
      </c>
      <c r="I337" s="39" t="n">
        <f aca="false">YEAR(B337)</f>
        <v>2026</v>
      </c>
      <c r="J337" s="39" t="n">
        <f aca="false">MONTH(B337)</f>
        <v>12</v>
      </c>
      <c r="K337" s="39" t="str">
        <f aca="false">TEXT(B337,"mmm")</f>
        <v>Dec</v>
      </c>
      <c r="L337" s="45" t="n">
        <f aca="false">IFERROR(INDEX(medicine_master!$I$2:$I$26,MATCH($C337,medicine_master!$A$2:$A$26,0)),0)</f>
        <v>105</v>
      </c>
      <c r="M337" s="45" t="n">
        <f aca="false">IFERROR(INDEX(medicine_master!$G$2:$G$26,MATCH($C337,medicine_master!$A$2:$A$26,0)),0)</f>
        <v>72</v>
      </c>
      <c r="N337" s="45" t="n">
        <f aca="false">IF(D337="Sale",E337*L337,0)</f>
        <v>1575</v>
      </c>
      <c r="O337" s="45" t="n">
        <f aca="false">IF(D337="Sale",E337*M337,0)</f>
        <v>1080</v>
      </c>
      <c r="P337" s="45" t="n">
        <f aca="false">N337-O337</f>
        <v>495</v>
      </c>
      <c r="Q337" s="45" t="n">
        <f aca="false">IF(D337="Purchase",E337*M337,0)</f>
        <v>0</v>
      </c>
    </row>
    <row r="338" customFormat="false" ht="15" hidden="false" customHeight="false" outlineLevel="0" collapsed="false">
      <c r="A338" s="39" t="s">
        <v>662</v>
      </c>
      <c r="B338" s="44" t="n">
        <v>46284</v>
      </c>
      <c r="C338" s="39" t="s">
        <v>147</v>
      </c>
      <c r="D338" s="39" t="s">
        <v>137</v>
      </c>
      <c r="E338" s="39" t="n">
        <v>25</v>
      </c>
      <c r="F338" s="39" t="str">
        <f aca="false">IF(COUNTIF(medicine_master!$A$2:$A$26,C338)&gt;0,"Valid","Invalid")</f>
        <v>Valid</v>
      </c>
      <c r="G338" s="39" t="str">
        <f aca="false">IFERROR(INDEX(medicine_master!$B$2:$B$26,MATCH($C338,medicine_master!$A$2:$A$26,0)),"Not found")</f>
        <v>Insulin Injection</v>
      </c>
      <c r="H338" s="39" t="str">
        <f aca="false">IFERROR(INDEX(medicine_master!$C$2:$C$26,MATCH($C338,medicine_master!$A$2:$A$26,0)),"Not found")</f>
        <v>Diabetes</v>
      </c>
      <c r="I338" s="39" t="n">
        <f aca="false">YEAR(B338)</f>
        <v>2026</v>
      </c>
      <c r="J338" s="39" t="n">
        <f aca="false">MONTH(B338)</f>
        <v>9</v>
      </c>
      <c r="K338" s="39" t="str">
        <f aca="false">TEXT(B338,"mmm")</f>
        <v>Sep</v>
      </c>
      <c r="L338" s="45" t="n">
        <f aca="false">IFERROR(INDEX(medicine_master!$I$2:$I$26,MATCH($C338,medicine_master!$A$2:$A$26,0)),0)</f>
        <v>225</v>
      </c>
      <c r="M338" s="45" t="n">
        <f aca="false">IFERROR(INDEX(medicine_master!$G$2:$G$26,MATCH($C338,medicine_master!$A$2:$A$26,0)),0)</f>
        <v>165</v>
      </c>
      <c r="N338" s="45" t="n">
        <f aca="false">IF(D338="Sale",E338*L338,0)</f>
        <v>5625</v>
      </c>
      <c r="O338" s="45" t="n">
        <f aca="false">IF(D338="Sale",E338*M338,0)</f>
        <v>4125</v>
      </c>
      <c r="P338" s="45" t="n">
        <f aca="false">N338-O338</f>
        <v>1500</v>
      </c>
      <c r="Q338" s="45" t="n">
        <f aca="false">IF(D338="Purchase",E338*M338,0)</f>
        <v>0</v>
      </c>
    </row>
    <row r="339" customFormat="false" ht="15" hidden="false" customHeight="false" outlineLevel="0" collapsed="false">
      <c r="A339" s="39" t="s">
        <v>663</v>
      </c>
      <c r="B339" s="44" t="n">
        <v>46375</v>
      </c>
      <c r="C339" s="39" t="s">
        <v>177</v>
      </c>
      <c r="D339" s="39" t="s">
        <v>137</v>
      </c>
      <c r="E339" s="39" t="n">
        <v>30</v>
      </c>
      <c r="F339" s="39" t="str">
        <f aca="false">IF(COUNTIF(medicine_master!$A$2:$A$26,C339)&gt;0,"Valid","Invalid")</f>
        <v>Valid</v>
      </c>
      <c r="G339" s="39" t="str">
        <f aca="false">IFERROR(INDEX(medicine_master!$B$2:$B$26,MATCH($C339,medicine_master!$A$2:$A$26,0)),"Not found")</f>
        <v>Bandage Roll</v>
      </c>
      <c r="H339" s="39" t="str">
        <f aca="false">IFERROR(INDEX(medicine_master!$C$2:$C$26,MATCH($C339,medicine_master!$A$2:$A$26,0)),"Not found")</f>
        <v>First Aid</v>
      </c>
      <c r="I339" s="39" t="n">
        <f aca="false">YEAR(B339)</f>
        <v>2026</v>
      </c>
      <c r="J339" s="39" t="n">
        <f aca="false">MONTH(B339)</f>
        <v>12</v>
      </c>
      <c r="K339" s="39" t="str">
        <f aca="false">TEXT(B339,"mmm")</f>
        <v>Dec</v>
      </c>
      <c r="L339" s="45" t="n">
        <f aca="false">IFERROR(INDEX(medicine_master!$I$2:$I$26,MATCH($C339,medicine_master!$A$2:$A$26,0)),0)</f>
        <v>25</v>
      </c>
      <c r="M339" s="45" t="n">
        <f aca="false">IFERROR(INDEX(medicine_master!$G$2:$G$26,MATCH($C339,medicine_master!$A$2:$A$26,0)),0)</f>
        <v>15</v>
      </c>
      <c r="N339" s="45" t="n">
        <f aca="false">IF(D339="Sale",E339*L339,0)</f>
        <v>750</v>
      </c>
      <c r="O339" s="45" t="n">
        <f aca="false">IF(D339="Sale",E339*M339,0)</f>
        <v>450</v>
      </c>
      <c r="P339" s="45" t="n">
        <f aca="false">N339-O339</f>
        <v>300</v>
      </c>
      <c r="Q339" s="45" t="n">
        <f aca="false">IF(D339="Purchase",E339*M339,0)</f>
        <v>0</v>
      </c>
    </row>
    <row r="340" customFormat="false" ht="15" hidden="false" customHeight="false" outlineLevel="0" collapsed="false">
      <c r="A340" s="39" t="s">
        <v>664</v>
      </c>
      <c r="B340" s="44" t="n">
        <v>46367</v>
      </c>
      <c r="C340" s="39" t="s">
        <v>390</v>
      </c>
      <c r="D340" s="39" t="s">
        <v>137</v>
      </c>
      <c r="E340" s="39" t="n">
        <v>25</v>
      </c>
      <c r="F340" s="39" t="str">
        <f aca="false">IF(COUNTIF(medicine_master!$A$2:$A$26,C340)&gt;0,"Valid","Invalid")</f>
        <v>Valid</v>
      </c>
      <c r="G340" s="39" t="str">
        <f aca="false">IFERROR(INDEX(medicine_master!$B$2:$B$26,MATCH($C340,medicine_master!$A$2:$A$26,0)),"Not found")</f>
        <v>Montelukast 10mg</v>
      </c>
      <c r="H340" s="39" t="str">
        <f aca="false">IFERROR(INDEX(medicine_master!$C$2:$C$26,MATCH($C340,medicine_master!$A$2:$A$26,0)),"Not found")</f>
        <v>Allergy</v>
      </c>
      <c r="I340" s="39" t="n">
        <f aca="false">YEAR(B340)</f>
        <v>2026</v>
      </c>
      <c r="J340" s="39" t="n">
        <f aca="false">MONTH(B340)</f>
        <v>12</v>
      </c>
      <c r="K340" s="39" t="str">
        <f aca="false">TEXT(B340,"mmm")</f>
        <v>Dec</v>
      </c>
      <c r="L340" s="45" t="n">
        <f aca="false">IFERROR(INDEX(medicine_master!$I$2:$I$26,MATCH($C340,medicine_master!$A$2:$A$26,0)),0)</f>
        <v>39</v>
      </c>
      <c r="M340" s="45" t="n">
        <f aca="false">IFERROR(INDEX(medicine_master!$G$2:$G$26,MATCH($C340,medicine_master!$A$2:$A$26,0)),0)</f>
        <v>27</v>
      </c>
      <c r="N340" s="45" t="n">
        <f aca="false">IF(D340="Sale",E340*L340,0)</f>
        <v>975</v>
      </c>
      <c r="O340" s="45" t="n">
        <f aca="false">IF(D340="Sale",E340*M340,0)</f>
        <v>675</v>
      </c>
      <c r="P340" s="45" t="n">
        <f aca="false">N340-O340</f>
        <v>300</v>
      </c>
      <c r="Q340" s="45" t="n">
        <f aca="false">IF(D340="Purchase",E340*M340,0)</f>
        <v>0</v>
      </c>
    </row>
    <row r="341" customFormat="false" ht="15" hidden="false" customHeight="false" outlineLevel="0" collapsed="false">
      <c r="A341" s="39" t="s">
        <v>665</v>
      </c>
      <c r="B341" s="44" t="n">
        <v>46210</v>
      </c>
      <c r="C341" s="39" t="s">
        <v>180</v>
      </c>
      <c r="D341" s="39" t="s">
        <v>137</v>
      </c>
      <c r="E341" s="39" t="n">
        <v>50</v>
      </c>
      <c r="F341" s="39" t="str">
        <f aca="false">IF(COUNTIF(medicine_master!$A$2:$A$26,C341)&gt;0,"Valid","Invalid")</f>
        <v>Valid</v>
      </c>
      <c r="G341" s="39" t="str">
        <f aca="false">IFERROR(INDEX(medicine_master!$B$2:$B$26,MATCH($C341,medicine_master!$A$2:$A$26,0)),"Not found")</f>
        <v>Vitamin C 500mg</v>
      </c>
      <c r="H341" s="39" t="str">
        <f aca="false">IFERROR(INDEX(medicine_master!$C$2:$C$26,MATCH($C341,medicine_master!$A$2:$A$26,0)),"Not found")</f>
        <v>Vitamin</v>
      </c>
      <c r="I341" s="39" t="n">
        <f aca="false">YEAR(B341)</f>
        <v>2026</v>
      </c>
      <c r="J341" s="39" t="n">
        <f aca="false">MONTH(B341)</f>
        <v>7</v>
      </c>
      <c r="K341" s="39" t="str">
        <f aca="false">TEXT(B341,"mmm")</f>
        <v>Jul</v>
      </c>
      <c r="L341" s="45" t="n">
        <f aca="false">IFERROR(INDEX(medicine_master!$I$2:$I$26,MATCH($C341,medicine_master!$A$2:$A$26,0)),0)</f>
        <v>22</v>
      </c>
      <c r="M341" s="45" t="n">
        <f aca="false">IFERROR(INDEX(medicine_master!$G$2:$G$26,MATCH($C341,medicine_master!$A$2:$A$26,0)),0)</f>
        <v>14</v>
      </c>
      <c r="N341" s="45" t="n">
        <f aca="false">IF(D341="Sale",E341*L341,0)</f>
        <v>1100</v>
      </c>
      <c r="O341" s="45" t="n">
        <f aca="false">IF(D341="Sale",E341*M341,0)</f>
        <v>700</v>
      </c>
      <c r="P341" s="45" t="n">
        <f aca="false">N341-O341</f>
        <v>400</v>
      </c>
      <c r="Q341" s="45" t="n">
        <f aca="false">IF(D341="Purchase",E341*M341,0)</f>
        <v>0</v>
      </c>
    </row>
    <row r="342" customFormat="false" ht="15" hidden="false" customHeight="false" outlineLevel="0" collapsed="false">
      <c r="A342" s="39" t="s">
        <v>666</v>
      </c>
      <c r="B342" s="44" t="n">
        <v>46271</v>
      </c>
      <c r="C342" s="39" t="s">
        <v>404</v>
      </c>
      <c r="D342" s="39" t="s">
        <v>137</v>
      </c>
      <c r="E342" s="39" t="n">
        <v>5</v>
      </c>
      <c r="F342" s="39" t="str">
        <f aca="false">IF(COUNTIF(medicine_master!$A$2:$A$26,C342)&gt;0,"Valid","Invalid")</f>
        <v>Valid</v>
      </c>
      <c r="G342" s="39" t="str">
        <f aca="false">IFERROR(INDEX(medicine_master!$B$2:$B$26,MATCH($C342,medicine_master!$A$2:$A$26,0)),"Not found")</f>
        <v>ORS Sachet</v>
      </c>
      <c r="H342" s="39" t="str">
        <f aca="false">IFERROR(INDEX(medicine_master!$C$2:$C$26,MATCH($C342,medicine_master!$A$2:$A$26,0)),"Not found")</f>
        <v>First Aid</v>
      </c>
      <c r="I342" s="39" t="n">
        <f aca="false">YEAR(B342)</f>
        <v>2026</v>
      </c>
      <c r="J342" s="39" t="n">
        <f aca="false">MONTH(B342)</f>
        <v>9</v>
      </c>
      <c r="K342" s="39" t="str">
        <f aca="false">TEXT(B342,"mmm")</f>
        <v>Sep</v>
      </c>
      <c r="L342" s="45" t="n">
        <f aca="false">IFERROR(INDEX(medicine_master!$I$2:$I$26,MATCH($C342,medicine_master!$A$2:$A$26,0)),0)</f>
        <v>10</v>
      </c>
      <c r="M342" s="45" t="n">
        <f aca="false">IFERROR(INDEX(medicine_master!$G$2:$G$26,MATCH($C342,medicine_master!$A$2:$A$26,0)),0)</f>
        <v>6</v>
      </c>
      <c r="N342" s="45" t="n">
        <f aca="false">IF(D342="Sale",E342*L342,0)</f>
        <v>50</v>
      </c>
      <c r="O342" s="45" t="n">
        <f aca="false">IF(D342="Sale",E342*M342,0)</f>
        <v>30</v>
      </c>
      <c r="P342" s="45" t="n">
        <f aca="false">N342-O342</f>
        <v>20</v>
      </c>
      <c r="Q342" s="45" t="n">
        <f aca="false">IF(D342="Purchase",E342*M342,0)</f>
        <v>0</v>
      </c>
    </row>
    <row r="343" customFormat="false" ht="15" hidden="false" customHeight="false" outlineLevel="0" collapsed="false">
      <c r="A343" s="39" t="s">
        <v>667</v>
      </c>
      <c r="B343" s="44" t="n">
        <v>46182</v>
      </c>
      <c r="C343" s="39" t="s">
        <v>495</v>
      </c>
      <c r="D343" s="39" t="s">
        <v>138</v>
      </c>
      <c r="E343" s="39" t="n">
        <v>40</v>
      </c>
      <c r="F343" s="39" t="str">
        <f aca="false">IF(COUNTIF(medicine_master!$A$2:$A$26,C343)&gt;0,"Valid","Invalid")</f>
        <v>Valid</v>
      </c>
      <c r="G343" s="39" t="str">
        <f aca="false">IFERROR(INDEX(medicine_master!$B$2:$B$26,MATCH($C343,medicine_master!$A$2:$A$26,0)),"Not found")</f>
        <v>Metformin 500mg</v>
      </c>
      <c r="H343" s="39" t="str">
        <f aca="false">IFERROR(INDEX(medicine_master!$C$2:$C$26,MATCH($C343,medicine_master!$A$2:$A$26,0)),"Not found")</f>
        <v>Diabetes</v>
      </c>
      <c r="I343" s="39" t="n">
        <f aca="false">YEAR(B343)</f>
        <v>2026</v>
      </c>
      <c r="J343" s="39" t="n">
        <f aca="false">MONTH(B343)</f>
        <v>6</v>
      </c>
      <c r="K343" s="39" t="str">
        <f aca="false">TEXT(B343,"mmm")</f>
        <v>Jun</v>
      </c>
      <c r="L343" s="45" t="n">
        <f aca="false">IFERROR(INDEX(medicine_master!$I$2:$I$26,MATCH($C343,medicine_master!$A$2:$A$26,0)),0)</f>
        <v>24</v>
      </c>
      <c r="M343" s="45" t="n">
        <f aca="false">IFERROR(INDEX(medicine_master!$G$2:$G$26,MATCH($C343,medicine_master!$A$2:$A$26,0)),0)</f>
        <v>16</v>
      </c>
      <c r="N343" s="45" t="n">
        <f aca="false">IF(D343="Sale",E343*L343,0)</f>
        <v>0</v>
      </c>
      <c r="O343" s="45" t="n">
        <f aca="false">IF(D343="Sale",E343*M343,0)</f>
        <v>0</v>
      </c>
      <c r="P343" s="45" t="n">
        <f aca="false">N343-O343</f>
        <v>0</v>
      </c>
      <c r="Q343" s="45" t="n">
        <f aca="false">IF(D343="Purchase",E343*M343,0)</f>
        <v>640</v>
      </c>
    </row>
    <row r="344" customFormat="false" ht="15" hidden="false" customHeight="false" outlineLevel="0" collapsed="false">
      <c r="A344" s="39" t="s">
        <v>668</v>
      </c>
      <c r="B344" s="44" t="n">
        <v>46104</v>
      </c>
      <c r="C344" s="39" t="s">
        <v>149</v>
      </c>
      <c r="D344" s="39" t="s">
        <v>137</v>
      </c>
      <c r="E344" s="39" t="n">
        <v>30</v>
      </c>
      <c r="F344" s="39" t="str">
        <f aca="false">IF(COUNTIF(medicine_master!$A$2:$A$26,C344)&gt;0,"Valid","Invalid")</f>
        <v>Valid</v>
      </c>
      <c r="G344" s="39" t="str">
        <f aca="false">IFERROR(INDEX(medicine_master!$B$2:$B$26,MATCH($C344,medicine_master!$A$2:$A$26,0)),"Not found")</f>
        <v>Azithromycin 500mg</v>
      </c>
      <c r="H344" s="39" t="str">
        <f aca="false">IFERROR(INDEX(medicine_master!$C$2:$C$26,MATCH($C344,medicine_master!$A$2:$A$26,0)),"Not found")</f>
        <v>Antibiotic</v>
      </c>
      <c r="I344" s="39" t="n">
        <f aca="false">YEAR(B344)</f>
        <v>2026</v>
      </c>
      <c r="J344" s="39" t="n">
        <f aca="false">MONTH(B344)</f>
        <v>3</v>
      </c>
      <c r="K344" s="39" t="str">
        <f aca="false">TEXT(B344,"mmm")</f>
        <v>Mar</v>
      </c>
      <c r="L344" s="45" t="n">
        <f aca="false">IFERROR(INDEX(medicine_master!$I$2:$I$26,MATCH($C344,medicine_master!$A$2:$A$26,0)),0)</f>
        <v>50</v>
      </c>
      <c r="M344" s="45" t="n">
        <f aca="false">IFERROR(INDEX(medicine_master!$G$2:$G$26,MATCH($C344,medicine_master!$A$2:$A$26,0)),0)</f>
        <v>35</v>
      </c>
      <c r="N344" s="45" t="n">
        <f aca="false">IF(D344="Sale",E344*L344,0)</f>
        <v>1500</v>
      </c>
      <c r="O344" s="45" t="n">
        <f aca="false">IF(D344="Sale",E344*M344,0)</f>
        <v>1050</v>
      </c>
      <c r="P344" s="45" t="n">
        <f aca="false">N344-O344</f>
        <v>450</v>
      </c>
      <c r="Q344" s="45" t="n">
        <f aca="false">IF(D344="Purchase",E344*M344,0)</f>
        <v>0</v>
      </c>
    </row>
    <row r="345" customFormat="false" ht="15" hidden="false" customHeight="false" outlineLevel="0" collapsed="false">
      <c r="A345" s="39" t="s">
        <v>669</v>
      </c>
      <c r="B345" s="44" t="n">
        <v>46034</v>
      </c>
      <c r="C345" s="39" t="s">
        <v>180</v>
      </c>
      <c r="D345" s="39" t="s">
        <v>138</v>
      </c>
      <c r="E345" s="39" t="n">
        <v>10</v>
      </c>
      <c r="F345" s="39" t="str">
        <f aca="false">IF(COUNTIF(medicine_master!$A$2:$A$26,C345)&gt;0,"Valid","Invalid")</f>
        <v>Valid</v>
      </c>
      <c r="G345" s="39" t="str">
        <f aca="false">IFERROR(INDEX(medicine_master!$B$2:$B$26,MATCH($C345,medicine_master!$A$2:$A$26,0)),"Not found")</f>
        <v>Vitamin C 500mg</v>
      </c>
      <c r="H345" s="39" t="str">
        <f aca="false">IFERROR(INDEX(medicine_master!$C$2:$C$26,MATCH($C345,medicine_master!$A$2:$A$26,0)),"Not found")</f>
        <v>Vitamin</v>
      </c>
      <c r="I345" s="39" t="n">
        <f aca="false">YEAR(B345)</f>
        <v>2026</v>
      </c>
      <c r="J345" s="39" t="n">
        <f aca="false">MONTH(B345)</f>
        <v>1</v>
      </c>
      <c r="K345" s="39" t="str">
        <f aca="false">TEXT(B345,"mmm")</f>
        <v>Jan</v>
      </c>
      <c r="L345" s="45" t="n">
        <f aca="false">IFERROR(INDEX(medicine_master!$I$2:$I$26,MATCH($C345,medicine_master!$A$2:$A$26,0)),0)</f>
        <v>22</v>
      </c>
      <c r="M345" s="45" t="n">
        <f aca="false">IFERROR(INDEX(medicine_master!$G$2:$G$26,MATCH($C345,medicine_master!$A$2:$A$26,0)),0)</f>
        <v>14</v>
      </c>
      <c r="N345" s="45" t="n">
        <f aca="false">IF(D345="Sale",E345*L345,0)</f>
        <v>0</v>
      </c>
      <c r="O345" s="45" t="n">
        <f aca="false">IF(D345="Sale",E345*M345,0)</f>
        <v>0</v>
      </c>
      <c r="P345" s="45" t="n">
        <f aca="false">N345-O345</f>
        <v>0</v>
      </c>
      <c r="Q345" s="45" t="n">
        <f aca="false">IF(D345="Purchase",E345*M345,0)</f>
        <v>140</v>
      </c>
    </row>
    <row r="346" customFormat="false" ht="15" hidden="false" customHeight="false" outlineLevel="0" collapsed="false">
      <c r="A346" s="39" t="s">
        <v>670</v>
      </c>
      <c r="B346" s="44" t="n">
        <v>46177</v>
      </c>
      <c r="C346" s="39" t="s">
        <v>145</v>
      </c>
      <c r="D346" s="39" t="s">
        <v>137</v>
      </c>
      <c r="E346" s="39" t="n">
        <v>10</v>
      </c>
      <c r="F346" s="39" t="str">
        <f aca="false">IF(COUNTIF(medicine_master!$A$2:$A$26,C346)&gt;0,"Valid","Invalid")</f>
        <v>Valid</v>
      </c>
      <c r="G346" s="39" t="str">
        <f aca="false">IFERROR(INDEX(medicine_master!$B$2:$B$26,MATCH($C346,medicine_master!$A$2:$A$26,0)),"Not found")</f>
        <v>Clotrimazole Cream</v>
      </c>
      <c r="H346" s="39" t="str">
        <f aca="false">IFERROR(INDEX(medicine_master!$C$2:$C$26,MATCH($C346,medicine_master!$A$2:$A$26,0)),"Not found")</f>
        <v>Dermatology</v>
      </c>
      <c r="I346" s="39" t="n">
        <f aca="false">YEAR(B346)</f>
        <v>2026</v>
      </c>
      <c r="J346" s="39" t="n">
        <f aca="false">MONTH(B346)</f>
        <v>6</v>
      </c>
      <c r="K346" s="39" t="str">
        <f aca="false">TEXT(B346,"mmm")</f>
        <v>Jun</v>
      </c>
      <c r="L346" s="45" t="n">
        <f aca="false">IFERROR(INDEX(medicine_master!$I$2:$I$26,MATCH($C346,medicine_master!$A$2:$A$26,0)),0)</f>
        <v>48</v>
      </c>
      <c r="M346" s="45" t="n">
        <f aca="false">IFERROR(INDEX(medicine_master!$G$2:$G$26,MATCH($C346,medicine_master!$A$2:$A$26,0)),0)</f>
        <v>32</v>
      </c>
      <c r="N346" s="45" t="n">
        <f aca="false">IF(D346="Sale",E346*L346,0)</f>
        <v>480</v>
      </c>
      <c r="O346" s="45" t="n">
        <f aca="false">IF(D346="Sale",E346*M346,0)</f>
        <v>320</v>
      </c>
      <c r="P346" s="45" t="n">
        <f aca="false">N346-O346</f>
        <v>160</v>
      </c>
      <c r="Q346" s="45" t="n">
        <f aca="false">IF(D346="Purchase",E346*M346,0)</f>
        <v>0</v>
      </c>
    </row>
    <row r="347" customFormat="false" ht="15" hidden="false" customHeight="false" outlineLevel="0" collapsed="false">
      <c r="A347" s="39" t="s">
        <v>671</v>
      </c>
      <c r="B347" s="44" t="n">
        <v>46376</v>
      </c>
      <c r="C347" s="39" t="s">
        <v>147</v>
      </c>
      <c r="D347" s="39" t="s">
        <v>137</v>
      </c>
      <c r="E347" s="39" t="n">
        <v>10</v>
      </c>
      <c r="F347" s="39" t="str">
        <f aca="false">IF(COUNTIF(medicine_master!$A$2:$A$26,C347)&gt;0,"Valid","Invalid")</f>
        <v>Valid</v>
      </c>
      <c r="G347" s="39" t="str">
        <f aca="false">IFERROR(INDEX(medicine_master!$B$2:$B$26,MATCH($C347,medicine_master!$A$2:$A$26,0)),"Not found")</f>
        <v>Insulin Injection</v>
      </c>
      <c r="H347" s="39" t="str">
        <f aca="false">IFERROR(INDEX(medicine_master!$C$2:$C$26,MATCH($C347,medicine_master!$A$2:$A$26,0)),"Not found")</f>
        <v>Diabetes</v>
      </c>
      <c r="I347" s="39" t="n">
        <f aca="false">YEAR(B347)</f>
        <v>2026</v>
      </c>
      <c r="J347" s="39" t="n">
        <f aca="false">MONTH(B347)</f>
        <v>12</v>
      </c>
      <c r="K347" s="39" t="str">
        <f aca="false">TEXT(B347,"mmm")</f>
        <v>Dec</v>
      </c>
      <c r="L347" s="45" t="n">
        <f aca="false">IFERROR(INDEX(medicine_master!$I$2:$I$26,MATCH($C347,medicine_master!$A$2:$A$26,0)),0)</f>
        <v>225</v>
      </c>
      <c r="M347" s="45" t="n">
        <f aca="false">IFERROR(INDEX(medicine_master!$G$2:$G$26,MATCH($C347,medicine_master!$A$2:$A$26,0)),0)</f>
        <v>165</v>
      </c>
      <c r="N347" s="45" t="n">
        <f aca="false">IF(D347="Sale",E347*L347,0)</f>
        <v>2250</v>
      </c>
      <c r="O347" s="45" t="n">
        <f aca="false">IF(D347="Sale",E347*M347,0)</f>
        <v>1650</v>
      </c>
      <c r="P347" s="45" t="n">
        <f aca="false">N347-O347</f>
        <v>600</v>
      </c>
      <c r="Q347" s="45" t="n">
        <f aca="false">IF(D347="Purchase",E347*M347,0)</f>
        <v>0</v>
      </c>
    </row>
    <row r="348" customFormat="false" ht="15" hidden="false" customHeight="false" outlineLevel="0" collapsed="false">
      <c r="A348" s="39" t="s">
        <v>672</v>
      </c>
      <c r="B348" s="44" t="n">
        <v>46096</v>
      </c>
      <c r="C348" s="39" t="s">
        <v>326</v>
      </c>
      <c r="D348" s="39" t="s">
        <v>137</v>
      </c>
      <c r="E348" s="39" t="n">
        <v>15</v>
      </c>
      <c r="F348" s="39" t="str">
        <f aca="false">IF(COUNTIF(medicine_master!$A$2:$A$26,C348)&gt;0,"Valid","Invalid")</f>
        <v>Valid</v>
      </c>
      <c r="G348" s="39" t="str">
        <f aca="false">IFERROR(INDEX(medicine_master!$B$2:$B$26,MATCH($C348,medicine_master!$A$2:$A$26,0)),"Not found")</f>
        <v>Omeprazole 20mg</v>
      </c>
      <c r="H348" s="39" t="str">
        <f aca="false">IFERROR(INDEX(medicine_master!$C$2:$C$26,MATCH($C348,medicine_master!$A$2:$A$26,0)),"Not found")</f>
        <v>Gastric</v>
      </c>
      <c r="I348" s="39" t="n">
        <f aca="false">YEAR(B348)</f>
        <v>2026</v>
      </c>
      <c r="J348" s="39" t="n">
        <f aca="false">MONTH(B348)</f>
        <v>3</v>
      </c>
      <c r="K348" s="39" t="str">
        <f aca="false">TEXT(B348,"mmm")</f>
        <v>Mar</v>
      </c>
      <c r="L348" s="45" t="n">
        <f aca="false">IFERROR(INDEX(medicine_master!$I$2:$I$26,MATCH($C348,medicine_master!$A$2:$A$26,0)),0)</f>
        <v>26</v>
      </c>
      <c r="M348" s="45" t="n">
        <f aca="false">IFERROR(INDEX(medicine_master!$G$2:$G$26,MATCH($C348,medicine_master!$A$2:$A$26,0)),0)</f>
        <v>18</v>
      </c>
      <c r="N348" s="45" t="n">
        <f aca="false">IF(D348="Sale",E348*L348,0)</f>
        <v>390</v>
      </c>
      <c r="O348" s="45" t="n">
        <f aca="false">IF(D348="Sale",E348*M348,0)</f>
        <v>270</v>
      </c>
      <c r="P348" s="45" t="n">
        <f aca="false">N348-O348</f>
        <v>120</v>
      </c>
      <c r="Q348" s="45" t="n">
        <f aca="false">IF(D348="Purchase",E348*M348,0)</f>
        <v>0</v>
      </c>
    </row>
    <row r="349" customFormat="false" ht="15" hidden="false" customHeight="false" outlineLevel="0" collapsed="false">
      <c r="A349" s="39" t="s">
        <v>673</v>
      </c>
      <c r="B349" s="44" t="n">
        <v>46082</v>
      </c>
      <c r="C349" s="39" t="s">
        <v>159</v>
      </c>
      <c r="D349" s="39" t="s">
        <v>137</v>
      </c>
      <c r="E349" s="39" t="n">
        <v>10</v>
      </c>
      <c r="F349" s="39" t="str">
        <f aca="false">IF(COUNTIF(medicine_master!$A$2:$A$26,C349)&gt;0,"Valid","Invalid")</f>
        <v>Valid</v>
      </c>
      <c r="G349" s="39" t="str">
        <f aca="false">IFERROR(INDEX(medicine_master!$B$2:$B$26,MATCH($C349,medicine_master!$A$2:$A$26,0)),"Not found")</f>
        <v>Antiseptic Liquid 100ml</v>
      </c>
      <c r="H349" s="39" t="str">
        <f aca="false">IFERROR(INDEX(medicine_master!$C$2:$C$26,MATCH($C349,medicine_master!$A$2:$A$26,0)),"Not found")</f>
        <v>First Aid</v>
      </c>
      <c r="I349" s="39" t="n">
        <f aca="false">YEAR(B349)</f>
        <v>2026</v>
      </c>
      <c r="J349" s="39" t="n">
        <f aca="false">MONTH(B349)</f>
        <v>3</v>
      </c>
      <c r="K349" s="39" t="str">
        <f aca="false">TEXT(B349,"mmm")</f>
        <v>Mar</v>
      </c>
      <c r="L349" s="45" t="n">
        <f aca="false">IFERROR(INDEX(medicine_master!$I$2:$I$26,MATCH($C349,medicine_master!$A$2:$A$26,0)),0)</f>
        <v>65</v>
      </c>
      <c r="M349" s="45" t="n">
        <f aca="false">IFERROR(INDEX(medicine_master!$G$2:$G$26,MATCH($C349,medicine_master!$A$2:$A$26,0)),0)</f>
        <v>48</v>
      </c>
      <c r="N349" s="45" t="n">
        <f aca="false">IF(D349="Sale",E349*L349,0)</f>
        <v>650</v>
      </c>
      <c r="O349" s="45" t="n">
        <f aca="false">IF(D349="Sale",E349*M349,0)</f>
        <v>480</v>
      </c>
      <c r="P349" s="45" t="n">
        <f aca="false">N349-O349</f>
        <v>170</v>
      </c>
      <c r="Q349" s="45" t="n">
        <f aca="false">IF(D349="Purchase",E349*M349,0)</f>
        <v>0</v>
      </c>
    </row>
    <row r="350" customFormat="false" ht="15" hidden="false" customHeight="false" outlineLevel="0" collapsed="false">
      <c r="A350" s="39" t="s">
        <v>674</v>
      </c>
      <c r="B350" s="44" t="n">
        <v>46218</v>
      </c>
      <c r="C350" s="39" t="s">
        <v>146</v>
      </c>
      <c r="D350" s="39" t="s">
        <v>137</v>
      </c>
      <c r="E350" s="39" t="n">
        <v>5</v>
      </c>
      <c r="F350" s="39" t="str">
        <f aca="false">IF(COUNTIF(medicine_master!$A$2:$A$26,C350)&gt;0,"Valid","Invalid")</f>
        <v>Valid</v>
      </c>
      <c r="G350" s="39" t="str">
        <f aca="false">IFERROR(INDEX(medicine_master!$B$2:$B$26,MATCH($C350,medicine_master!$A$2:$A$26,0)),"Not found")</f>
        <v>Diclofenac Gel</v>
      </c>
      <c r="H350" s="39" t="str">
        <f aca="false">IFERROR(INDEX(medicine_master!$C$2:$C$26,MATCH($C350,medicine_master!$A$2:$A$26,0)),"Not found")</f>
        <v>Pain Relief</v>
      </c>
      <c r="I350" s="39" t="n">
        <f aca="false">YEAR(B350)</f>
        <v>2026</v>
      </c>
      <c r="J350" s="39" t="n">
        <f aca="false">MONTH(B350)</f>
        <v>7</v>
      </c>
      <c r="K350" s="39" t="str">
        <f aca="false">TEXT(B350,"mmm")</f>
        <v>Jul</v>
      </c>
      <c r="L350" s="45" t="n">
        <f aca="false">IFERROR(INDEX(medicine_master!$I$2:$I$26,MATCH($C350,medicine_master!$A$2:$A$26,0)),0)</f>
        <v>55</v>
      </c>
      <c r="M350" s="45" t="n">
        <f aca="false">IFERROR(INDEX(medicine_master!$G$2:$G$26,MATCH($C350,medicine_master!$A$2:$A$26,0)),0)</f>
        <v>38</v>
      </c>
      <c r="N350" s="45" t="n">
        <f aca="false">IF(D350="Sale",E350*L350,0)</f>
        <v>275</v>
      </c>
      <c r="O350" s="45" t="n">
        <f aca="false">IF(D350="Sale",E350*M350,0)</f>
        <v>190</v>
      </c>
      <c r="P350" s="45" t="n">
        <f aca="false">N350-O350</f>
        <v>85</v>
      </c>
      <c r="Q350" s="45" t="n">
        <f aca="false">IF(D350="Purchase",E350*M350,0)</f>
        <v>0</v>
      </c>
    </row>
    <row r="351" customFormat="false" ht="15" hidden="false" customHeight="false" outlineLevel="0" collapsed="false">
      <c r="A351" s="39" t="s">
        <v>675</v>
      </c>
      <c r="B351" s="44" t="n">
        <v>46241</v>
      </c>
      <c r="C351" s="39" t="s">
        <v>145</v>
      </c>
      <c r="D351" s="39" t="s">
        <v>137</v>
      </c>
      <c r="E351" s="39" t="n">
        <v>30</v>
      </c>
      <c r="F351" s="39" t="str">
        <f aca="false">IF(COUNTIF(medicine_master!$A$2:$A$26,C351)&gt;0,"Valid","Invalid")</f>
        <v>Valid</v>
      </c>
      <c r="G351" s="39" t="str">
        <f aca="false">IFERROR(INDEX(medicine_master!$B$2:$B$26,MATCH($C351,medicine_master!$A$2:$A$26,0)),"Not found")</f>
        <v>Clotrimazole Cream</v>
      </c>
      <c r="H351" s="39" t="str">
        <f aca="false">IFERROR(INDEX(medicine_master!$C$2:$C$26,MATCH($C351,medicine_master!$A$2:$A$26,0)),"Not found")</f>
        <v>Dermatology</v>
      </c>
      <c r="I351" s="39" t="n">
        <f aca="false">YEAR(B351)</f>
        <v>2026</v>
      </c>
      <c r="J351" s="39" t="n">
        <f aca="false">MONTH(B351)</f>
        <v>8</v>
      </c>
      <c r="K351" s="39" t="str">
        <f aca="false">TEXT(B351,"mmm")</f>
        <v>Aug</v>
      </c>
      <c r="L351" s="45" t="n">
        <f aca="false">IFERROR(INDEX(medicine_master!$I$2:$I$26,MATCH($C351,medicine_master!$A$2:$A$26,0)),0)</f>
        <v>48</v>
      </c>
      <c r="M351" s="45" t="n">
        <f aca="false">IFERROR(INDEX(medicine_master!$G$2:$G$26,MATCH($C351,medicine_master!$A$2:$A$26,0)),0)</f>
        <v>32</v>
      </c>
      <c r="N351" s="45" t="n">
        <f aca="false">IF(D351="Sale",E351*L351,0)</f>
        <v>1440</v>
      </c>
      <c r="O351" s="45" t="n">
        <f aca="false">IF(D351="Sale",E351*M351,0)</f>
        <v>960</v>
      </c>
      <c r="P351" s="45" t="n">
        <f aca="false">N351-O351</f>
        <v>480</v>
      </c>
      <c r="Q351" s="45" t="n">
        <f aca="false">IF(D351="Purchase",E351*M351,0)</f>
        <v>0</v>
      </c>
    </row>
    <row r="352" customFormat="false" ht="15" hidden="false" customHeight="false" outlineLevel="0" collapsed="false">
      <c r="A352" s="39" t="s">
        <v>676</v>
      </c>
      <c r="B352" s="44" t="n">
        <v>46215</v>
      </c>
      <c r="C352" s="39" t="s">
        <v>321</v>
      </c>
      <c r="D352" s="39" t="s">
        <v>137</v>
      </c>
      <c r="E352" s="39" t="n">
        <v>5</v>
      </c>
      <c r="F352" s="39" t="str">
        <f aca="false">IF(COUNTIF(medicine_master!$A$2:$A$26,C352)&gt;0,"Valid","Invalid")</f>
        <v>Valid</v>
      </c>
      <c r="G352" s="39" t="str">
        <f aca="false">IFERROR(INDEX(medicine_master!$B$2:$B$26,MATCH($C352,medicine_master!$A$2:$A$26,0)),"Not found")</f>
        <v>Levocetirizine 5mg</v>
      </c>
      <c r="H352" s="39" t="str">
        <f aca="false">IFERROR(INDEX(medicine_master!$C$2:$C$26,MATCH($C352,medicine_master!$A$2:$A$26,0)),"Not found")</f>
        <v>Allergy</v>
      </c>
      <c r="I352" s="39" t="n">
        <f aca="false">YEAR(B352)</f>
        <v>2026</v>
      </c>
      <c r="J352" s="39" t="n">
        <f aca="false">MONTH(B352)</f>
        <v>7</v>
      </c>
      <c r="K352" s="39" t="str">
        <f aca="false">TEXT(B352,"mmm")</f>
        <v>Jul</v>
      </c>
      <c r="L352" s="45" t="n">
        <f aca="false">IFERROR(INDEX(medicine_master!$I$2:$I$26,MATCH($C352,medicine_master!$A$2:$A$26,0)),0)</f>
        <v>22</v>
      </c>
      <c r="M352" s="45" t="n">
        <f aca="false">IFERROR(INDEX(medicine_master!$G$2:$G$26,MATCH($C352,medicine_master!$A$2:$A$26,0)),0)</f>
        <v>14</v>
      </c>
      <c r="N352" s="45" t="n">
        <f aca="false">IF(D352="Sale",E352*L352,0)</f>
        <v>110</v>
      </c>
      <c r="O352" s="45" t="n">
        <f aca="false">IF(D352="Sale",E352*M352,0)</f>
        <v>70</v>
      </c>
      <c r="P352" s="45" t="n">
        <f aca="false">N352-O352</f>
        <v>40</v>
      </c>
      <c r="Q352" s="45" t="n">
        <f aca="false">IF(D352="Purchase",E352*M352,0)</f>
        <v>0</v>
      </c>
    </row>
    <row r="353" customFormat="false" ht="15" hidden="false" customHeight="false" outlineLevel="0" collapsed="false">
      <c r="A353" s="39" t="s">
        <v>677</v>
      </c>
      <c r="B353" s="44" t="n">
        <v>46328</v>
      </c>
      <c r="C353" s="39" t="s">
        <v>153</v>
      </c>
      <c r="D353" s="39" t="s">
        <v>137</v>
      </c>
      <c r="E353" s="39" t="n">
        <v>50</v>
      </c>
      <c r="F353" s="39" t="str">
        <f aca="false">IF(COUNTIF(medicine_master!$A$2:$A$26,C353)&gt;0,"Valid","Invalid")</f>
        <v>Valid</v>
      </c>
      <c r="G353" s="39" t="str">
        <f aca="false">IFERROR(INDEX(medicine_master!$B$2:$B$26,MATCH($C353,medicine_master!$A$2:$A$26,0)),"Not found")</f>
        <v>Atorvastatin 10mg</v>
      </c>
      <c r="H353" s="39" t="str">
        <f aca="false">IFERROR(INDEX(medicine_master!$C$2:$C$26,MATCH($C353,medicine_master!$A$2:$A$26,0)),"Not found")</f>
        <v>Cardiac</v>
      </c>
      <c r="I353" s="39" t="n">
        <f aca="false">YEAR(B353)</f>
        <v>2026</v>
      </c>
      <c r="J353" s="39" t="n">
        <f aca="false">MONTH(B353)</f>
        <v>11</v>
      </c>
      <c r="K353" s="39" t="str">
        <f aca="false">TEXT(B353,"mmm")</f>
        <v>Nov</v>
      </c>
      <c r="L353" s="45" t="n">
        <f aca="false">IFERROR(INDEX(medicine_master!$I$2:$I$26,MATCH($C353,medicine_master!$A$2:$A$26,0)),0)</f>
        <v>28</v>
      </c>
      <c r="M353" s="45" t="n">
        <f aca="false">IFERROR(INDEX(medicine_master!$G$2:$G$26,MATCH($C353,medicine_master!$A$2:$A$26,0)),0)</f>
        <v>19</v>
      </c>
      <c r="N353" s="45" t="n">
        <f aca="false">IF(D353="Sale",E353*L353,0)</f>
        <v>1400</v>
      </c>
      <c r="O353" s="45" t="n">
        <f aca="false">IF(D353="Sale",E353*M353,0)</f>
        <v>950</v>
      </c>
      <c r="P353" s="45" t="n">
        <f aca="false">N353-O353</f>
        <v>450</v>
      </c>
      <c r="Q353" s="45" t="n">
        <f aca="false">IF(D353="Purchase",E353*M353,0)</f>
        <v>0</v>
      </c>
    </row>
    <row r="354" customFormat="false" ht="15" hidden="false" customHeight="false" outlineLevel="0" collapsed="false">
      <c r="A354" s="39" t="s">
        <v>678</v>
      </c>
      <c r="B354" s="44" t="n">
        <v>46186</v>
      </c>
      <c r="C354" s="39" t="s">
        <v>151</v>
      </c>
      <c r="D354" s="39" t="s">
        <v>137</v>
      </c>
      <c r="E354" s="39" t="n">
        <v>20</v>
      </c>
      <c r="F354" s="39" t="str">
        <f aca="false">IF(COUNTIF(medicine_master!$A$2:$A$26,C354)&gt;0,"Valid","Invalid")</f>
        <v>Valid</v>
      </c>
      <c r="G354" s="39" t="str">
        <f aca="false">IFERROR(INDEX(medicine_master!$B$2:$B$26,MATCH($C354,medicine_master!$A$2:$A$26,0)),"Not found")</f>
        <v>Cetirizine 10mg</v>
      </c>
      <c r="H354" s="39" t="str">
        <f aca="false">IFERROR(INDEX(medicine_master!$C$2:$C$26,MATCH($C354,medicine_master!$A$2:$A$26,0)),"Not found")</f>
        <v>Allergy</v>
      </c>
      <c r="I354" s="39" t="n">
        <f aca="false">YEAR(B354)</f>
        <v>2026</v>
      </c>
      <c r="J354" s="39" t="n">
        <f aca="false">MONTH(B354)</f>
        <v>6</v>
      </c>
      <c r="K354" s="39" t="str">
        <f aca="false">TEXT(B354,"mmm")</f>
        <v>Jun</v>
      </c>
      <c r="L354" s="45" t="n">
        <f aca="false">IFERROR(INDEX(medicine_master!$I$2:$I$26,MATCH($C354,medicine_master!$A$2:$A$26,0)),0)</f>
        <v>13</v>
      </c>
      <c r="M354" s="45" t="n">
        <f aca="false">IFERROR(INDEX(medicine_master!$G$2:$G$26,MATCH($C354,medicine_master!$A$2:$A$26,0)),0)</f>
        <v>8</v>
      </c>
      <c r="N354" s="45" t="n">
        <f aca="false">IF(D354="Sale",E354*L354,0)</f>
        <v>260</v>
      </c>
      <c r="O354" s="45" t="n">
        <f aca="false">IF(D354="Sale",E354*M354,0)</f>
        <v>160</v>
      </c>
      <c r="P354" s="45" t="n">
        <f aca="false">N354-O354</f>
        <v>100</v>
      </c>
      <c r="Q354" s="45" t="n">
        <f aca="false">IF(D354="Purchase",E354*M354,0)</f>
        <v>0</v>
      </c>
    </row>
    <row r="355" customFormat="false" ht="15" hidden="false" customHeight="false" outlineLevel="0" collapsed="false">
      <c r="A355" s="39" t="s">
        <v>679</v>
      </c>
      <c r="B355" s="44" t="n">
        <v>46051</v>
      </c>
      <c r="C355" s="39" t="s">
        <v>495</v>
      </c>
      <c r="D355" s="39" t="s">
        <v>137</v>
      </c>
      <c r="E355" s="39" t="n">
        <v>20</v>
      </c>
      <c r="F355" s="39" t="str">
        <f aca="false">IF(COUNTIF(medicine_master!$A$2:$A$26,C355)&gt;0,"Valid","Invalid")</f>
        <v>Valid</v>
      </c>
      <c r="G355" s="39" t="str">
        <f aca="false">IFERROR(INDEX(medicine_master!$B$2:$B$26,MATCH($C355,medicine_master!$A$2:$A$26,0)),"Not found")</f>
        <v>Metformin 500mg</v>
      </c>
      <c r="H355" s="39" t="str">
        <f aca="false">IFERROR(INDEX(medicine_master!$C$2:$C$26,MATCH($C355,medicine_master!$A$2:$A$26,0)),"Not found")</f>
        <v>Diabetes</v>
      </c>
      <c r="I355" s="39" t="n">
        <f aca="false">YEAR(B355)</f>
        <v>2026</v>
      </c>
      <c r="J355" s="39" t="n">
        <f aca="false">MONTH(B355)</f>
        <v>1</v>
      </c>
      <c r="K355" s="39" t="str">
        <f aca="false">TEXT(B355,"mmm")</f>
        <v>Jan</v>
      </c>
      <c r="L355" s="45" t="n">
        <f aca="false">IFERROR(INDEX(medicine_master!$I$2:$I$26,MATCH($C355,medicine_master!$A$2:$A$26,0)),0)</f>
        <v>24</v>
      </c>
      <c r="M355" s="45" t="n">
        <f aca="false">IFERROR(INDEX(medicine_master!$G$2:$G$26,MATCH($C355,medicine_master!$A$2:$A$26,0)),0)</f>
        <v>16</v>
      </c>
      <c r="N355" s="45" t="n">
        <f aca="false">IF(D355="Sale",E355*L355,0)</f>
        <v>480</v>
      </c>
      <c r="O355" s="45" t="n">
        <f aca="false">IF(D355="Sale",E355*M355,0)</f>
        <v>320</v>
      </c>
      <c r="P355" s="45" t="n">
        <f aca="false">N355-O355</f>
        <v>160</v>
      </c>
      <c r="Q355" s="45" t="n">
        <f aca="false">IF(D355="Purchase",E355*M355,0)</f>
        <v>0</v>
      </c>
    </row>
    <row r="356" customFormat="false" ht="15" hidden="false" customHeight="false" outlineLevel="0" collapsed="false">
      <c r="A356" s="39" t="s">
        <v>680</v>
      </c>
      <c r="B356" s="44" t="n">
        <v>46080</v>
      </c>
      <c r="C356" s="39" t="s">
        <v>148</v>
      </c>
      <c r="D356" s="39" t="s">
        <v>137</v>
      </c>
      <c r="E356" s="39" t="n">
        <v>15</v>
      </c>
      <c r="F356" s="39" t="str">
        <f aca="false">IF(COUNTIF(medicine_master!$A$2:$A$26,C356)&gt;0,"Valid","Invalid")</f>
        <v>Valid</v>
      </c>
      <c r="G356" s="39" t="str">
        <f aca="false">IFERROR(INDEX(medicine_master!$B$2:$B$26,MATCH($C356,medicine_master!$A$2:$A$26,0)),"Not found")</f>
        <v>Dextromethorphan Syrup</v>
      </c>
      <c r="H356" s="39" t="str">
        <f aca="false">IFERROR(INDEX(medicine_master!$C$2:$C$26,MATCH($C356,medicine_master!$A$2:$A$26,0)),"Not found")</f>
        <v>Cold &amp; Cough</v>
      </c>
      <c r="I356" s="39" t="n">
        <f aca="false">YEAR(B356)</f>
        <v>2026</v>
      </c>
      <c r="J356" s="39" t="n">
        <f aca="false">MONTH(B356)</f>
        <v>2</v>
      </c>
      <c r="K356" s="39" t="str">
        <f aca="false">TEXT(B356,"mmm")</f>
        <v>Feb</v>
      </c>
      <c r="L356" s="45" t="n">
        <f aca="false">IFERROR(INDEX(medicine_master!$I$2:$I$26,MATCH($C356,medicine_master!$A$2:$A$26,0)),0)</f>
        <v>80</v>
      </c>
      <c r="M356" s="45" t="n">
        <f aca="false">IFERROR(INDEX(medicine_master!$G$2:$G$26,MATCH($C356,medicine_master!$A$2:$A$26,0)),0)</f>
        <v>58</v>
      </c>
      <c r="N356" s="45" t="n">
        <f aca="false">IF(D356="Sale",E356*L356,0)</f>
        <v>1200</v>
      </c>
      <c r="O356" s="45" t="n">
        <f aca="false">IF(D356="Sale",E356*M356,0)</f>
        <v>870</v>
      </c>
      <c r="P356" s="45" t="n">
        <f aca="false">N356-O356</f>
        <v>330</v>
      </c>
      <c r="Q356" s="45" t="n">
        <f aca="false">IF(D356="Purchase",E356*M356,0)</f>
        <v>0</v>
      </c>
    </row>
    <row r="357" customFormat="false" ht="15" hidden="false" customHeight="false" outlineLevel="0" collapsed="false">
      <c r="A357" s="39" t="s">
        <v>681</v>
      </c>
      <c r="B357" s="44" t="n">
        <v>46307</v>
      </c>
      <c r="C357" s="39" t="s">
        <v>149</v>
      </c>
      <c r="D357" s="39" t="s">
        <v>137</v>
      </c>
      <c r="E357" s="39" t="n">
        <v>20</v>
      </c>
      <c r="F357" s="39" t="str">
        <f aca="false">IF(COUNTIF(medicine_master!$A$2:$A$26,C357)&gt;0,"Valid","Invalid")</f>
        <v>Valid</v>
      </c>
      <c r="G357" s="39" t="str">
        <f aca="false">IFERROR(INDEX(medicine_master!$B$2:$B$26,MATCH($C357,medicine_master!$A$2:$A$26,0)),"Not found")</f>
        <v>Azithromycin 500mg</v>
      </c>
      <c r="H357" s="39" t="str">
        <f aca="false">IFERROR(INDEX(medicine_master!$C$2:$C$26,MATCH($C357,medicine_master!$A$2:$A$26,0)),"Not found")</f>
        <v>Antibiotic</v>
      </c>
      <c r="I357" s="39" t="n">
        <f aca="false">YEAR(B357)</f>
        <v>2026</v>
      </c>
      <c r="J357" s="39" t="n">
        <f aca="false">MONTH(B357)</f>
        <v>10</v>
      </c>
      <c r="K357" s="39" t="str">
        <f aca="false">TEXT(B357,"mmm")</f>
        <v>Oct</v>
      </c>
      <c r="L357" s="45" t="n">
        <f aca="false">IFERROR(INDEX(medicine_master!$I$2:$I$26,MATCH($C357,medicine_master!$A$2:$A$26,0)),0)</f>
        <v>50</v>
      </c>
      <c r="M357" s="45" t="n">
        <f aca="false">IFERROR(INDEX(medicine_master!$G$2:$G$26,MATCH($C357,medicine_master!$A$2:$A$26,0)),0)</f>
        <v>35</v>
      </c>
      <c r="N357" s="45" t="n">
        <f aca="false">IF(D357="Sale",E357*L357,0)</f>
        <v>1000</v>
      </c>
      <c r="O357" s="45" t="n">
        <f aca="false">IF(D357="Sale",E357*M357,0)</f>
        <v>700</v>
      </c>
      <c r="P357" s="45" t="n">
        <f aca="false">N357-O357</f>
        <v>300</v>
      </c>
      <c r="Q357" s="45" t="n">
        <f aca="false">IF(D357="Purchase",E357*M357,0)</f>
        <v>0</v>
      </c>
    </row>
    <row r="358" customFormat="false" ht="15" hidden="false" customHeight="false" outlineLevel="0" collapsed="false">
      <c r="A358" s="39" t="s">
        <v>682</v>
      </c>
      <c r="B358" s="44" t="n">
        <v>46061</v>
      </c>
      <c r="C358" s="39" t="s">
        <v>159</v>
      </c>
      <c r="D358" s="39" t="s">
        <v>137</v>
      </c>
      <c r="E358" s="39" t="n">
        <v>25</v>
      </c>
      <c r="F358" s="39" t="str">
        <f aca="false">IF(COUNTIF(medicine_master!$A$2:$A$26,C358)&gt;0,"Valid","Invalid")</f>
        <v>Valid</v>
      </c>
      <c r="G358" s="39" t="str">
        <f aca="false">IFERROR(INDEX(medicine_master!$B$2:$B$26,MATCH($C358,medicine_master!$A$2:$A$26,0)),"Not found")</f>
        <v>Antiseptic Liquid 100ml</v>
      </c>
      <c r="H358" s="39" t="str">
        <f aca="false">IFERROR(INDEX(medicine_master!$C$2:$C$26,MATCH($C358,medicine_master!$A$2:$A$26,0)),"Not found")</f>
        <v>First Aid</v>
      </c>
      <c r="I358" s="39" t="n">
        <f aca="false">YEAR(B358)</f>
        <v>2026</v>
      </c>
      <c r="J358" s="39" t="n">
        <f aca="false">MONTH(B358)</f>
        <v>2</v>
      </c>
      <c r="K358" s="39" t="str">
        <f aca="false">TEXT(B358,"mmm")</f>
        <v>Feb</v>
      </c>
      <c r="L358" s="45" t="n">
        <f aca="false">IFERROR(INDEX(medicine_master!$I$2:$I$26,MATCH($C358,medicine_master!$A$2:$A$26,0)),0)</f>
        <v>65</v>
      </c>
      <c r="M358" s="45" t="n">
        <f aca="false">IFERROR(INDEX(medicine_master!$G$2:$G$26,MATCH($C358,medicine_master!$A$2:$A$26,0)),0)</f>
        <v>48</v>
      </c>
      <c r="N358" s="45" t="n">
        <f aca="false">IF(D358="Sale",E358*L358,0)</f>
        <v>1625</v>
      </c>
      <c r="O358" s="45" t="n">
        <f aca="false">IF(D358="Sale",E358*M358,0)</f>
        <v>1200</v>
      </c>
      <c r="P358" s="45" t="n">
        <f aca="false">N358-O358</f>
        <v>425</v>
      </c>
      <c r="Q358" s="45" t="n">
        <f aca="false">IF(D358="Purchase",E358*M358,0)</f>
        <v>0</v>
      </c>
    </row>
    <row r="359" customFormat="false" ht="15" hidden="false" customHeight="false" outlineLevel="0" collapsed="false">
      <c r="A359" s="39" t="s">
        <v>683</v>
      </c>
      <c r="B359" s="44" t="n">
        <v>46310</v>
      </c>
      <c r="C359" s="39" t="s">
        <v>179</v>
      </c>
      <c r="D359" s="39" t="s">
        <v>137</v>
      </c>
      <c r="E359" s="39" t="n">
        <v>15</v>
      </c>
      <c r="F359" s="39" t="str">
        <f aca="false">IF(COUNTIF(medicine_master!$A$2:$A$26,C359)&gt;0,"Valid","Invalid")</f>
        <v>Valid</v>
      </c>
      <c r="G359" s="39" t="str">
        <f aca="false">IFERROR(INDEX(medicine_master!$B$2:$B$26,MATCH($C359,medicine_master!$A$2:$A$26,0)),"Not found")</f>
        <v>Ibuprofen 400mg</v>
      </c>
      <c r="H359" s="39" t="str">
        <f aca="false">IFERROR(INDEX(medicine_master!$C$2:$C$26,MATCH($C359,medicine_master!$A$2:$A$26,0)),"Not found")</f>
        <v>Pain Relief</v>
      </c>
      <c r="I359" s="39" t="n">
        <f aca="false">YEAR(B359)</f>
        <v>2026</v>
      </c>
      <c r="J359" s="39" t="n">
        <f aca="false">MONTH(B359)</f>
        <v>10</v>
      </c>
      <c r="K359" s="39" t="str">
        <f aca="false">TEXT(B359,"mmm")</f>
        <v>Oct</v>
      </c>
      <c r="L359" s="45" t="n">
        <f aca="false">IFERROR(INDEX(medicine_master!$I$2:$I$26,MATCH($C359,medicine_master!$A$2:$A$26,0)),0)</f>
        <v>30</v>
      </c>
      <c r="M359" s="45" t="n">
        <f aca="false">IFERROR(INDEX(medicine_master!$G$2:$G$26,MATCH($C359,medicine_master!$A$2:$A$26,0)),0)</f>
        <v>22</v>
      </c>
      <c r="N359" s="45" t="n">
        <f aca="false">IF(D359="Sale",E359*L359,0)</f>
        <v>450</v>
      </c>
      <c r="O359" s="45" t="n">
        <f aca="false">IF(D359="Sale",E359*M359,0)</f>
        <v>330</v>
      </c>
      <c r="P359" s="45" t="n">
        <f aca="false">N359-O359</f>
        <v>120</v>
      </c>
      <c r="Q359" s="45" t="n">
        <f aca="false">IF(D359="Purchase",E359*M359,0)</f>
        <v>0</v>
      </c>
    </row>
    <row r="360" customFormat="false" ht="15" hidden="false" customHeight="false" outlineLevel="0" collapsed="false">
      <c r="A360" s="39" t="s">
        <v>684</v>
      </c>
      <c r="B360" s="44" t="n">
        <v>46049</v>
      </c>
      <c r="C360" s="39" t="s">
        <v>151</v>
      </c>
      <c r="D360" s="39" t="s">
        <v>137</v>
      </c>
      <c r="E360" s="39" t="n">
        <v>10</v>
      </c>
      <c r="F360" s="39" t="str">
        <f aca="false">IF(COUNTIF(medicine_master!$A$2:$A$26,C360)&gt;0,"Valid","Invalid")</f>
        <v>Valid</v>
      </c>
      <c r="G360" s="39" t="str">
        <f aca="false">IFERROR(INDEX(medicine_master!$B$2:$B$26,MATCH($C360,medicine_master!$A$2:$A$26,0)),"Not found")</f>
        <v>Cetirizine 10mg</v>
      </c>
      <c r="H360" s="39" t="str">
        <f aca="false">IFERROR(INDEX(medicine_master!$C$2:$C$26,MATCH($C360,medicine_master!$A$2:$A$26,0)),"Not found")</f>
        <v>Allergy</v>
      </c>
      <c r="I360" s="39" t="n">
        <f aca="false">YEAR(B360)</f>
        <v>2026</v>
      </c>
      <c r="J360" s="39" t="n">
        <f aca="false">MONTH(B360)</f>
        <v>1</v>
      </c>
      <c r="K360" s="39" t="str">
        <f aca="false">TEXT(B360,"mmm")</f>
        <v>Jan</v>
      </c>
      <c r="L360" s="45" t="n">
        <f aca="false">IFERROR(INDEX(medicine_master!$I$2:$I$26,MATCH($C360,medicine_master!$A$2:$A$26,0)),0)</f>
        <v>13</v>
      </c>
      <c r="M360" s="45" t="n">
        <f aca="false">IFERROR(INDEX(medicine_master!$G$2:$G$26,MATCH($C360,medicine_master!$A$2:$A$26,0)),0)</f>
        <v>8</v>
      </c>
      <c r="N360" s="45" t="n">
        <f aca="false">IF(D360="Sale",E360*L360,0)</f>
        <v>130</v>
      </c>
      <c r="O360" s="45" t="n">
        <f aca="false">IF(D360="Sale",E360*M360,0)</f>
        <v>80</v>
      </c>
      <c r="P360" s="45" t="n">
        <f aca="false">N360-O360</f>
        <v>50</v>
      </c>
      <c r="Q360" s="45" t="n">
        <f aca="false">IF(D360="Purchase",E360*M360,0)</f>
        <v>0</v>
      </c>
    </row>
    <row r="361" customFormat="false" ht="15" hidden="false" customHeight="false" outlineLevel="0" collapsed="false">
      <c r="A361" s="39" t="s">
        <v>685</v>
      </c>
      <c r="B361" s="44" t="n">
        <v>46114</v>
      </c>
      <c r="C361" s="39" t="s">
        <v>390</v>
      </c>
      <c r="D361" s="39" t="s">
        <v>137</v>
      </c>
      <c r="E361" s="39" t="n">
        <v>40</v>
      </c>
      <c r="F361" s="39" t="str">
        <f aca="false">IF(COUNTIF(medicine_master!$A$2:$A$26,C361)&gt;0,"Valid","Invalid")</f>
        <v>Valid</v>
      </c>
      <c r="G361" s="39" t="str">
        <f aca="false">IFERROR(INDEX(medicine_master!$B$2:$B$26,MATCH($C361,medicine_master!$A$2:$A$26,0)),"Not found")</f>
        <v>Montelukast 10mg</v>
      </c>
      <c r="H361" s="39" t="str">
        <f aca="false">IFERROR(INDEX(medicine_master!$C$2:$C$26,MATCH($C361,medicine_master!$A$2:$A$26,0)),"Not found")</f>
        <v>Allergy</v>
      </c>
      <c r="I361" s="39" t="n">
        <f aca="false">YEAR(B361)</f>
        <v>2026</v>
      </c>
      <c r="J361" s="39" t="n">
        <f aca="false">MONTH(B361)</f>
        <v>4</v>
      </c>
      <c r="K361" s="39" t="str">
        <f aca="false">TEXT(B361,"mmm")</f>
        <v>Apr</v>
      </c>
      <c r="L361" s="45" t="n">
        <f aca="false">IFERROR(INDEX(medicine_master!$I$2:$I$26,MATCH($C361,medicine_master!$A$2:$A$26,0)),0)</f>
        <v>39</v>
      </c>
      <c r="M361" s="45" t="n">
        <f aca="false">IFERROR(INDEX(medicine_master!$G$2:$G$26,MATCH($C361,medicine_master!$A$2:$A$26,0)),0)</f>
        <v>27</v>
      </c>
      <c r="N361" s="45" t="n">
        <f aca="false">IF(D361="Sale",E361*L361,0)</f>
        <v>1560</v>
      </c>
      <c r="O361" s="45" t="n">
        <f aca="false">IF(D361="Sale",E361*M361,0)</f>
        <v>1080</v>
      </c>
      <c r="P361" s="45" t="n">
        <f aca="false">N361-O361</f>
        <v>480</v>
      </c>
      <c r="Q361" s="45" t="n">
        <f aca="false">IF(D361="Purchase",E361*M361,0)</f>
        <v>0</v>
      </c>
    </row>
    <row r="362" customFormat="false" ht="15" hidden="false" customHeight="false" outlineLevel="0" collapsed="false">
      <c r="A362" s="39" t="s">
        <v>686</v>
      </c>
      <c r="B362" s="44" t="n">
        <v>46106</v>
      </c>
      <c r="C362" s="39" t="s">
        <v>158</v>
      </c>
      <c r="D362" s="39" t="s">
        <v>137</v>
      </c>
      <c r="E362" s="39" t="n">
        <v>20</v>
      </c>
      <c r="F362" s="39" t="str">
        <f aca="false">IF(COUNTIF(medicine_master!$A$2:$A$26,C362)&gt;0,"Valid","Invalid")</f>
        <v>Valid</v>
      </c>
      <c r="G362" s="39" t="str">
        <f aca="false">IFERROR(INDEX(medicine_master!$B$2:$B$26,MATCH($C362,medicine_master!$A$2:$A$26,0)),"Not found")</f>
        <v>Cough Syrup 100ml</v>
      </c>
      <c r="H362" s="39" t="str">
        <f aca="false">IFERROR(INDEX(medicine_master!$C$2:$C$26,MATCH($C362,medicine_master!$A$2:$A$26,0)),"Not found")</f>
        <v>Cold &amp; Cough</v>
      </c>
      <c r="I362" s="39" t="n">
        <f aca="false">YEAR(B362)</f>
        <v>2026</v>
      </c>
      <c r="J362" s="39" t="n">
        <f aca="false">MONTH(B362)</f>
        <v>3</v>
      </c>
      <c r="K362" s="39" t="str">
        <f aca="false">TEXT(B362,"mmm")</f>
        <v>Mar</v>
      </c>
      <c r="L362" s="45" t="n">
        <f aca="false">IFERROR(INDEX(medicine_master!$I$2:$I$26,MATCH($C362,medicine_master!$A$2:$A$26,0)),0)</f>
        <v>72</v>
      </c>
      <c r="M362" s="45" t="n">
        <f aca="false">IFERROR(INDEX(medicine_master!$G$2:$G$26,MATCH($C362,medicine_master!$A$2:$A$26,0)),0)</f>
        <v>52</v>
      </c>
      <c r="N362" s="45" t="n">
        <f aca="false">IF(D362="Sale",E362*L362,0)</f>
        <v>1440</v>
      </c>
      <c r="O362" s="45" t="n">
        <f aca="false">IF(D362="Sale",E362*M362,0)</f>
        <v>1040</v>
      </c>
      <c r="P362" s="45" t="n">
        <f aca="false">N362-O362</f>
        <v>400</v>
      </c>
      <c r="Q362" s="45" t="n">
        <f aca="false">IF(D362="Purchase",E362*M362,0)</f>
        <v>0</v>
      </c>
    </row>
    <row r="363" customFormat="false" ht="15" hidden="false" customHeight="false" outlineLevel="0" collapsed="false">
      <c r="A363" s="39" t="s">
        <v>687</v>
      </c>
      <c r="B363" s="44" t="n">
        <v>46279</v>
      </c>
      <c r="C363" s="39" t="s">
        <v>158</v>
      </c>
      <c r="D363" s="39" t="s">
        <v>138</v>
      </c>
      <c r="E363" s="39" t="n">
        <v>15</v>
      </c>
      <c r="F363" s="39" t="str">
        <f aca="false">IF(COUNTIF(medicine_master!$A$2:$A$26,C363)&gt;0,"Valid","Invalid")</f>
        <v>Valid</v>
      </c>
      <c r="G363" s="39" t="str">
        <f aca="false">IFERROR(INDEX(medicine_master!$B$2:$B$26,MATCH($C363,medicine_master!$A$2:$A$26,0)),"Not found")</f>
        <v>Cough Syrup 100ml</v>
      </c>
      <c r="H363" s="39" t="str">
        <f aca="false">IFERROR(INDEX(medicine_master!$C$2:$C$26,MATCH($C363,medicine_master!$A$2:$A$26,0)),"Not found")</f>
        <v>Cold &amp; Cough</v>
      </c>
      <c r="I363" s="39" t="n">
        <f aca="false">YEAR(B363)</f>
        <v>2026</v>
      </c>
      <c r="J363" s="39" t="n">
        <f aca="false">MONTH(B363)</f>
        <v>9</v>
      </c>
      <c r="K363" s="39" t="str">
        <f aca="false">TEXT(B363,"mmm")</f>
        <v>Sep</v>
      </c>
      <c r="L363" s="45" t="n">
        <f aca="false">IFERROR(INDEX(medicine_master!$I$2:$I$26,MATCH($C363,medicine_master!$A$2:$A$26,0)),0)</f>
        <v>72</v>
      </c>
      <c r="M363" s="45" t="n">
        <f aca="false">IFERROR(INDEX(medicine_master!$G$2:$G$26,MATCH($C363,medicine_master!$A$2:$A$26,0)),0)</f>
        <v>52</v>
      </c>
      <c r="N363" s="45" t="n">
        <f aca="false">IF(D363="Sale",E363*L363,0)</f>
        <v>0</v>
      </c>
      <c r="O363" s="45" t="n">
        <f aca="false">IF(D363="Sale",E363*M363,0)</f>
        <v>0</v>
      </c>
      <c r="P363" s="45" t="n">
        <f aca="false">N363-O363</f>
        <v>0</v>
      </c>
      <c r="Q363" s="45" t="n">
        <f aca="false">IF(D363="Purchase",E363*M363,0)</f>
        <v>780</v>
      </c>
    </row>
    <row r="364" customFormat="false" ht="15" hidden="false" customHeight="false" outlineLevel="0" collapsed="false">
      <c r="A364" s="39" t="s">
        <v>688</v>
      </c>
      <c r="B364" s="44" t="n">
        <v>46342</v>
      </c>
      <c r="C364" s="39" t="s">
        <v>145</v>
      </c>
      <c r="D364" s="39" t="s">
        <v>137</v>
      </c>
      <c r="E364" s="39" t="n">
        <v>20</v>
      </c>
      <c r="F364" s="39" t="str">
        <f aca="false">IF(COUNTIF(medicine_master!$A$2:$A$26,C364)&gt;0,"Valid","Invalid")</f>
        <v>Valid</v>
      </c>
      <c r="G364" s="39" t="str">
        <f aca="false">IFERROR(INDEX(medicine_master!$B$2:$B$26,MATCH($C364,medicine_master!$A$2:$A$26,0)),"Not found")</f>
        <v>Clotrimazole Cream</v>
      </c>
      <c r="H364" s="39" t="str">
        <f aca="false">IFERROR(INDEX(medicine_master!$C$2:$C$26,MATCH($C364,medicine_master!$A$2:$A$26,0)),"Not found")</f>
        <v>Dermatology</v>
      </c>
      <c r="I364" s="39" t="n">
        <f aca="false">YEAR(B364)</f>
        <v>2026</v>
      </c>
      <c r="J364" s="39" t="n">
        <f aca="false">MONTH(B364)</f>
        <v>11</v>
      </c>
      <c r="K364" s="39" t="str">
        <f aca="false">TEXT(B364,"mmm")</f>
        <v>Nov</v>
      </c>
      <c r="L364" s="45" t="n">
        <f aca="false">IFERROR(INDEX(medicine_master!$I$2:$I$26,MATCH($C364,medicine_master!$A$2:$A$26,0)),0)</f>
        <v>48</v>
      </c>
      <c r="M364" s="45" t="n">
        <f aca="false">IFERROR(INDEX(medicine_master!$G$2:$G$26,MATCH($C364,medicine_master!$A$2:$A$26,0)),0)</f>
        <v>32</v>
      </c>
      <c r="N364" s="45" t="n">
        <f aca="false">IF(D364="Sale",E364*L364,0)</f>
        <v>960</v>
      </c>
      <c r="O364" s="45" t="n">
        <f aca="false">IF(D364="Sale",E364*M364,0)</f>
        <v>640</v>
      </c>
      <c r="P364" s="45" t="n">
        <f aca="false">N364-O364</f>
        <v>320</v>
      </c>
      <c r="Q364" s="45" t="n">
        <f aca="false">IF(D364="Purchase",E364*M364,0)</f>
        <v>0</v>
      </c>
    </row>
    <row r="365" customFormat="false" ht="15" hidden="false" customHeight="false" outlineLevel="0" collapsed="false">
      <c r="A365" s="39" t="s">
        <v>689</v>
      </c>
      <c r="B365" s="44" t="n">
        <v>46293</v>
      </c>
      <c r="C365" s="39" t="s">
        <v>144</v>
      </c>
      <c r="D365" s="39" t="s">
        <v>137</v>
      </c>
      <c r="E365" s="39" t="n">
        <v>50</v>
      </c>
      <c r="F365" s="39" t="str">
        <f aca="false">IF(COUNTIF(medicine_master!$A$2:$A$26,C365)&gt;0,"Valid","Invalid")</f>
        <v>Valid</v>
      </c>
      <c r="G365" s="39" t="str">
        <f aca="false">IFERROR(INDEX(medicine_master!$B$2:$B$26,MATCH($C365,medicine_master!$A$2:$A$26,0)),"Not found")</f>
        <v>Glimepiride 2mg</v>
      </c>
      <c r="H365" s="39" t="str">
        <f aca="false">IFERROR(INDEX(medicine_master!$C$2:$C$26,MATCH($C365,medicine_master!$A$2:$A$26,0)),"Not found")</f>
        <v>Diabetes</v>
      </c>
      <c r="I365" s="39" t="n">
        <f aca="false">YEAR(B365)</f>
        <v>2026</v>
      </c>
      <c r="J365" s="39" t="n">
        <f aca="false">MONTH(B365)</f>
        <v>9</v>
      </c>
      <c r="K365" s="39" t="str">
        <f aca="false">TEXT(B365,"mmm")</f>
        <v>Sep</v>
      </c>
      <c r="L365" s="45" t="n">
        <f aca="false">IFERROR(INDEX(medicine_master!$I$2:$I$26,MATCH($C365,medicine_master!$A$2:$A$26,0)),0)</f>
        <v>52</v>
      </c>
      <c r="M365" s="45" t="n">
        <f aca="false">IFERROR(INDEX(medicine_master!$G$2:$G$26,MATCH($C365,medicine_master!$A$2:$A$26,0)),0)</f>
        <v>38</v>
      </c>
      <c r="N365" s="45" t="n">
        <f aca="false">IF(D365="Sale",E365*L365,0)</f>
        <v>2600</v>
      </c>
      <c r="O365" s="45" t="n">
        <f aca="false">IF(D365="Sale",E365*M365,0)</f>
        <v>1900</v>
      </c>
      <c r="P365" s="45" t="n">
        <f aca="false">N365-O365</f>
        <v>700</v>
      </c>
      <c r="Q365" s="45" t="n">
        <f aca="false">IF(D365="Purchase",E365*M365,0)</f>
        <v>0</v>
      </c>
    </row>
    <row r="366" customFormat="false" ht="15" hidden="false" customHeight="false" outlineLevel="0" collapsed="false">
      <c r="A366" s="39" t="s">
        <v>690</v>
      </c>
      <c r="B366" s="44" t="n">
        <v>46167</v>
      </c>
      <c r="C366" s="39" t="s">
        <v>390</v>
      </c>
      <c r="D366" s="39" t="s">
        <v>138</v>
      </c>
      <c r="E366" s="39" t="n">
        <v>20</v>
      </c>
      <c r="F366" s="39" t="str">
        <f aca="false">IF(COUNTIF(medicine_master!$A$2:$A$26,C366)&gt;0,"Valid","Invalid")</f>
        <v>Valid</v>
      </c>
      <c r="G366" s="39" t="str">
        <f aca="false">IFERROR(INDEX(medicine_master!$B$2:$B$26,MATCH($C366,medicine_master!$A$2:$A$26,0)),"Not found")</f>
        <v>Montelukast 10mg</v>
      </c>
      <c r="H366" s="39" t="str">
        <f aca="false">IFERROR(INDEX(medicine_master!$C$2:$C$26,MATCH($C366,medicine_master!$A$2:$A$26,0)),"Not found")</f>
        <v>Allergy</v>
      </c>
      <c r="I366" s="39" t="n">
        <f aca="false">YEAR(B366)</f>
        <v>2026</v>
      </c>
      <c r="J366" s="39" t="n">
        <f aca="false">MONTH(B366)</f>
        <v>5</v>
      </c>
      <c r="K366" s="39" t="str">
        <f aca="false">TEXT(B366,"mmm")</f>
        <v>May</v>
      </c>
      <c r="L366" s="45" t="n">
        <f aca="false">IFERROR(INDEX(medicine_master!$I$2:$I$26,MATCH($C366,medicine_master!$A$2:$A$26,0)),0)</f>
        <v>39</v>
      </c>
      <c r="M366" s="45" t="n">
        <f aca="false">IFERROR(INDEX(medicine_master!$G$2:$G$26,MATCH($C366,medicine_master!$A$2:$A$26,0)),0)</f>
        <v>27</v>
      </c>
      <c r="N366" s="45" t="n">
        <f aca="false">IF(D366="Sale",E366*L366,0)</f>
        <v>0</v>
      </c>
      <c r="O366" s="45" t="n">
        <f aca="false">IF(D366="Sale",E366*M366,0)</f>
        <v>0</v>
      </c>
      <c r="P366" s="45" t="n">
        <f aca="false">N366-O366</f>
        <v>0</v>
      </c>
      <c r="Q366" s="45" t="n">
        <f aca="false">IF(D366="Purchase",E366*M366,0)</f>
        <v>540</v>
      </c>
    </row>
    <row r="367" customFormat="false" ht="15" hidden="false" customHeight="false" outlineLevel="0" collapsed="false">
      <c r="A367" s="39" t="s">
        <v>691</v>
      </c>
      <c r="B367" s="44" t="n">
        <v>46072</v>
      </c>
      <c r="C367" s="39" t="s">
        <v>146</v>
      </c>
      <c r="D367" s="39" t="s">
        <v>138</v>
      </c>
      <c r="E367" s="39" t="n">
        <v>30</v>
      </c>
      <c r="F367" s="39" t="str">
        <f aca="false">IF(COUNTIF(medicine_master!$A$2:$A$26,C367)&gt;0,"Valid","Invalid")</f>
        <v>Valid</v>
      </c>
      <c r="G367" s="39" t="str">
        <f aca="false">IFERROR(INDEX(medicine_master!$B$2:$B$26,MATCH($C367,medicine_master!$A$2:$A$26,0)),"Not found")</f>
        <v>Diclofenac Gel</v>
      </c>
      <c r="H367" s="39" t="str">
        <f aca="false">IFERROR(INDEX(medicine_master!$C$2:$C$26,MATCH($C367,medicine_master!$A$2:$A$26,0)),"Not found")</f>
        <v>Pain Relief</v>
      </c>
      <c r="I367" s="39" t="n">
        <f aca="false">YEAR(B367)</f>
        <v>2026</v>
      </c>
      <c r="J367" s="39" t="n">
        <f aca="false">MONTH(B367)</f>
        <v>2</v>
      </c>
      <c r="K367" s="39" t="str">
        <f aca="false">TEXT(B367,"mmm")</f>
        <v>Feb</v>
      </c>
      <c r="L367" s="45" t="n">
        <f aca="false">IFERROR(INDEX(medicine_master!$I$2:$I$26,MATCH($C367,medicine_master!$A$2:$A$26,0)),0)</f>
        <v>55</v>
      </c>
      <c r="M367" s="45" t="n">
        <f aca="false">IFERROR(INDEX(medicine_master!$G$2:$G$26,MATCH($C367,medicine_master!$A$2:$A$26,0)),0)</f>
        <v>38</v>
      </c>
      <c r="N367" s="45" t="n">
        <f aca="false">IF(D367="Sale",E367*L367,0)</f>
        <v>0</v>
      </c>
      <c r="O367" s="45" t="n">
        <f aca="false">IF(D367="Sale",E367*M367,0)</f>
        <v>0</v>
      </c>
      <c r="P367" s="45" t="n">
        <f aca="false">N367-O367</f>
        <v>0</v>
      </c>
      <c r="Q367" s="45" t="n">
        <f aca="false">IF(D367="Purchase",E367*M367,0)</f>
        <v>1140</v>
      </c>
    </row>
    <row r="368" customFormat="false" ht="15" hidden="false" customHeight="false" outlineLevel="0" collapsed="false">
      <c r="A368" s="39" t="s">
        <v>692</v>
      </c>
      <c r="B368" s="44" t="n">
        <v>46203</v>
      </c>
      <c r="C368" s="39" t="s">
        <v>147</v>
      </c>
      <c r="D368" s="39" t="s">
        <v>137</v>
      </c>
      <c r="E368" s="39" t="n">
        <v>25</v>
      </c>
      <c r="F368" s="39" t="str">
        <f aca="false">IF(COUNTIF(medicine_master!$A$2:$A$26,C368)&gt;0,"Valid","Invalid")</f>
        <v>Valid</v>
      </c>
      <c r="G368" s="39" t="str">
        <f aca="false">IFERROR(INDEX(medicine_master!$B$2:$B$26,MATCH($C368,medicine_master!$A$2:$A$26,0)),"Not found")</f>
        <v>Insulin Injection</v>
      </c>
      <c r="H368" s="39" t="str">
        <f aca="false">IFERROR(INDEX(medicine_master!$C$2:$C$26,MATCH($C368,medicine_master!$A$2:$A$26,0)),"Not found")</f>
        <v>Diabetes</v>
      </c>
      <c r="I368" s="39" t="n">
        <f aca="false">YEAR(B368)</f>
        <v>2026</v>
      </c>
      <c r="J368" s="39" t="n">
        <f aca="false">MONTH(B368)</f>
        <v>6</v>
      </c>
      <c r="K368" s="39" t="str">
        <f aca="false">TEXT(B368,"mmm")</f>
        <v>Jun</v>
      </c>
      <c r="L368" s="45" t="n">
        <f aca="false">IFERROR(INDEX(medicine_master!$I$2:$I$26,MATCH($C368,medicine_master!$A$2:$A$26,0)),0)</f>
        <v>225</v>
      </c>
      <c r="M368" s="45" t="n">
        <f aca="false">IFERROR(INDEX(medicine_master!$G$2:$G$26,MATCH($C368,medicine_master!$A$2:$A$26,0)),0)</f>
        <v>165</v>
      </c>
      <c r="N368" s="45" t="n">
        <f aca="false">IF(D368="Sale",E368*L368,0)</f>
        <v>5625</v>
      </c>
      <c r="O368" s="45" t="n">
        <f aca="false">IF(D368="Sale",E368*M368,0)</f>
        <v>4125</v>
      </c>
      <c r="P368" s="45" t="n">
        <f aca="false">N368-O368</f>
        <v>1500</v>
      </c>
      <c r="Q368" s="45" t="n">
        <f aca="false">IF(D368="Purchase",E368*M368,0)</f>
        <v>0</v>
      </c>
    </row>
    <row r="369" customFormat="false" ht="15" hidden="false" customHeight="false" outlineLevel="0" collapsed="false">
      <c r="A369" s="39" t="s">
        <v>693</v>
      </c>
      <c r="B369" s="44" t="n">
        <v>46068</v>
      </c>
      <c r="C369" s="39" t="s">
        <v>159</v>
      </c>
      <c r="D369" s="39" t="s">
        <v>137</v>
      </c>
      <c r="E369" s="39" t="n">
        <v>10</v>
      </c>
      <c r="F369" s="39" t="str">
        <f aca="false">IF(COUNTIF(medicine_master!$A$2:$A$26,C369)&gt;0,"Valid","Invalid")</f>
        <v>Valid</v>
      </c>
      <c r="G369" s="39" t="str">
        <f aca="false">IFERROR(INDEX(medicine_master!$B$2:$B$26,MATCH($C369,medicine_master!$A$2:$A$26,0)),"Not found")</f>
        <v>Antiseptic Liquid 100ml</v>
      </c>
      <c r="H369" s="39" t="str">
        <f aca="false">IFERROR(INDEX(medicine_master!$C$2:$C$26,MATCH($C369,medicine_master!$A$2:$A$26,0)),"Not found")</f>
        <v>First Aid</v>
      </c>
      <c r="I369" s="39" t="n">
        <f aca="false">YEAR(B369)</f>
        <v>2026</v>
      </c>
      <c r="J369" s="39" t="n">
        <f aca="false">MONTH(B369)</f>
        <v>2</v>
      </c>
      <c r="K369" s="39" t="str">
        <f aca="false">TEXT(B369,"mmm")</f>
        <v>Feb</v>
      </c>
      <c r="L369" s="45" t="n">
        <f aca="false">IFERROR(INDEX(medicine_master!$I$2:$I$26,MATCH($C369,medicine_master!$A$2:$A$26,0)),0)</f>
        <v>65</v>
      </c>
      <c r="M369" s="45" t="n">
        <f aca="false">IFERROR(INDEX(medicine_master!$G$2:$G$26,MATCH($C369,medicine_master!$A$2:$A$26,0)),0)</f>
        <v>48</v>
      </c>
      <c r="N369" s="45" t="n">
        <f aca="false">IF(D369="Sale",E369*L369,0)</f>
        <v>650</v>
      </c>
      <c r="O369" s="45" t="n">
        <f aca="false">IF(D369="Sale",E369*M369,0)</f>
        <v>480</v>
      </c>
      <c r="P369" s="45" t="n">
        <f aca="false">N369-O369</f>
        <v>170</v>
      </c>
      <c r="Q369" s="45" t="n">
        <f aca="false">IF(D369="Purchase",E369*M369,0)</f>
        <v>0</v>
      </c>
    </row>
    <row r="370" customFormat="false" ht="15" hidden="false" customHeight="false" outlineLevel="0" collapsed="false">
      <c r="A370" s="39" t="s">
        <v>694</v>
      </c>
      <c r="B370" s="44" t="n">
        <v>46295</v>
      </c>
      <c r="C370" s="39" t="s">
        <v>144</v>
      </c>
      <c r="D370" s="39" t="s">
        <v>138</v>
      </c>
      <c r="E370" s="39" t="n">
        <v>25</v>
      </c>
      <c r="F370" s="39" t="str">
        <f aca="false">IF(COUNTIF(medicine_master!$A$2:$A$26,C370)&gt;0,"Valid","Invalid")</f>
        <v>Valid</v>
      </c>
      <c r="G370" s="39" t="str">
        <f aca="false">IFERROR(INDEX(medicine_master!$B$2:$B$26,MATCH($C370,medicine_master!$A$2:$A$26,0)),"Not found")</f>
        <v>Glimepiride 2mg</v>
      </c>
      <c r="H370" s="39" t="str">
        <f aca="false">IFERROR(INDEX(medicine_master!$C$2:$C$26,MATCH($C370,medicine_master!$A$2:$A$26,0)),"Not found")</f>
        <v>Diabetes</v>
      </c>
      <c r="I370" s="39" t="n">
        <f aca="false">YEAR(B370)</f>
        <v>2026</v>
      </c>
      <c r="J370" s="39" t="n">
        <f aca="false">MONTH(B370)</f>
        <v>9</v>
      </c>
      <c r="K370" s="39" t="str">
        <f aca="false">TEXT(B370,"mmm")</f>
        <v>Sep</v>
      </c>
      <c r="L370" s="45" t="n">
        <f aca="false">IFERROR(INDEX(medicine_master!$I$2:$I$26,MATCH($C370,medicine_master!$A$2:$A$26,0)),0)</f>
        <v>52</v>
      </c>
      <c r="M370" s="45" t="n">
        <f aca="false">IFERROR(INDEX(medicine_master!$G$2:$G$26,MATCH($C370,medicine_master!$A$2:$A$26,0)),0)</f>
        <v>38</v>
      </c>
      <c r="N370" s="45" t="n">
        <f aca="false">IF(D370="Sale",E370*L370,0)</f>
        <v>0</v>
      </c>
      <c r="O370" s="45" t="n">
        <f aca="false">IF(D370="Sale",E370*M370,0)</f>
        <v>0</v>
      </c>
      <c r="P370" s="45" t="n">
        <f aca="false">N370-O370</f>
        <v>0</v>
      </c>
      <c r="Q370" s="45" t="n">
        <f aca="false">IF(D370="Purchase",E370*M370,0)</f>
        <v>950</v>
      </c>
    </row>
    <row r="371" customFormat="false" ht="15" hidden="false" customHeight="false" outlineLevel="0" collapsed="false">
      <c r="A371" s="39" t="s">
        <v>695</v>
      </c>
      <c r="B371" s="44" t="n">
        <v>46341</v>
      </c>
      <c r="C371" s="39" t="s">
        <v>321</v>
      </c>
      <c r="D371" s="39" t="s">
        <v>137</v>
      </c>
      <c r="E371" s="39" t="n">
        <v>15</v>
      </c>
      <c r="F371" s="39" t="str">
        <f aca="false">IF(COUNTIF(medicine_master!$A$2:$A$26,C371)&gt;0,"Valid","Invalid")</f>
        <v>Valid</v>
      </c>
      <c r="G371" s="39" t="str">
        <f aca="false">IFERROR(INDEX(medicine_master!$B$2:$B$26,MATCH($C371,medicine_master!$A$2:$A$26,0)),"Not found")</f>
        <v>Levocetirizine 5mg</v>
      </c>
      <c r="H371" s="39" t="str">
        <f aca="false">IFERROR(INDEX(medicine_master!$C$2:$C$26,MATCH($C371,medicine_master!$A$2:$A$26,0)),"Not found")</f>
        <v>Allergy</v>
      </c>
      <c r="I371" s="39" t="n">
        <f aca="false">YEAR(B371)</f>
        <v>2026</v>
      </c>
      <c r="J371" s="39" t="n">
        <f aca="false">MONTH(B371)</f>
        <v>11</v>
      </c>
      <c r="K371" s="39" t="str">
        <f aca="false">TEXT(B371,"mmm")</f>
        <v>Nov</v>
      </c>
      <c r="L371" s="45" t="n">
        <f aca="false">IFERROR(INDEX(medicine_master!$I$2:$I$26,MATCH($C371,medicine_master!$A$2:$A$26,0)),0)</f>
        <v>22</v>
      </c>
      <c r="M371" s="45" t="n">
        <f aca="false">IFERROR(INDEX(medicine_master!$G$2:$G$26,MATCH($C371,medicine_master!$A$2:$A$26,0)),0)</f>
        <v>14</v>
      </c>
      <c r="N371" s="45" t="n">
        <f aca="false">IF(D371="Sale",E371*L371,0)</f>
        <v>330</v>
      </c>
      <c r="O371" s="45" t="n">
        <f aca="false">IF(D371="Sale",E371*M371,0)</f>
        <v>210</v>
      </c>
      <c r="P371" s="45" t="n">
        <f aca="false">N371-O371</f>
        <v>120</v>
      </c>
      <c r="Q371" s="45" t="n">
        <f aca="false">IF(D371="Purchase",E371*M371,0)</f>
        <v>0</v>
      </c>
    </row>
    <row r="372" customFormat="false" ht="15" hidden="false" customHeight="false" outlineLevel="0" collapsed="false">
      <c r="A372" s="39" t="s">
        <v>696</v>
      </c>
      <c r="B372" s="44" t="n">
        <v>46366</v>
      </c>
      <c r="C372" s="39" t="s">
        <v>157</v>
      </c>
      <c r="D372" s="39" t="s">
        <v>138</v>
      </c>
      <c r="E372" s="39" t="n">
        <v>20</v>
      </c>
      <c r="F372" s="39" t="str">
        <f aca="false">IF(COUNTIF(medicine_master!$A$2:$A$26,C372)&gt;0,"Valid","Invalid")</f>
        <v>Valid</v>
      </c>
      <c r="G372" s="39" t="str">
        <f aca="false">IFERROR(INDEX(medicine_master!$B$2:$B$26,MATCH($C372,medicine_master!$A$2:$A$26,0)),"Not found")</f>
        <v>Multivitamin Tablets</v>
      </c>
      <c r="H372" s="39" t="str">
        <f aca="false">IFERROR(INDEX(medicine_master!$C$2:$C$26,MATCH($C372,medicine_master!$A$2:$A$26,0)),"Not found")</f>
        <v>Vitamin</v>
      </c>
      <c r="I372" s="39" t="n">
        <f aca="false">YEAR(B372)</f>
        <v>2026</v>
      </c>
      <c r="J372" s="39" t="n">
        <f aca="false">MONTH(B372)</f>
        <v>12</v>
      </c>
      <c r="K372" s="39" t="str">
        <f aca="false">TEXT(B372,"mmm")</f>
        <v>Dec</v>
      </c>
      <c r="L372" s="45" t="n">
        <f aca="false">IFERROR(INDEX(medicine_master!$I$2:$I$26,MATCH($C372,medicine_master!$A$2:$A$26,0)),0)</f>
        <v>105</v>
      </c>
      <c r="M372" s="45" t="n">
        <f aca="false">IFERROR(INDEX(medicine_master!$G$2:$G$26,MATCH($C372,medicine_master!$A$2:$A$26,0)),0)</f>
        <v>72</v>
      </c>
      <c r="N372" s="45" t="n">
        <f aca="false">IF(D372="Sale",E372*L372,0)</f>
        <v>0</v>
      </c>
      <c r="O372" s="45" t="n">
        <f aca="false">IF(D372="Sale",E372*M372,0)</f>
        <v>0</v>
      </c>
      <c r="P372" s="45" t="n">
        <f aca="false">N372-O372</f>
        <v>0</v>
      </c>
      <c r="Q372" s="45" t="n">
        <f aca="false">IF(D372="Purchase",E372*M372,0)</f>
        <v>1440</v>
      </c>
    </row>
    <row r="373" customFormat="false" ht="15" hidden="false" customHeight="false" outlineLevel="0" collapsed="false">
      <c r="A373" s="39" t="s">
        <v>697</v>
      </c>
      <c r="B373" s="44" t="n">
        <v>46094</v>
      </c>
      <c r="C373" s="39" t="s">
        <v>390</v>
      </c>
      <c r="D373" s="39" t="s">
        <v>138</v>
      </c>
      <c r="E373" s="39" t="n">
        <v>20</v>
      </c>
      <c r="F373" s="39" t="str">
        <f aca="false">IF(COUNTIF(medicine_master!$A$2:$A$26,C373)&gt;0,"Valid","Invalid")</f>
        <v>Valid</v>
      </c>
      <c r="G373" s="39" t="str">
        <f aca="false">IFERROR(INDEX(medicine_master!$B$2:$B$26,MATCH($C373,medicine_master!$A$2:$A$26,0)),"Not found")</f>
        <v>Montelukast 10mg</v>
      </c>
      <c r="H373" s="39" t="str">
        <f aca="false">IFERROR(INDEX(medicine_master!$C$2:$C$26,MATCH($C373,medicine_master!$A$2:$A$26,0)),"Not found")</f>
        <v>Allergy</v>
      </c>
      <c r="I373" s="39" t="n">
        <f aca="false">YEAR(B373)</f>
        <v>2026</v>
      </c>
      <c r="J373" s="39" t="n">
        <f aca="false">MONTH(B373)</f>
        <v>3</v>
      </c>
      <c r="K373" s="39" t="str">
        <f aca="false">TEXT(B373,"mmm")</f>
        <v>Mar</v>
      </c>
      <c r="L373" s="45" t="n">
        <f aca="false">IFERROR(INDEX(medicine_master!$I$2:$I$26,MATCH($C373,medicine_master!$A$2:$A$26,0)),0)</f>
        <v>39</v>
      </c>
      <c r="M373" s="45" t="n">
        <f aca="false">IFERROR(INDEX(medicine_master!$G$2:$G$26,MATCH($C373,medicine_master!$A$2:$A$26,0)),0)</f>
        <v>27</v>
      </c>
      <c r="N373" s="45" t="n">
        <f aca="false">IF(D373="Sale",E373*L373,0)</f>
        <v>0</v>
      </c>
      <c r="O373" s="45" t="n">
        <f aca="false">IF(D373="Sale",E373*M373,0)</f>
        <v>0</v>
      </c>
      <c r="P373" s="45" t="n">
        <f aca="false">N373-O373</f>
        <v>0</v>
      </c>
      <c r="Q373" s="45" t="n">
        <f aca="false">IF(D373="Purchase",E373*M373,0)</f>
        <v>540</v>
      </c>
    </row>
    <row r="374" customFormat="false" ht="15" hidden="false" customHeight="false" outlineLevel="0" collapsed="false">
      <c r="A374" s="39" t="s">
        <v>698</v>
      </c>
      <c r="B374" s="44" t="n">
        <v>46117</v>
      </c>
      <c r="C374" s="39" t="s">
        <v>158</v>
      </c>
      <c r="D374" s="39" t="s">
        <v>138</v>
      </c>
      <c r="E374" s="39" t="n">
        <v>25</v>
      </c>
      <c r="F374" s="39" t="str">
        <f aca="false">IF(COUNTIF(medicine_master!$A$2:$A$26,C374)&gt;0,"Valid","Invalid")</f>
        <v>Valid</v>
      </c>
      <c r="G374" s="39" t="str">
        <f aca="false">IFERROR(INDEX(medicine_master!$B$2:$B$26,MATCH($C374,medicine_master!$A$2:$A$26,0)),"Not found")</f>
        <v>Cough Syrup 100ml</v>
      </c>
      <c r="H374" s="39" t="str">
        <f aca="false">IFERROR(INDEX(medicine_master!$C$2:$C$26,MATCH($C374,medicine_master!$A$2:$A$26,0)),"Not found")</f>
        <v>Cold &amp; Cough</v>
      </c>
      <c r="I374" s="39" t="n">
        <f aca="false">YEAR(B374)</f>
        <v>2026</v>
      </c>
      <c r="J374" s="39" t="n">
        <f aca="false">MONTH(B374)</f>
        <v>4</v>
      </c>
      <c r="K374" s="39" t="str">
        <f aca="false">TEXT(B374,"mmm")</f>
        <v>Apr</v>
      </c>
      <c r="L374" s="45" t="n">
        <f aca="false">IFERROR(INDEX(medicine_master!$I$2:$I$26,MATCH($C374,medicine_master!$A$2:$A$26,0)),0)</f>
        <v>72</v>
      </c>
      <c r="M374" s="45" t="n">
        <f aca="false">IFERROR(INDEX(medicine_master!$G$2:$G$26,MATCH($C374,medicine_master!$A$2:$A$26,0)),0)</f>
        <v>52</v>
      </c>
      <c r="N374" s="45" t="n">
        <f aca="false">IF(D374="Sale",E374*L374,0)</f>
        <v>0</v>
      </c>
      <c r="O374" s="45" t="n">
        <f aca="false">IF(D374="Sale",E374*M374,0)</f>
        <v>0</v>
      </c>
      <c r="P374" s="45" t="n">
        <f aca="false">N374-O374</f>
        <v>0</v>
      </c>
      <c r="Q374" s="45" t="n">
        <f aca="false">IF(D374="Purchase",E374*M374,0)</f>
        <v>1300</v>
      </c>
    </row>
    <row r="375" customFormat="false" ht="15" hidden="false" customHeight="false" outlineLevel="0" collapsed="false">
      <c r="A375" s="39" t="s">
        <v>699</v>
      </c>
      <c r="B375" s="44" t="n">
        <v>46311</v>
      </c>
      <c r="C375" s="39" t="s">
        <v>158</v>
      </c>
      <c r="D375" s="39" t="s">
        <v>137</v>
      </c>
      <c r="E375" s="39" t="n">
        <v>30</v>
      </c>
      <c r="F375" s="39" t="str">
        <f aca="false">IF(COUNTIF(medicine_master!$A$2:$A$26,C375)&gt;0,"Valid","Invalid")</f>
        <v>Valid</v>
      </c>
      <c r="G375" s="39" t="str">
        <f aca="false">IFERROR(INDEX(medicine_master!$B$2:$B$26,MATCH($C375,medicine_master!$A$2:$A$26,0)),"Not found")</f>
        <v>Cough Syrup 100ml</v>
      </c>
      <c r="H375" s="39" t="str">
        <f aca="false">IFERROR(INDEX(medicine_master!$C$2:$C$26,MATCH($C375,medicine_master!$A$2:$A$26,0)),"Not found")</f>
        <v>Cold &amp; Cough</v>
      </c>
      <c r="I375" s="39" t="n">
        <f aca="false">YEAR(B375)</f>
        <v>2026</v>
      </c>
      <c r="J375" s="39" t="n">
        <f aca="false">MONTH(B375)</f>
        <v>10</v>
      </c>
      <c r="K375" s="39" t="str">
        <f aca="false">TEXT(B375,"mmm")</f>
        <v>Oct</v>
      </c>
      <c r="L375" s="45" t="n">
        <f aca="false">IFERROR(INDEX(medicine_master!$I$2:$I$26,MATCH($C375,medicine_master!$A$2:$A$26,0)),0)</f>
        <v>72</v>
      </c>
      <c r="M375" s="45" t="n">
        <f aca="false">IFERROR(INDEX(medicine_master!$G$2:$G$26,MATCH($C375,medicine_master!$A$2:$A$26,0)),0)</f>
        <v>52</v>
      </c>
      <c r="N375" s="45" t="n">
        <f aca="false">IF(D375="Sale",E375*L375,0)</f>
        <v>2160</v>
      </c>
      <c r="O375" s="45" t="n">
        <f aca="false">IF(D375="Sale",E375*M375,0)</f>
        <v>1560</v>
      </c>
      <c r="P375" s="45" t="n">
        <f aca="false">N375-O375</f>
        <v>600</v>
      </c>
      <c r="Q375" s="45" t="n">
        <f aca="false">IF(D375="Purchase",E375*M375,0)</f>
        <v>0</v>
      </c>
    </row>
    <row r="376" customFormat="false" ht="15" hidden="false" customHeight="false" outlineLevel="0" collapsed="false">
      <c r="A376" s="39" t="s">
        <v>700</v>
      </c>
      <c r="B376" s="44" t="n">
        <v>46201</v>
      </c>
      <c r="C376" s="39" t="s">
        <v>147</v>
      </c>
      <c r="D376" s="39" t="s">
        <v>138</v>
      </c>
      <c r="E376" s="39" t="n">
        <v>10</v>
      </c>
      <c r="F376" s="39" t="str">
        <f aca="false">IF(COUNTIF(medicine_master!$A$2:$A$26,C376)&gt;0,"Valid","Invalid")</f>
        <v>Valid</v>
      </c>
      <c r="G376" s="39" t="str">
        <f aca="false">IFERROR(INDEX(medicine_master!$B$2:$B$26,MATCH($C376,medicine_master!$A$2:$A$26,0)),"Not found")</f>
        <v>Insulin Injection</v>
      </c>
      <c r="H376" s="39" t="str">
        <f aca="false">IFERROR(INDEX(medicine_master!$C$2:$C$26,MATCH($C376,medicine_master!$A$2:$A$26,0)),"Not found")</f>
        <v>Diabetes</v>
      </c>
      <c r="I376" s="39" t="n">
        <f aca="false">YEAR(B376)</f>
        <v>2026</v>
      </c>
      <c r="J376" s="39" t="n">
        <f aca="false">MONTH(B376)</f>
        <v>6</v>
      </c>
      <c r="K376" s="39" t="str">
        <f aca="false">TEXT(B376,"mmm")</f>
        <v>Jun</v>
      </c>
      <c r="L376" s="45" t="n">
        <f aca="false">IFERROR(INDEX(medicine_master!$I$2:$I$26,MATCH($C376,medicine_master!$A$2:$A$26,0)),0)</f>
        <v>225</v>
      </c>
      <c r="M376" s="45" t="n">
        <f aca="false">IFERROR(INDEX(medicine_master!$G$2:$G$26,MATCH($C376,medicine_master!$A$2:$A$26,0)),0)</f>
        <v>165</v>
      </c>
      <c r="N376" s="45" t="n">
        <f aca="false">IF(D376="Sale",E376*L376,0)</f>
        <v>0</v>
      </c>
      <c r="O376" s="45" t="n">
        <f aca="false">IF(D376="Sale",E376*M376,0)</f>
        <v>0</v>
      </c>
      <c r="P376" s="45" t="n">
        <f aca="false">N376-O376</f>
        <v>0</v>
      </c>
      <c r="Q376" s="45" t="n">
        <f aca="false">IF(D376="Purchase",E376*M376,0)</f>
        <v>1650</v>
      </c>
    </row>
    <row r="377" customFormat="false" ht="15" hidden="false" customHeight="false" outlineLevel="0" collapsed="false">
      <c r="A377" s="39" t="s">
        <v>701</v>
      </c>
      <c r="B377" s="44" t="n">
        <v>46068</v>
      </c>
      <c r="C377" s="39" t="s">
        <v>159</v>
      </c>
      <c r="D377" s="39" t="s">
        <v>137</v>
      </c>
      <c r="E377" s="39" t="n">
        <v>25</v>
      </c>
      <c r="F377" s="39" t="str">
        <f aca="false">IF(COUNTIF(medicine_master!$A$2:$A$26,C377)&gt;0,"Valid","Invalid")</f>
        <v>Valid</v>
      </c>
      <c r="G377" s="39" t="str">
        <f aca="false">IFERROR(INDEX(medicine_master!$B$2:$B$26,MATCH($C377,medicine_master!$A$2:$A$26,0)),"Not found")</f>
        <v>Antiseptic Liquid 100ml</v>
      </c>
      <c r="H377" s="39" t="str">
        <f aca="false">IFERROR(INDEX(medicine_master!$C$2:$C$26,MATCH($C377,medicine_master!$A$2:$A$26,0)),"Not found")</f>
        <v>First Aid</v>
      </c>
      <c r="I377" s="39" t="n">
        <f aca="false">YEAR(B377)</f>
        <v>2026</v>
      </c>
      <c r="J377" s="39" t="n">
        <f aca="false">MONTH(B377)</f>
        <v>2</v>
      </c>
      <c r="K377" s="39" t="str">
        <f aca="false">TEXT(B377,"mmm")</f>
        <v>Feb</v>
      </c>
      <c r="L377" s="45" t="n">
        <f aca="false">IFERROR(INDEX(medicine_master!$I$2:$I$26,MATCH($C377,medicine_master!$A$2:$A$26,0)),0)</f>
        <v>65</v>
      </c>
      <c r="M377" s="45" t="n">
        <f aca="false">IFERROR(INDEX(medicine_master!$G$2:$G$26,MATCH($C377,medicine_master!$A$2:$A$26,0)),0)</f>
        <v>48</v>
      </c>
      <c r="N377" s="45" t="n">
        <f aca="false">IF(D377="Sale",E377*L377,0)</f>
        <v>1625</v>
      </c>
      <c r="O377" s="45" t="n">
        <f aca="false">IF(D377="Sale",E377*M377,0)</f>
        <v>1200</v>
      </c>
      <c r="P377" s="45" t="n">
        <f aca="false">N377-O377</f>
        <v>425</v>
      </c>
      <c r="Q377" s="45" t="n">
        <f aca="false">IF(D377="Purchase",E377*M377,0)</f>
        <v>0</v>
      </c>
    </row>
    <row r="378" customFormat="false" ht="15" hidden="false" customHeight="false" outlineLevel="0" collapsed="false">
      <c r="A378" s="39" t="s">
        <v>702</v>
      </c>
      <c r="B378" s="44" t="n">
        <v>46170</v>
      </c>
      <c r="C378" s="39" t="s">
        <v>345</v>
      </c>
      <c r="D378" s="39" t="s">
        <v>137</v>
      </c>
      <c r="E378" s="39" t="n">
        <v>5</v>
      </c>
      <c r="F378" s="39" t="str">
        <f aca="false">IF(COUNTIF(medicine_master!$A$2:$A$26,C378)&gt;0,"Valid","Invalid")</f>
        <v>Valid</v>
      </c>
      <c r="G378" s="39" t="str">
        <f aca="false">IFERROR(INDEX(medicine_master!$B$2:$B$26,MATCH($C378,medicine_master!$A$2:$A$26,0)),"Not found")</f>
        <v>Paracetamol 500mg</v>
      </c>
      <c r="H378" s="39" t="str">
        <f aca="false">IFERROR(INDEX(medicine_master!$C$2:$C$26,MATCH($C378,medicine_master!$A$2:$A$26,0)),"Not found")</f>
        <v>Pain Relief</v>
      </c>
      <c r="I378" s="39" t="n">
        <f aca="false">YEAR(B378)</f>
        <v>2026</v>
      </c>
      <c r="J378" s="39" t="n">
        <f aca="false">MONTH(B378)</f>
        <v>5</v>
      </c>
      <c r="K378" s="39" t="str">
        <f aca="false">TEXT(B378,"mmm")</f>
        <v>May</v>
      </c>
      <c r="L378" s="45" t="n">
        <f aca="false">IFERROR(INDEX(medicine_master!$I$2:$I$26,MATCH($C378,medicine_master!$A$2:$A$26,0)),0)</f>
        <v>18</v>
      </c>
      <c r="M378" s="45" t="n">
        <f aca="false">IFERROR(INDEX(medicine_master!$G$2:$G$26,MATCH($C378,medicine_master!$A$2:$A$26,0)),0)</f>
        <v>12</v>
      </c>
      <c r="N378" s="45" t="n">
        <f aca="false">IF(D378="Sale",E378*L378,0)</f>
        <v>90</v>
      </c>
      <c r="O378" s="45" t="n">
        <f aca="false">IF(D378="Sale",E378*M378,0)</f>
        <v>60</v>
      </c>
      <c r="P378" s="45" t="n">
        <f aca="false">N378-O378</f>
        <v>30</v>
      </c>
      <c r="Q378" s="45" t="n">
        <f aca="false">IF(D378="Purchase",E378*M378,0)</f>
        <v>0</v>
      </c>
    </row>
    <row r="379" customFormat="false" ht="15" hidden="false" customHeight="false" outlineLevel="0" collapsed="false">
      <c r="A379" s="39" t="s">
        <v>703</v>
      </c>
      <c r="B379" s="44" t="n">
        <v>46375</v>
      </c>
      <c r="C379" s="39" t="s">
        <v>179</v>
      </c>
      <c r="D379" s="39" t="s">
        <v>137</v>
      </c>
      <c r="E379" s="39" t="n">
        <v>40</v>
      </c>
      <c r="F379" s="39" t="str">
        <f aca="false">IF(COUNTIF(medicine_master!$A$2:$A$26,C379)&gt;0,"Valid","Invalid")</f>
        <v>Valid</v>
      </c>
      <c r="G379" s="39" t="str">
        <f aca="false">IFERROR(INDEX(medicine_master!$B$2:$B$26,MATCH($C379,medicine_master!$A$2:$A$26,0)),"Not found")</f>
        <v>Ibuprofen 400mg</v>
      </c>
      <c r="H379" s="39" t="str">
        <f aca="false">IFERROR(INDEX(medicine_master!$C$2:$C$26,MATCH($C379,medicine_master!$A$2:$A$26,0)),"Not found")</f>
        <v>Pain Relief</v>
      </c>
      <c r="I379" s="39" t="n">
        <f aca="false">YEAR(B379)</f>
        <v>2026</v>
      </c>
      <c r="J379" s="39" t="n">
        <f aca="false">MONTH(B379)</f>
        <v>12</v>
      </c>
      <c r="K379" s="39" t="str">
        <f aca="false">TEXT(B379,"mmm")</f>
        <v>Dec</v>
      </c>
      <c r="L379" s="45" t="n">
        <f aca="false">IFERROR(INDEX(medicine_master!$I$2:$I$26,MATCH($C379,medicine_master!$A$2:$A$26,0)),0)</f>
        <v>30</v>
      </c>
      <c r="M379" s="45" t="n">
        <f aca="false">IFERROR(INDEX(medicine_master!$G$2:$G$26,MATCH($C379,medicine_master!$A$2:$A$26,0)),0)</f>
        <v>22</v>
      </c>
      <c r="N379" s="45" t="n">
        <f aca="false">IF(D379="Sale",E379*L379,0)</f>
        <v>1200</v>
      </c>
      <c r="O379" s="45" t="n">
        <f aca="false">IF(D379="Sale",E379*M379,0)</f>
        <v>880</v>
      </c>
      <c r="P379" s="45" t="n">
        <f aca="false">N379-O379</f>
        <v>320</v>
      </c>
      <c r="Q379" s="45" t="n">
        <f aca="false">IF(D379="Purchase",E379*M379,0)</f>
        <v>0</v>
      </c>
    </row>
    <row r="380" customFormat="false" ht="15" hidden="false" customHeight="false" outlineLevel="0" collapsed="false">
      <c r="A380" s="39" t="s">
        <v>704</v>
      </c>
      <c r="B380" s="44" t="n">
        <v>46099</v>
      </c>
      <c r="C380" s="39" t="s">
        <v>146</v>
      </c>
      <c r="D380" s="39" t="s">
        <v>138</v>
      </c>
      <c r="E380" s="39" t="n">
        <v>15</v>
      </c>
      <c r="F380" s="39" t="str">
        <f aca="false">IF(COUNTIF(medicine_master!$A$2:$A$26,C380)&gt;0,"Valid","Invalid")</f>
        <v>Valid</v>
      </c>
      <c r="G380" s="39" t="str">
        <f aca="false">IFERROR(INDEX(medicine_master!$B$2:$B$26,MATCH($C380,medicine_master!$A$2:$A$26,0)),"Not found")</f>
        <v>Diclofenac Gel</v>
      </c>
      <c r="H380" s="39" t="str">
        <f aca="false">IFERROR(INDEX(medicine_master!$C$2:$C$26,MATCH($C380,medicine_master!$A$2:$A$26,0)),"Not found")</f>
        <v>Pain Relief</v>
      </c>
      <c r="I380" s="39" t="n">
        <f aca="false">YEAR(B380)</f>
        <v>2026</v>
      </c>
      <c r="J380" s="39" t="n">
        <f aca="false">MONTH(B380)</f>
        <v>3</v>
      </c>
      <c r="K380" s="39" t="str">
        <f aca="false">TEXT(B380,"mmm")</f>
        <v>Mar</v>
      </c>
      <c r="L380" s="45" t="n">
        <f aca="false">IFERROR(INDEX(medicine_master!$I$2:$I$26,MATCH($C380,medicine_master!$A$2:$A$26,0)),0)</f>
        <v>55</v>
      </c>
      <c r="M380" s="45" t="n">
        <f aca="false">IFERROR(INDEX(medicine_master!$G$2:$G$26,MATCH($C380,medicine_master!$A$2:$A$26,0)),0)</f>
        <v>38</v>
      </c>
      <c r="N380" s="45" t="n">
        <f aca="false">IF(D380="Sale",E380*L380,0)</f>
        <v>0</v>
      </c>
      <c r="O380" s="45" t="n">
        <f aca="false">IF(D380="Sale",E380*M380,0)</f>
        <v>0</v>
      </c>
      <c r="P380" s="45" t="n">
        <f aca="false">N380-O380</f>
        <v>0</v>
      </c>
      <c r="Q380" s="45" t="n">
        <f aca="false">IF(D380="Purchase",E380*M380,0)</f>
        <v>570</v>
      </c>
    </row>
    <row r="381" customFormat="false" ht="15" hidden="false" customHeight="false" outlineLevel="0" collapsed="false">
      <c r="A381" s="39" t="s">
        <v>705</v>
      </c>
      <c r="B381" s="44" t="n">
        <v>46188</v>
      </c>
      <c r="C381" s="39" t="s">
        <v>180</v>
      </c>
      <c r="D381" s="39" t="s">
        <v>138</v>
      </c>
      <c r="E381" s="39" t="n">
        <v>25</v>
      </c>
      <c r="F381" s="39" t="str">
        <f aca="false">IF(COUNTIF(medicine_master!$A$2:$A$26,C381)&gt;0,"Valid","Invalid")</f>
        <v>Valid</v>
      </c>
      <c r="G381" s="39" t="str">
        <f aca="false">IFERROR(INDEX(medicine_master!$B$2:$B$26,MATCH($C381,medicine_master!$A$2:$A$26,0)),"Not found")</f>
        <v>Vitamin C 500mg</v>
      </c>
      <c r="H381" s="39" t="str">
        <f aca="false">IFERROR(INDEX(medicine_master!$C$2:$C$26,MATCH($C381,medicine_master!$A$2:$A$26,0)),"Not found")</f>
        <v>Vitamin</v>
      </c>
      <c r="I381" s="39" t="n">
        <f aca="false">YEAR(B381)</f>
        <v>2026</v>
      </c>
      <c r="J381" s="39" t="n">
        <f aca="false">MONTH(B381)</f>
        <v>6</v>
      </c>
      <c r="K381" s="39" t="str">
        <f aca="false">TEXT(B381,"mmm")</f>
        <v>Jun</v>
      </c>
      <c r="L381" s="45" t="n">
        <f aca="false">IFERROR(INDEX(medicine_master!$I$2:$I$26,MATCH($C381,medicine_master!$A$2:$A$26,0)),0)</f>
        <v>22</v>
      </c>
      <c r="M381" s="45" t="n">
        <f aca="false">IFERROR(INDEX(medicine_master!$G$2:$G$26,MATCH($C381,medicine_master!$A$2:$A$26,0)),0)</f>
        <v>14</v>
      </c>
      <c r="N381" s="45" t="n">
        <f aca="false">IF(D381="Sale",E381*L381,0)</f>
        <v>0</v>
      </c>
      <c r="O381" s="45" t="n">
        <f aca="false">IF(D381="Sale",E381*M381,0)</f>
        <v>0</v>
      </c>
      <c r="P381" s="45" t="n">
        <f aca="false">N381-O381</f>
        <v>0</v>
      </c>
      <c r="Q381" s="45" t="n">
        <f aca="false">IF(D381="Purchase",E381*M381,0)</f>
        <v>350</v>
      </c>
    </row>
    <row r="382" customFormat="false" ht="15" hidden="false" customHeight="false" outlineLevel="0" collapsed="false">
      <c r="A382" s="39" t="s">
        <v>706</v>
      </c>
      <c r="B382" s="44" t="n">
        <v>46165</v>
      </c>
      <c r="C382" s="39" t="s">
        <v>179</v>
      </c>
      <c r="D382" s="39" t="s">
        <v>138</v>
      </c>
      <c r="E382" s="39" t="n">
        <v>25</v>
      </c>
      <c r="F382" s="39" t="str">
        <f aca="false">IF(COUNTIF(medicine_master!$A$2:$A$26,C382)&gt;0,"Valid","Invalid")</f>
        <v>Valid</v>
      </c>
      <c r="G382" s="39" t="str">
        <f aca="false">IFERROR(INDEX(medicine_master!$B$2:$B$26,MATCH($C382,medicine_master!$A$2:$A$26,0)),"Not found")</f>
        <v>Ibuprofen 400mg</v>
      </c>
      <c r="H382" s="39" t="str">
        <f aca="false">IFERROR(INDEX(medicine_master!$C$2:$C$26,MATCH($C382,medicine_master!$A$2:$A$26,0)),"Not found")</f>
        <v>Pain Relief</v>
      </c>
      <c r="I382" s="39" t="n">
        <f aca="false">YEAR(B382)</f>
        <v>2026</v>
      </c>
      <c r="J382" s="39" t="n">
        <f aca="false">MONTH(B382)</f>
        <v>5</v>
      </c>
      <c r="K382" s="39" t="str">
        <f aca="false">TEXT(B382,"mmm")</f>
        <v>May</v>
      </c>
      <c r="L382" s="45" t="n">
        <f aca="false">IFERROR(INDEX(medicine_master!$I$2:$I$26,MATCH($C382,medicine_master!$A$2:$A$26,0)),0)</f>
        <v>30</v>
      </c>
      <c r="M382" s="45" t="n">
        <f aca="false">IFERROR(INDEX(medicine_master!$G$2:$G$26,MATCH($C382,medicine_master!$A$2:$A$26,0)),0)</f>
        <v>22</v>
      </c>
      <c r="N382" s="45" t="n">
        <f aca="false">IF(D382="Sale",E382*L382,0)</f>
        <v>0</v>
      </c>
      <c r="O382" s="45" t="n">
        <f aca="false">IF(D382="Sale",E382*M382,0)</f>
        <v>0</v>
      </c>
      <c r="P382" s="45" t="n">
        <f aca="false">N382-O382</f>
        <v>0</v>
      </c>
      <c r="Q382" s="45" t="n">
        <f aca="false">IF(D382="Purchase",E382*M382,0)</f>
        <v>550</v>
      </c>
    </row>
    <row r="383" customFormat="false" ht="15" hidden="false" customHeight="false" outlineLevel="0" collapsed="false">
      <c r="A383" s="39" t="s">
        <v>707</v>
      </c>
      <c r="B383" s="44" t="n">
        <v>46382</v>
      </c>
      <c r="C383" s="39" t="s">
        <v>495</v>
      </c>
      <c r="D383" s="39" t="s">
        <v>138</v>
      </c>
      <c r="E383" s="39" t="n">
        <v>40</v>
      </c>
      <c r="F383" s="39" t="str">
        <f aca="false">IF(COUNTIF(medicine_master!$A$2:$A$26,C383)&gt;0,"Valid","Invalid")</f>
        <v>Valid</v>
      </c>
      <c r="G383" s="39" t="str">
        <f aca="false">IFERROR(INDEX(medicine_master!$B$2:$B$26,MATCH($C383,medicine_master!$A$2:$A$26,0)),"Not found")</f>
        <v>Metformin 500mg</v>
      </c>
      <c r="H383" s="39" t="str">
        <f aca="false">IFERROR(INDEX(medicine_master!$C$2:$C$26,MATCH($C383,medicine_master!$A$2:$A$26,0)),"Not found")</f>
        <v>Diabetes</v>
      </c>
      <c r="I383" s="39" t="n">
        <f aca="false">YEAR(B383)</f>
        <v>2026</v>
      </c>
      <c r="J383" s="39" t="n">
        <f aca="false">MONTH(B383)</f>
        <v>12</v>
      </c>
      <c r="K383" s="39" t="str">
        <f aca="false">TEXT(B383,"mmm")</f>
        <v>Dec</v>
      </c>
      <c r="L383" s="45" t="n">
        <f aca="false">IFERROR(INDEX(medicine_master!$I$2:$I$26,MATCH($C383,medicine_master!$A$2:$A$26,0)),0)</f>
        <v>24</v>
      </c>
      <c r="M383" s="45" t="n">
        <f aca="false">IFERROR(INDEX(medicine_master!$G$2:$G$26,MATCH($C383,medicine_master!$A$2:$A$26,0)),0)</f>
        <v>16</v>
      </c>
      <c r="N383" s="45" t="n">
        <f aca="false">IF(D383="Sale",E383*L383,0)</f>
        <v>0</v>
      </c>
      <c r="O383" s="45" t="n">
        <f aca="false">IF(D383="Sale",E383*M383,0)</f>
        <v>0</v>
      </c>
      <c r="P383" s="45" t="n">
        <f aca="false">N383-O383</f>
        <v>0</v>
      </c>
      <c r="Q383" s="45" t="n">
        <f aca="false">IF(D383="Purchase",E383*M383,0)</f>
        <v>640</v>
      </c>
    </row>
    <row r="384" customFormat="false" ht="15" hidden="false" customHeight="false" outlineLevel="0" collapsed="false">
      <c r="A384" s="39" t="s">
        <v>708</v>
      </c>
      <c r="B384" s="44" t="n">
        <v>46031</v>
      </c>
      <c r="C384" s="39" t="s">
        <v>158</v>
      </c>
      <c r="D384" s="39" t="s">
        <v>137</v>
      </c>
      <c r="E384" s="39" t="n">
        <v>25</v>
      </c>
      <c r="F384" s="39" t="str">
        <f aca="false">IF(COUNTIF(medicine_master!$A$2:$A$26,C384)&gt;0,"Valid","Invalid")</f>
        <v>Valid</v>
      </c>
      <c r="G384" s="39" t="str">
        <f aca="false">IFERROR(INDEX(medicine_master!$B$2:$B$26,MATCH($C384,medicine_master!$A$2:$A$26,0)),"Not found")</f>
        <v>Cough Syrup 100ml</v>
      </c>
      <c r="H384" s="39" t="str">
        <f aca="false">IFERROR(INDEX(medicine_master!$C$2:$C$26,MATCH($C384,medicine_master!$A$2:$A$26,0)),"Not found")</f>
        <v>Cold &amp; Cough</v>
      </c>
      <c r="I384" s="39" t="n">
        <f aca="false">YEAR(B384)</f>
        <v>2026</v>
      </c>
      <c r="J384" s="39" t="n">
        <f aca="false">MONTH(B384)</f>
        <v>1</v>
      </c>
      <c r="K384" s="39" t="str">
        <f aca="false">TEXT(B384,"mmm")</f>
        <v>Jan</v>
      </c>
      <c r="L384" s="45" t="n">
        <f aca="false">IFERROR(INDEX(medicine_master!$I$2:$I$26,MATCH($C384,medicine_master!$A$2:$A$26,0)),0)</f>
        <v>72</v>
      </c>
      <c r="M384" s="45" t="n">
        <f aca="false">IFERROR(INDEX(medicine_master!$G$2:$G$26,MATCH($C384,medicine_master!$A$2:$A$26,0)),0)</f>
        <v>52</v>
      </c>
      <c r="N384" s="45" t="n">
        <f aca="false">IF(D384="Sale",E384*L384,0)</f>
        <v>1800</v>
      </c>
      <c r="O384" s="45" t="n">
        <f aca="false">IF(D384="Sale",E384*M384,0)</f>
        <v>1300</v>
      </c>
      <c r="P384" s="45" t="n">
        <f aca="false">N384-O384</f>
        <v>500</v>
      </c>
      <c r="Q384" s="45" t="n">
        <f aca="false">IF(D384="Purchase",E384*M384,0)</f>
        <v>0</v>
      </c>
    </row>
    <row r="385" customFormat="false" ht="15" hidden="false" customHeight="false" outlineLevel="0" collapsed="false">
      <c r="A385" s="39" t="s">
        <v>709</v>
      </c>
      <c r="B385" s="44" t="n">
        <v>46063</v>
      </c>
      <c r="C385" s="39" t="s">
        <v>160</v>
      </c>
      <c r="D385" s="39" t="s">
        <v>137</v>
      </c>
      <c r="E385" s="39" t="n">
        <v>50</v>
      </c>
      <c r="F385" s="39" t="str">
        <f aca="false">IF(COUNTIF(medicine_master!$A$2:$A$26,C385)&gt;0,"Valid","Invalid")</f>
        <v>Valid</v>
      </c>
      <c r="G385" s="39" t="str">
        <f aca="false">IFERROR(INDEX(medicine_master!$B$2:$B$26,MATCH($C385,medicine_master!$A$2:$A$26,0)),"Not found")</f>
        <v>Calamine Lotion</v>
      </c>
      <c r="H385" s="39" t="str">
        <f aca="false">IFERROR(INDEX(medicine_master!$C$2:$C$26,MATCH($C385,medicine_master!$A$2:$A$26,0)),"Not found")</f>
        <v>Dermatology</v>
      </c>
      <c r="I385" s="39" t="n">
        <f aca="false">YEAR(B385)</f>
        <v>2026</v>
      </c>
      <c r="J385" s="39" t="n">
        <f aca="false">MONTH(B385)</f>
        <v>2</v>
      </c>
      <c r="K385" s="39" t="str">
        <f aca="false">TEXT(B385,"mmm")</f>
        <v>Feb</v>
      </c>
      <c r="L385" s="45" t="n">
        <f aca="false">IFERROR(INDEX(medicine_master!$I$2:$I$26,MATCH($C385,medicine_master!$A$2:$A$26,0)),0)</f>
        <v>60</v>
      </c>
      <c r="M385" s="45" t="n">
        <f aca="false">IFERROR(INDEX(medicine_master!$G$2:$G$26,MATCH($C385,medicine_master!$A$2:$A$26,0)),0)</f>
        <v>42</v>
      </c>
      <c r="N385" s="45" t="n">
        <f aca="false">IF(D385="Sale",E385*L385,0)</f>
        <v>3000</v>
      </c>
      <c r="O385" s="45" t="n">
        <f aca="false">IF(D385="Sale",E385*M385,0)</f>
        <v>2100</v>
      </c>
      <c r="P385" s="45" t="n">
        <f aca="false">N385-O385</f>
        <v>900</v>
      </c>
      <c r="Q385" s="45" t="n">
        <f aca="false">IF(D385="Purchase",E385*M385,0)</f>
        <v>0</v>
      </c>
    </row>
    <row r="386" customFormat="false" ht="15" hidden="false" customHeight="false" outlineLevel="0" collapsed="false">
      <c r="A386" s="39" t="s">
        <v>710</v>
      </c>
      <c r="B386" s="44" t="n">
        <v>46370</v>
      </c>
      <c r="C386" s="39" t="s">
        <v>146</v>
      </c>
      <c r="D386" s="39" t="s">
        <v>138</v>
      </c>
      <c r="E386" s="39" t="n">
        <v>30</v>
      </c>
      <c r="F386" s="39" t="str">
        <f aca="false">IF(COUNTIF(medicine_master!$A$2:$A$26,C386)&gt;0,"Valid","Invalid")</f>
        <v>Valid</v>
      </c>
      <c r="G386" s="39" t="str">
        <f aca="false">IFERROR(INDEX(medicine_master!$B$2:$B$26,MATCH($C386,medicine_master!$A$2:$A$26,0)),"Not found")</f>
        <v>Diclofenac Gel</v>
      </c>
      <c r="H386" s="39" t="str">
        <f aca="false">IFERROR(INDEX(medicine_master!$C$2:$C$26,MATCH($C386,medicine_master!$A$2:$A$26,0)),"Not found")</f>
        <v>Pain Relief</v>
      </c>
      <c r="I386" s="39" t="n">
        <f aca="false">YEAR(B386)</f>
        <v>2026</v>
      </c>
      <c r="J386" s="39" t="n">
        <f aca="false">MONTH(B386)</f>
        <v>12</v>
      </c>
      <c r="K386" s="39" t="str">
        <f aca="false">TEXT(B386,"mmm")</f>
        <v>Dec</v>
      </c>
      <c r="L386" s="45" t="n">
        <f aca="false">IFERROR(INDEX(medicine_master!$I$2:$I$26,MATCH($C386,medicine_master!$A$2:$A$26,0)),0)</f>
        <v>55</v>
      </c>
      <c r="M386" s="45" t="n">
        <f aca="false">IFERROR(INDEX(medicine_master!$G$2:$G$26,MATCH($C386,medicine_master!$A$2:$A$26,0)),0)</f>
        <v>38</v>
      </c>
      <c r="N386" s="45" t="n">
        <f aca="false">IF(D386="Sale",E386*L386,0)</f>
        <v>0</v>
      </c>
      <c r="O386" s="45" t="n">
        <f aca="false">IF(D386="Sale",E386*M386,0)</f>
        <v>0</v>
      </c>
      <c r="P386" s="45" t="n">
        <f aca="false">N386-O386</f>
        <v>0</v>
      </c>
      <c r="Q386" s="45" t="n">
        <f aca="false">IF(D386="Purchase",E386*M386,0)</f>
        <v>1140</v>
      </c>
    </row>
    <row r="387" customFormat="false" ht="15" hidden="false" customHeight="false" outlineLevel="0" collapsed="false">
      <c r="A387" s="39" t="s">
        <v>711</v>
      </c>
      <c r="B387" s="44" t="n">
        <v>46029</v>
      </c>
      <c r="C387" s="39" t="s">
        <v>495</v>
      </c>
      <c r="D387" s="39" t="s">
        <v>137</v>
      </c>
      <c r="E387" s="39" t="n">
        <v>25</v>
      </c>
      <c r="F387" s="39" t="str">
        <f aca="false">IF(COUNTIF(medicine_master!$A$2:$A$26,C387)&gt;0,"Valid","Invalid")</f>
        <v>Valid</v>
      </c>
      <c r="G387" s="39" t="str">
        <f aca="false">IFERROR(INDEX(medicine_master!$B$2:$B$26,MATCH($C387,medicine_master!$A$2:$A$26,0)),"Not found")</f>
        <v>Metformin 500mg</v>
      </c>
      <c r="H387" s="39" t="str">
        <f aca="false">IFERROR(INDEX(medicine_master!$C$2:$C$26,MATCH($C387,medicine_master!$A$2:$A$26,0)),"Not found")</f>
        <v>Diabetes</v>
      </c>
      <c r="I387" s="39" t="n">
        <f aca="false">YEAR(B387)</f>
        <v>2026</v>
      </c>
      <c r="J387" s="39" t="n">
        <f aca="false">MONTH(B387)</f>
        <v>1</v>
      </c>
      <c r="K387" s="39" t="str">
        <f aca="false">TEXT(B387,"mmm")</f>
        <v>Jan</v>
      </c>
      <c r="L387" s="45" t="n">
        <f aca="false">IFERROR(INDEX(medicine_master!$I$2:$I$26,MATCH($C387,medicine_master!$A$2:$A$26,0)),0)</f>
        <v>24</v>
      </c>
      <c r="M387" s="45" t="n">
        <f aca="false">IFERROR(INDEX(medicine_master!$G$2:$G$26,MATCH($C387,medicine_master!$A$2:$A$26,0)),0)</f>
        <v>16</v>
      </c>
      <c r="N387" s="45" t="n">
        <f aca="false">IF(D387="Sale",E387*L387,0)</f>
        <v>600</v>
      </c>
      <c r="O387" s="45" t="n">
        <f aca="false">IF(D387="Sale",E387*M387,0)</f>
        <v>400</v>
      </c>
      <c r="P387" s="45" t="n">
        <f aca="false">N387-O387</f>
        <v>200</v>
      </c>
      <c r="Q387" s="45" t="n">
        <f aca="false">IF(D387="Purchase",E387*M387,0)</f>
        <v>0</v>
      </c>
    </row>
    <row r="388" customFormat="false" ht="15" hidden="false" customHeight="false" outlineLevel="0" collapsed="false">
      <c r="A388" s="39" t="s">
        <v>712</v>
      </c>
      <c r="B388" s="44" t="n">
        <v>46336</v>
      </c>
      <c r="C388" s="39" t="s">
        <v>321</v>
      </c>
      <c r="D388" s="39" t="s">
        <v>137</v>
      </c>
      <c r="E388" s="39" t="n">
        <v>25</v>
      </c>
      <c r="F388" s="39" t="str">
        <f aca="false">IF(COUNTIF(medicine_master!$A$2:$A$26,C388)&gt;0,"Valid","Invalid")</f>
        <v>Valid</v>
      </c>
      <c r="G388" s="39" t="str">
        <f aca="false">IFERROR(INDEX(medicine_master!$B$2:$B$26,MATCH($C388,medicine_master!$A$2:$A$26,0)),"Not found")</f>
        <v>Levocetirizine 5mg</v>
      </c>
      <c r="H388" s="39" t="str">
        <f aca="false">IFERROR(INDEX(medicine_master!$C$2:$C$26,MATCH($C388,medicine_master!$A$2:$A$26,0)),"Not found")</f>
        <v>Allergy</v>
      </c>
      <c r="I388" s="39" t="n">
        <f aca="false">YEAR(B388)</f>
        <v>2026</v>
      </c>
      <c r="J388" s="39" t="n">
        <f aca="false">MONTH(B388)</f>
        <v>11</v>
      </c>
      <c r="K388" s="39" t="str">
        <f aca="false">TEXT(B388,"mmm")</f>
        <v>Nov</v>
      </c>
      <c r="L388" s="45" t="n">
        <f aca="false">IFERROR(INDEX(medicine_master!$I$2:$I$26,MATCH($C388,medicine_master!$A$2:$A$26,0)),0)</f>
        <v>22</v>
      </c>
      <c r="M388" s="45" t="n">
        <f aca="false">IFERROR(INDEX(medicine_master!$G$2:$G$26,MATCH($C388,medicine_master!$A$2:$A$26,0)),0)</f>
        <v>14</v>
      </c>
      <c r="N388" s="45" t="n">
        <f aca="false">IF(D388="Sale",E388*L388,0)</f>
        <v>550</v>
      </c>
      <c r="O388" s="45" t="n">
        <f aca="false">IF(D388="Sale",E388*M388,0)</f>
        <v>350</v>
      </c>
      <c r="P388" s="45" t="n">
        <f aca="false">N388-O388</f>
        <v>200</v>
      </c>
      <c r="Q388" s="45" t="n">
        <f aca="false">IF(D388="Purchase",E388*M388,0)</f>
        <v>0</v>
      </c>
    </row>
    <row r="389" customFormat="false" ht="15" hidden="false" customHeight="false" outlineLevel="0" collapsed="false">
      <c r="A389" s="39" t="s">
        <v>713</v>
      </c>
      <c r="B389" s="44" t="n">
        <v>46319</v>
      </c>
      <c r="C389" s="39" t="s">
        <v>150</v>
      </c>
      <c r="D389" s="39" t="s">
        <v>137</v>
      </c>
      <c r="E389" s="39" t="n">
        <v>30</v>
      </c>
      <c r="F389" s="39" t="str">
        <f aca="false">IF(COUNTIF(medicine_master!$A$2:$A$26,C389)&gt;0,"Valid","Invalid")</f>
        <v>Valid</v>
      </c>
      <c r="G389" s="39" t="str">
        <f aca="false">IFERROR(INDEX(medicine_master!$B$2:$B$26,MATCH($C389,medicine_master!$A$2:$A$26,0)),"Not found")</f>
        <v>Pantoprazole 40mg</v>
      </c>
      <c r="H389" s="39" t="str">
        <f aca="false">IFERROR(INDEX(medicine_master!$C$2:$C$26,MATCH($C389,medicine_master!$A$2:$A$26,0)),"Not found")</f>
        <v>Gastric</v>
      </c>
      <c r="I389" s="39" t="n">
        <f aca="false">YEAR(B389)</f>
        <v>2026</v>
      </c>
      <c r="J389" s="39" t="n">
        <f aca="false">MONTH(B389)</f>
        <v>10</v>
      </c>
      <c r="K389" s="39" t="str">
        <f aca="false">TEXT(B389,"mmm")</f>
        <v>Oct</v>
      </c>
      <c r="L389" s="45" t="n">
        <f aca="false">IFERROR(INDEX(medicine_master!$I$2:$I$26,MATCH($C389,medicine_master!$A$2:$A$26,0)),0)</f>
        <v>35</v>
      </c>
      <c r="M389" s="45" t="n">
        <f aca="false">IFERROR(INDEX(medicine_master!$G$2:$G$26,MATCH($C389,medicine_master!$A$2:$A$26,0)),0)</f>
        <v>24</v>
      </c>
      <c r="N389" s="45" t="n">
        <f aca="false">IF(D389="Sale",E389*L389,0)</f>
        <v>1050</v>
      </c>
      <c r="O389" s="45" t="n">
        <f aca="false">IF(D389="Sale",E389*M389,0)</f>
        <v>720</v>
      </c>
      <c r="P389" s="45" t="n">
        <f aca="false">N389-O389</f>
        <v>330</v>
      </c>
      <c r="Q389" s="45" t="n">
        <f aca="false">IF(D389="Purchase",E389*M389,0)</f>
        <v>0</v>
      </c>
    </row>
    <row r="390" customFormat="false" ht="15" hidden="false" customHeight="false" outlineLevel="0" collapsed="false">
      <c r="A390" s="39" t="s">
        <v>714</v>
      </c>
      <c r="B390" s="44" t="n">
        <v>46034</v>
      </c>
      <c r="C390" s="39" t="s">
        <v>148</v>
      </c>
      <c r="D390" s="39" t="s">
        <v>137</v>
      </c>
      <c r="E390" s="39" t="n">
        <v>20</v>
      </c>
      <c r="F390" s="39" t="str">
        <f aca="false">IF(COUNTIF(medicine_master!$A$2:$A$26,C390)&gt;0,"Valid","Invalid")</f>
        <v>Valid</v>
      </c>
      <c r="G390" s="39" t="str">
        <f aca="false">IFERROR(INDEX(medicine_master!$B$2:$B$26,MATCH($C390,medicine_master!$A$2:$A$26,0)),"Not found")</f>
        <v>Dextromethorphan Syrup</v>
      </c>
      <c r="H390" s="39" t="str">
        <f aca="false">IFERROR(INDEX(medicine_master!$C$2:$C$26,MATCH($C390,medicine_master!$A$2:$A$26,0)),"Not found")</f>
        <v>Cold &amp; Cough</v>
      </c>
      <c r="I390" s="39" t="n">
        <f aca="false">YEAR(B390)</f>
        <v>2026</v>
      </c>
      <c r="J390" s="39" t="n">
        <f aca="false">MONTH(B390)</f>
        <v>1</v>
      </c>
      <c r="K390" s="39" t="str">
        <f aca="false">TEXT(B390,"mmm")</f>
        <v>Jan</v>
      </c>
      <c r="L390" s="45" t="n">
        <f aca="false">IFERROR(INDEX(medicine_master!$I$2:$I$26,MATCH($C390,medicine_master!$A$2:$A$26,0)),0)</f>
        <v>80</v>
      </c>
      <c r="M390" s="45" t="n">
        <f aca="false">IFERROR(INDEX(medicine_master!$G$2:$G$26,MATCH($C390,medicine_master!$A$2:$A$26,0)),0)</f>
        <v>58</v>
      </c>
      <c r="N390" s="45" t="n">
        <f aca="false">IF(D390="Sale",E390*L390,0)</f>
        <v>1600</v>
      </c>
      <c r="O390" s="45" t="n">
        <f aca="false">IF(D390="Sale",E390*M390,0)</f>
        <v>1160</v>
      </c>
      <c r="P390" s="45" t="n">
        <f aca="false">N390-O390</f>
        <v>440</v>
      </c>
      <c r="Q390" s="45" t="n">
        <f aca="false">IF(D390="Purchase",E390*M390,0)</f>
        <v>0</v>
      </c>
    </row>
    <row r="391" customFormat="false" ht="15" hidden="false" customHeight="false" outlineLevel="0" collapsed="false">
      <c r="A391" s="39" t="s">
        <v>715</v>
      </c>
      <c r="B391" s="44" t="n">
        <v>46265</v>
      </c>
      <c r="C391" s="39" t="s">
        <v>404</v>
      </c>
      <c r="D391" s="39" t="s">
        <v>137</v>
      </c>
      <c r="E391" s="39" t="n">
        <v>15</v>
      </c>
      <c r="F391" s="39" t="str">
        <f aca="false">IF(COUNTIF(medicine_master!$A$2:$A$26,C391)&gt;0,"Valid","Invalid")</f>
        <v>Valid</v>
      </c>
      <c r="G391" s="39" t="str">
        <f aca="false">IFERROR(INDEX(medicine_master!$B$2:$B$26,MATCH($C391,medicine_master!$A$2:$A$26,0)),"Not found")</f>
        <v>ORS Sachet</v>
      </c>
      <c r="H391" s="39" t="str">
        <f aca="false">IFERROR(INDEX(medicine_master!$C$2:$C$26,MATCH($C391,medicine_master!$A$2:$A$26,0)),"Not found")</f>
        <v>First Aid</v>
      </c>
      <c r="I391" s="39" t="n">
        <f aca="false">YEAR(B391)</f>
        <v>2026</v>
      </c>
      <c r="J391" s="39" t="n">
        <f aca="false">MONTH(B391)</f>
        <v>8</v>
      </c>
      <c r="K391" s="39" t="str">
        <f aca="false">TEXT(B391,"mmm")</f>
        <v>Aug</v>
      </c>
      <c r="L391" s="45" t="n">
        <f aca="false">IFERROR(INDEX(medicine_master!$I$2:$I$26,MATCH($C391,medicine_master!$A$2:$A$26,0)),0)</f>
        <v>10</v>
      </c>
      <c r="M391" s="45" t="n">
        <f aca="false">IFERROR(INDEX(medicine_master!$G$2:$G$26,MATCH($C391,medicine_master!$A$2:$A$26,0)),0)</f>
        <v>6</v>
      </c>
      <c r="N391" s="45" t="n">
        <f aca="false">IF(D391="Sale",E391*L391,0)</f>
        <v>150</v>
      </c>
      <c r="O391" s="45" t="n">
        <f aca="false">IF(D391="Sale",E391*M391,0)</f>
        <v>90</v>
      </c>
      <c r="P391" s="45" t="n">
        <f aca="false">N391-O391</f>
        <v>60</v>
      </c>
      <c r="Q391" s="45" t="n">
        <f aca="false">IF(D391="Purchase",E391*M391,0)</f>
        <v>0</v>
      </c>
    </row>
    <row r="392" customFormat="false" ht="15" hidden="false" customHeight="false" outlineLevel="0" collapsed="false">
      <c r="A392" s="39" t="s">
        <v>716</v>
      </c>
      <c r="B392" s="44" t="n">
        <v>46243</v>
      </c>
      <c r="C392" s="39" t="s">
        <v>148</v>
      </c>
      <c r="D392" s="39" t="s">
        <v>137</v>
      </c>
      <c r="E392" s="39" t="n">
        <v>5</v>
      </c>
      <c r="F392" s="39" t="str">
        <f aca="false">IF(COUNTIF(medicine_master!$A$2:$A$26,C392)&gt;0,"Valid","Invalid")</f>
        <v>Valid</v>
      </c>
      <c r="G392" s="39" t="str">
        <f aca="false">IFERROR(INDEX(medicine_master!$B$2:$B$26,MATCH($C392,medicine_master!$A$2:$A$26,0)),"Not found")</f>
        <v>Dextromethorphan Syrup</v>
      </c>
      <c r="H392" s="39" t="str">
        <f aca="false">IFERROR(INDEX(medicine_master!$C$2:$C$26,MATCH($C392,medicine_master!$A$2:$A$26,0)),"Not found")</f>
        <v>Cold &amp; Cough</v>
      </c>
      <c r="I392" s="39" t="n">
        <f aca="false">YEAR(B392)</f>
        <v>2026</v>
      </c>
      <c r="J392" s="39" t="n">
        <f aca="false">MONTH(B392)</f>
        <v>8</v>
      </c>
      <c r="K392" s="39" t="str">
        <f aca="false">TEXT(B392,"mmm")</f>
        <v>Aug</v>
      </c>
      <c r="L392" s="45" t="n">
        <f aca="false">IFERROR(INDEX(medicine_master!$I$2:$I$26,MATCH($C392,medicine_master!$A$2:$A$26,0)),0)</f>
        <v>80</v>
      </c>
      <c r="M392" s="45" t="n">
        <f aca="false">IFERROR(INDEX(medicine_master!$G$2:$G$26,MATCH($C392,medicine_master!$A$2:$A$26,0)),0)</f>
        <v>58</v>
      </c>
      <c r="N392" s="45" t="n">
        <f aca="false">IF(D392="Sale",E392*L392,0)</f>
        <v>400</v>
      </c>
      <c r="O392" s="45" t="n">
        <f aca="false">IF(D392="Sale",E392*M392,0)</f>
        <v>290</v>
      </c>
      <c r="P392" s="45" t="n">
        <f aca="false">N392-O392</f>
        <v>110</v>
      </c>
      <c r="Q392" s="45" t="n">
        <f aca="false">IF(D392="Purchase",E392*M392,0)</f>
        <v>0</v>
      </c>
    </row>
    <row r="393" customFormat="false" ht="15" hidden="false" customHeight="false" outlineLevel="0" collapsed="false">
      <c r="A393" s="39" t="s">
        <v>717</v>
      </c>
      <c r="B393" s="44" t="n">
        <v>46322</v>
      </c>
      <c r="C393" s="39" t="s">
        <v>160</v>
      </c>
      <c r="D393" s="39" t="s">
        <v>138</v>
      </c>
      <c r="E393" s="39" t="n">
        <v>25</v>
      </c>
      <c r="F393" s="39" t="str">
        <f aca="false">IF(COUNTIF(medicine_master!$A$2:$A$26,C393)&gt;0,"Valid","Invalid")</f>
        <v>Valid</v>
      </c>
      <c r="G393" s="39" t="str">
        <f aca="false">IFERROR(INDEX(medicine_master!$B$2:$B$26,MATCH($C393,medicine_master!$A$2:$A$26,0)),"Not found")</f>
        <v>Calamine Lotion</v>
      </c>
      <c r="H393" s="39" t="str">
        <f aca="false">IFERROR(INDEX(medicine_master!$C$2:$C$26,MATCH($C393,medicine_master!$A$2:$A$26,0)),"Not found")</f>
        <v>Dermatology</v>
      </c>
      <c r="I393" s="39" t="n">
        <f aca="false">YEAR(B393)</f>
        <v>2026</v>
      </c>
      <c r="J393" s="39" t="n">
        <f aca="false">MONTH(B393)</f>
        <v>10</v>
      </c>
      <c r="K393" s="39" t="str">
        <f aca="false">TEXT(B393,"mmm")</f>
        <v>Oct</v>
      </c>
      <c r="L393" s="45" t="n">
        <f aca="false">IFERROR(INDEX(medicine_master!$I$2:$I$26,MATCH($C393,medicine_master!$A$2:$A$26,0)),0)</f>
        <v>60</v>
      </c>
      <c r="M393" s="45" t="n">
        <f aca="false">IFERROR(INDEX(medicine_master!$G$2:$G$26,MATCH($C393,medicine_master!$A$2:$A$26,0)),0)</f>
        <v>42</v>
      </c>
      <c r="N393" s="45" t="n">
        <f aca="false">IF(D393="Sale",E393*L393,0)</f>
        <v>0</v>
      </c>
      <c r="O393" s="45" t="n">
        <f aca="false">IF(D393="Sale",E393*M393,0)</f>
        <v>0</v>
      </c>
      <c r="P393" s="45" t="n">
        <f aca="false">N393-O393</f>
        <v>0</v>
      </c>
      <c r="Q393" s="45" t="n">
        <f aca="false">IF(D393="Purchase",E393*M393,0)</f>
        <v>1050</v>
      </c>
    </row>
    <row r="394" customFormat="false" ht="15" hidden="false" customHeight="false" outlineLevel="0" collapsed="false">
      <c r="A394" s="39" t="s">
        <v>718</v>
      </c>
      <c r="B394" s="44" t="n">
        <v>46059</v>
      </c>
      <c r="C394" s="39" t="s">
        <v>147</v>
      </c>
      <c r="D394" s="39" t="s">
        <v>137</v>
      </c>
      <c r="E394" s="39" t="n">
        <v>25</v>
      </c>
      <c r="F394" s="39" t="str">
        <f aca="false">IF(COUNTIF(medicine_master!$A$2:$A$26,C394)&gt;0,"Valid","Invalid")</f>
        <v>Valid</v>
      </c>
      <c r="G394" s="39" t="str">
        <f aca="false">IFERROR(INDEX(medicine_master!$B$2:$B$26,MATCH($C394,medicine_master!$A$2:$A$26,0)),"Not found")</f>
        <v>Insulin Injection</v>
      </c>
      <c r="H394" s="39" t="str">
        <f aca="false">IFERROR(INDEX(medicine_master!$C$2:$C$26,MATCH($C394,medicine_master!$A$2:$A$26,0)),"Not found")</f>
        <v>Diabetes</v>
      </c>
      <c r="I394" s="39" t="n">
        <f aca="false">YEAR(B394)</f>
        <v>2026</v>
      </c>
      <c r="J394" s="39" t="n">
        <f aca="false">MONTH(B394)</f>
        <v>2</v>
      </c>
      <c r="K394" s="39" t="str">
        <f aca="false">TEXT(B394,"mmm")</f>
        <v>Feb</v>
      </c>
      <c r="L394" s="45" t="n">
        <f aca="false">IFERROR(INDEX(medicine_master!$I$2:$I$26,MATCH($C394,medicine_master!$A$2:$A$26,0)),0)</f>
        <v>225</v>
      </c>
      <c r="M394" s="45" t="n">
        <f aca="false">IFERROR(INDEX(medicine_master!$G$2:$G$26,MATCH($C394,medicine_master!$A$2:$A$26,0)),0)</f>
        <v>165</v>
      </c>
      <c r="N394" s="45" t="n">
        <f aca="false">IF(D394="Sale",E394*L394,0)</f>
        <v>5625</v>
      </c>
      <c r="O394" s="45" t="n">
        <f aca="false">IF(D394="Sale",E394*M394,0)</f>
        <v>4125</v>
      </c>
      <c r="P394" s="45" t="n">
        <f aca="false">N394-O394</f>
        <v>1500</v>
      </c>
      <c r="Q394" s="45" t="n">
        <f aca="false">IF(D394="Purchase",E394*M394,0)</f>
        <v>0</v>
      </c>
    </row>
    <row r="395" customFormat="false" ht="15" hidden="false" customHeight="false" outlineLevel="0" collapsed="false">
      <c r="A395" s="39" t="s">
        <v>719</v>
      </c>
      <c r="B395" s="44" t="n">
        <v>46224</v>
      </c>
      <c r="C395" s="39" t="s">
        <v>404</v>
      </c>
      <c r="D395" s="39" t="s">
        <v>137</v>
      </c>
      <c r="E395" s="39" t="n">
        <v>5</v>
      </c>
      <c r="F395" s="39" t="str">
        <f aca="false">IF(COUNTIF(medicine_master!$A$2:$A$26,C395)&gt;0,"Valid","Invalid")</f>
        <v>Valid</v>
      </c>
      <c r="G395" s="39" t="str">
        <f aca="false">IFERROR(INDEX(medicine_master!$B$2:$B$26,MATCH($C395,medicine_master!$A$2:$A$26,0)),"Not found")</f>
        <v>ORS Sachet</v>
      </c>
      <c r="H395" s="39" t="str">
        <f aca="false">IFERROR(INDEX(medicine_master!$C$2:$C$26,MATCH($C395,medicine_master!$A$2:$A$26,0)),"Not found")</f>
        <v>First Aid</v>
      </c>
      <c r="I395" s="39" t="n">
        <f aca="false">YEAR(B395)</f>
        <v>2026</v>
      </c>
      <c r="J395" s="39" t="n">
        <f aca="false">MONTH(B395)</f>
        <v>7</v>
      </c>
      <c r="K395" s="39" t="str">
        <f aca="false">TEXT(B395,"mmm")</f>
        <v>Jul</v>
      </c>
      <c r="L395" s="45" t="n">
        <f aca="false">IFERROR(INDEX(medicine_master!$I$2:$I$26,MATCH($C395,medicine_master!$A$2:$A$26,0)),0)</f>
        <v>10</v>
      </c>
      <c r="M395" s="45" t="n">
        <f aca="false">IFERROR(INDEX(medicine_master!$G$2:$G$26,MATCH($C395,medicine_master!$A$2:$A$26,0)),0)</f>
        <v>6</v>
      </c>
      <c r="N395" s="45" t="n">
        <f aca="false">IF(D395="Sale",E395*L395,0)</f>
        <v>50</v>
      </c>
      <c r="O395" s="45" t="n">
        <f aca="false">IF(D395="Sale",E395*M395,0)</f>
        <v>30</v>
      </c>
      <c r="P395" s="45" t="n">
        <f aca="false">N395-O395</f>
        <v>20</v>
      </c>
      <c r="Q395" s="45" t="n">
        <f aca="false">IF(D395="Purchase",E395*M395,0)</f>
        <v>0</v>
      </c>
    </row>
    <row r="396" customFormat="false" ht="15" hidden="false" customHeight="false" outlineLevel="0" collapsed="false">
      <c r="A396" s="39" t="s">
        <v>720</v>
      </c>
      <c r="B396" s="44" t="n">
        <v>46229</v>
      </c>
      <c r="C396" s="39" t="s">
        <v>345</v>
      </c>
      <c r="D396" s="39" t="s">
        <v>137</v>
      </c>
      <c r="E396" s="39" t="n">
        <v>10</v>
      </c>
      <c r="F396" s="39" t="str">
        <f aca="false">IF(COUNTIF(medicine_master!$A$2:$A$26,C396)&gt;0,"Valid","Invalid")</f>
        <v>Valid</v>
      </c>
      <c r="G396" s="39" t="str">
        <f aca="false">IFERROR(INDEX(medicine_master!$B$2:$B$26,MATCH($C396,medicine_master!$A$2:$A$26,0)),"Not found")</f>
        <v>Paracetamol 500mg</v>
      </c>
      <c r="H396" s="39" t="str">
        <f aca="false">IFERROR(INDEX(medicine_master!$C$2:$C$26,MATCH($C396,medicine_master!$A$2:$A$26,0)),"Not found")</f>
        <v>Pain Relief</v>
      </c>
      <c r="I396" s="39" t="n">
        <f aca="false">YEAR(B396)</f>
        <v>2026</v>
      </c>
      <c r="J396" s="39" t="n">
        <f aca="false">MONTH(B396)</f>
        <v>7</v>
      </c>
      <c r="K396" s="39" t="str">
        <f aca="false">TEXT(B396,"mmm")</f>
        <v>Jul</v>
      </c>
      <c r="L396" s="45" t="n">
        <f aca="false">IFERROR(INDEX(medicine_master!$I$2:$I$26,MATCH($C396,medicine_master!$A$2:$A$26,0)),0)</f>
        <v>18</v>
      </c>
      <c r="M396" s="45" t="n">
        <f aca="false">IFERROR(INDEX(medicine_master!$G$2:$G$26,MATCH($C396,medicine_master!$A$2:$A$26,0)),0)</f>
        <v>12</v>
      </c>
      <c r="N396" s="45" t="n">
        <f aca="false">IF(D396="Sale",E396*L396,0)</f>
        <v>180</v>
      </c>
      <c r="O396" s="45" t="n">
        <f aca="false">IF(D396="Sale",E396*M396,0)</f>
        <v>120</v>
      </c>
      <c r="P396" s="45" t="n">
        <f aca="false">N396-O396</f>
        <v>60</v>
      </c>
      <c r="Q396" s="45" t="n">
        <f aca="false">IF(D396="Purchase",E396*M396,0)</f>
        <v>0</v>
      </c>
    </row>
    <row r="397" customFormat="false" ht="15" hidden="false" customHeight="false" outlineLevel="0" collapsed="false">
      <c r="A397" s="39" t="s">
        <v>721</v>
      </c>
      <c r="B397" s="44" t="n">
        <v>46235</v>
      </c>
      <c r="C397" s="39" t="s">
        <v>147</v>
      </c>
      <c r="D397" s="39" t="s">
        <v>137</v>
      </c>
      <c r="E397" s="39" t="n">
        <v>15</v>
      </c>
      <c r="F397" s="39" t="str">
        <f aca="false">IF(COUNTIF(medicine_master!$A$2:$A$26,C397)&gt;0,"Valid","Invalid")</f>
        <v>Valid</v>
      </c>
      <c r="G397" s="39" t="str">
        <f aca="false">IFERROR(INDEX(medicine_master!$B$2:$B$26,MATCH($C397,medicine_master!$A$2:$A$26,0)),"Not found")</f>
        <v>Insulin Injection</v>
      </c>
      <c r="H397" s="39" t="str">
        <f aca="false">IFERROR(INDEX(medicine_master!$C$2:$C$26,MATCH($C397,medicine_master!$A$2:$A$26,0)),"Not found")</f>
        <v>Diabetes</v>
      </c>
      <c r="I397" s="39" t="n">
        <f aca="false">YEAR(B397)</f>
        <v>2026</v>
      </c>
      <c r="J397" s="39" t="n">
        <f aca="false">MONTH(B397)</f>
        <v>8</v>
      </c>
      <c r="K397" s="39" t="str">
        <f aca="false">TEXT(B397,"mmm")</f>
        <v>Aug</v>
      </c>
      <c r="L397" s="45" t="n">
        <f aca="false">IFERROR(INDEX(medicine_master!$I$2:$I$26,MATCH($C397,medicine_master!$A$2:$A$26,0)),0)</f>
        <v>225</v>
      </c>
      <c r="M397" s="45" t="n">
        <f aca="false">IFERROR(INDEX(medicine_master!$G$2:$G$26,MATCH($C397,medicine_master!$A$2:$A$26,0)),0)</f>
        <v>165</v>
      </c>
      <c r="N397" s="45" t="n">
        <f aca="false">IF(D397="Sale",E397*L397,0)</f>
        <v>3375</v>
      </c>
      <c r="O397" s="45" t="n">
        <f aca="false">IF(D397="Sale",E397*M397,0)</f>
        <v>2475</v>
      </c>
      <c r="P397" s="45" t="n">
        <f aca="false">N397-O397</f>
        <v>900</v>
      </c>
      <c r="Q397" s="45" t="n">
        <f aca="false">IF(D397="Purchase",E397*M397,0)</f>
        <v>0</v>
      </c>
    </row>
    <row r="398" customFormat="false" ht="15" hidden="false" customHeight="false" outlineLevel="0" collapsed="false">
      <c r="A398" s="39" t="s">
        <v>722</v>
      </c>
      <c r="B398" s="44" t="n">
        <v>46386</v>
      </c>
      <c r="C398" s="39" t="s">
        <v>146</v>
      </c>
      <c r="D398" s="39" t="s">
        <v>137</v>
      </c>
      <c r="E398" s="39" t="n">
        <v>25</v>
      </c>
      <c r="F398" s="39" t="str">
        <f aca="false">IF(COUNTIF(medicine_master!$A$2:$A$26,C398)&gt;0,"Valid","Invalid")</f>
        <v>Valid</v>
      </c>
      <c r="G398" s="39" t="str">
        <f aca="false">IFERROR(INDEX(medicine_master!$B$2:$B$26,MATCH($C398,medicine_master!$A$2:$A$26,0)),"Not found")</f>
        <v>Diclofenac Gel</v>
      </c>
      <c r="H398" s="39" t="str">
        <f aca="false">IFERROR(INDEX(medicine_master!$C$2:$C$26,MATCH($C398,medicine_master!$A$2:$A$26,0)),"Not found")</f>
        <v>Pain Relief</v>
      </c>
      <c r="I398" s="39" t="n">
        <f aca="false">YEAR(B398)</f>
        <v>2026</v>
      </c>
      <c r="J398" s="39" t="n">
        <f aca="false">MONTH(B398)</f>
        <v>12</v>
      </c>
      <c r="K398" s="39" t="str">
        <f aca="false">TEXT(B398,"mmm")</f>
        <v>Dec</v>
      </c>
      <c r="L398" s="45" t="n">
        <f aca="false">IFERROR(INDEX(medicine_master!$I$2:$I$26,MATCH($C398,medicine_master!$A$2:$A$26,0)),0)</f>
        <v>55</v>
      </c>
      <c r="M398" s="45" t="n">
        <f aca="false">IFERROR(INDEX(medicine_master!$G$2:$G$26,MATCH($C398,medicine_master!$A$2:$A$26,0)),0)</f>
        <v>38</v>
      </c>
      <c r="N398" s="45" t="n">
        <f aca="false">IF(D398="Sale",E398*L398,0)</f>
        <v>1375</v>
      </c>
      <c r="O398" s="45" t="n">
        <f aca="false">IF(D398="Sale",E398*M398,0)</f>
        <v>950</v>
      </c>
      <c r="P398" s="45" t="n">
        <f aca="false">N398-O398</f>
        <v>425</v>
      </c>
      <c r="Q398" s="45" t="n">
        <f aca="false">IF(D398="Purchase",E398*M398,0)</f>
        <v>0</v>
      </c>
    </row>
    <row r="399" customFormat="false" ht="15" hidden="false" customHeight="false" outlineLevel="0" collapsed="false">
      <c r="A399" s="39" t="s">
        <v>723</v>
      </c>
      <c r="B399" s="44" t="n">
        <v>46118</v>
      </c>
      <c r="C399" s="39" t="s">
        <v>326</v>
      </c>
      <c r="D399" s="39" t="s">
        <v>137</v>
      </c>
      <c r="E399" s="39" t="n">
        <v>30</v>
      </c>
      <c r="F399" s="39" t="str">
        <f aca="false">IF(COUNTIF(medicine_master!$A$2:$A$26,C399)&gt;0,"Valid","Invalid")</f>
        <v>Valid</v>
      </c>
      <c r="G399" s="39" t="str">
        <f aca="false">IFERROR(INDEX(medicine_master!$B$2:$B$26,MATCH($C399,medicine_master!$A$2:$A$26,0)),"Not found")</f>
        <v>Omeprazole 20mg</v>
      </c>
      <c r="H399" s="39" t="str">
        <f aca="false">IFERROR(INDEX(medicine_master!$C$2:$C$26,MATCH($C399,medicine_master!$A$2:$A$26,0)),"Not found")</f>
        <v>Gastric</v>
      </c>
      <c r="I399" s="39" t="n">
        <f aca="false">YEAR(B399)</f>
        <v>2026</v>
      </c>
      <c r="J399" s="39" t="n">
        <f aca="false">MONTH(B399)</f>
        <v>4</v>
      </c>
      <c r="K399" s="39" t="str">
        <f aca="false">TEXT(B399,"mmm")</f>
        <v>Apr</v>
      </c>
      <c r="L399" s="45" t="n">
        <f aca="false">IFERROR(INDEX(medicine_master!$I$2:$I$26,MATCH($C399,medicine_master!$A$2:$A$26,0)),0)</f>
        <v>26</v>
      </c>
      <c r="M399" s="45" t="n">
        <f aca="false">IFERROR(INDEX(medicine_master!$G$2:$G$26,MATCH($C399,medicine_master!$A$2:$A$26,0)),0)</f>
        <v>18</v>
      </c>
      <c r="N399" s="45" t="n">
        <f aca="false">IF(D399="Sale",E399*L399,0)</f>
        <v>780</v>
      </c>
      <c r="O399" s="45" t="n">
        <f aca="false">IF(D399="Sale",E399*M399,0)</f>
        <v>540</v>
      </c>
      <c r="P399" s="45" t="n">
        <f aca="false">N399-O399</f>
        <v>240</v>
      </c>
      <c r="Q399" s="45" t="n">
        <f aca="false">IF(D399="Purchase",E399*M399,0)</f>
        <v>0</v>
      </c>
    </row>
    <row r="400" customFormat="false" ht="15" hidden="false" customHeight="false" outlineLevel="0" collapsed="false">
      <c r="A400" s="39" t="s">
        <v>724</v>
      </c>
      <c r="B400" s="44" t="n">
        <v>46250</v>
      </c>
      <c r="C400" s="39" t="s">
        <v>179</v>
      </c>
      <c r="D400" s="39" t="s">
        <v>137</v>
      </c>
      <c r="E400" s="39" t="n">
        <v>30</v>
      </c>
      <c r="F400" s="39" t="str">
        <f aca="false">IF(COUNTIF(medicine_master!$A$2:$A$26,C400)&gt;0,"Valid","Invalid")</f>
        <v>Valid</v>
      </c>
      <c r="G400" s="39" t="str">
        <f aca="false">IFERROR(INDEX(medicine_master!$B$2:$B$26,MATCH($C400,medicine_master!$A$2:$A$26,0)),"Not found")</f>
        <v>Ibuprofen 400mg</v>
      </c>
      <c r="H400" s="39" t="str">
        <f aca="false">IFERROR(INDEX(medicine_master!$C$2:$C$26,MATCH($C400,medicine_master!$A$2:$A$26,0)),"Not found")</f>
        <v>Pain Relief</v>
      </c>
      <c r="I400" s="39" t="n">
        <f aca="false">YEAR(B400)</f>
        <v>2026</v>
      </c>
      <c r="J400" s="39" t="n">
        <f aca="false">MONTH(B400)</f>
        <v>8</v>
      </c>
      <c r="K400" s="39" t="str">
        <f aca="false">TEXT(B400,"mmm")</f>
        <v>Aug</v>
      </c>
      <c r="L400" s="45" t="n">
        <f aca="false">IFERROR(INDEX(medicine_master!$I$2:$I$26,MATCH($C400,medicine_master!$A$2:$A$26,0)),0)</f>
        <v>30</v>
      </c>
      <c r="M400" s="45" t="n">
        <f aca="false">IFERROR(INDEX(medicine_master!$G$2:$G$26,MATCH($C400,medicine_master!$A$2:$A$26,0)),0)</f>
        <v>22</v>
      </c>
      <c r="N400" s="45" t="n">
        <f aca="false">IF(D400="Sale",E400*L400,0)</f>
        <v>900</v>
      </c>
      <c r="O400" s="45" t="n">
        <f aca="false">IF(D400="Sale",E400*M400,0)</f>
        <v>660</v>
      </c>
      <c r="P400" s="45" t="n">
        <f aca="false">N400-O400</f>
        <v>240</v>
      </c>
      <c r="Q400" s="45" t="n">
        <f aca="false">IF(D400="Purchase",E400*M400,0)</f>
        <v>0</v>
      </c>
    </row>
    <row r="401" customFormat="false" ht="15" hidden="false" customHeight="false" outlineLevel="0" collapsed="false">
      <c r="A401" s="39" t="s">
        <v>725</v>
      </c>
      <c r="B401" s="44" t="n">
        <v>46317</v>
      </c>
      <c r="C401" s="39" t="s">
        <v>150</v>
      </c>
      <c r="D401" s="39" t="s">
        <v>137</v>
      </c>
      <c r="E401" s="39" t="n">
        <v>15</v>
      </c>
      <c r="F401" s="39" t="str">
        <f aca="false">IF(COUNTIF(medicine_master!$A$2:$A$26,C401)&gt;0,"Valid","Invalid")</f>
        <v>Valid</v>
      </c>
      <c r="G401" s="39" t="str">
        <f aca="false">IFERROR(INDEX(medicine_master!$B$2:$B$26,MATCH($C401,medicine_master!$A$2:$A$26,0)),"Not found")</f>
        <v>Pantoprazole 40mg</v>
      </c>
      <c r="H401" s="39" t="str">
        <f aca="false">IFERROR(INDEX(medicine_master!$C$2:$C$26,MATCH($C401,medicine_master!$A$2:$A$26,0)),"Not found")</f>
        <v>Gastric</v>
      </c>
      <c r="I401" s="39" t="n">
        <f aca="false">YEAR(B401)</f>
        <v>2026</v>
      </c>
      <c r="J401" s="39" t="n">
        <f aca="false">MONTH(B401)</f>
        <v>10</v>
      </c>
      <c r="K401" s="39" t="str">
        <f aca="false">TEXT(B401,"mmm")</f>
        <v>Oct</v>
      </c>
      <c r="L401" s="45" t="n">
        <f aca="false">IFERROR(INDEX(medicine_master!$I$2:$I$26,MATCH($C401,medicine_master!$A$2:$A$26,0)),0)</f>
        <v>35</v>
      </c>
      <c r="M401" s="45" t="n">
        <f aca="false">IFERROR(INDEX(medicine_master!$G$2:$G$26,MATCH($C401,medicine_master!$A$2:$A$26,0)),0)</f>
        <v>24</v>
      </c>
      <c r="N401" s="45" t="n">
        <f aca="false">IF(D401="Sale",E401*L401,0)</f>
        <v>525</v>
      </c>
      <c r="O401" s="45" t="n">
        <f aca="false">IF(D401="Sale",E401*M401,0)</f>
        <v>360</v>
      </c>
      <c r="P401" s="45" t="n">
        <f aca="false">N401-O401</f>
        <v>165</v>
      </c>
      <c r="Q401" s="45" t="n">
        <f aca="false">IF(D401="Purchase",E401*M401,0)</f>
        <v>0</v>
      </c>
    </row>
    <row r="402" customFormat="false" ht="15" hidden="false" customHeight="false" outlineLevel="0" collapsed="false">
      <c r="A402" s="39" t="s">
        <v>726</v>
      </c>
      <c r="B402" s="44" t="n">
        <v>46147</v>
      </c>
      <c r="C402" s="39" t="s">
        <v>144</v>
      </c>
      <c r="D402" s="39" t="s">
        <v>137</v>
      </c>
      <c r="E402" s="39" t="n">
        <v>20</v>
      </c>
      <c r="F402" s="39" t="str">
        <f aca="false">IF(COUNTIF(medicine_master!$A$2:$A$26,C402)&gt;0,"Valid","Invalid")</f>
        <v>Valid</v>
      </c>
      <c r="G402" s="39" t="str">
        <f aca="false">IFERROR(INDEX(medicine_master!$B$2:$B$26,MATCH($C402,medicine_master!$A$2:$A$26,0)),"Not found")</f>
        <v>Glimepiride 2mg</v>
      </c>
      <c r="H402" s="39" t="str">
        <f aca="false">IFERROR(INDEX(medicine_master!$C$2:$C$26,MATCH($C402,medicine_master!$A$2:$A$26,0)),"Not found")</f>
        <v>Diabetes</v>
      </c>
      <c r="I402" s="39" t="n">
        <f aca="false">YEAR(B402)</f>
        <v>2026</v>
      </c>
      <c r="J402" s="39" t="n">
        <f aca="false">MONTH(B402)</f>
        <v>5</v>
      </c>
      <c r="K402" s="39" t="str">
        <f aca="false">TEXT(B402,"mmm")</f>
        <v>May</v>
      </c>
      <c r="L402" s="45" t="n">
        <f aca="false">IFERROR(INDEX(medicine_master!$I$2:$I$26,MATCH($C402,medicine_master!$A$2:$A$26,0)),0)</f>
        <v>52</v>
      </c>
      <c r="M402" s="45" t="n">
        <f aca="false">IFERROR(INDEX(medicine_master!$G$2:$G$26,MATCH($C402,medicine_master!$A$2:$A$26,0)),0)</f>
        <v>38</v>
      </c>
      <c r="N402" s="45" t="n">
        <f aca="false">IF(D402="Sale",E402*L402,0)</f>
        <v>1040</v>
      </c>
      <c r="O402" s="45" t="n">
        <f aca="false">IF(D402="Sale",E402*M402,0)</f>
        <v>760</v>
      </c>
      <c r="P402" s="45" t="n">
        <f aca="false">N402-O402</f>
        <v>280</v>
      </c>
      <c r="Q402" s="45" t="n">
        <f aca="false">IF(D402="Purchase",E402*M402,0)</f>
        <v>0</v>
      </c>
    </row>
    <row r="403" customFormat="false" ht="15" hidden="false" customHeight="false" outlineLevel="0" collapsed="false">
      <c r="A403" s="39" t="s">
        <v>727</v>
      </c>
      <c r="B403" s="44" t="n">
        <v>46043</v>
      </c>
      <c r="C403" s="39" t="s">
        <v>159</v>
      </c>
      <c r="D403" s="39" t="s">
        <v>138</v>
      </c>
      <c r="E403" s="39" t="n">
        <v>30</v>
      </c>
      <c r="F403" s="39" t="str">
        <f aca="false">IF(COUNTIF(medicine_master!$A$2:$A$26,C403)&gt;0,"Valid","Invalid")</f>
        <v>Valid</v>
      </c>
      <c r="G403" s="39" t="str">
        <f aca="false">IFERROR(INDEX(medicine_master!$B$2:$B$26,MATCH($C403,medicine_master!$A$2:$A$26,0)),"Not found")</f>
        <v>Antiseptic Liquid 100ml</v>
      </c>
      <c r="H403" s="39" t="str">
        <f aca="false">IFERROR(INDEX(medicine_master!$C$2:$C$26,MATCH($C403,medicine_master!$A$2:$A$26,0)),"Not found")</f>
        <v>First Aid</v>
      </c>
      <c r="I403" s="39" t="n">
        <f aca="false">YEAR(B403)</f>
        <v>2026</v>
      </c>
      <c r="J403" s="39" t="n">
        <f aca="false">MONTH(B403)</f>
        <v>1</v>
      </c>
      <c r="K403" s="39" t="str">
        <f aca="false">TEXT(B403,"mmm")</f>
        <v>Jan</v>
      </c>
      <c r="L403" s="45" t="n">
        <f aca="false">IFERROR(INDEX(medicine_master!$I$2:$I$26,MATCH($C403,medicine_master!$A$2:$A$26,0)),0)</f>
        <v>65</v>
      </c>
      <c r="M403" s="45" t="n">
        <f aca="false">IFERROR(INDEX(medicine_master!$G$2:$G$26,MATCH($C403,medicine_master!$A$2:$A$26,0)),0)</f>
        <v>48</v>
      </c>
      <c r="N403" s="45" t="n">
        <f aca="false">IF(D403="Sale",E403*L403,0)</f>
        <v>0</v>
      </c>
      <c r="O403" s="45" t="n">
        <f aca="false">IF(D403="Sale",E403*M403,0)</f>
        <v>0</v>
      </c>
      <c r="P403" s="45" t="n">
        <f aca="false">N403-O403</f>
        <v>0</v>
      </c>
      <c r="Q403" s="45" t="n">
        <f aca="false">IF(D403="Purchase",E403*M403,0)</f>
        <v>1440</v>
      </c>
    </row>
    <row r="404" customFormat="false" ht="15" hidden="false" customHeight="false" outlineLevel="0" collapsed="false">
      <c r="A404" s="39" t="s">
        <v>728</v>
      </c>
      <c r="B404" s="44" t="n">
        <v>46122</v>
      </c>
      <c r="C404" s="39" t="s">
        <v>177</v>
      </c>
      <c r="D404" s="39" t="s">
        <v>137</v>
      </c>
      <c r="E404" s="39" t="n">
        <v>25</v>
      </c>
      <c r="F404" s="39" t="str">
        <f aca="false">IF(COUNTIF(medicine_master!$A$2:$A$26,C404)&gt;0,"Valid","Invalid")</f>
        <v>Valid</v>
      </c>
      <c r="G404" s="39" t="str">
        <f aca="false">IFERROR(INDEX(medicine_master!$B$2:$B$26,MATCH($C404,medicine_master!$A$2:$A$26,0)),"Not found")</f>
        <v>Bandage Roll</v>
      </c>
      <c r="H404" s="39" t="str">
        <f aca="false">IFERROR(INDEX(medicine_master!$C$2:$C$26,MATCH($C404,medicine_master!$A$2:$A$26,0)),"Not found")</f>
        <v>First Aid</v>
      </c>
      <c r="I404" s="39" t="n">
        <f aca="false">YEAR(B404)</f>
        <v>2026</v>
      </c>
      <c r="J404" s="39" t="n">
        <f aca="false">MONTH(B404)</f>
        <v>4</v>
      </c>
      <c r="K404" s="39" t="str">
        <f aca="false">TEXT(B404,"mmm")</f>
        <v>Apr</v>
      </c>
      <c r="L404" s="45" t="n">
        <f aca="false">IFERROR(INDEX(medicine_master!$I$2:$I$26,MATCH($C404,medicine_master!$A$2:$A$26,0)),0)</f>
        <v>25</v>
      </c>
      <c r="M404" s="45" t="n">
        <f aca="false">IFERROR(INDEX(medicine_master!$G$2:$G$26,MATCH($C404,medicine_master!$A$2:$A$26,0)),0)</f>
        <v>15</v>
      </c>
      <c r="N404" s="45" t="n">
        <f aca="false">IF(D404="Sale",E404*L404,0)</f>
        <v>625</v>
      </c>
      <c r="O404" s="45" t="n">
        <f aca="false">IF(D404="Sale",E404*M404,0)</f>
        <v>375</v>
      </c>
      <c r="P404" s="45" t="n">
        <f aca="false">N404-O404</f>
        <v>250</v>
      </c>
      <c r="Q404" s="45" t="n">
        <f aca="false">IF(D404="Purchase",E404*M404,0)</f>
        <v>0</v>
      </c>
    </row>
    <row r="405" customFormat="false" ht="15" hidden="false" customHeight="false" outlineLevel="0" collapsed="false">
      <c r="A405" s="39" t="s">
        <v>729</v>
      </c>
      <c r="B405" s="44" t="n">
        <v>46036</v>
      </c>
      <c r="C405" s="39" t="s">
        <v>153</v>
      </c>
      <c r="D405" s="39" t="s">
        <v>137</v>
      </c>
      <c r="E405" s="39" t="n">
        <v>20</v>
      </c>
      <c r="F405" s="39" t="str">
        <f aca="false">IF(COUNTIF(medicine_master!$A$2:$A$26,C405)&gt;0,"Valid","Invalid")</f>
        <v>Valid</v>
      </c>
      <c r="G405" s="39" t="str">
        <f aca="false">IFERROR(INDEX(medicine_master!$B$2:$B$26,MATCH($C405,medicine_master!$A$2:$A$26,0)),"Not found")</f>
        <v>Atorvastatin 10mg</v>
      </c>
      <c r="H405" s="39" t="str">
        <f aca="false">IFERROR(INDEX(medicine_master!$C$2:$C$26,MATCH($C405,medicine_master!$A$2:$A$26,0)),"Not found")</f>
        <v>Cardiac</v>
      </c>
      <c r="I405" s="39" t="n">
        <f aca="false">YEAR(B405)</f>
        <v>2026</v>
      </c>
      <c r="J405" s="39" t="n">
        <f aca="false">MONTH(B405)</f>
        <v>1</v>
      </c>
      <c r="K405" s="39" t="str">
        <f aca="false">TEXT(B405,"mmm")</f>
        <v>Jan</v>
      </c>
      <c r="L405" s="45" t="n">
        <f aca="false">IFERROR(INDEX(medicine_master!$I$2:$I$26,MATCH($C405,medicine_master!$A$2:$A$26,0)),0)</f>
        <v>28</v>
      </c>
      <c r="M405" s="45" t="n">
        <f aca="false">IFERROR(INDEX(medicine_master!$G$2:$G$26,MATCH($C405,medicine_master!$A$2:$A$26,0)),0)</f>
        <v>19</v>
      </c>
      <c r="N405" s="45" t="n">
        <f aca="false">IF(D405="Sale",E405*L405,0)</f>
        <v>560</v>
      </c>
      <c r="O405" s="45" t="n">
        <f aca="false">IF(D405="Sale",E405*M405,0)</f>
        <v>380</v>
      </c>
      <c r="P405" s="45" t="n">
        <f aca="false">N405-O405</f>
        <v>180</v>
      </c>
      <c r="Q405" s="45" t="n">
        <f aca="false">IF(D405="Purchase",E405*M405,0)</f>
        <v>0</v>
      </c>
    </row>
    <row r="406" customFormat="false" ht="15" hidden="false" customHeight="false" outlineLevel="0" collapsed="false">
      <c r="A406" s="39" t="s">
        <v>730</v>
      </c>
      <c r="B406" s="44" t="n">
        <v>46063</v>
      </c>
      <c r="C406" s="39" t="s">
        <v>321</v>
      </c>
      <c r="D406" s="39" t="s">
        <v>137</v>
      </c>
      <c r="E406" s="39" t="n">
        <v>20</v>
      </c>
      <c r="F406" s="39" t="str">
        <f aca="false">IF(COUNTIF(medicine_master!$A$2:$A$26,C406)&gt;0,"Valid","Invalid")</f>
        <v>Valid</v>
      </c>
      <c r="G406" s="39" t="str">
        <f aca="false">IFERROR(INDEX(medicine_master!$B$2:$B$26,MATCH($C406,medicine_master!$A$2:$A$26,0)),"Not found")</f>
        <v>Levocetirizine 5mg</v>
      </c>
      <c r="H406" s="39" t="str">
        <f aca="false">IFERROR(INDEX(medicine_master!$C$2:$C$26,MATCH($C406,medicine_master!$A$2:$A$26,0)),"Not found")</f>
        <v>Allergy</v>
      </c>
      <c r="I406" s="39" t="n">
        <f aca="false">YEAR(B406)</f>
        <v>2026</v>
      </c>
      <c r="J406" s="39" t="n">
        <f aca="false">MONTH(B406)</f>
        <v>2</v>
      </c>
      <c r="K406" s="39" t="str">
        <f aca="false">TEXT(B406,"mmm")</f>
        <v>Feb</v>
      </c>
      <c r="L406" s="45" t="n">
        <f aca="false">IFERROR(INDEX(medicine_master!$I$2:$I$26,MATCH($C406,medicine_master!$A$2:$A$26,0)),0)</f>
        <v>22</v>
      </c>
      <c r="M406" s="45" t="n">
        <f aca="false">IFERROR(INDEX(medicine_master!$G$2:$G$26,MATCH($C406,medicine_master!$A$2:$A$26,0)),0)</f>
        <v>14</v>
      </c>
      <c r="N406" s="45" t="n">
        <f aca="false">IF(D406="Sale",E406*L406,0)</f>
        <v>440</v>
      </c>
      <c r="O406" s="45" t="n">
        <f aca="false">IF(D406="Sale",E406*M406,0)</f>
        <v>280</v>
      </c>
      <c r="P406" s="45" t="n">
        <f aca="false">N406-O406</f>
        <v>160</v>
      </c>
      <c r="Q406" s="45" t="n">
        <f aca="false">IF(D406="Purchase",E406*M406,0)</f>
        <v>0</v>
      </c>
    </row>
    <row r="407" customFormat="false" ht="15" hidden="false" customHeight="false" outlineLevel="0" collapsed="false">
      <c r="A407" s="39" t="s">
        <v>731</v>
      </c>
      <c r="B407" s="44" t="n">
        <v>46253</v>
      </c>
      <c r="C407" s="39" t="s">
        <v>178</v>
      </c>
      <c r="D407" s="39" t="s">
        <v>137</v>
      </c>
      <c r="E407" s="39" t="n">
        <v>10</v>
      </c>
      <c r="F407" s="39" t="str">
        <f aca="false">IF(COUNTIF(medicine_master!$A$2:$A$26,C407)&gt;0,"Valid","Invalid")</f>
        <v>Valid</v>
      </c>
      <c r="G407" s="39" t="str">
        <f aca="false">IFERROR(INDEX(medicine_master!$B$2:$B$26,MATCH($C407,medicine_master!$A$2:$A$26,0)),"Not found")</f>
        <v>Aspirin 75mg</v>
      </c>
      <c r="H407" s="39" t="str">
        <f aca="false">IFERROR(INDEX(medicine_master!$C$2:$C$26,MATCH($C407,medicine_master!$A$2:$A$26,0)),"Not found")</f>
        <v>Cardiac</v>
      </c>
      <c r="I407" s="39" t="n">
        <f aca="false">YEAR(B407)</f>
        <v>2026</v>
      </c>
      <c r="J407" s="39" t="n">
        <f aca="false">MONTH(B407)</f>
        <v>8</v>
      </c>
      <c r="K407" s="39" t="str">
        <f aca="false">TEXT(B407,"mmm")</f>
        <v>Aug</v>
      </c>
      <c r="L407" s="45" t="n">
        <f aca="false">IFERROR(INDEX(medicine_master!$I$2:$I$26,MATCH($C407,medicine_master!$A$2:$A$26,0)),0)</f>
        <v>15</v>
      </c>
      <c r="M407" s="45" t="n">
        <f aca="false">IFERROR(INDEX(medicine_master!$G$2:$G$26,MATCH($C407,medicine_master!$A$2:$A$26,0)),0)</f>
        <v>10</v>
      </c>
      <c r="N407" s="45" t="n">
        <f aca="false">IF(D407="Sale",E407*L407,0)</f>
        <v>150</v>
      </c>
      <c r="O407" s="45" t="n">
        <f aca="false">IF(D407="Sale",E407*M407,0)</f>
        <v>100</v>
      </c>
      <c r="P407" s="45" t="n">
        <f aca="false">N407-O407</f>
        <v>50</v>
      </c>
      <c r="Q407" s="45" t="n">
        <f aca="false">IF(D407="Purchase",E407*M407,0)</f>
        <v>0</v>
      </c>
    </row>
    <row r="408" customFormat="false" ht="15" hidden="false" customHeight="false" outlineLevel="0" collapsed="false">
      <c r="A408" s="39" t="s">
        <v>732</v>
      </c>
      <c r="B408" s="44" t="n">
        <v>46167</v>
      </c>
      <c r="C408" s="39" t="s">
        <v>178</v>
      </c>
      <c r="D408" s="39" t="s">
        <v>137</v>
      </c>
      <c r="E408" s="39" t="n">
        <v>15</v>
      </c>
      <c r="F408" s="39" t="str">
        <f aca="false">IF(COUNTIF(medicine_master!$A$2:$A$26,C408)&gt;0,"Valid","Invalid")</f>
        <v>Valid</v>
      </c>
      <c r="G408" s="39" t="str">
        <f aca="false">IFERROR(INDEX(medicine_master!$B$2:$B$26,MATCH($C408,medicine_master!$A$2:$A$26,0)),"Not found")</f>
        <v>Aspirin 75mg</v>
      </c>
      <c r="H408" s="39" t="str">
        <f aca="false">IFERROR(INDEX(medicine_master!$C$2:$C$26,MATCH($C408,medicine_master!$A$2:$A$26,0)),"Not found")</f>
        <v>Cardiac</v>
      </c>
      <c r="I408" s="39" t="n">
        <f aca="false">YEAR(B408)</f>
        <v>2026</v>
      </c>
      <c r="J408" s="39" t="n">
        <f aca="false">MONTH(B408)</f>
        <v>5</v>
      </c>
      <c r="K408" s="39" t="str">
        <f aca="false">TEXT(B408,"mmm")</f>
        <v>May</v>
      </c>
      <c r="L408" s="45" t="n">
        <f aca="false">IFERROR(INDEX(medicine_master!$I$2:$I$26,MATCH($C408,medicine_master!$A$2:$A$26,0)),0)</f>
        <v>15</v>
      </c>
      <c r="M408" s="45" t="n">
        <f aca="false">IFERROR(INDEX(medicine_master!$G$2:$G$26,MATCH($C408,medicine_master!$A$2:$A$26,0)),0)</f>
        <v>10</v>
      </c>
      <c r="N408" s="45" t="n">
        <f aca="false">IF(D408="Sale",E408*L408,0)</f>
        <v>225</v>
      </c>
      <c r="O408" s="45" t="n">
        <f aca="false">IF(D408="Sale",E408*M408,0)</f>
        <v>150</v>
      </c>
      <c r="P408" s="45" t="n">
        <f aca="false">N408-O408</f>
        <v>75</v>
      </c>
      <c r="Q408" s="45" t="n">
        <f aca="false">IF(D408="Purchase",E408*M408,0)</f>
        <v>0</v>
      </c>
    </row>
    <row r="409" customFormat="false" ht="15" hidden="false" customHeight="false" outlineLevel="0" collapsed="false">
      <c r="A409" s="39" t="s">
        <v>733</v>
      </c>
      <c r="B409" s="44" t="n">
        <v>46251</v>
      </c>
      <c r="C409" s="39" t="s">
        <v>152</v>
      </c>
      <c r="D409" s="39" t="s">
        <v>138</v>
      </c>
      <c r="E409" s="39" t="n">
        <v>30</v>
      </c>
      <c r="F409" s="39" t="str">
        <f aca="false">IF(COUNTIF(medicine_master!$A$2:$A$26,C409)&gt;0,"Valid","Invalid")</f>
        <v>Valid</v>
      </c>
      <c r="G409" s="39" t="str">
        <f aca="false">IFERROR(INDEX(medicine_master!$B$2:$B$26,MATCH($C409,medicine_master!$A$2:$A$26,0)),"Not found")</f>
        <v>Amoxicillin 500mg</v>
      </c>
      <c r="H409" s="39" t="str">
        <f aca="false">IFERROR(INDEX(medicine_master!$C$2:$C$26,MATCH($C409,medicine_master!$A$2:$A$26,0)),"Not found")</f>
        <v>Antibiotic</v>
      </c>
      <c r="I409" s="39" t="n">
        <f aca="false">YEAR(B409)</f>
        <v>2026</v>
      </c>
      <c r="J409" s="39" t="n">
        <f aca="false">MONTH(B409)</f>
        <v>8</v>
      </c>
      <c r="K409" s="39" t="str">
        <f aca="false">TEXT(B409,"mmm")</f>
        <v>Aug</v>
      </c>
      <c r="L409" s="45" t="n">
        <f aca="false">IFERROR(INDEX(medicine_master!$I$2:$I$26,MATCH($C409,medicine_master!$A$2:$A$26,0)),0)</f>
        <v>40</v>
      </c>
      <c r="M409" s="45" t="n">
        <f aca="false">IFERROR(INDEX(medicine_master!$G$2:$G$26,MATCH($C409,medicine_master!$A$2:$A$26,0)),0)</f>
        <v>28</v>
      </c>
      <c r="N409" s="45" t="n">
        <f aca="false">IF(D409="Sale",E409*L409,0)</f>
        <v>0</v>
      </c>
      <c r="O409" s="45" t="n">
        <f aca="false">IF(D409="Sale",E409*M409,0)</f>
        <v>0</v>
      </c>
      <c r="P409" s="45" t="n">
        <f aca="false">N409-O409</f>
        <v>0</v>
      </c>
      <c r="Q409" s="45" t="n">
        <f aca="false">IF(D409="Purchase",E409*M409,0)</f>
        <v>840</v>
      </c>
    </row>
    <row r="410" customFormat="false" ht="15" hidden="false" customHeight="false" outlineLevel="0" collapsed="false">
      <c r="A410" s="39" t="s">
        <v>734</v>
      </c>
      <c r="B410" s="44" t="n">
        <v>46186</v>
      </c>
      <c r="C410" s="39" t="s">
        <v>167</v>
      </c>
      <c r="D410" s="39" t="s">
        <v>138</v>
      </c>
      <c r="E410" s="39" t="n">
        <v>15</v>
      </c>
      <c r="F410" s="39" t="str">
        <f aca="false">IF(COUNTIF(medicine_master!$A$2:$A$26,C410)&gt;0,"Valid","Invalid")</f>
        <v>Valid</v>
      </c>
      <c r="G410" s="39" t="str">
        <f aca="false">IFERROR(INDEX(medicine_master!$B$2:$B$26,MATCH($C410,medicine_master!$A$2:$A$26,0)),"Not found")</f>
        <v>Amlodipine 5mg</v>
      </c>
      <c r="H410" s="39" t="str">
        <f aca="false">IFERROR(INDEX(medicine_master!$C$2:$C$26,MATCH($C410,medicine_master!$A$2:$A$26,0)),"Not found")</f>
        <v>Cardiac</v>
      </c>
      <c r="I410" s="39" t="n">
        <f aca="false">YEAR(B410)</f>
        <v>2026</v>
      </c>
      <c r="J410" s="39" t="n">
        <f aca="false">MONTH(B410)</f>
        <v>6</v>
      </c>
      <c r="K410" s="39" t="str">
        <f aca="false">TEXT(B410,"mmm")</f>
        <v>Jun</v>
      </c>
      <c r="L410" s="45" t="n">
        <f aca="false">IFERROR(INDEX(medicine_master!$I$2:$I$26,MATCH($C410,medicine_master!$A$2:$A$26,0)),0)</f>
        <v>19</v>
      </c>
      <c r="M410" s="45" t="n">
        <f aca="false">IFERROR(INDEX(medicine_master!$G$2:$G$26,MATCH($C410,medicine_master!$A$2:$A$26,0)),0)</f>
        <v>13</v>
      </c>
      <c r="N410" s="45" t="n">
        <f aca="false">IF(D410="Sale",E410*L410,0)</f>
        <v>0</v>
      </c>
      <c r="O410" s="45" t="n">
        <f aca="false">IF(D410="Sale",E410*M410,0)</f>
        <v>0</v>
      </c>
      <c r="P410" s="45" t="n">
        <f aca="false">N410-O410</f>
        <v>0</v>
      </c>
      <c r="Q410" s="45" t="n">
        <f aca="false">IF(D410="Purchase",E410*M410,0)</f>
        <v>195</v>
      </c>
    </row>
    <row r="411" customFormat="false" ht="15" hidden="false" customHeight="false" outlineLevel="0" collapsed="false">
      <c r="A411" s="39" t="s">
        <v>735</v>
      </c>
      <c r="B411" s="44" t="n">
        <v>46032</v>
      </c>
      <c r="C411" s="39" t="s">
        <v>151</v>
      </c>
      <c r="D411" s="39" t="s">
        <v>137</v>
      </c>
      <c r="E411" s="39" t="n">
        <v>15</v>
      </c>
      <c r="F411" s="39" t="str">
        <f aca="false">IF(COUNTIF(medicine_master!$A$2:$A$26,C411)&gt;0,"Valid","Invalid")</f>
        <v>Valid</v>
      </c>
      <c r="G411" s="39" t="str">
        <f aca="false">IFERROR(INDEX(medicine_master!$B$2:$B$26,MATCH($C411,medicine_master!$A$2:$A$26,0)),"Not found")</f>
        <v>Cetirizine 10mg</v>
      </c>
      <c r="H411" s="39" t="str">
        <f aca="false">IFERROR(INDEX(medicine_master!$C$2:$C$26,MATCH($C411,medicine_master!$A$2:$A$26,0)),"Not found")</f>
        <v>Allergy</v>
      </c>
      <c r="I411" s="39" t="n">
        <f aca="false">YEAR(B411)</f>
        <v>2026</v>
      </c>
      <c r="J411" s="39" t="n">
        <f aca="false">MONTH(B411)</f>
        <v>1</v>
      </c>
      <c r="K411" s="39" t="str">
        <f aca="false">TEXT(B411,"mmm")</f>
        <v>Jan</v>
      </c>
      <c r="L411" s="45" t="n">
        <f aca="false">IFERROR(INDEX(medicine_master!$I$2:$I$26,MATCH($C411,medicine_master!$A$2:$A$26,0)),0)</f>
        <v>13</v>
      </c>
      <c r="M411" s="45" t="n">
        <f aca="false">IFERROR(INDEX(medicine_master!$G$2:$G$26,MATCH($C411,medicine_master!$A$2:$A$26,0)),0)</f>
        <v>8</v>
      </c>
      <c r="N411" s="45" t="n">
        <f aca="false">IF(D411="Sale",E411*L411,0)</f>
        <v>195</v>
      </c>
      <c r="O411" s="45" t="n">
        <f aca="false">IF(D411="Sale",E411*M411,0)</f>
        <v>120</v>
      </c>
      <c r="P411" s="45" t="n">
        <f aca="false">N411-O411</f>
        <v>75</v>
      </c>
      <c r="Q411" s="45" t="n">
        <f aca="false">IF(D411="Purchase",E411*M411,0)</f>
        <v>0</v>
      </c>
    </row>
    <row r="412" customFormat="false" ht="15" hidden="false" customHeight="false" outlineLevel="0" collapsed="false">
      <c r="A412" s="39" t="s">
        <v>736</v>
      </c>
      <c r="B412" s="44" t="n">
        <v>46115</v>
      </c>
      <c r="C412" s="39" t="s">
        <v>150</v>
      </c>
      <c r="D412" s="39" t="s">
        <v>137</v>
      </c>
      <c r="E412" s="39" t="n">
        <v>10</v>
      </c>
      <c r="F412" s="39" t="str">
        <f aca="false">IF(COUNTIF(medicine_master!$A$2:$A$26,C412)&gt;0,"Valid","Invalid")</f>
        <v>Valid</v>
      </c>
      <c r="G412" s="39" t="str">
        <f aca="false">IFERROR(INDEX(medicine_master!$B$2:$B$26,MATCH($C412,medicine_master!$A$2:$A$26,0)),"Not found")</f>
        <v>Pantoprazole 40mg</v>
      </c>
      <c r="H412" s="39" t="str">
        <f aca="false">IFERROR(INDEX(medicine_master!$C$2:$C$26,MATCH($C412,medicine_master!$A$2:$A$26,0)),"Not found")</f>
        <v>Gastric</v>
      </c>
      <c r="I412" s="39" t="n">
        <f aca="false">YEAR(B412)</f>
        <v>2026</v>
      </c>
      <c r="J412" s="39" t="n">
        <f aca="false">MONTH(B412)</f>
        <v>4</v>
      </c>
      <c r="K412" s="39" t="str">
        <f aca="false">TEXT(B412,"mmm")</f>
        <v>Apr</v>
      </c>
      <c r="L412" s="45" t="n">
        <f aca="false">IFERROR(INDEX(medicine_master!$I$2:$I$26,MATCH($C412,medicine_master!$A$2:$A$26,0)),0)</f>
        <v>35</v>
      </c>
      <c r="M412" s="45" t="n">
        <f aca="false">IFERROR(INDEX(medicine_master!$G$2:$G$26,MATCH($C412,medicine_master!$A$2:$A$26,0)),0)</f>
        <v>24</v>
      </c>
      <c r="N412" s="45" t="n">
        <f aca="false">IF(D412="Sale",E412*L412,0)</f>
        <v>350</v>
      </c>
      <c r="O412" s="45" t="n">
        <f aca="false">IF(D412="Sale",E412*M412,0)</f>
        <v>240</v>
      </c>
      <c r="P412" s="45" t="n">
        <f aca="false">N412-O412</f>
        <v>110</v>
      </c>
      <c r="Q412" s="45" t="n">
        <f aca="false">IF(D412="Purchase",E412*M412,0)</f>
        <v>0</v>
      </c>
    </row>
    <row r="413" customFormat="false" ht="15" hidden="false" customHeight="false" outlineLevel="0" collapsed="false">
      <c r="A413" s="39" t="s">
        <v>737</v>
      </c>
      <c r="B413" s="44" t="n">
        <v>46155</v>
      </c>
      <c r="C413" s="39" t="s">
        <v>146</v>
      </c>
      <c r="D413" s="39" t="s">
        <v>137</v>
      </c>
      <c r="E413" s="39" t="n">
        <v>50</v>
      </c>
      <c r="F413" s="39" t="str">
        <f aca="false">IF(COUNTIF(medicine_master!$A$2:$A$26,C413)&gt;0,"Valid","Invalid")</f>
        <v>Valid</v>
      </c>
      <c r="G413" s="39" t="str">
        <f aca="false">IFERROR(INDEX(medicine_master!$B$2:$B$26,MATCH($C413,medicine_master!$A$2:$A$26,0)),"Not found")</f>
        <v>Diclofenac Gel</v>
      </c>
      <c r="H413" s="39" t="str">
        <f aca="false">IFERROR(INDEX(medicine_master!$C$2:$C$26,MATCH($C413,medicine_master!$A$2:$A$26,0)),"Not found")</f>
        <v>Pain Relief</v>
      </c>
      <c r="I413" s="39" t="n">
        <f aca="false">YEAR(B413)</f>
        <v>2026</v>
      </c>
      <c r="J413" s="39" t="n">
        <f aca="false">MONTH(B413)</f>
        <v>5</v>
      </c>
      <c r="K413" s="39" t="str">
        <f aca="false">TEXT(B413,"mmm")</f>
        <v>May</v>
      </c>
      <c r="L413" s="45" t="n">
        <f aca="false">IFERROR(INDEX(medicine_master!$I$2:$I$26,MATCH($C413,medicine_master!$A$2:$A$26,0)),0)</f>
        <v>55</v>
      </c>
      <c r="M413" s="45" t="n">
        <f aca="false">IFERROR(INDEX(medicine_master!$G$2:$G$26,MATCH($C413,medicine_master!$A$2:$A$26,0)),0)</f>
        <v>38</v>
      </c>
      <c r="N413" s="45" t="n">
        <f aca="false">IF(D413="Sale",E413*L413,0)</f>
        <v>2750</v>
      </c>
      <c r="O413" s="45" t="n">
        <f aca="false">IF(D413="Sale",E413*M413,0)</f>
        <v>1900</v>
      </c>
      <c r="P413" s="45" t="n">
        <f aca="false">N413-O413</f>
        <v>850</v>
      </c>
      <c r="Q413" s="45" t="n">
        <f aca="false">IF(D413="Purchase",E413*M413,0)</f>
        <v>0</v>
      </c>
    </row>
    <row r="414" customFormat="false" ht="15" hidden="false" customHeight="false" outlineLevel="0" collapsed="false">
      <c r="A414" s="39" t="s">
        <v>738</v>
      </c>
      <c r="B414" s="44" t="n">
        <v>46335</v>
      </c>
      <c r="C414" s="39" t="s">
        <v>321</v>
      </c>
      <c r="D414" s="39" t="s">
        <v>138</v>
      </c>
      <c r="E414" s="39" t="n">
        <v>5</v>
      </c>
      <c r="F414" s="39" t="str">
        <f aca="false">IF(COUNTIF(medicine_master!$A$2:$A$26,C414)&gt;0,"Valid","Invalid")</f>
        <v>Valid</v>
      </c>
      <c r="G414" s="39" t="str">
        <f aca="false">IFERROR(INDEX(medicine_master!$B$2:$B$26,MATCH($C414,medicine_master!$A$2:$A$26,0)),"Not found")</f>
        <v>Levocetirizine 5mg</v>
      </c>
      <c r="H414" s="39" t="str">
        <f aca="false">IFERROR(INDEX(medicine_master!$C$2:$C$26,MATCH($C414,medicine_master!$A$2:$A$26,0)),"Not found")</f>
        <v>Allergy</v>
      </c>
      <c r="I414" s="39" t="n">
        <f aca="false">YEAR(B414)</f>
        <v>2026</v>
      </c>
      <c r="J414" s="39" t="n">
        <f aca="false">MONTH(B414)</f>
        <v>11</v>
      </c>
      <c r="K414" s="39" t="str">
        <f aca="false">TEXT(B414,"mmm")</f>
        <v>Nov</v>
      </c>
      <c r="L414" s="45" t="n">
        <f aca="false">IFERROR(INDEX(medicine_master!$I$2:$I$26,MATCH($C414,medicine_master!$A$2:$A$26,0)),0)</f>
        <v>22</v>
      </c>
      <c r="M414" s="45" t="n">
        <f aca="false">IFERROR(INDEX(medicine_master!$G$2:$G$26,MATCH($C414,medicine_master!$A$2:$A$26,0)),0)</f>
        <v>14</v>
      </c>
      <c r="N414" s="45" t="n">
        <f aca="false">IF(D414="Sale",E414*L414,0)</f>
        <v>0</v>
      </c>
      <c r="O414" s="45" t="n">
        <f aca="false">IF(D414="Sale",E414*M414,0)</f>
        <v>0</v>
      </c>
      <c r="P414" s="45" t="n">
        <f aca="false">N414-O414</f>
        <v>0</v>
      </c>
      <c r="Q414" s="45" t="n">
        <f aca="false">IF(D414="Purchase",E414*M414,0)</f>
        <v>70</v>
      </c>
    </row>
    <row r="415" customFormat="false" ht="15" hidden="false" customHeight="false" outlineLevel="0" collapsed="false">
      <c r="A415" s="39" t="s">
        <v>739</v>
      </c>
      <c r="B415" s="44" t="n">
        <v>46197</v>
      </c>
      <c r="C415" s="39" t="s">
        <v>152</v>
      </c>
      <c r="D415" s="39" t="s">
        <v>137</v>
      </c>
      <c r="E415" s="39" t="n">
        <v>30</v>
      </c>
      <c r="F415" s="39" t="str">
        <f aca="false">IF(COUNTIF(medicine_master!$A$2:$A$26,C415)&gt;0,"Valid","Invalid")</f>
        <v>Valid</v>
      </c>
      <c r="G415" s="39" t="str">
        <f aca="false">IFERROR(INDEX(medicine_master!$B$2:$B$26,MATCH($C415,medicine_master!$A$2:$A$26,0)),"Not found")</f>
        <v>Amoxicillin 500mg</v>
      </c>
      <c r="H415" s="39" t="str">
        <f aca="false">IFERROR(INDEX(medicine_master!$C$2:$C$26,MATCH($C415,medicine_master!$A$2:$A$26,0)),"Not found")</f>
        <v>Antibiotic</v>
      </c>
      <c r="I415" s="39" t="n">
        <f aca="false">YEAR(B415)</f>
        <v>2026</v>
      </c>
      <c r="J415" s="39" t="n">
        <f aca="false">MONTH(B415)</f>
        <v>6</v>
      </c>
      <c r="K415" s="39" t="str">
        <f aca="false">TEXT(B415,"mmm")</f>
        <v>Jun</v>
      </c>
      <c r="L415" s="45" t="n">
        <f aca="false">IFERROR(INDEX(medicine_master!$I$2:$I$26,MATCH($C415,medicine_master!$A$2:$A$26,0)),0)</f>
        <v>40</v>
      </c>
      <c r="M415" s="45" t="n">
        <f aca="false">IFERROR(INDEX(medicine_master!$G$2:$G$26,MATCH($C415,medicine_master!$A$2:$A$26,0)),0)</f>
        <v>28</v>
      </c>
      <c r="N415" s="45" t="n">
        <f aca="false">IF(D415="Sale",E415*L415,0)</f>
        <v>1200</v>
      </c>
      <c r="O415" s="45" t="n">
        <f aca="false">IF(D415="Sale",E415*M415,0)</f>
        <v>840</v>
      </c>
      <c r="P415" s="45" t="n">
        <f aca="false">N415-O415</f>
        <v>360</v>
      </c>
      <c r="Q415" s="45" t="n">
        <f aca="false">IF(D415="Purchase",E415*M415,0)</f>
        <v>0</v>
      </c>
    </row>
    <row r="416" customFormat="false" ht="15" hidden="false" customHeight="false" outlineLevel="0" collapsed="false">
      <c r="A416" s="39" t="s">
        <v>740</v>
      </c>
      <c r="B416" s="44" t="n">
        <v>46142</v>
      </c>
      <c r="C416" s="39" t="s">
        <v>144</v>
      </c>
      <c r="D416" s="39" t="s">
        <v>137</v>
      </c>
      <c r="E416" s="39" t="n">
        <v>40</v>
      </c>
      <c r="F416" s="39" t="str">
        <f aca="false">IF(COUNTIF(medicine_master!$A$2:$A$26,C416)&gt;0,"Valid","Invalid")</f>
        <v>Valid</v>
      </c>
      <c r="G416" s="39" t="str">
        <f aca="false">IFERROR(INDEX(medicine_master!$B$2:$B$26,MATCH($C416,medicine_master!$A$2:$A$26,0)),"Not found")</f>
        <v>Glimepiride 2mg</v>
      </c>
      <c r="H416" s="39" t="str">
        <f aca="false">IFERROR(INDEX(medicine_master!$C$2:$C$26,MATCH($C416,medicine_master!$A$2:$A$26,0)),"Not found")</f>
        <v>Diabetes</v>
      </c>
      <c r="I416" s="39" t="n">
        <f aca="false">YEAR(B416)</f>
        <v>2026</v>
      </c>
      <c r="J416" s="39" t="n">
        <f aca="false">MONTH(B416)</f>
        <v>4</v>
      </c>
      <c r="K416" s="39" t="str">
        <f aca="false">TEXT(B416,"mmm")</f>
        <v>Apr</v>
      </c>
      <c r="L416" s="45" t="n">
        <f aca="false">IFERROR(INDEX(medicine_master!$I$2:$I$26,MATCH($C416,medicine_master!$A$2:$A$26,0)),0)</f>
        <v>52</v>
      </c>
      <c r="M416" s="45" t="n">
        <f aca="false">IFERROR(INDEX(medicine_master!$G$2:$G$26,MATCH($C416,medicine_master!$A$2:$A$26,0)),0)</f>
        <v>38</v>
      </c>
      <c r="N416" s="45" t="n">
        <f aca="false">IF(D416="Sale",E416*L416,0)</f>
        <v>2080</v>
      </c>
      <c r="O416" s="45" t="n">
        <f aca="false">IF(D416="Sale",E416*M416,0)</f>
        <v>1520</v>
      </c>
      <c r="P416" s="45" t="n">
        <f aca="false">N416-O416</f>
        <v>560</v>
      </c>
      <c r="Q416" s="45" t="n">
        <f aca="false">IF(D416="Purchase",E416*M416,0)</f>
        <v>0</v>
      </c>
    </row>
    <row r="417" customFormat="false" ht="15" hidden="false" customHeight="false" outlineLevel="0" collapsed="false">
      <c r="A417" s="39" t="s">
        <v>741</v>
      </c>
      <c r="B417" s="44" t="n">
        <v>46130</v>
      </c>
      <c r="C417" s="39" t="s">
        <v>146</v>
      </c>
      <c r="D417" s="39" t="s">
        <v>138</v>
      </c>
      <c r="E417" s="39" t="n">
        <v>5</v>
      </c>
      <c r="F417" s="39" t="str">
        <f aca="false">IF(COUNTIF(medicine_master!$A$2:$A$26,C417)&gt;0,"Valid","Invalid")</f>
        <v>Valid</v>
      </c>
      <c r="G417" s="39" t="str">
        <f aca="false">IFERROR(INDEX(medicine_master!$B$2:$B$26,MATCH($C417,medicine_master!$A$2:$A$26,0)),"Not found")</f>
        <v>Diclofenac Gel</v>
      </c>
      <c r="H417" s="39" t="str">
        <f aca="false">IFERROR(INDEX(medicine_master!$C$2:$C$26,MATCH($C417,medicine_master!$A$2:$A$26,0)),"Not found")</f>
        <v>Pain Relief</v>
      </c>
      <c r="I417" s="39" t="n">
        <f aca="false">YEAR(B417)</f>
        <v>2026</v>
      </c>
      <c r="J417" s="39" t="n">
        <f aca="false">MONTH(B417)</f>
        <v>4</v>
      </c>
      <c r="K417" s="39" t="str">
        <f aca="false">TEXT(B417,"mmm")</f>
        <v>Apr</v>
      </c>
      <c r="L417" s="45" t="n">
        <f aca="false">IFERROR(INDEX(medicine_master!$I$2:$I$26,MATCH($C417,medicine_master!$A$2:$A$26,0)),0)</f>
        <v>55</v>
      </c>
      <c r="M417" s="45" t="n">
        <f aca="false">IFERROR(INDEX(medicine_master!$G$2:$G$26,MATCH($C417,medicine_master!$A$2:$A$26,0)),0)</f>
        <v>38</v>
      </c>
      <c r="N417" s="45" t="n">
        <f aca="false">IF(D417="Sale",E417*L417,0)</f>
        <v>0</v>
      </c>
      <c r="O417" s="45" t="n">
        <f aca="false">IF(D417="Sale",E417*M417,0)</f>
        <v>0</v>
      </c>
      <c r="P417" s="45" t="n">
        <f aca="false">N417-O417</f>
        <v>0</v>
      </c>
      <c r="Q417" s="45" t="n">
        <f aca="false">IF(D417="Purchase",E417*M417,0)</f>
        <v>190</v>
      </c>
    </row>
    <row r="418" customFormat="false" ht="15" hidden="false" customHeight="false" outlineLevel="0" collapsed="false">
      <c r="A418" s="39" t="s">
        <v>742</v>
      </c>
      <c r="B418" s="44" t="n">
        <v>46315</v>
      </c>
      <c r="C418" s="39" t="s">
        <v>146</v>
      </c>
      <c r="D418" s="39" t="s">
        <v>138</v>
      </c>
      <c r="E418" s="39" t="n">
        <v>25</v>
      </c>
      <c r="F418" s="39" t="str">
        <f aca="false">IF(COUNTIF(medicine_master!$A$2:$A$26,C418)&gt;0,"Valid","Invalid")</f>
        <v>Valid</v>
      </c>
      <c r="G418" s="39" t="str">
        <f aca="false">IFERROR(INDEX(medicine_master!$B$2:$B$26,MATCH($C418,medicine_master!$A$2:$A$26,0)),"Not found")</f>
        <v>Diclofenac Gel</v>
      </c>
      <c r="H418" s="39" t="str">
        <f aca="false">IFERROR(INDEX(medicine_master!$C$2:$C$26,MATCH($C418,medicine_master!$A$2:$A$26,0)),"Not found")</f>
        <v>Pain Relief</v>
      </c>
      <c r="I418" s="39" t="n">
        <f aca="false">YEAR(B418)</f>
        <v>2026</v>
      </c>
      <c r="J418" s="39" t="n">
        <f aca="false">MONTH(B418)</f>
        <v>10</v>
      </c>
      <c r="K418" s="39" t="str">
        <f aca="false">TEXT(B418,"mmm")</f>
        <v>Oct</v>
      </c>
      <c r="L418" s="45" t="n">
        <f aca="false">IFERROR(INDEX(medicine_master!$I$2:$I$26,MATCH($C418,medicine_master!$A$2:$A$26,0)),0)</f>
        <v>55</v>
      </c>
      <c r="M418" s="45" t="n">
        <f aca="false">IFERROR(INDEX(medicine_master!$G$2:$G$26,MATCH($C418,medicine_master!$A$2:$A$26,0)),0)</f>
        <v>38</v>
      </c>
      <c r="N418" s="45" t="n">
        <f aca="false">IF(D418="Sale",E418*L418,0)</f>
        <v>0</v>
      </c>
      <c r="O418" s="45" t="n">
        <f aca="false">IF(D418="Sale",E418*M418,0)</f>
        <v>0</v>
      </c>
      <c r="P418" s="45" t="n">
        <f aca="false">N418-O418</f>
        <v>0</v>
      </c>
      <c r="Q418" s="45" t="n">
        <f aca="false">IF(D418="Purchase",E418*M418,0)</f>
        <v>950</v>
      </c>
    </row>
    <row r="419" customFormat="false" ht="15" hidden="false" customHeight="false" outlineLevel="0" collapsed="false">
      <c r="A419" s="39" t="s">
        <v>743</v>
      </c>
      <c r="B419" s="44" t="n">
        <v>46057</v>
      </c>
      <c r="C419" s="39" t="s">
        <v>158</v>
      </c>
      <c r="D419" s="39" t="s">
        <v>138</v>
      </c>
      <c r="E419" s="39" t="n">
        <v>10</v>
      </c>
      <c r="F419" s="39" t="str">
        <f aca="false">IF(COUNTIF(medicine_master!$A$2:$A$26,C419)&gt;0,"Valid","Invalid")</f>
        <v>Valid</v>
      </c>
      <c r="G419" s="39" t="str">
        <f aca="false">IFERROR(INDEX(medicine_master!$B$2:$B$26,MATCH($C419,medicine_master!$A$2:$A$26,0)),"Not found")</f>
        <v>Cough Syrup 100ml</v>
      </c>
      <c r="H419" s="39" t="str">
        <f aca="false">IFERROR(INDEX(medicine_master!$C$2:$C$26,MATCH($C419,medicine_master!$A$2:$A$26,0)),"Not found")</f>
        <v>Cold &amp; Cough</v>
      </c>
      <c r="I419" s="39" t="n">
        <f aca="false">YEAR(B419)</f>
        <v>2026</v>
      </c>
      <c r="J419" s="39" t="n">
        <f aca="false">MONTH(B419)</f>
        <v>2</v>
      </c>
      <c r="K419" s="39" t="str">
        <f aca="false">TEXT(B419,"mmm")</f>
        <v>Feb</v>
      </c>
      <c r="L419" s="45" t="n">
        <f aca="false">IFERROR(INDEX(medicine_master!$I$2:$I$26,MATCH($C419,medicine_master!$A$2:$A$26,0)),0)</f>
        <v>72</v>
      </c>
      <c r="M419" s="45" t="n">
        <f aca="false">IFERROR(INDEX(medicine_master!$G$2:$G$26,MATCH($C419,medicine_master!$A$2:$A$26,0)),0)</f>
        <v>52</v>
      </c>
      <c r="N419" s="45" t="n">
        <f aca="false">IF(D419="Sale",E419*L419,0)</f>
        <v>0</v>
      </c>
      <c r="O419" s="45" t="n">
        <f aca="false">IF(D419="Sale",E419*M419,0)</f>
        <v>0</v>
      </c>
      <c r="P419" s="45" t="n">
        <f aca="false">N419-O419</f>
        <v>0</v>
      </c>
      <c r="Q419" s="45" t="n">
        <f aca="false">IF(D419="Purchase",E419*M419,0)</f>
        <v>520</v>
      </c>
    </row>
    <row r="420" customFormat="false" ht="15" hidden="false" customHeight="false" outlineLevel="0" collapsed="false">
      <c r="A420" s="39" t="s">
        <v>744</v>
      </c>
      <c r="B420" s="44" t="n">
        <v>46183</v>
      </c>
      <c r="C420" s="39" t="s">
        <v>145</v>
      </c>
      <c r="D420" s="39" t="s">
        <v>137</v>
      </c>
      <c r="E420" s="39" t="n">
        <v>25</v>
      </c>
      <c r="F420" s="39" t="str">
        <f aca="false">IF(COUNTIF(medicine_master!$A$2:$A$26,C420)&gt;0,"Valid","Invalid")</f>
        <v>Valid</v>
      </c>
      <c r="G420" s="39" t="str">
        <f aca="false">IFERROR(INDEX(medicine_master!$B$2:$B$26,MATCH($C420,medicine_master!$A$2:$A$26,0)),"Not found")</f>
        <v>Clotrimazole Cream</v>
      </c>
      <c r="H420" s="39" t="str">
        <f aca="false">IFERROR(INDEX(medicine_master!$C$2:$C$26,MATCH($C420,medicine_master!$A$2:$A$26,0)),"Not found")</f>
        <v>Dermatology</v>
      </c>
      <c r="I420" s="39" t="n">
        <f aca="false">YEAR(B420)</f>
        <v>2026</v>
      </c>
      <c r="J420" s="39" t="n">
        <f aca="false">MONTH(B420)</f>
        <v>6</v>
      </c>
      <c r="K420" s="39" t="str">
        <f aca="false">TEXT(B420,"mmm")</f>
        <v>Jun</v>
      </c>
      <c r="L420" s="45" t="n">
        <f aca="false">IFERROR(INDEX(medicine_master!$I$2:$I$26,MATCH($C420,medicine_master!$A$2:$A$26,0)),0)</f>
        <v>48</v>
      </c>
      <c r="M420" s="45" t="n">
        <f aca="false">IFERROR(INDEX(medicine_master!$G$2:$G$26,MATCH($C420,medicine_master!$A$2:$A$26,0)),0)</f>
        <v>32</v>
      </c>
      <c r="N420" s="45" t="n">
        <f aca="false">IF(D420="Sale",E420*L420,0)</f>
        <v>1200</v>
      </c>
      <c r="O420" s="45" t="n">
        <f aca="false">IF(D420="Sale",E420*M420,0)</f>
        <v>800</v>
      </c>
      <c r="P420" s="45" t="n">
        <f aca="false">N420-O420</f>
        <v>400</v>
      </c>
      <c r="Q420" s="45" t="n">
        <f aca="false">IF(D420="Purchase",E420*M420,0)</f>
        <v>0</v>
      </c>
    </row>
    <row r="421" customFormat="false" ht="15" hidden="false" customHeight="false" outlineLevel="0" collapsed="false">
      <c r="A421" s="39" t="s">
        <v>745</v>
      </c>
      <c r="B421" s="44" t="n">
        <v>46298</v>
      </c>
      <c r="C421" s="39" t="s">
        <v>390</v>
      </c>
      <c r="D421" s="39" t="s">
        <v>137</v>
      </c>
      <c r="E421" s="39" t="n">
        <v>25</v>
      </c>
      <c r="F421" s="39" t="str">
        <f aca="false">IF(COUNTIF(medicine_master!$A$2:$A$26,C421)&gt;0,"Valid","Invalid")</f>
        <v>Valid</v>
      </c>
      <c r="G421" s="39" t="str">
        <f aca="false">IFERROR(INDEX(medicine_master!$B$2:$B$26,MATCH($C421,medicine_master!$A$2:$A$26,0)),"Not found")</f>
        <v>Montelukast 10mg</v>
      </c>
      <c r="H421" s="39" t="str">
        <f aca="false">IFERROR(INDEX(medicine_master!$C$2:$C$26,MATCH($C421,medicine_master!$A$2:$A$26,0)),"Not found")</f>
        <v>Allergy</v>
      </c>
      <c r="I421" s="39" t="n">
        <f aca="false">YEAR(B421)</f>
        <v>2026</v>
      </c>
      <c r="J421" s="39" t="n">
        <f aca="false">MONTH(B421)</f>
        <v>10</v>
      </c>
      <c r="K421" s="39" t="str">
        <f aca="false">TEXT(B421,"mmm")</f>
        <v>Oct</v>
      </c>
      <c r="L421" s="45" t="n">
        <f aca="false">IFERROR(INDEX(medicine_master!$I$2:$I$26,MATCH($C421,medicine_master!$A$2:$A$26,0)),0)</f>
        <v>39</v>
      </c>
      <c r="M421" s="45" t="n">
        <f aca="false">IFERROR(INDEX(medicine_master!$G$2:$G$26,MATCH($C421,medicine_master!$A$2:$A$26,0)),0)</f>
        <v>27</v>
      </c>
      <c r="N421" s="45" t="n">
        <f aca="false">IF(D421="Sale",E421*L421,0)</f>
        <v>975</v>
      </c>
      <c r="O421" s="45" t="n">
        <f aca="false">IF(D421="Sale",E421*M421,0)</f>
        <v>675</v>
      </c>
      <c r="P421" s="45" t="n">
        <f aca="false">N421-O421</f>
        <v>300</v>
      </c>
      <c r="Q421" s="45" t="n">
        <f aca="false">IF(D421="Purchase",E421*M421,0)</f>
        <v>0</v>
      </c>
    </row>
    <row r="422" customFormat="false" ht="15" hidden="false" customHeight="false" outlineLevel="0" collapsed="false">
      <c r="A422" s="39" t="s">
        <v>746</v>
      </c>
      <c r="B422" s="44" t="n">
        <v>46148</v>
      </c>
      <c r="C422" s="39" t="s">
        <v>179</v>
      </c>
      <c r="D422" s="39" t="s">
        <v>138</v>
      </c>
      <c r="E422" s="39" t="n">
        <v>50</v>
      </c>
      <c r="F422" s="39" t="str">
        <f aca="false">IF(COUNTIF(medicine_master!$A$2:$A$26,C422)&gt;0,"Valid","Invalid")</f>
        <v>Valid</v>
      </c>
      <c r="G422" s="39" t="str">
        <f aca="false">IFERROR(INDEX(medicine_master!$B$2:$B$26,MATCH($C422,medicine_master!$A$2:$A$26,0)),"Not found")</f>
        <v>Ibuprofen 400mg</v>
      </c>
      <c r="H422" s="39" t="str">
        <f aca="false">IFERROR(INDEX(medicine_master!$C$2:$C$26,MATCH($C422,medicine_master!$A$2:$A$26,0)),"Not found")</f>
        <v>Pain Relief</v>
      </c>
      <c r="I422" s="39" t="n">
        <f aca="false">YEAR(B422)</f>
        <v>2026</v>
      </c>
      <c r="J422" s="39" t="n">
        <f aca="false">MONTH(B422)</f>
        <v>5</v>
      </c>
      <c r="K422" s="39" t="str">
        <f aca="false">TEXT(B422,"mmm")</f>
        <v>May</v>
      </c>
      <c r="L422" s="45" t="n">
        <f aca="false">IFERROR(INDEX(medicine_master!$I$2:$I$26,MATCH($C422,medicine_master!$A$2:$A$26,0)),0)</f>
        <v>30</v>
      </c>
      <c r="M422" s="45" t="n">
        <f aca="false">IFERROR(INDEX(medicine_master!$G$2:$G$26,MATCH($C422,medicine_master!$A$2:$A$26,0)),0)</f>
        <v>22</v>
      </c>
      <c r="N422" s="45" t="n">
        <f aca="false">IF(D422="Sale",E422*L422,0)</f>
        <v>0</v>
      </c>
      <c r="O422" s="45" t="n">
        <f aca="false">IF(D422="Sale",E422*M422,0)</f>
        <v>0</v>
      </c>
      <c r="P422" s="45" t="n">
        <f aca="false">N422-O422</f>
        <v>0</v>
      </c>
      <c r="Q422" s="45" t="n">
        <f aca="false">IF(D422="Purchase",E422*M422,0)</f>
        <v>1100</v>
      </c>
    </row>
    <row r="423" customFormat="false" ht="15" hidden="false" customHeight="false" outlineLevel="0" collapsed="false">
      <c r="A423" s="39" t="s">
        <v>747</v>
      </c>
      <c r="B423" s="44" t="n">
        <v>46061</v>
      </c>
      <c r="C423" s="39" t="s">
        <v>147</v>
      </c>
      <c r="D423" s="39" t="s">
        <v>137</v>
      </c>
      <c r="E423" s="39" t="n">
        <v>20</v>
      </c>
      <c r="F423" s="39" t="str">
        <f aca="false">IF(COUNTIF(medicine_master!$A$2:$A$26,C423)&gt;0,"Valid","Invalid")</f>
        <v>Valid</v>
      </c>
      <c r="G423" s="39" t="str">
        <f aca="false">IFERROR(INDEX(medicine_master!$B$2:$B$26,MATCH($C423,medicine_master!$A$2:$A$26,0)),"Not found")</f>
        <v>Insulin Injection</v>
      </c>
      <c r="H423" s="39" t="str">
        <f aca="false">IFERROR(INDEX(medicine_master!$C$2:$C$26,MATCH($C423,medicine_master!$A$2:$A$26,0)),"Not found")</f>
        <v>Diabetes</v>
      </c>
      <c r="I423" s="39" t="n">
        <f aca="false">YEAR(B423)</f>
        <v>2026</v>
      </c>
      <c r="J423" s="39" t="n">
        <f aca="false">MONTH(B423)</f>
        <v>2</v>
      </c>
      <c r="K423" s="39" t="str">
        <f aca="false">TEXT(B423,"mmm")</f>
        <v>Feb</v>
      </c>
      <c r="L423" s="45" t="n">
        <f aca="false">IFERROR(INDEX(medicine_master!$I$2:$I$26,MATCH($C423,medicine_master!$A$2:$A$26,0)),0)</f>
        <v>225</v>
      </c>
      <c r="M423" s="45" t="n">
        <f aca="false">IFERROR(INDEX(medicine_master!$G$2:$G$26,MATCH($C423,medicine_master!$A$2:$A$26,0)),0)</f>
        <v>165</v>
      </c>
      <c r="N423" s="45" t="n">
        <f aca="false">IF(D423="Sale",E423*L423,0)</f>
        <v>4500</v>
      </c>
      <c r="O423" s="45" t="n">
        <f aca="false">IF(D423="Sale",E423*M423,0)</f>
        <v>3300</v>
      </c>
      <c r="P423" s="45" t="n">
        <f aca="false">N423-O423</f>
        <v>1200</v>
      </c>
      <c r="Q423" s="45" t="n">
        <f aca="false">IF(D423="Purchase",E423*M423,0)</f>
        <v>0</v>
      </c>
    </row>
    <row r="424" customFormat="false" ht="15" hidden="false" customHeight="false" outlineLevel="0" collapsed="false">
      <c r="A424" s="39" t="s">
        <v>748</v>
      </c>
      <c r="B424" s="44" t="n">
        <v>46316</v>
      </c>
      <c r="C424" s="39" t="s">
        <v>146</v>
      </c>
      <c r="D424" s="39" t="s">
        <v>138</v>
      </c>
      <c r="E424" s="39" t="n">
        <v>10</v>
      </c>
      <c r="F424" s="39" t="str">
        <f aca="false">IF(COUNTIF(medicine_master!$A$2:$A$26,C424)&gt;0,"Valid","Invalid")</f>
        <v>Valid</v>
      </c>
      <c r="G424" s="39" t="str">
        <f aca="false">IFERROR(INDEX(medicine_master!$B$2:$B$26,MATCH($C424,medicine_master!$A$2:$A$26,0)),"Not found")</f>
        <v>Diclofenac Gel</v>
      </c>
      <c r="H424" s="39" t="str">
        <f aca="false">IFERROR(INDEX(medicine_master!$C$2:$C$26,MATCH($C424,medicine_master!$A$2:$A$26,0)),"Not found")</f>
        <v>Pain Relief</v>
      </c>
      <c r="I424" s="39" t="n">
        <f aca="false">YEAR(B424)</f>
        <v>2026</v>
      </c>
      <c r="J424" s="39" t="n">
        <f aca="false">MONTH(B424)</f>
        <v>10</v>
      </c>
      <c r="K424" s="39" t="str">
        <f aca="false">TEXT(B424,"mmm")</f>
        <v>Oct</v>
      </c>
      <c r="L424" s="45" t="n">
        <f aca="false">IFERROR(INDEX(medicine_master!$I$2:$I$26,MATCH($C424,medicine_master!$A$2:$A$26,0)),0)</f>
        <v>55</v>
      </c>
      <c r="M424" s="45" t="n">
        <f aca="false">IFERROR(INDEX(medicine_master!$G$2:$G$26,MATCH($C424,medicine_master!$A$2:$A$26,0)),0)</f>
        <v>38</v>
      </c>
      <c r="N424" s="45" t="n">
        <f aca="false">IF(D424="Sale",E424*L424,0)</f>
        <v>0</v>
      </c>
      <c r="O424" s="45" t="n">
        <f aca="false">IF(D424="Sale",E424*M424,0)</f>
        <v>0</v>
      </c>
      <c r="P424" s="45" t="n">
        <f aca="false">N424-O424</f>
        <v>0</v>
      </c>
      <c r="Q424" s="45" t="n">
        <f aca="false">IF(D424="Purchase",E424*M424,0)</f>
        <v>380</v>
      </c>
    </row>
    <row r="425" customFormat="false" ht="15" hidden="false" customHeight="false" outlineLevel="0" collapsed="false">
      <c r="A425" s="39" t="s">
        <v>749</v>
      </c>
      <c r="B425" s="44" t="n">
        <v>46330</v>
      </c>
      <c r="C425" s="39" t="s">
        <v>177</v>
      </c>
      <c r="D425" s="39" t="s">
        <v>137</v>
      </c>
      <c r="E425" s="39" t="n">
        <v>30</v>
      </c>
      <c r="F425" s="39" t="str">
        <f aca="false">IF(COUNTIF(medicine_master!$A$2:$A$26,C425)&gt;0,"Valid","Invalid")</f>
        <v>Valid</v>
      </c>
      <c r="G425" s="39" t="str">
        <f aca="false">IFERROR(INDEX(medicine_master!$B$2:$B$26,MATCH($C425,medicine_master!$A$2:$A$26,0)),"Not found")</f>
        <v>Bandage Roll</v>
      </c>
      <c r="H425" s="39" t="str">
        <f aca="false">IFERROR(INDEX(medicine_master!$C$2:$C$26,MATCH($C425,medicine_master!$A$2:$A$26,0)),"Not found")</f>
        <v>First Aid</v>
      </c>
      <c r="I425" s="39" t="n">
        <f aca="false">YEAR(B425)</f>
        <v>2026</v>
      </c>
      <c r="J425" s="39" t="n">
        <f aca="false">MONTH(B425)</f>
        <v>11</v>
      </c>
      <c r="K425" s="39" t="str">
        <f aca="false">TEXT(B425,"mmm")</f>
        <v>Nov</v>
      </c>
      <c r="L425" s="45" t="n">
        <f aca="false">IFERROR(INDEX(medicine_master!$I$2:$I$26,MATCH($C425,medicine_master!$A$2:$A$26,0)),0)</f>
        <v>25</v>
      </c>
      <c r="M425" s="45" t="n">
        <f aca="false">IFERROR(INDEX(medicine_master!$G$2:$G$26,MATCH($C425,medicine_master!$A$2:$A$26,0)),0)</f>
        <v>15</v>
      </c>
      <c r="N425" s="45" t="n">
        <f aca="false">IF(D425="Sale",E425*L425,0)</f>
        <v>750</v>
      </c>
      <c r="O425" s="45" t="n">
        <f aca="false">IF(D425="Sale",E425*M425,0)</f>
        <v>450</v>
      </c>
      <c r="P425" s="45" t="n">
        <f aca="false">N425-O425</f>
        <v>300</v>
      </c>
      <c r="Q425" s="45" t="n">
        <f aca="false">IF(D425="Purchase",E425*M425,0)</f>
        <v>0</v>
      </c>
    </row>
    <row r="426" customFormat="false" ht="15" hidden="false" customHeight="false" outlineLevel="0" collapsed="false">
      <c r="A426" s="39" t="s">
        <v>750</v>
      </c>
      <c r="B426" s="44" t="n">
        <v>46030</v>
      </c>
      <c r="C426" s="39" t="s">
        <v>160</v>
      </c>
      <c r="D426" s="39" t="s">
        <v>138</v>
      </c>
      <c r="E426" s="39" t="n">
        <v>30</v>
      </c>
      <c r="F426" s="39" t="str">
        <f aca="false">IF(COUNTIF(medicine_master!$A$2:$A$26,C426)&gt;0,"Valid","Invalid")</f>
        <v>Valid</v>
      </c>
      <c r="G426" s="39" t="str">
        <f aca="false">IFERROR(INDEX(medicine_master!$B$2:$B$26,MATCH($C426,medicine_master!$A$2:$A$26,0)),"Not found")</f>
        <v>Calamine Lotion</v>
      </c>
      <c r="H426" s="39" t="str">
        <f aca="false">IFERROR(INDEX(medicine_master!$C$2:$C$26,MATCH($C426,medicine_master!$A$2:$A$26,0)),"Not found")</f>
        <v>Dermatology</v>
      </c>
      <c r="I426" s="39" t="n">
        <f aca="false">YEAR(B426)</f>
        <v>2026</v>
      </c>
      <c r="J426" s="39" t="n">
        <f aca="false">MONTH(B426)</f>
        <v>1</v>
      </c>
      <c r="K426" s="39" t="str">
        <f aca="false">TEXT(B426,"mmm")</f>
        <v>Jan</v>
      </c>
      <c r="L426" s="45" t="n">
        <f aca="false">IFERROR(INDEX(medicine_master!$I$2:$I$26,MATCH($C426,medicine_master!$A$2:$A$26,0)),0)</f>
        <v>60</v>
      </c>
      <c r="M426" s="45" t="n">
        <f aca="false">IFERROR(INDEX(medicine_master!$G$2:$G$26,MATCH($C426,medicine_master!$A$2:$A$26,0)),0)</f>
        <v>42</v>
      </c>
      <c r="N426" s="45" t="n">
        <f aca="false">IF(D426="Sale",E426*L426,0)</f>
        <v>0</v>
      </c>
      <c r="O426" s="45" t="n">
        <f aca="false">IF(D426="Sale",E426*M426,0)</f>
        <v>0</v>
      </c>
      <c r="P426" s="45" t="n">
        <f aca="false">N426-O426</f>
        <v>0</v>
      </c>
      <c r="Q426" s="45" t="n">
        <f aca="false">IF(D426="Purchase",E426*M426,0)</f>
        <v>1260</v>
      </c>
    </row>
    <row r="427" customFormat="false" ht="15" hidden="false" customHeight="false" outlineLevel="0" collapsed="false">
      <c r="A427" s="39" t="s">
        <v>751</v>
      </c>
      <c r="B427" s="44" t="n">
        <v>46179</v>
      </c>
      <c r="C427" s="39" t="s">
        <v>158</v>
      </c>
      <c r="D427" s="39" t="s">
        <v>137</v>
      </c>
      <c r="E427" s="39" t="n">
        <v>10</v>
      </c>
      <c r="F427" s="39" t="str">
        <f aca="false">IF(COUNTIF(medicine_master!$A$2:$A$26,C427)&gt;0,"Valid","Invalid")</f>
        <v>Valid</v>
      </c>
      <c r="G427" s="39" t="str">
        <f aca="false">IFERROR(INDEX(medicine_master!$B$2:$B$26,MATCH($C427,medicine_master!$A$2:$A$26,0)),"Not found")</f>
        <v>Cough Syrup 100ml</v>
      </c>
      <c r="H427" s="39" t="str">
        <f aca="false">IFERROR(INDEX(medicine_master!$C$2:$C$26,MATCH($C427,medicine_master!$A$2:$A$26,0)),"Not found")</f>
        <v>Cold &amp; Cough</v>
      </c>
      <c r="I427" s="39" t="n">
        <f aca="false">YEAR(B427)</f>
        <v>2026</v>
      </c>
      <c r="J427" s="39" t="n">
        <f aca="false">MONTH(B427)</f>
        <v>6</v>
      </c>
      <c r="K427" s="39" t="str">
        <f aca="false">TEXT(B427,"mmm")</f>
        <v>Jun</v>
      </c>
      <c r="L427" s="45" t="n">
        <f aca="false">IFERROR(INDEX(medicine_master!$I$2:$I$26,MATCH($C427,medicine_master!$A$2:$A$26,0)),0)</f>
        <v>72</v>
      </c>
      <c r="M427" s="45" t="n">
        <f aca="false">IFERROR(INDEX(medicine_master!$G$2:$G$26,MATCH($C427,medicine_master!$A$2:$A$26,0)),0)</f>
        <v>52</v>
      </c>
      <c r="N427" s="45" t="n">
        <f aca="false">IF(D427="Sale",E427*L427,0)</f>
        <v>720</v>
      </c>
      <c r="O427" s="45" t="n">
        <f aca="false">IF(D427="Sale",E427*M427,0)</f>
        <v>520</v>
      </c>
      <c r="P427" s="45" t="n">
        <f aca="false">N427-O427</f>
        <v>200</v>
      </c>
      <c r="Q427" s="45" t="n">
        <f aca="false">IF(D427="Purchase",E427*M427,0)</f>
        <v>0</v>
      </c>
    </row>
    <row r="428" customFormat="false" ht="15" hidden="false" customHeight="false" outlineLevel="0" collapsed="false">
      <c r="A428" s="39" t="s">
        <v>752</v>
      </c>
      <c r="B428" s="44" t="n">
        <v>46312</v>
      </c>
      <c r="C428" s="39" t="s">
        <v>345</v>
      </c>
      <c r="D428" s="39" t="s">
        <v>137</v>
      </c>
      <c r="E428" s="39" t="n">
        <v>50</v>
      </c>
      <c r="F428" s="39" t="str">
        <f aca="false">IF(COUNTIF(medicine_master!$A$2:$A$26,C428)&gt;0,"Valid","Invalid")</f>
        <v>Valid</v>
      </c>
      <c r="G428" s="39" t="str">
        <f aca="false">IFERROR(INDEX(medicine_master!$B$2:$B$26,MATCH($C428,medicine_master!$A$2:$A$26,0)),"Not found")</f>
        <v>Paracetamol 500mg</v>
      </c>
      <c r="H428" s="39" t="str">
        <f aca="false">IFERROR(INDEX(medicine_master!$C$2:$C$26,MATCH($C428,medicine_master!$A$2:$A$26,0)),"Not found")</f>
        <v>Pain Relief</v>
      </c>
      <c r="I428" s="39" t="n">
        <f aca="false">YEAR(B428)</f>
        <v>2026</v>
      </c>
      <c r="J428" s="39" t="n">
        <f aca="false">MONTH(B428)</f>
        <v>10</v>
      </c>
      <c r="K428" s="39" t="str">
        <f aca="false">TEXT(B428,"mmm")</f>
        <v>Oct</v>
      </c>
      <c r="L428" s="45" t="n">
        <f aca="false">IFERROR(INDEX(medicine_master!$I$2:$I$26,MATCH($C428,medicine_master!$A$2:$A$26,0)),0)</f>
        <v>18</v>
      </c>
      <c r="M428" s="45" t="n">
        <f aca="false">IFERROR(INDEX(medicine_master!$G$2:$G$26,MATCH($C428,medicine_master!$A$2:$A$26,0)),0)</f>
        <v>12</v>
      </c>
      <c r="N428" s="45" t="n">
        <f aca="false">IF(D428="Sale",E428*L428,0)</f>
        <v>900</v>
      </c>
      <c r="O428" s="45" t="n">
        <f aca="false">IF(D428="Sale",E428*M428,0)</f>
        <v>600</v>
      </c>
      <c r="P428" s="45" t="n">
        <f aca="false">N428-O428</f>
        <v>300</v>
      </c>
      <c r="Q428" s="45" t="n">
        <f aca="false">IF(D428="Purchase",E428*M428,0)</f>
        <v>0</v>
      </c>
    </row>
    <row r="429" customFormat="false" ht="15" hidden="false" customHeight="false" outlineLevel="0" collapsed="false">
      <c r="A429" s="39" t="s">
        <v>753</v>
      </c>
      <c r="B429" s="44" t="n">
        <v>46136</v>
      </c>
      <c r="C429" s="39" t="s">
        <v>160</v>
      </c>
      <c r="D429" s="39" t="s">
        <v>137</v>
      </c>
      <c r="E429" s="39" t="n">
        <v>40</v>
      </c>
      <c r="F429" s="39" t="str">
        <f aca="false">IF(COUNTIF(medicine_master!$A$2:$A$26,C429)&gt;0,"Valid","Invalid")</f>
        <v>Valid</v>
      </c>
      <c r="G429" s="39" t="str">
        <f aca="false">IFERROR(INDEX(medicine_master!$B$2:$B$26,MATCH($C429,medicine_master!$A$2:$A$26,0)),"Not found")</f>
        <v>Calamine Lotion</v>
      </c>
      <c r="H429" s="39" t="str">
        <f aca="false">IFERROR(INDEX(medicine_master!$C$2:$C$26,MATCH($C429,medicine_master!$A$2:$A$26,0)),"Not found")</f>
        <v>Dermatology</v>
      </c>
      <c r="I429" s="39" t="n">
        <f aca="false">YEAR(B429)</f>
        <v>2026</v>
      </c>
      <c r="J429" s="39" t="n">
        <f aca="false">MONTH(B429)</f>
        <v>4</v>
      </c>
      <c r="K429" s="39" t="str">
        <f aca="false">TEXT(B429,"mmm")</f>
        <v>Apr</v>
      </c>
      <c r="L429" s="45" t="n">
        <f aca="false">IFERROR(INDEX(medicine_master!$I$2:$I$26,MATCH($C429,medicine_master!$A$2:$A$26,0)),0)</f>
        <v>60</v>
      </c>
      <c r="M429" s="45" t="n">
        <f aca="false">IFERROR(INDEX(medicine_master!$G$2:$G$26,MATCH($C429,medicine_master!$A$2:$A$26,0)),0)</f>
        <v>42</v>
      </c>
      <c r="N429" s="45" t="n">
        <f aca="false">IF(D429="Sale",E429*L429,0)</f>
        <v>2400</v>
      </c>
      <c r="O429" s="45" t="n">
        <f aca="false">IF(D429="Sale",E429*M429,0)</f>
        <v>1680</v>
      </c>
      <c r="P429" s="45" t="n">
        <f aca="false">N429-O429</f>
        <v>720</v>
      </c>
      <c r="Q429" s="45" t="n">
        <f aca="false">IF(D429="Purchase",E429*M429,0)</f>
        <v>0</v>
      </c>
    </row>
    <row r="430" customFormat="false" ht="15" hidden="false" customHeight="false" outlineLevel="0" collapsed="false">
      <c r="A430" s="39" t="s">
        <v>754</v>
      </c>
      <c r="B430" s="44" t="n">
        <v>46254</v>
      </c>
      <c r="C430" s="39" t="s">
        <v>145</v>
      </c>
      <c r="D430" s="39" t="s">
        <v>138</v>
      </c>
      <c r="E430" s="39" t="n">
        <v>40</v>
      </c>
      <c r="F430" s="39" t="str">
        <f aca="false">IF(COUNTIF(medicine_master!$A$2:$A$26,C430)&gt;0,"Valid","Invalid")</f>
        <v>Valid</v>
      </c>
      <c r="G430" s="39" t="str">
        <f aca="false">IFERROR(INDEX(medicine_master!$B$2:$B$26,MATCH($C430,medicine_master!$A$2:$A$26,0)),"Not found")</f>
        <v>Clotrimazole Cream</v>
      </c>
      <c r="H430" s="39" t="str">
        <f aca="false">IFERROR(INDEX(medicine_master!$C$2:$C$26,MATCH($C430,medicine_master!$A$2:$A$26,0)),"Not found")</f>
        <v>Dermatology</v>
      </c>
      <c r="I430" s="39" t="n">
        <f aca="false">YEAR(B430)</f>
        <v>2026</v>
      </c>
      <c r="J430" s="39" t="n">
        <f aca="false">MONTH(B430)</f>
        <v>8</v>
      </c>
      <c r="K430" s="39" t="str">
        <f aca="false">TEXT(B430,"mmm")</f>
        <v>Aug</v>
      </c>
      <c r="L430" s="45" t="n">
        <f aca="false">IFERROR(INDEX(medicine_master!$I$2:$I$26,MATCH($C430,medicine_master!$A$2:$A$26,0)),0)</f>
        <v>48</v>
      </c>
      <c r="M430" s="45" t="n">
        <f aca="false">IFERROR(INDEX(medicine_master!$G$2:$G$26,MATCH($C430,medicine_master!$A$2:$A$26,0)),0)</f>
        <v>32</v>
      </c>
      <c r="N430" s="45" t="n">
        <f aca="false">IF(D430="Sale",E430*L430,0)</f>
        <v>0</v>
      </c>
      <c r="O430" s="45" t="n">
        <f aca="false">IF(D430="Sale",E430*M430,0)</f>
        <v>0</v>
      </c>
      <c r="P430" s="45" t="n">
        <f aca="false">N430-O430</f>
        <v>0</v>
      </c>
      <c r="Q430" s="45" t="n">
        <f aca="false">IF(D430="Purchase",E430*M430,0)</f>
        <v>1280</v>
      </c>
    </row>
    <row r="431" customFormat="false" ht="15" hidden="false" customHeight="false" outlineLevel="0" collapsed="false">
      <c r="A431" s="39" t="s">
        <v>755</v>
      </c>
      <c r="B431" s="44" t="n">
        <v>46324</v>
      </c>
      <c r="C431" s="39" t="s">
        <v>149</v>
      </c>
      <c r="D431" s="39" t="s">
        <v>137</v>
      </c>
      <c r="E431" s="39" t="n">
        <v>15</v>
      </c>
      <c r="F431" s="39" t="str">
        <f aca="false">IF(COUNTIF(medicine_master!$A$2:$A$26,C431)&gt;0,"Valid","Invalid")</f>
        <v>Valid</v>
      </c>
      <c r="G431" s="39" t="str">
        <f aca="false">IFERROR(INDEX(medicine_master!$B$2:$B$26,MATCH($C431,medicine_master!$A$2:$A$26,0)),"Not found")</f>
        <v>Azithromycin 500mg</v>
      </c>
      <c r="H431" s="39" t="str">
        <f aca="false">IFERROR(INDEX(medicine_master!$C$2:$C$26,MATCH($C431,medicine_master!$A$2:$A$26,0)),"Not found")</f>
        <v>Antibiotic</v>
      </c>
      <c r="I431" s="39" t="n">
        <f aca="false">YEAR(B431)</f>
        <v>2026</v>
      </c>
      <c r="J431" s="39" t="n">
        <f aca="false">MONTH(B431)</f>
        <v>10</v>
      </c>
      <c r="K431" s="39" t="str">
        <f aca="false">TEXT(B431,"mmm")</f>
        <v>Oct</v>
      </c>
      <c r="L431" s="45" t="n">
        <f aca="false">IFERROR(INDEX(medicine_master!$I$2:$I$26,MATCH($C431,medicine_master!$A$2:$A$26,0)),0)</f>
        <v>50</v>
      </c>
      <c r="M431" s="45" t="n">
        <f aca="false">IFERROR(INDEX(medicine_master!$G$2:$G$26,MATCH($C431,medicine_master!$A$2:$A$26,0)),0)</f>
        <v>35</v>
      </c>
      <c r="N431" s="45" t="n">
        <f aca="false">IF(D431="Sale",E431*L431,0)</f>
        <v>750</v>
      </c>
      <c r="O431" s="45" t="n">
        <f aca="false">IF(D431="Sale",E431*M431,0)</f>
        <v>525</v>
      </c>
      <c r="P431" s="45" t="n">
        <f aca="false">N431-O431</f>
        <v>225</v>
      </c>
      <c r="Q431" s="45" t="n">
        <f aca="false">IF(D431="Purchase",E431*M431,0)</f>
        <v>0</v>
      </c>
    </row>
    <row r="432" customFormat="false" ht="15" hidden="false" customHeight="false" outlineLevel="0" collapsed="false">
      <c r="A432" s="39" t="s">
        <v>756</v>
      </c>
      <c r="B432" s="44" t="n">
        <v>46164</v>
      </c>
      <c r="C432" s="39" t="s">
        <v>390</v>
      </c>
      <c r="D432" s="39" t="s">
        <v>137</v>
      </c>
      <c r="E432" s="39" t="n">
        <v>25</v>
      </c>
      <c r="F432" s="39" t="str">
        <f aca="false">IF(COUNTIF(medicine_master!$A$2:$A$26,C432)&gt;0,"Valid","Invalid")</f>
        <v>Valid</v>
      </c>
      <c r="G432" s="39" t="str">
        <f aca="false">IFERROR(INDEX(medicine_master!$B$2:$B$26,MATCH($C432,medicine_master!$A$2:$A$26,0)),"Not found")</f>
        <v>Montelukast 10mg</v>
      </c>
      <c r="H432" s="39" t="str">
        <f aca="false">IFERROR(INDEX(medicine_master!$C$2:$C$26,MATCH($C432,medicine_master!$A$2:$A$26,0)),"Not found")</f>
        <v>Allergy</v>
      </c>
      <c r="I432" s="39" t="n">
        <f aca="false">YEAR(B432)</f>
        <v>2026</v>
      </c>
      <c r="J432" s="39" t="n">
        <f aca="false">MONTH(B432)</f>
        <v>5</v>
      </c>
      <c r="K432" s="39" t="str">
        <f aca="false">TEXT(B432,"mmm")</f>
        <v>May</v>
      </c>
      <c r="L432" s="45" t="n">
        <f aca="false">IFERROR(INDEX(medicine_master!$I$2:$I$26,MATCH($C432,medicine_master!$A$2:$A$26,0)),0)</f>
        <v>39</v>
      </c>
      <c r="M432" s="45" t="n">
        <f aca="false">IFERROR(INDEX(medicine_master!$G$2:$G$26,MATCH($C432,medicine_master!$A$2:$A$26,0)),0)</f>
        <v>27</v>
      </c>
      <c r="N432" s="45" t="n">
        <f aca="false">IF(D432="Sale",E432*L432,0)</f>
        <v>975</v>
      </c>
      <c r="O432" s="45" t="n">
        <f aca="false">IF(D432="Sale",E432*M432,0)</f>
        <v>675</v>
      </c>
      <c r="P432" s="45" t="n">
        <f aca="false">N432-O432</f>
        <v>300</v>
      </c>
      <c r="Q432" s="45" t="n">
        <f aca="false">IF(D432="Purchase",E432*M432,0)</f>
        <v>0</v>
      </c>
    </row>
    <row r="433" customFormat="false" ht="15" hidden="false" customHeight="false" outlineLevel="0" collapsed="false">
      <c r="A433" s="39" t="s">
        <v>757</v>
      </c>
      <c r="B433" s="44" t="n">
        <v>46242</v>
      </c>
      <c r="C433" s="39" t="s">
        <v>179</v>
      </c>
      <c r="D433" s="39" t="s">
        <v>137</v>
      </c>
      <c r="E433" s="39" t="n">
        <v>5</v>
      </c>
      <c r="F433" s="39" t="str">
        <f aca="false">IF(COUNTIF(medicine_master!$A$2:$A$26,C433)&gt;0,"Valid","Invalid")</f>
        <v>Valid</v>
      </c>
      <c r="G433" s="39" t="str">
        <f aca="false">IFERROR(INDEX(medicine_master!$B$2:$B$26,MATCH($C433,medicine_master!$A$2:$A$26,0)),"Not found")</f>
        <v>Ibuprofen 400mg</v>
      </c>
      <c r="H433" s="39" t="str">
        <f aca="false">IFERROR(INDEX(medicine_master!$C$2:$C$26,MATCH($C433,medicine_master!$A$2:$A$26,0)),"Not found")</f>
        <v>Pain Relief</v>
      </c>
      <c r="I433" s="39" t="n">
        <f aca="false">YEAR(B433)</f>
        <v>2026</v>
      </c>
      <c r="J433" s="39" t="n">
        <f aca="false">MONTH(B433)</f>
        <v>8</v>
      </c>
      <c r="K433" s="39" t="str">
        <f aca="false">TEXT(B433,"mmm")</f>
        <v>Aug</v>
      </c>
      <c r="L433" s="45" t="n">
        <f aca="false">IFERROR(INDEX(medicine_master!$I$2:$I$26,MATCH($C433,medicine_master!$A$2:$A$26,0)),0)</f>
        <v>30</v>
      </c>
      <c r="M433" s="45" t="n">
        <f aca="false">IFERROR(INDEX(medicine_master!$G$2:$G$26,MATCH($C433,medicine_master!$A$2:$A$26,0)),0)</f>
        <v>22</v>
      </c>
      <c r="N433" s="45" t="n">
        <f aca="false">IF(D433="Sale",E433*L433,0)</f>
        <v>150</v>
      </c>
      <c r="O433" s="45" t="n">
        <f aca="false">IF(D433="Sale",E433*M433,0)</f>
        <v>110</v>
      </c>
      <c r="P433" s="45" t="n">
        <f aca="false">N433-O433</f>
        <v>40</v>
      </c>
      <c r="Q433" s="45" t="n">
        <f aca="false">IF(D433="Purchase",E433*M433,0)</f>
        <v>0</v>
      </c>
    </row>
    <row r="434" customFormat="false" ht="15" hidden="false" customHeight="false" outlineLevel="0" collapsed="false">
      <c r="A434" s="39" t="s">
        <v>758</v>
      </c>
      <c r="B434" s="44" t="n">
        <v>46095</v>
      </c>
      <c r="C434" s="39" t="s">
        <v>345</v>
      </c>
      <c r="D434" s="39" t="s">
        <v>137</v>
      </c>
      <c r="E434" s="39" t="n">
        <v>40</v>
      </c>
      <c r="F434" s="39" t="str">
        <f aca="false">IF(COUNTIF(medicine_master!$A$2:$A$26,C434)&gt;0,"Valid","Invalid")</f>
        <v>Valid</v>
      </c>
      <c r="G434" s="39" t="str">
        <f aca="false">IFERROR(INDEX(medicine_master!$B$2:$B$26,MATCH($C434,medicine_master!$A$2:$A$26,0)),"Not found")</f>
        <v>Paracetamol 500mg</v>
      </c>
      <c r="H434" s="39" t="str">
        <f aca="false">IFERROR(INDEX(medicine_master!$C$2:$C$26,MATCH($C434,medicine_master!$A$2:$A$26,0)),"Not found")</f>
        <v>Pain Relief</v>
      </c>
      <c r="I434" s="39" t="n">
        <f aca="false">YEAR(B434)</f>
        <v>2026</v>
      </c>
      <c r="J434" s="39" t="n">
        <f aca="false">MONTH(B434)</f>
        <v>3</v>
      </c>
      <c r="K434" s="39" t="str">
        <f aca="false">TEXT(B434,"mmm")</f>
        <v>Mar</v>
      </c>
      <c r="L434" s="45" t="n">
        <f aca="false">IFERROR(INDEX(medicine_master!$I$2:$I$26,MATCH($C434,medicine_master!$A$2:$A$26,0)),0)</f>
        <v>18</v>
      </c>
      <c r="M434" s="45" t="n">
        <f aca="false">IFERROR(INDEX(medicine_master!$G$2:$G$26,MATCH($C434,medicine_master!$A$2:$A$26,0)),0)</f>
        <v>12</v>
      </c>
      <c r="N434" s="45" t="n">
        <f aca="false">IF(D434="Sale",E434*L434,0)</f>
        <v>720</v>
      </c>
      <c r="O434" s="45" t="n">
        <f aca="false">IF(D434="Sale",E434*M434,0)</f>
        <v>480</v>
      </c>
      <c r="P434" s="45" t="n">
        <f aca="false">N434-O434</f>
        <v>240</v>
      </c>
      <c r="Q434" s="45" t="n">
        <f aca="false">IF(D434="Purchase",E434*M434,0)</f>
        <v>0</v>
      </c>
    </row>
    <row r="435" customFormat="false" ht="15" hidden="false" customHeight="false" outlineLevel="0" collapsed="false">
      <c r="A435" s="39" t="s">
        <v>759</v>
      </c>
      <c r="B435" s="44" t="n">
        <v>46095</v>
      </c>
      <c r="C435" s="39" t="s">
        <v>390</v>
      </c>
      <c r="D435" s="39" t="s">
        <v>137</v>
      </c>
      <c r="E435" s="39" t="n">
        <v>30</v>
      </c>
      <c r="F435" s="39" t="str">
        <f aca="false">IF(COUNTIF(medicine_master!$A$2:$A$26,C435)&gt;0,"Valid","Invalid")</f>
        <v>Valid</v>
      </c>
      <c r="G435" s="39" t="str">
        <f aca="false">IFERROR(INDEX(medicine_master!$B$2:$B$26,MATCH($C435,medicine_master!$A$2:$A$26,0)),"Not found")</f>
        <v>Montelukast 10mg</v>
      </c>
      <c r="H435" s="39" t="str">
        <f aca="false">IFERROR(INDEX(medicine_master!$C$2:$C$26,MATCH($C435,medicine_master!$A$2:$A$26,0)),"Not found")</f>
        <v>Allergy</v>
      </c>
      <c r="I435" s="39" t="n">
        <f aca="false">YEAR(B435)</f>
        <v>2026</v>
      </c>
      <c r="J435" s="39" t="n">
        <f aca="false">MONTH(B435)</f>
        <v>3</v>
      </c>
      <c r="K435" s="39" t="str">
        <f aca="false">TEXT(B435,"mmm")</f>
        <v>Mar</v>
      </c>
      <c r="L435" s="45" t="n">
        <f aca="false">IFERROR(INDEX(medicine_master!$I$2:$I$26,MATCH($C435,medicine_master!$A$2:$A$26,0)),0)</f>
        <v>39</v>
      </c>
      <c r="M435" s="45" t="n">
        <f aca="false">IFERROR(INDEX(medicine_master!$G$2:$G$26,MATCH($C435,medicine_master!$A$2:$A$26,0)),0)</f>
        <v>27</v>
      </c>
      <c r="N435" s="45" t="n">
        <f aca="false">IF(D435="Sale",E435*L435,0)</f>
        <v>1170</v>
      </c>
      <c r="O435" s="45" t="n">
        <f aca="false">IF(D435="Sale",E435*M435,0)</f>
        <v>810</v>
      </c>
      <c r="P435" s="45" t="n">
        <f aca="false">N435-O435</f>
        <v>360</v>
      </c>
      <c r="Q435" s="45" t="n">
        <f aca="false">IF(D435="Purchase",E435*M435,0)</f>
        <v>0</v>
      </c>
    </row>
    <row r="436" customFormat="false" ht="15" hidden="false" customHeight="false" outlineLevel="0" collapsed="false">
      <c r="A436" s="39" t="s">
        <v>760</v>
      </c>
      <c r="B436" s="44" t="n">
        <v>46346</v>
      </c>
      <c r="C436" s="39" t="s">
        <v>179</v>
      </c>
      <c r="D436" s="39" t="s">
        <v>137</v>
      </c>
      <c r="E436" s="39" t="n">
        <v>15</v>
      </c>
      <c r="F436" s="39" t="str">
        <f aca="false">IF(COUNTIF(medicine_master!$A$2:$A$26,C436)&gt;0,"Valid","Invalid")</f>
        <v>Valid</v>
      </c>
      <c r="G436" s="39" t="str">
        <f aca="false">IFERROR(INDEX(medicine_master!$B$2:$B$26,MATCH($C436,medicine_master!$A$2:$A$26,0)),"Not found")</f>
        <v>Ibuprofen 400mg</v>
      </c>
      <c r="H436" s="39" t="str">
        <f aca="false">IFERROR(INDEX(medicine_master!$C$2:$C$26,MATCH($C436,medicine_master!$A$2:$A$26,0)),"Not found")</f>
        <v>Pain Relief</v>
      </c>
      <c r="I436" s="39" t="n">
        <f aca="false">YEAR(B436)</f>
        <v>2026</v>
      </c>
      <c r="J436" s="39" t="n">
        <f aca="false">MONTH(B436)</f>
        <v>11</v>
      </c>
      <c r="K436" s="39" t="str">
        <f aca="false">TEXT(B436,"mmm")</f>
        <v>Nov</v>
      </c>
      <c r="L436" s="45" t="n">
        <f aca="false">IFERROR(INDEX(medicine_master!$I$2:$I$26,MATCH($C436,medicine_master!$A$2:$A$26,0)),0)</f>
        <v>30</v>
      </c>
      <c r="M436" s="45" t="n">
        <f aca="false">IFERROR(INDEX(medicine_master!$G$2:$G$26,MATCH($C436,medicine_master!$A$2:$A$26,0)),0)</f>
        <v>22</v>
      </c>
      <c r="N436" s="45" t="n">
        <f aca="false">IF(D436="Sale",E436*L436,0)</f>
        <v>450</v>
      </c>
      <c r="O436" s="45" t="n">
        <f aca="false">IF(D436="Sale",E436*M436,0)</f>
        <v>330</v>
      </c>
      <c r="P436" s="45" t="n">
        <f aca="false">N436-O436</f>
        <v>120</v>
      </c>
      <c r="Q436" s="45" t="n">
        <f aca="false">IF(D436="Purchase",E436*M436,0)</f>
        <v>0</v>
      </c>
    </row>
    <row r="437" customFormat="false" ht="15" hidden="false" customHeight="false" outlineLevel="0" collapsed="false">
      <c r="A437" s="39" t="s">
        <v>761</v>
      </c>
      <c r="B437" s="44" t="n">
        <v>46124</v>
      </c>
      <c r="C437" s="39" t="s">
        <v>404</v>
      </c>
      <c r="D437" s="39" t="s">
        <v>137</v>
      </c>
      <c r="E437" s="39" t="n">
        <v>30</v>
      </c>
      <c r="F437" s="39" t="str">
        <f aca="false">IF(COUNTIF(medicine_master!$A$2:$A$26,C437)&gt;0,"Valid","Invalid")</f>
        <v>Valid</v>
      </c>
      <c r="G437" s="39" t="str">
        <f aca="false">IFERROR(INDEX(medicine_master!$B$2:$B$26,MATCH($C437,medicine_master!$A$2:$A$26,0)),"Not found")</f>
        <v>ORS Sachet</v>
      </c>
      <c r="H437" s="39" t="str">
        <f aca="false">IFERROR(INDEX(medicine_master!$C$2:$C$26,MATCH($C437,medicine_master!$A$2:$A$26,0)),"Not found")</f>
        <v>First Aid</v>
      </c>
      <c r="I437" s="39" t="n">
        <f aca="false">YEAR(B437)</f>
        <v>2026</v>
      </c>
      <c r="J437" s="39" t="n">
        <f aca="false">MONTH(B437)</f>
        <v>4</v>
      </c>
      <c r="K437" s="39" t="str">
        <f aca="false">TEXT(B437,"mmm")</f>
        <v>Apr</v>
      </c>
      <c r="L437" s="45" t="n">
        <f aca="false">IFERROR(INDEX(medicine_master!$I$2:$I$26,MATCH($C437,medicine_master!$A$2:$A$26,0)),0)</f>
        <v>10</v>
      </c>
      <c r="M437" s="45" t="n">
        <f aca="false">IFERROR(INDEX(medicine_master!$G$2:$G$26,MATCH($C437,medicine_master!$A$2:$A$26,0)),0)</f>
        <v>6</v>
      </c>
      <c r="N437" s="45" t="n">
        <f aca="false">IF(D437="Sale",E437*L437,0)</f>
        <v>300</v>
      </c>
      <c r="O437" s="45" t="n">
        <f aca="false">IF(D437="Sale",E437*M437,0)</f>
        <v>180</v>
      </c>
      <c r="P437" s="45" t="n">
        <f aca="false">N437-O437</f>
        <v>120</v>
      </c>
      <c r="Q437" s="45" t="n">
        <f aca="false">IF(D437="Purchase",E437*M437,0)</f>
        <v>0</v>
      </c>
    </row>
    <row r="438" customFormat="false" ht="15" hidden="false" customHeight="false" outlineLevel="0" collapsed="false">
      <c r="A438" s="39" t="s">
        <v>762</v>
      </c>
      <c r="B438" s="44" t="n">
        <v>46301</v>
      </c>
      <c r="C438" s="39" t="s">
        <v>404</v>
      </c>
      <c r="D438" s="39" t="s">
        <v>137</v>
      </c>
      <c r="E438" s="39" t="n">
        <v>20</v>
      </c>
      <c r="F438" s="39" t="str">
        <f aca="false">IF(COUNTIF(medicine_master!$A$2:$A$26,C438)&gt;0,"Valid","Invalid")</f>
        <v>Valid</v>
      </c>
      <c r="G438" s="39" t="str">
        <f aca="false">IFERROR(INDEX(medicine_master!$B$2:$B$26,MATCH($C438,medicine_master!$A$2:$A$26,0)),"Not found")</f>
        <v>ORS Sachet</v>
      </c>
      <c r="H438" s="39" t="str">
        <f aca="false">IFERROR(INDEX(medicine_master!$C$2:$C$26,MATCH($C438,medicine_master!$A$2:$A$26,0)),"Not found")</f>
        <v>First Aid</v>
      </c>
      <c r="I438" s="39" t="n">
        <f aca="false">YEAR(B438)</f>
        <v>2026</v>
      </c>
      <c r="J438" s="39" t="n">
        <f aca="false">MONTH(B438)</f>
        <v>10</v>
      </c>
      <c r="K438" s="39" t="str">
        <f aca="false">TEXT(B438,"mmm")</f>
        <v>Oct</v>
      </c>
      <c r="L438" s="45" t="n">
        <f aca="false">IFERROR(INDEX(medicine_master!$I$2:$I$26,MATCH($C438,medicine_master!$A$2:$A$26,0)),0)</f>
        <v>10</v>
      </c>
      <c r="M438" s="45" t="n">
        <f aca="false">IFERROR(INDEX(medicine_master!$G$2:$G$26,MATCH($C438,medicine_master!$A$2:$A$26,0)),0)</f>
        <v>6</v>
      </c>
      <c r="N438" s="45" t="n">
        <f aca="false">IF(D438="Sale",E438*L438,0)</f>
        <v>200</v>
      </c>
      <c r="O438" s="45" t="n">
        <f aca="false">IF(D438="Sale",E438*M438,0)</f>
        <v>120</v>
      </c>
      <c r="P438" s="45" t="n">
        <f aca="false">N438-O438</f>
        <v>80</v>
      </c>
      <c r="Q438" s="45" t="n">
        <f aca="false">IF(D438="Purchase",E438*M438,0)</f>
        <v>0</v>
      </c>
    </row>
    <row r="439" customFormat="false" ht="15" hidden="false" customHeight="false" outlineLevel="0" collapsed="false">
      <c r="A439" s="39" t="s">
        <v>763</v>
      </c>
      <c r="B439" s="44" t="n">
        <v>46332</v>
      </c>
      <c r="C439" s="39" t="s">
        <v>180</v>
      </c>
      <c r="D439" s="39" t="s">
        <v>138</v>
      </c>
      <c r="E439" s="39" t="n">
        <v>15</v>
      </c>
      <c r="F439" s="39" t="str">
        <f aca="false">IF(COUNTIF(medicine_master!$A$2:$A$26,C439)&gt;0,"Valid","Invalid")</f>
        <v>Valid</v>
      </c>
      <c r="G439" s="39" t="str">
        <f aca="false">IFERROR(INDEX(medicine_master!$B$2:$B$26,MATCH($C439,medicine_master!$A$2:$A$26,0)),"Not found")</f>
        <v>Vitamin C 500mg</v>
      </c>
      <c r="H439" s="39" t="str">
        <f aca="false">IFERROR(INDEX(medicine_master!$C$2:$C$26,MATCH($C439,medicine_master!$A$2:$A$26,0)),"Not found")</f>
        <v>Vitamin</v>
      </c>
      <c r="I439" s="39" t="n">
        <f aca="false">YEAR(B439)</f>
        <v>2026</v>
      </c>
      <c r="J439" s="39" t="n">
        <f aca="false">MONTH(B439)</f>
        <v>11</v>
      </c>
      <c r="K439" s="39" t="str">
        <f aca="false">TEXT(B439,"mmm")</f>
        <v>Nov</v>
      </c>
      <c r="L439" s="45" t="n">
        <f aca="false">IFERROR(INDEX(medicine_master!$I$2:$I$26,MATCH($C439,medicine_master!$A$2:$A$26,0)),0)</f>
        <v>22</v>
      </c>
      <c r="M439" s="45" t="n">
        <f aca="false">IFERROR(INDEX(medicine_master!$G$2:$G$26,MATCH($C439,medicine_master!$A$2:$A$26,0)),0)</f>
        <v>14</v>
      </c>
      <c r="N439" s="45" t="n">
        <f aca="false">IF(D439="Sale",E439*L439,0)</f>
        <v>0</v>
      </c>
      <c r="O439" s="45" t="n">
        <f aca="false">IF(D439="Sale",E439*M439,0)</f>
        <v>0</v>
      </c>
      <c r="P439" s="45" t="n">
        <f aca="false">N439-O439</f>
        <v>0</v>
      </c>
      <c r="Q439" s="45" t="n">
        <f aca="false">IF(D439="Purchase",E439*M439,0)</f>
        <v>210</v>
      </c>
    </row>
    <row r="440" customFormat="false" ht="15" hidden="false" customHeight="false" outlineLevel="0" collapsed="false">
      <c r="A440" s="39" t="s">
        <v>764</v>
      </c>
      <c r="B440" s="44" t="n">
        <v>46098</v>
      </c>
      <c r="C440" s="39" t="s">
        <v>180</v>
      </c>
      <c r="D440" s="39" t="s">
        <v>137</v>
      </c>
      <c r="E440" s="39" t="n">
        <v>20</v>
      </c>
      <c r="F440" s="39" t="str">
        <f aca="false">IF(COUNTIF(medicine_master!$A$2:$A$26,C440)&gt;0,"Valid","Invalid")</f>
        <v>Valid</v>
      </c>
      <c r="G440" s="39" t="str">
        <f aca="false">IFERROR(INDEX(medicine_master!$B$2:$B$26,MATCH($C440,medicine_master!$A$2:$A$26,0)),"Not found")</f>
        <v>Vitamin C 500mg</v>
      </c>
      <c r="H440" s="39" t="str">
        <f aca="false">IFERROR(INDEX(medicine_master!$C$2:$C$26,MATCH($C440,medicine_master!$A$2:$A$26,0)),"Not found")</f>
        <v>Vitamin</v>
      </c>
      <c r="I440" s="39" t="n">
        <f aca="false">YEAR(B440)</f>
        <v>2026</v>
      </c>
      <c r="J440" s="39" t="n">
        <f aca="false">MONTH(B440)</f>
        <v>3</v>
      </c>
      <c r="K440" s="39" t="str">
        <f aca="false">TEXT(B440,"mmm")</f>
        <v>Mar</v>
      </c>
      <c r="L440" s="45" t="n">
        <f aca="false">IFERROR(INDEX(medicine_master!$I$2:$I$26,MATCH($C440,medicine_master!$A$2:$A$26,0)),0)</f>
        <v>22</v>
      </c>
      <c r="M440" s="45" t="n">
        <f aca="false">IFERROR(INDEX(medicine_master!$G$2:$G$26,MATCH($C440,medicine_master!$A$2:$A$26,0)),0)</f>
        <v>14</v>
      </c>
      <c r="N440" s="45" t="n">
        <f aca="false">IF(D440="Sale",E440*L440,0)</f>
        <v>440</v>
      </c>
      <c r="O440" s="45" t="n">
        <f aca="false">IF(D440="Sale",E440*M440,0)</f>
        <v>280</v>
      </c>
      <c r="P440" s="45" t="n">
        <f aca="false">N440-O440</f>
        <v>160</v>
      </c>
      <c r="Q440" s="45" t="n">
        <f aca="false">IF(D440="Purchase",E440*M440,0)</f>
        <v>0</v>
      </c>
    </row>
    <row r="441" customFormat="false" ht="15" hidden="false" customHeight="false" outlineLevel="0" collapsed="false">
      <c r="A441" s="39" t="s">
        <v>765</v>
      </c>
      <c r="B441" s="44" t="n">
        <v>46115</v>
      </c>
      <c r="C441" s="39" t="s">
        <v>178</v>
      </c>
      <c r="D441" s="39" t="s">
        <v>137</v>
      </c>
      <c r="E441" s="39" t="n">
        <v>25</v>
      </c>
      <c r="F441" s="39" t="str">
        <f aca="false">IF(COUNTIF(medicine_master!$A$2:$A$26,C441)&gt;0,"Valid","Invalid")</f>
        <v>Valid</v>
      </c>
      <c r="G441" s="39" t="str">
        <f aca="false">IFERROR(INDEX(medicine_master!$B$2:$B$26,MATCH($C441,medicine_master!$A$2:$A$26,0)),"Not found")</f>
        <v>Aspirin 75mg</v>
      </c>
      <c r="H441" s="39" t="str">
        <f aca="false">IFERROR(INDEX(medicine_master!$C$2:$C$26,MATCH($C441,medicine_master!$A$2:$A$26,0)),"Not found")</f>
        <v>Cardiac</v>
      </c>
      <c r="I441" s="39" t="n">
        <f aca="false">YEAR(B441)</f>
        <v>2026</v>
      </c>
      <c r="J441" s="39" t="n">
        <f aca="false">MONTH(B441)</f>
        <v>4</v>
      </c>
      <c r="K441" s="39" t="str">
        <f aca="false">TEXT(B441,"mmm")</f>
        <v>Apr</v>
      </c>
      <c r="L441" s="45" t="n">
        <f aca="false">IFERROR(INDEX(medicine_master!$I$2:$I$26,MATCH($C441,medicine_master!$A$2:$A$26,0)),0)</f>
        <v>15</v>
      </c>
      <c r="M441" s="45" t="n">
        <f aca="false">IFERROR(INDEX(medicine_master!$G$2:$G$26,MATCH($C441,medicine_master!$A$2:$A$26,0)),0)</f>
        <v>10</v>
      </c>
      <c r="N441" s="45" t="n">
        <f aca="false">IF(D441="Sale",E441*L441,0)</f>
        <v>375</v>
      </c>
      <c r="O441" s="45" t="n">
        <f aca="false">IF(D441="Sale",E441*M441,0)</f>
        <v>250</v>
      </c>
      <c r="P441" s="45" t="n">
        <f aca="false">N441-O441</f>
        <v>125</v>
      </c>
      <c r="Q441" s="45" t="n">
        <f aca="false">IF(D441="Purchase",E441*M441,0)</f>
        <v>0</v>
      </c>
    </row>
    <row r="442" customFormat="false" ht="15" hidden="false" customHeight="false" outlineLevel="0" collapsed="false">
      <c r="A442" s="39" t="s">
        <v>766</v>
      </c>
      <c r="B442" s="44" t="n">
        <v>46313</v>
      </c>
      <c r="C442" s="39" t="s">
        <v>144</v>
      </c>
      <c r="D442" s="39" t="s">
        <v>138</v>
      </c>
      <c r="E442" s="39" t="n">
        <v>25</v>
      </c>
      <c r="F442" s="39" t="str">
        <f aca="false">IF(COUNTIF(medicine_master!$A$2:$A$26,C442)&gt;0,"Valid","Invalid")</f>
        <v>Valid</v>
      </c>
      <c r="G442" s="39" t="str">
        <f aca="false">IFERROR(INDEX(medicine_master!$B$2:$B$26,MATCH($C442,medicine_master!$A$2:$A$26,0)),"Not found")</f>
        <v>Glimepiride 2mg</v>
      </c>
      <c r="H442" s="39" t="str">
        <f aca="false">IFERROR(INDEX(medicine_master!$C$2:$C$26,MATCH($C442,medicine_master!$A$2:$A$26,0)),"Not found")</f>
        <v>Diabetes</v>
      </c>
      <c r="I442" s="39" t="n">
        <f aca="false">YEAR(B442)</f>
        <v>2026</v>
      </c>
      <c r="J442" s="39" t="n">
        <f aca="false">MONTH(B442)</f>
        <v>10</v>
      </c>
      <c r="K442" s="39" t="str">
        <f aca="false">TEXT(B442,"mmm")</f>
        <v>Oct</v>
      </c>
      <c r="L442" s="45" t="n">
        <f aca="false">IFERROR(INDEX(medicine_master!$I$2:$I$26,MATCH($C442,medicine_master!$A$2:$A$26,0)),0)</f>
        <v>52</v>
      </c>
      <c r="M442" s="45" t="n">
        <f aca="false">IFERROR(INDEX(medicine_master!$G$2:$G$26,MATCH($C442,medicine_master!$A$2:$A$26,0)),0)</f>
        <v>38</v>
      </c>
      <c r="N442" s="45" t="n">
        <f aca="false">IF(D442="Sale",E442*L442,0)</f>
        <v>0</v>
      </c>
      <c r="O442" s="45" t="n">
        <f aca="false">IF(D442="Sale",E442*M442,0)</f>
        <v>0</v>
      </c>
      <c r="P442" s="45" t="n">
        <f aca="false">N442-O442</f>
        <v>0</v>
      </c>
      <c r="Q442" s="45" t="n">
        <f aca="false">IF(D442="Purchase",E442*M442,0)</f>
        <v>950</v>
      </c>
    </row>
    <row r="443" customFormat="false" ht="15" hidden="false" customHeight="false" outlineLevel="0" collapsed="false">
      <c r="A443" s="39" t="s">
        <v>767</v>
      </c>
      <c r="B443" s="44" t="n">
        <v>46132</v>
      </c>
      <c r="C443" s="39" t="s">
        <v>153</v>
      </c>
      <c r="D443" s="39" t="s">
        <v>137</v>
      </c>
      <c r="E443" s="39" t="n">
        <v>20</v>
      </c>
      <c r="F443" s="39" t="str">
        <f aca="false">IF(COUNTIF(medicine_master!$A$2:$A$26,C443)&gt;0,"Valid","Invalid")</f>
        <v>Valid</v>
      </c>
      <c r="G443" s="39" t="str">
        <f aca="false">IFERROR(INDEX(medicine_master!$B$2:$B$26,MATCH($C443,medicine_master!$A$2:$A$26,0)),"Not found")</f>
        <v>Atorvastatin 10mg</v>
      </c>
      <c r="H443" s="39" t="str">
        <f aca="false">IFERROR(INDEX(medicine_master!$C$2:$C$26,MATCH($C443,medicine_master!$A$2:$A$26,0)),"Not found")</f>
        <v>Cardiac</v>
      </c>
      <c r="I443" s="39" t="n">
        <f aca="false">YEAR(B443)</f>
        <v>2026</v>
      </c>
      <c r="J443" s="39" t="n">
        <f aca="false">MONTH(B443)</f>
        <v>4</v>
      </c>
      <c r="K443" s="39" t="str">
        <f aca="false">TEXT(B443,"mmm")</f>
        <v>Apr</v>
      </c>
      <c r="L443" s="45" t="n">
        <f aca="false">IFERROR(INDEX(medicine_master!$I$2:$I$26,MATCH($C443,medicine_master!$A$2:$A$26,0)),0)</f>
        <v>28</v>
      </c>
      <c r="M443" s="45" t="n">
        <f aca="false">IFERROR(INDEX(medicine_master!$G$2:$G$26,MATCH($C443,medicine_master!$A$2:$A$26,0)),0)</f>
        <v>19</v>
      </c>
      <c r="N443" s="45" t="n">
        <f aca="false">IF(D443="Sale",E443*L443,0)</f>
        <v>560</v>
      </c>
      <c r="O443" s="45" t="n">
        <f aca="false">IF(D443="Sale",E443*M443,0)</f>
        <v>380</v>
      </c>
      <c r="P443" s="45" t="n">
        <f aca="false">N443-O443</f>
        <v>180</v>
      </c>
      <c r="Q443" s="45" t="n">
        <f aca="false">IF(D443="Purchase",E443*M443,0)</f>
        <v>0</v>
      </c>
    </row>
    <row r="444" customFormat="false" ht="15" hidden="false" customHeight="false" outlineLevel="0" collapsed="false">
      <c r="A444" s="39" t="s">
        <v>768</v>
      </c>
      <c r="B444" s="44" t="n">
        <v>46025</v>
      </c>
      <c r="C444" s="39" t="s">
        <v>390</v>
      </c>
      <c r="D444" s="39" t="s">
        <v>137</v>
      </c>
      <c r="E444" s="39" t="n">
        <v>20</v>
      </c>
      <c r="F444" s="39" t="str">
        <f aca="false">IF(COUNTIF(medicine_master!$A$2:$A$26,C444)&gt;0,"Valid","Invalid")</f>
        <v>Valid</v>
      </c>
      <c r="G444" s="39" t="str">
        <f aca="false">IFERROR(INDEX(medicine_master!$B$2:$B$26,MATCH($C444,medicine_master!$A$2:$A$26,0)),"Not found")</f>
        <v>Montelukast 10mg</v>
      </c>
      <c r="H444" s="39" t="str">
        <f aca="false">IFERROR(INDEX(medicine_master!$C$2:$C$26,MATCH($C444,medicine_master!$A$2:$A$26,0)),"Not found")</f>
        <v>Allergy</v>
      </c>
      <c r="I444" s="39" t="n">
        <f aca="false">YEAR(B444)</f>
        <v>2026</v>
      </c>
      <c r="J444" s="39" t="n">
        <f aca="false">MONTH(B444)</f>
        <v>1</v>
      </c>
      <c r="K444" s="39" t="str">
        <f aca="false">TEXT(B444,"mmm")</f>
        <v>Jan</v>
      </c>
      <c r="L444" s="45" t="n">
        <f aca="false">IFERROR(INDEX(medicine_master!$I$2:$I$26,MATCH($C444,medicine_master!$A$2:$A$26,0)),0)</f>
        <v>39</v>
      </c>
      <c r="M444" s="45" t="n">
        <f aca="false">IFERROR(INDEX(medicine_master!$G$2:$G$26,MATCH($C444,medicine_master!$A$2:$A$26,0)),0)</f>
        <v>27</v>
      </c>
      <c r="N444" s="45" t="n">
        <f aca="false">IF(D444="Sale",E444*L444,0)</f>
        <v>780</v>
      </c>
      <c r="O444" s="45" t="n">
        <f aca="false">IF(D444="Sale",E444*M444,0)</f>
        <v>540</v>
      </c>
      <c r="P444" s="45" t="n">
        <f aca="false">N444-O444</f>
        <v>240</v>
      </c>
      <c r="Q444" s="45" t="n">
        <f aca="false">IF(D444="Purchase",E444*M444,0)</f>
        <v>0</v>
      </c>
    </row>
    <row r="445" customFormat="false" ht="15" hidden="false" customHeight="false" outlineLevel="0" collapsed="false">
      <c r="A445" s="39" t="s">
        <v>769</v>
      </c>
      <c r="B445" s="44" t="n">
        <v>46139</v>
      </c>
      <c r="C445" s="39" t="s">
        <v>178</v>
      </c>
      <c r="D445" s="39" t="s">
        <v>137</v>
      </c>
      <c r="E445" s="39" t="n">
        <v>20</v>
      </c>
      <c r="F445" s="39" t="str">
        <f aca="false">IF(COUNTIF(medicine_master!$A$2:$A$26,C445)&gt;0,"Valid","Invalid")</f>
        <v>Valid</v>
      </c>
      <c r="G445" s="39" t="str">
        <f aca="false">IFERROR(INDEX(medicine_master!$B$2:$B$26,MATCH($C445,medicine_master!$A$2:$A$26,0)),"Not found")</f>
        <v>Aspirin 75mg</v>
      </c>
      <c r="H445" s="39" t="str">
        <f aca="false">IFERROR(INDEX(medicine_master!$C$2:$C$26,MATCH($C445,medicine_master!$A$2:$A$26,0)),"Not found")</f>
        <v>Cardiac</v>
      </c>
      <c r="I445" s="39" t="n">
        <f aca="false">YEAR(B445)</f>
        <v>2026</v>
      </c>
      <c r="J445" s="39" t="n">
        <f aca="false">MONTH(B445)</f>
        <v>4</v>
      </c>
      <c r="K445" s="39" t="str">
        <f aca="false">TEXT(B445,"mmm")</f>
        <v>Apr</v>
      </c>
      <c r="L445" s="45" t="n">
        <f aca="false">IFERROR(INDEX(medicine_master!$I$2:$I$26,MATCH($C445,medicine_master!$A$2:$A$26,0)),0)</f>
        <v>15</v>
      </c>
      <c r="M445" s="45" t="n">
        <f aca="false">IFERROR(INDEX(medicine_master!$G$2:$G$26,MATCH($C445,medicine_master!$A$2:$A$26,0)),0)</f>
        <v>10</v>
      </c>
      <c r="N445" s="45" t="n">
        <f aca="false">IF(D445="Sale",E445*L445,0)</f>
        <v>300</v>
      </c>
      <c r="O445" s="45" t="n">
        <f aca="false">IF(D445="Sale",E445*M445,0)</f>
        <v>200</v>
      </c>
      <c r="P445" s="45" t="n">
        <f aca="false">N445-O445</f>
        <v>100</v>
      </c>
      <c r="Q445" s="45" t="n">
        <f aca="false">IF(D445="Purchase",E445*M445,0)</f>
        <v>0</v>
      </c>
    </row>
    <row r="446" customFormat="false" ht="15" hidden="false" customHeight="false" outlineLevel="0" collapsed="false">
      <c r="A446" s="39" t="s">
        <v>770</v>
      </c>
      <c r="B446" s="44" t="n">
        <v>46315</v>
      </c>
      <c r="C446" s="39" t="s">
        <v>159</v>
      </c>
      <c r="D446" s="39" t="s">
        <v>137</v>
      </c>
      <c r="E446" s="39" t="n">
        <v>25</v>
      </c>
      <c r="F446" s="39" t="str">
        <f aca="false">IF(COUNTIF(medicine_master!$A$2:$A$26,C446)&gt;0,"Valid","Invalid")</f>
        <v>Valid</v>
      </c>
      <c r="G446" s="39" t="str">
        <f aca="false">IFERROR(INDEX(medicine_master!$B$2:$B$26,MATCH($C446,medicine_master!$A$2:$A$26,0)),"Not found")</f>
        <v>Antiseptic Liquid 100ml</v>
      </c>
      <c r="H446" s="39" t="str">
        <f aca="false">IFERROR(INDEX(medicine_master!$C$2:$C$26,MATCH($C446,medicine_master!$A$2:$A$26,0)),"Not found")</f>
        <v>First Aid</v>
      </c>
      <c r="I446" s="39" t="n">
        <f aca="false">YEAR(B446)</f>
        <v>2026</v>
      </c>
      <c r="J446" s="39" t="n">
        <f aca="false">MONTH(B446)</f>
        <v>10</v>
      </c>
      <c r="K446" s="39" t="str">
        <f aca="false">TEXT(B446,"mmm")</f>
        <v>Oct</v>
      </c>
      <c r="L446" s="45" t="n">
        <f aca="false">IFERROR(INDEX(medicine_master!$I$2:$I$26,MATCH($C446,medicine_master!$A$2:$A$26,0)),0)</f>
        <v>65</v>
      </c>
      <c r="M446" s="45" t="n">
        <f aca="false">IFERROR(INDEX(medicine_master!$G$2:$G$26,MATCH($C446,medicine_master!$A$2:$A$26,0)),0)</f>
        <v>48</v>
      </c>
      <c r="N446" s="45" t="n">
        <f aca="false">IF(D446="Sale",E446*L446,0)</f>
        <v>1625</v>
      </c>
      <c r="O446" s="45" t="n">
        <f aca="false">IF(D446="Sale",E446*M446,0)</f>
        <v>1200</v>
      </c>
      <c r="P446" s="45" t="n">
        <f aca="false">N446-O446</f>
        <v>425</v>
      </c>
      <c r="Q446" s="45" t="n">
        <f aca="false">IF(D446="Purchase",E446*M446,0)</f>
        <v>0</v>
      </c>
    </row>
    <row r="447" customFormat="false" ht="15" hidden="false" customHeight="false" outlineLevel="0" collapsed="false">
      <c r="A447" s="39" t="s">
        <v>771</v>
      </c>
      <c r="B447" s="44" t="n">
        <v>46365</v>
      </c>
      <c r="C447" s="39" t="s">
        <v>158</v>
      </c>
      <c r="D447" s="39" t="s">
        <v>137</v>
      </c>
      <c r="E447" s="39" t="n">
        <v>30</v>
      </c>
      <c r="F447" s="39" t="str">
        <f aca="false">IF(COUNTIF(medicine_master!$A$2:$A$26,C447)&gt;0,"Valid","Invalid")</f>
        <v>Valid</v>
      </c>
      <c r="G447" s="39" t="str">
        <f aca="false">IFERROR(INDEX(medicine_master!$B$2:$B$26,MATCH($C447,medicine_master!$A$2:$A$26,0)),"Not found")</f>
        <v>Cough Syrup 100ml</v>
      </c>
      <c r="H447" s="39" t="str">
        <f aca="false">IFERROR(INDEX(medicine_master!$C$2:$C$26,MATCH($C447,medicine_master!$A$2:$A$26,0)),"Not found")</f>
        <v>Cold &amp; Cough</v>
      </c>
      <c r="I447" s="39" t="n">
        <f aca="false">YEAR(B447)</f>
        <v>2026</v>
      </c>
      <c r="J447" s="39" t="n">
        <f aca="false">MONTH(B447)</f>
        <v>12</v>
      </c>
      <c r="K447" s="39" t="str">
        <f aca="false">TEXT(B447,"mmm")</f>
        <v>Dec</v>
      </c>
      <c r="L447" s="45" t="n">
        <f aca="false">IFERROR(INDEX(medicine_master!$I$2:$I$26,MATCH($C447,medicine_master!$A$2:$A$26,0)),0)</f>
        <v>72</v>
      </c>
      <c r="M447" s="45" t="n">
        <f aca="false">IFERROR(INDEX(medicine_master!$G$2:$G$26,MATCH($C447,medicine_master!$A$2:$A$26,0)),0)</f>
        <v>52</v>
      </c>
      <c r="N447" s="45" t="n">
        <f aca="false">IF(D447="Sale",E447*L447,0)</f>
        <v>2160</v>
      </c>
      <c r="O447" s="45" t="n">
        <f aca="false">IF(D447="Sale",E447*M447,0)</f>
        <v>1560</v>
      </c>
      <c r="P447" s="45" t="n">
        <f aca="false">N447-O447</f>
        <v>600</v>
      </c>
      <c r="Q447" s="45" t="n">
        <f aca="false">IF(D447="Purchase",E447*M447,0)</f>
        <v>0</v>
      </c>
    </row>
    <row r="448" customFormat="false" ht="15" hidden="false" customHeight="false" outlineLevel="0" collapsed="false">
      <c r="A448" s="39" t="s">
        <v>772</v>
      </c>
      <c r="B448" s="44" t="n">
        <v>46043</v>
      </c>
      <c r="C448" s="39" t="s">
        <v>148</v>
      </c>
      <c r="D448" s="39" t="s">
        <v>137</v>
      </c>
      <c r="E448" s="39" t="n">
        <v>40</v>
      </c>
      <c r="F448" s="39" t="str">
        <f aca="false">IF(COUNTIF(medicine_master!$A$2:$A$26,C448)&gt;0,"Valid","Invalid")</f>
        <v>Valid</v>
      </c>
      <c r="G448" s="39" t="str">
        <f aca="false">IFERROR(INDEX(medicine_master!$B$2:$B$26,MATCH($C448,medicine_master!$A$2:$A$26,0)),"Not found")</f>
        <v>Dextromethorphan Syrup</v>
      </c>
      <c r="H448" s="39" t="str">
        <f aca="false">IFERROR(INDEX(medicine_master!$C$2:$C$26,MATCH($C448,medicine_master!$A$2:$A$26,0)),"Not found")</f>
        <v>Cold &amp; Cough</v>
      </c>
      <c r="I448" s="39" t="n">
        <f aca="false">YEAR(B448)</f>
        <v>2026</v>
      </c>
      <c r="J448" s="39" t="n">
        <f aca="false">MONTH(B448)</f>
        <v>1</v>
      </c>
      <c r="K448" s="39" t="str">
        <f aca="false">TEXT(B448,"mmm")</f>
        <v>Jan</v>
      </c>
      <c r="L448" s="45" t="n">
        <f aca="false">IFERROR(INDEX(medicine_master!$I$2:$I$26,MATCH($C448,medicine_master!$A$2:$A$26,0)),0)</f>
        <v>80</v>
      </c>
      <c r="M448" s="45" t="n">
        <f aca="false">IFERROR(INDEX(medicine_master!$G$2:$G$26,MATCH($C448,medicine_master!$A$2:$A$26,0)),0)</f>
        <v>58</v>
      </c>
      <c r="N448" s="45" t="n">
        <f aca="false">IF(D448="Sale",E448*L448,0)</f>
        <v>3200</v>
      </c>
      <c r="O448" s="45" t="n">
        <f aca="false">IF(D448="Sale",E448*M448,0)</f>
        <v>2320</v>
      </c>
      <c r="P448" s="45" t="n">
        <f aca="false">N448-O448</f>
        <v>880</v>
      </c>
      <c r="Q448" s="45" t="n">
        <f aca="false">IF(D448="Purchase",E448*M448,0)</f>
        <v>0</v>
      </c>
    </row>
    <row r="449" customFormat="false" ht="15" hidden="false" customHeight="false" outlineLevel="0" collapsed="false">
      <c r="A449" s="39" t="s">
        <v>773</v>
      </c>
      <c r="B449" s="44" t="n">
        <v>46139</v>
      </c>
      <c r="C449" s="39" t="s">
        <v>159</v>
      </c>
      <c r="D449" s="39" t="s">
        <v>138</v>
      </c>
      <c r="E449" s="39" t="n">
        <v>40</v>
      </c>
      <c r="F449" s="39" t="str">
        <f aca="false">IF(COUNTIF(medicine_master!$A$2:$A$26,C449)&gt;0,"Valid","Invalid")</f>
        <v>Valid</v>
      </c>
      <c r="G449" s="39" t="str">
        <f aca="false">IFERROR(INDEX(medicine_master!$B$2:$B$26,MATCH($C449,medicine_master!$A$2:$A$26,0)),"Not found")</f>
        <v>Antiseptic Liquid 100ml</v>
      </c>
      <c r="H449" s="39" t="str">
        <f aca="false">IFERROR(INDEX(medicine_master!$C$2:$C$26,MATCH($C449,medicine_master!$A$2:$A$26,0)),"Not found")</f>
        <v>First Aid</v>
      </c>
      <c r="I449" s="39" t="n">
        <f aca="false">YEAR(B449)</f>
        <v>2026</v>
      </c>
      <c r="J449" s="39" t="n">
        <f aca="false">MONTH(B449)</f>
        <v>4</v>
      </c>
      <c r="K449" s="39" t="str">
        <f aca="false">TEXT(B449,"mmm")</f>
        <v>Apr</v>
      </c>
      <c r="L449" s="45" t="n">
        <f aca="false">IFERROR(INDEX(medicine_master!$I$2:$I$26,MATCH($C449,medicine_master!$A$2:$A$26,0)),0)</f>
        <v>65</v>
      </c>
      <c r="M449" s="45" t="n">
        <f aca="false">IFERROR(INDEX(medicine_master!$G$2:$G$26,MATCH($C449,medicine_master!$A$2:$A$26,0)),0)</f>
        <v>48</v>
      </c>
      <c r="N449" s="45" t="n">
        <f aca="false">IF(D449="Sale",E449*L449,0)</f>
        <v>0</v>
      </c>
      <c r="O449" s="45" t="n">
        <f aca="false">IF(D449="Sale",E449*M449,0)</f>
        <v>0</v>
      </c>
      <c r="P449" s="45" t="n">
        <f aca="false">N449-O449</f>
        <v>0</v>
      </c>
      <c r="Q449" s="45" t="n">
        <f aca="false">IF(D449="Purchase",E449*M449,0)</f>
        <v>1920</v>
      </c>
    </row>
    <row r="450" customFormat="false" ht="15" hidden="false" customHeight="false" outlineLevel="0" collapsed="false">
      <c r="A450" s="39" t="s">
        <v>774</v>
      </c>
      <c r="B450" s="44" t="n">
        <v>46293</v>
      </c>
      <c r="C450" s="39" t="s">
        <v>149</v>
      </c>
      <c r="D450" s="39" t="s">
        <v>137</v>
      </c>
      <c r="E450" s="39" t="n">
        <v>15</v>
      </c>
      <c r="F450" s="39" t="str">
        <f aca="false">IF(COUNTIF(medicine_master!$A$2:$A$26,C450)&gt;0,"Valid","Invalid")</f>
        <v>Valid</v>
      </c>
      <c r="G450" s="39" t="str">
        <f aca="false">IFERROR(INDEX(medicine_master!$B$2:$B$26,MATCH($C450,medicine_master!$A$2:$A$26,0)),"Not found")</f>
        <v>Azithromycin 500mg</v>
      </c>
      <c r="H450" s="39" t="str">
        <f aca="false">IFERROR(INDEX(medicine_master!$C$2:$C$26,MATCH($C450,medicine_master!$A$2:$A$26,0)),"Not found")</f>
        <v>Antibiotic</v>
      </c>
      <c r="I450" s="39" t="n">
        <f aca="false">YEAR(B450)</f>
        <v>2026</v>
      </c>
      <c r="J450" s="39" t="n">
        <f aca="false">MONTH(B450)</f>
        <v>9</v>
      </c>
      <c r="K450" s="39" t="str">
        <f aca="false">TEXT(B450,"mmm")</f>
        <v>Sep</v>
      </c>
      <c r="L450" s="45" t="n">
        <f aca="false">IFERROR(INDEX(medicine_master!$I$2:$I$26,MATCH($C450,medicine_master!$A$2:$A$26,0)),0)</f>
        <v>50</v>
      </c>
      <c r="M450" s="45" t="n">
        <f aca="false">IFERROR(INDEX(medicine_master!$G$2:$G$26,MATCH($C450,medicine_master!$A$2:$A$26,0)),0)</f>
        <v>35</v>
      </c>
      <c r="N450" s="45" t="n">
        <f aca="false">IF(D450="Sale",E450*L450,0)</f>
        <v>750</v>
      </c>
      <c r="O450" s="45" t="n">
        <f aca="false">IF(D450="Sale",E450*M450,0)</f>
        <v>525</v>
      </c>
      <c r="P450" s="45" t="n">
        <f aca="false">N450-O450</f>
        <v>225</v>
      </c>
      <c r="Q450" s="45" t="n">
        <f aca="false">IF(D450="Purchase",E450*M450,0)</f>
        <v>0</v>
      </c>
    </row>
    <row r="451" customFormat="false" ht="15" hidden="false" customHeight="false" outlineLevel="0" collapsed="false">
      <c r="A451" s="39" t="s">
        <v>775</v>
      </c>
      <c r="B451" s="44" t="n">
        <v>46312</v>
      </c>
      <c r="C451" s="39" t="s">
        <v>153</v>
      </c>
      <c r="D451" s="39" t="s">
        <v>137</v>
      </c>
      <c r="E451" s="39" t="n">
        <v>15</v>
      </c>
      <c r="F451" s="39" t="str">
        <f aca="false">IF(COUNTIF(medicine_master!$A$2:$A$26,C451)&gt;0,"Valid","Invalid")</f>
        <v>Valid</v>
      </c>
      <c r="G451" s="39" t="str">
        <f aca="false">IFERROR(INDEX(medicine_master!$B$2:$B$26,MATCH($C451,medicine_master!$A$2:$A$26,0)),"Not found")</f>
        <v>Atorvastatin 10mg</v>
      </c>
      <c r="H451" s="39" t="str">
        <f aca="false">IFERROR(INDEX(medicine_master!$C$2:$C$26,MATCH($C451,medicine_master!$A$2:$A$26,0)),"Not found")</f>
        <v>Cardiac</v>
      </c>
      <c r="I451" s="39" t="n">
        <f aca="false">YEAR(B451)</f>
        <v>2026</v>
      </c>
      <c r="J451" s="39" t="n">
        <f aca="false">MONTH(B451)</f>
        <v>10</v>
      </c>
      <c r="K451" s="39" t="str">
        <f aca="false">TEXT(B451,"mmm")</f>
        <v>Oct</v>
      </c>
      <c r="L451" s="45" t="n">
        <f aca="false">IFERROR(INDEX(medicine_master!$I$2:$I$26,MATCH($C451,medicine_master!$A$2:$A$26,0)),0)</f>
        <v>28</v>
      </c>
      <c r="M451" s="45" t="n">
        <f aca="false">IFERROR(INDEX(medicine_master!$G$2:$G$26,MATCH($C451,medicine_master!$A$2:$A$26,0)),0)</f>
        <v>19</v>
      </c>
      <c r="N451" s="45" t="n">
        <f aca="false">IF(D451="Sale",E451*L451,0)</f>
        <v>420</v>
      </c>
      <c r="O451" s="45" t="n">
        <f aca="false">IF(D451="Sale",E451*M451,0)</f>
        <v>285</v>
      </c>
      <c r="P451" s="45" t="n">
        <f aca="false">N451-O451</f>
        <v>135</v>
      </c>
      <c r="Q451" s="45" t="n">
        <f aca="false">IF(D451="Purchase",E451*M451,0)</f>
        <v>0</v>
      </c>
    </row>
    <row r="452" customFormat="false" ht="15" hidden="false" customHeight="false" outlineLevel="0" collapsed="false">
      <c r="A452" s="39" t="s">
        <v>776</v>
      </c>
      <c r="B452" s="44" t="n">
        <v>46074</v>
      </c>
      <c r="C452" s="39" t="s">
        <v>153</v>
      </c>
      <c r="D452" s="39" t="s">
        <v>138</v>
      </c>
      <c r="E452" s="39" t="n">
        <v>30</v>
      </c>
      <c r="F452" s="39" t="str">
        <f aca="false">IF(COUNTIF(medicine_master!$A$2:$A$26,C452)&gt;0,"Valid","Invalid")</f>
        <v>Valid</v>
      </c>
      <c r="G452" s="39" t="str">
        <f aca="false">IFERROR(INDEX(medicine_master!$B$2:$B$26,MATCH($C452,medicine_master!$A$2:$A$26,0)),"Not found")</f>
        <v>Atorvastatin 10mg</v>
      </c>
      <c r="H452" s="39" t="str">
        <f aca="false">IFERROR(INDEX(medicine_master!$C$2:$C$26,MATCH($C452,medicine_master!$A$2:$A$26,0)),"Not found")</f>
        <v>Cardiac</v>
      </c>
      <c r="I452" s="39" t="n">
        <f aca="false">YEAR(B452)</f>
        <v>2026</v>
      </c>
      <c r="J452" s="39" t="n">
        <f aca="false">MONTH(B452)</f>
        <v>2</v>
      </c>
      <c r="K452" s="39" t="str">
        <f aca="false">TEXT(B452,"mmm")</f>
        <v>Feb</v>
      </c>
      <c r="L452" s="45" t="n">
        <f aca="false">IFERROR(INDEX(medicine_master!$I$2:$I$26,MATCH($C452,medicine_master!$A$2:$A$26,0)),0)</f>
        <v>28</v>
      </c>
      <c r="M452" s="45" t="n">
        <f aca="false">IFERROR(INDEX(medicine_master!$G$2:$G$26,MATCH($C452,medicine_master!$A$2:$A$26,0)),0)</f>
        <v>19</v>
      </c>
      <c r="N452" s="45" t="n">
        <f aca="false">IF(D452="Sale",E452*L452,0)</f>
        <v>0</v>
      </c>
      <c r="O452" s="45" t="n">
        <f aca="false">IF(D452="Sale",E452*M452,0)</f>
        <v>0</v>
      </c>
      <c r="P452" s="45" t="n">
        <f aca="false">N452-O452</f>
        <v>0</v>
      </c>
      <c r="Q452" s="45" t="n">
        <f aca="false">IF(D452="Purchase",E452*M452,0)</f>
        <v>570</v>
      </c>
    </row>
    <row r="453" customFormat="false" ht="15" hidden="false" customHeight="false" outlineLevel="0" collapsed="false">
      <c r="A453" s="39" t="s">
        <v>777</v>
      </c>
      <c r="B453" s="44" t="n">
        <v>46313</v>
      </c>
      <c r="C453" s="39" t="s">
        <v>157</v>
      </c>
      <c r="D453" s="39" t="s">
        <v>138</v>
      </c>
      <c r="E453" s="39" t="n">
        <v>25</v>
      </c>
      <c r="F453" s="39" t="str">
        <f aca="false">IF(COUNTIF(medicine_master!$A$2:$A$26,C453)&gt;0,"Valid","Invalid")</f>
        <v>Valid</v>
      </c>
      <c r="G453" s="39" t="str">
        <f aca="false">IFERROR(INDEX(medicine_master!$B$2:$B$26,MATCH($C453,medicine_master!$A$2:$A$26,0)),"Not found")</f>
        <v>Multivitamin Tablets</v>
      </c>
      <c r="H453" s="39" t="str">
        <f aca="false">IFERROR(INDEX(medicine_master!$C$2:$C$26,MATCH($C453,medicine_master!$A$2:$A$26,0)),"Not found")</f>
        <v>Vitamin</v>
      </c>
      <c r="I453" s="39" t="n">
        <f aca="false">YEAR(B453)</f>
        <v>2026</v>
      </c>
      <c r="J453" s="39" t="n">
        <f aca="false">MONTH(B453)</f>
        <v>10</v>
      </c>
      <c r="K453" s="39" t="str">
        <f aca="false">TEXT(B453,"mmm")</f>
        <v>Oct</v>
      </c>
      <c r="L453" s="45" t="n">
        <f aca="false">IFERROR(INDEX(medicine_master!$I$2:$I$26,MATCH($C453,medicine_master!$A$2:$A$26,0)),0)</f>
        <v>105</v>
      </c>
      <c r="M453" s="45" t="n">
        <f aca="false">IFERROR(INDEX(medicine_master!$G$2:$G$26,MATCH($C453,medicine_master!$A$2:$A$26,0)),0)</f>
        <v>72</v>
      </c>
      <c r="N453" s="45" t="n">
        <f aca="false">IF(D453="Sale",E453*L453,0)</f>
        <v>0</v>
      </c>
      <c r="O453" s="45" t="n">
        <f aca="false">IF(D453="Sale",E453*M453,0)</f>
        <v>0</v>
      </c>
      <c r="P453" s="45" t="n">
        <f aca="false">N453-O453</f>
        <v>0</v>
      </c>
      <c r="Q453" s="45" t="n">
        <f aca="false">IF(D453="Purchase",E453*M453,0)</f>
        <v>1800</v>
      </c>
    </row>
    <row r="454" customFormat="false" ht="15" hidden="false" customHeight="false" outlineLevel="0" collapsed="false">
      <c r="A454" s="39" t="s">
        <v>778</v>
      </c>
      <c r="B454" s="44" t="n">
        <v>46168</v>
      </c>
      <c r="C454" s="39" t="s">
        <v>179</v>
      </c>
      <c r="D454" s="39" t="s">
        <v>138</v>
      </c>
      <c r="E454" s="39" t="n">
        <v>20</v>
      </c>
      <c r="F454" s="39" t="str">
        <f aca="false">IF(COUNTIF(medicine_master!$A$2:$A$26,C454)&gt;0,"Valid","Invalid")</f>
        <v>Valid</v>
      </c>
      <c r="G454" s="39" t="str">
        <f aca="false">IFERROR(INDEX(medicine_master!$B$2:$B$26,MATCH($C454,medicine_master!$A$2:$A$26,0)),"Not found")</f>
        <v>Ibuprofen 400mg</v>
      </c>
      <c r="H454" s="39" t="str">
        <f aca="false">IFERROR(INDEX(medicine_master!$C$2:$C$26,MATCH($C454,medicine_master!$A$2:$A$26,0)),"Not found")</f>
        <v>Pain Relief</v>
      </c>
      <c r="I454" s="39" t="n">
        <f aca="false">YEAR(B454)</f>
        <v>2026</v>
      </c>
      <c r="J454" s="39" t="n">
        <f aca="false">MONTH(B454)</f>
        <v>5</v>
      </c>
      <c r="K454" s="39" t="str">
        <f aca="false">TEXT(B454,"mmm")</f>
        <v>May</v>
      </c>
      <c r="L454" s="45" t="n">
        <f aca="false">IFERROR(INDEX(medicine_master!$I$2:$I$26,MATCH($C454,medicine_master!$A$2:$A$26,0)),0)</f>
        <v>30</v>
      </c>
      <c r="M454" s="45" t="n">
        <f aca="false">IFERROR(INDEX(medicine_master!$G$2:$G$26,MATCH($C454,medicine_master!$A$2:$A$26,0)),0)</f>
        <v>22</v>
      </c>
      <c r="N454" s="45" t="n">
        <f aca="false">IF(D454="Sale",E454*L454,0)</f>
        <v>0</v>
      </c>
      <c r="O454" s="45" t="n">
        <f aca="false">IF(D454="Sale",E454*M454,0)</f>
        <v>0</v>
      </c>
      <c r="P454" s="45" t="n">
        <f aca="false">N454-O454</f>
        <v>0</v>
      </c>
      <c r="Q454" s="45" t="n">
        <f aca="false">IF(D454="Purchase",E454*M454,0)</f>
        <v>440</v>
      </c>
    </row>
    <row r="455" customFormat="false" ht="15" hidden="false" customHeight="false" outlineLevel="0" collapsed="false">
      <c r="A455" s="39" t="s">
        <v>779</v>
      </c>
      <c r="B455" s="44" t="n">
        <v>46367</v>
      </c>
      <c r="C455" s="39" t="s">
        <v>495</v>
      </c>
      <c r="D455" s="39" t="s">
        <v>138</v>
      </c>
      <c r="E455" s="39" t="n">
        <v>40</v>
      </c>
      <c r="F455" s="39" t="str">
        <f aca="false">IF(COUNTIF(medicine_master!$A$2:$A$26,C455)&gt;0,"Valid","Invalid")</f>
        <v>Valid</v>
      </c>
      <c r="G455" s="39" t="str">
        <f aca="false">IFERROR(INDEX(medicine_master!$B$2:$B$26,MATCH($C455,medicine_master!$A$2:$A$26,0)),"Not found")</f>
        <v>Metformin 500mg</v>
      </c>
      <c r="H455" s="39" t="str">
        <f aca="false">IFERROR(INDEX(medicine_master!$C$2:$C$26,MATCH($C455,medicine_master!$A$2:$A$26,0)),"Not found")</f>
        <v>Diabetes</v>
      </c>
      <c r="I455" s="39" t="n">
        <f aca="false">YEAR(B455)</f>
        <v>2026</v>
      </c>
      <c r="J455" s="39" t="n">
        <f aca="false">MONTH(B455)</f>
        <v>12</v>
      </c>
      <c r="K455" s="39" t="str">
        <f aca="false">TEXT(B455,"mmm")</f>
        <v>Dec</v>
      </c>
      <c r="L455" s="45" t="n">
        <f aca="false">IFERROR(INDEX(medicine_master!$I$2:$I$26,MATCH($C455,medicine_master!$A$2:$A$26,0)),0)</f>
        <v>24</v>
      </c>
      <c r="M455" s="45" t="n">
        <f aca="false">IFERROR(INDEX(medicine_master!$G$2:$G$26,MATCH($C455,medicine_master!$A$2:$A$26,0)),0)</f>
        <v>16</v>
      </c>
      <c r="N455" s="45" t="n">
        <f aca="false">IF(D455="Sale",E455*L455,0)</f>
        <v>0</v>
      </c>
      <c r="O455" s="45" t="n">
        <f aca="false">IF(D455="Sale",E455*M455,0)</f>
        <v>0</v>
      </c>
      <c r="P455" s="45" t="n">
        <f aca="false">N455-O455</f>
        <v>0</v>
      </c>
      <c r="Q455" s="45" t="n">
        <f aca="false">IF(D455="Purchase",E455*M455,0)</f>
        <v>640</v>
      </c>
    </row>
    <row r="456" customFormat="false" ht="15" hidden="false" customHeight="false" outlineLevel="0" collapsed="false">
      <c r="A456" s="39" t="s">
        <v>780</v>
      </c>
      <c r="B456" s="44" t="n">
        <v>46061</v>
      </c>
      <c r="C456" s="39" t="s">
        <v>167</v>
      </c>
      <c r="D456" s="39" t="s">
        <v>138</v>
      </c>
      <c r="E456" s="39" t="n">
        <v>15</v>
      </c>
      <c r="F456" s="39" t="str">
        <f aca="false">IF(COUNTIF(medicine_master!$A$2:$A$26,C456)&gt;0,"Valid","Invalid")</f>
        <v>Valid</v>
      </c>
      <c r="G456" s="39" t="str">
        <f aca="false">IFERROR(INDEX(medicine_master!$B$2:$B$26,MATCH($C456,medicine_master!$A$2:$A$26,0)),"Not found")</f>
        <v>Amlodipine 5mg</v>
      </c>
      <c r="H456" s="39" t="str">
        <f aca="false">IFERROR(INDEX(medicine_master!$C$2:$C$26,MATCH($C456,medicine_master!$A$2:$A$26,0)),"Not found")</f>
        <v>Cardiac</v>
      </c>
      <c r="I456" s="39" t="n">
        <f aca="false">YEAR(B456)</f>
        <v>2026</v>
      </c>
      <c r="J456" s="39" t="n">
        <f aca="false">MONTH(B456)</f>
        <v>2</v>
      </c>
      <c r="K456" s="39" t="str">
        <f aca="false">TEXT(B456,"mmm")</f>
        <v>Feb</v>
      </c>
      <c r="L456" s="45" t="n">
        <f aca="false">IFERROR(INDEX(medicine_master!$I$2:$I$26,MATCH($C456,medicine_master!$A$2:$A$26,0)),0)</f>
        <v>19</v>
      </c>
      <c r="M456" s="45" t="n">
        <f aca="false">IFERROR(INDEX(medicine_master!$G$2:$G$26,MATCH($C456,medicine_master!$A$2:$A$26,0)),0)</f>
        <v>13</v>
      </c>
      <c r="N456" s="45" t="n">
        <f aca="false">IF(D456="Sale",E456*L456,0)</f>
        <v>0</v>
      </c>
      <c r="O456" s="45" t="n">
        <f aca="false">IF(D456="Sale",E456*M456,0)</f>
        <v>0</v>
      </c>
      <c r="P456" s="45" t="n">
        <f aca="false">N456-O456</f>
        <v>0</v>
      </c>
      <c r="Q456" s="45" t="n">
        <f aca="false">IF(D456="Purchase",E456*M456,0)</f>
        <v>195</v>
      </c>
    </row>
    <row r="457" customFormat="false" ht="15" hidden="false" customHeight="false" outlineLevel="0" collapsed="false">
      <c r="A457" s="39" t="s">
        <v>781</v>
      </c>
      <c r="B457" s="44" t="n">
        <v>46263</v>
      </c>
      <c r="C457" s="39" t="s">
        <v>150</v>
      </c>
      <c r="D457" s="39" t="s">
        <v>138</v>
      </c>
      <c r="E457" s="39" t="n">
        <v>40</v>
      </c>
      <c r="F457" s="39" t="str">
        <f aca="false">IF(COUNTIF(medicine_master!$A$2:$A$26,C457)&gt;0,"Valid","Invalid")</f>
        <v>Valid</v>
      </c>
      <c r="G457" s="39" t="str">
        <f aca="false">IFERROR(INDEX(medicine_master!$B$2:$B$26,MATCH($C457,medicine_master!$A$2:$A$26,0)),"Not found")</f>
        <v>Pantoprazole 40mg</v>
      </c>
      <c r="H457" s="39" t="str">
        <f aca="false">IFERROR(INDEX(medicine_master!$C$2:$C$26,MATCH($C457,medicine_master!$A$2:$A$26,0)),"Not found")</f>
        <v>Gastric</v>
      </c>
      <c r="I457" s="39" t="n">
        <f aca="false">YEAR(B457)</f>
        <v>2026</v>
      </c>
      <c r="J457" s="39" t="n">
        <f aca="false">MONTH(B457)</f>
        <v>8</v>
      </c>
      <c r="K457" s="39" t="str">
        <f aca="false">TEXT(B457,"mmm")</f>
        <v>Aug</v>
      </c>
      <c r="L457" s="45" t="n">
        <f aca="false">IFERROR(INDEX(medicine_master!$I$2:$I$26,MATCH($C457,medicine_master!$A$2:$A$26,0)),0)</f>
        <v>35</v>
      </c>
      <c r="M457" s="45" t="n">
        <f aca="false">IFERROR(INDEX(medicine_master!$G$2:$G$26,MATCH($C457,medicine_master!$A$2:$A$26,0)),0)</f>
        <v>24</v>
      </c>
      <c r="N457" s="45" t="n">
        <f aca="false">IF(D457="Sale",E457*L457,0)</f>
        <v>0</v>
      </c>
      <c r="O457" s="45" t="n">
        <f aca="false">IF(D457="Sale",E457*M457,0)</f>
        <v>0</v>
      </c>
      <c r="P457" s="45" t="n">
        <f aca="false">N457-O457</f>
        <v>0</v>
      </c>
      <c r="Q457" s="45" t="n">
        <f aca="false">IF(D457="Purchase",E457*M457,0)</f>
        <v>960</v>
      </c>
    </row>
    <row r="458" customFormat="false" ht="15" hidden="false" customHeight="false" outlineLevel="0" collapsed="false">
      <c r="A458" s="39" t="s">
        <v>782</v>
      </c>
      <c r="B458" s="44" t="n">
        <v>46106</v>
      </c>
      <c r="C458" s="39" t="s">
        <v>149</v>
      </c>
      <c r="D458" s="39" t="s">
        <v>138</v>
      </c>
      <c r="E458" s="39" t="n">
        <v>30</v>
      </c>
      <c r="F458" s="39" t="str">
        <f aca="false">IF(COUNTIF(medicine_master!$A$2:$A$26,C458)&gt;0,"Valid","Invalid")</f>
        <v>Valid</v>
      </c>
      <c r="G458" s="39" t="str">
        <f aca="false">IFERROR(INDEX(medicine_master!$B$2:$B$26,MATCH($C458,medicine_master!$A$2:$A$26,0)),"Not found")</f>
        <v>Azithromycin 500mg</v>
      </c>
      <c r="H458" s="39" t="str">
        <f aca="false">IFERROR(INDEX(medicine_master!$C$2:$C$26,MATCH($C458,medicine_master!$A$2:$A$26,0)),"Not found")</f>
        <v>Antibiotic</v>
      </c>
      <c r="I458" s="39" t="n">
        <f aca="false">YEAR(B458)</f>
        <v>2026</v>
      </c>
      <c r="J458" s="39" t="n">
        <f aca="false">MONTH(B458)</f>
        <v>3</v>
      </c>
      <c r="K458" s="39" t="str">
        <f aca="false">TEXT(B458,"mmm")</f>
        <v>Mar</v>
      </c>
      <c r="L458" s="45" t="n">
        <f aca="false">IFERROR(INDEX(medicine_master!$I$2:$I$26,MATCH($C458,medicine_master!$A$2:$A$26,0)),0)</f>
        <v>50</v>
      </c>
      <c r="M458" s="45" t="n">
        <f aca="false">IFERROR(INDEX(medicine_master!$G$2:$G$26,MATCH($C458,medicine_master!$A$2:$A$26,0)),0)</f>
        <v>35</v>
      </c>
      <c r="N458" s="45" t="n">
        <f aca="false">IF(D458="Sale",E458*L458,0)</f>
        <v>0</v>
      </c>
      <c r="O458" s="45" t="n">
        <f aca="false">IF(D458="Sale",E458*M458,0)</f>
        <v>0</v>
      </c>
      <c r="P458" s="45" t="n">
        <f aca="false">N458-O458</f>
        <v>0</v>
      </c>
      <c r="Q458" s="45" t="n">
        <f aca="false">IF(D458="Purchase",E458*M458,0)</f>
        <v>1050</v>
      </c>
    </row>
    <row r="459" customFormat="false" ht="15" hidden="false" customHeight="false" outlineLevel="0" collapsed="false">
      <c r="A459" s="39" t="s">
        <v>783</v>
      </c>
      <c r="B459" s="44" t="n">
        <v>46194</v>
      </c>
      <c r="C459" s="39" t="s">
        <v>147</v>
      </c>
      <c r="D459" s="39" t="s">
        <v>137</v>
      </c>
      <c r="E459" s="39" t="n">
        <v>10</v>
      </c>
      <c r="F459" s="39" t="str">
        <f aca="false">IF(COUNTIF(medicine_master!$A$2:$A$26,C459)&gt;0,"Valid","Invalid")</f>
        <v>Valid</v>
      </c>
      <c r="G459" s="39" t="str">
        <f aca="false">IFERROR(INDEX(medicine_master!$B$2:$B$26,MATCH($C459,medicine_master!$A$2:$A$26,0)),"Not found")</f>
        <v>Insulin Injection</v>
      </c>
      <c r="H459" s="39" t="str">
        <f aca="false">IFERROR(INDEX(medicine_master!$C$2:$C$26,MATCH($C459,medicine_master!$A$2:$A$26,0)),"Not found")</f>
        <v>Diabetes</v>
      </c>
      <c r="I459" s="39" t="n">
        <f aca="false">YEAR(B459)</f>
        <v>2026</v>
      </c>
      <c r="J459" s="39" t="n">
        <f aca="false">MONTH(B459)</f>
        <v>6</v>
      </c>
      <c r="K459" s="39" t="str">
        <f aca="false">TEXT(B459,"mmm")</f>
        <v>Jun</v>
      </c>
      <c r="L459" s="45" t="n">
        <f aca="false">IFERROR(INDEX(medicine_master!$I$2:$I$26,MATCH($C459,medicine_master!$A$2:$A$26,0)),0)</f>
        <v>225</v>
      </c>
      <c r="M459" s="45" t="n">
        <f aca="false">IFERROR(INDEX(medicine_master!$G$2:$G$26,MATCH($C459,medicine_master!$A$2:$A$26,0)),0)</f>
        <v>165</v>
      </c>
      <c r="N459" s="45" t="n">
        <f aca="false">IF(D459="Sale",E459*L459,0)</f>
        <v>2250</v>
      </c>
      <c r="O459" s="45" t="n">
        <f aca="false">IF(D459="Sale",E459*M459,0)</f>
        <v>1650</v>
      </c>
      <c r="P459" s="45" t="n">
        <f aca="false">N459-O459</f>
        <v>600</v>
      </c>
      <c r="Q459" s="45" t="n">
        <f aca="false">IF(D459="Purchase",E459*M459,0)</f>
        <v>0</v>
      </c>
    </row>
    <row r="460" customFormat="false" ht="15" hidden="false" customHeight="false" outlineLevel="0" collapsed="false">
      <c r="A460" s="39" t="s">
        <v>784</v>
      </c>
      <c r="B460" s="44" t="n">
        <v>46163</v>
      </c>
      <c r="C460" s="39" t="s">
        <v>148</v>
      </c>
      <c r="D460" s="39" t="s">
        <v>137</v>
      </c>
      <c r="E460" s="39" t="n">
        <v>20</v>
      </c>
      <c r="F460" s="39" t="str">
        <f aca="false">IF(COUNTIF(medicine_master!$A$2:$A$26,C460)&gt;0,"Valid","Invalid")</f>
        <v>Valid</v>
      </c>
      <c r="G460" s="39" t="str">
        <f aca="false">IFERROR(INDEX(medicine_master!$B$2:$B$26,MATCH($C460,medicine_master!$A$2:$A$26,0)),"Not found")</f>
        <v>Dextromethorphan Syrup</v>
      </c>
      <c r="H460" s="39" t="str">
        <f aca="false">IFERROR(INDEX(medicine_master!$C$2:$C$26,MATCH($C460,medicine_master!$A$2:$A$26,0)),"Not found")</f>
        <v>Cold &amp; Cough</v>
      </c>
      <c r="I460" s="39" t="n">
        <f aca="false">YEAR(B460)</f>
        <v>2026</v>
      </c>
      <c r="J460" s="39" t="n">
        <f aca="false">MONTH(B460)</f>
        <v>5</v>
      </c>
      <c r="K460" s="39" t="str">
        <f aca="false">TEXT(B460,"mmm")</f>
        <v>May</v>
      </c>
      <c r="L460" s="45" t="n">
        <f aca="false">IFERROR(INDEX(medicine_master!$I$2:$I$26,MATCH($C460,medicine_master!$A$2:$A$26,0)),0)</f>
        <v>80</v>
      </c>
      <c r="M460" s="45" t="n">
        <f aca="false">IFERROR(INDEX(medicine_master!$G$2:$G$26,MATCH($C460,medicine_master!$A$2:$A$26,0)),0)</f>
        <v>58</v>
      </c>
      <c r="N460" s="45" t="n">
        <f aca="false">IF(D460="Sale",E460*L460,0)</f>
        <v>1600</v>
      </c>
      <c r="O460" s="45" t="n">
        <f aca="false">IF(D460="Sale",E460*M460,0)</f>
        <v>1160</v>
      </c>
      <c r="P460" s="45" t="n">
        <f aca="false">N460-O460</f>
        <v>440</v>
      </c>
      <c r="Q460" s="45" t="n">
        <f aca="false">IF(D460="Purchase",E460*M460,0)</f>
        <v>0</v>
      </c>
    </row>
    <row r="461" customFormat="false" ht="15" hidden="false" customHeight="false" outlineLevel="0" collapsed="false">
      <c r="A461" s="39" t="s">
        <v>785</v>
      </c>
      <c r="B461" s="44" t="n">
        <v>46242</v>
      </c>
      <c r="C461" s="39" t="s">
        <v>326</v>
      </c>
      <c r="D461" s="39" t="s">
        <v>137</v>
      </c>
      <c r="E461" s="39" t="n">
        <v>25</v>
      </c>
      <c r="F461" s="39" t="str">
        <f aca="false">IF(COUNTIF(medicine_master!$A$2:$A$26,C461)&gt;0,"Valid","Invalid")</f>
        <v>Valid</v>
      </c>
      <c r="G461" s="39" t="str">
        <f aca="false">IFERROR(INDEX(medicine_master!$B$2:$B$26,MATCH($C461,medicine_master!$A$2:$A$26,0)),"Not found")</f>
        <v>Omeprazole 20mg</v>
      </c>
      <c r="H461" s="39" t="str">
        <f aca="false">IFERROR(INDEX(medicine_master!$C$2:$C$26,MATCH($C461,medicine_master!$A$2:$A$26,0)),"Not found")</f>
        <v>Gastric</v>
      </c>
      <c r="I461" s="39" t="n">
        <f aca="false">YEAR(B461)</f>
        <v>2026</v>
      </c>
      <c r="J461" s="39" t="n">
        <f aca="false">MONTH(B461)</f>
        <v>8</v>
      </c>
      <c r="K461" s="39" t="str">
        <f aca="false">TEXT(B461,"mmm")</f>
        <v>Aug</v>
      </c>
      <c r="L461" s="45" t="n">
        <f aca="false">IFERROR(INDEX(medicine_master!$I$2:$I$26,MATCH($C461,medicine_master!$A$2:$A$26,0)),0)</f>
        <v>26</v>
      </c>
      <c r="M461" s="45" t="n">
        <f aca="false">IFERROR(INDEX(medicine_master!$G$2:$G$26,MATCH($C461,medicine_master!$A$2:$A$26,0)),0)</f>
        <v>18</v>
      </c>
      <c r="N461" s="45" t="n">
        <f aca="false">IF(D461="Sale",E461*L461,0)</f>
        <v>650</v>
      </c>
      <c r="O461" s="45" t="n">
        <f aca="false">IF(D461="Sale",E461*M461,0)</f>
        <v>450</v>
      </c>
      <c r="P461" s="45" t="n">
        <f aca="false">N461-O461</f>
        <v>200</v>
      </c>
      <c r="Q461" s="45" t="n">
        <f aca="false">IF(D461="Purchase",E461*M461,0)</f>
        <v>0</v>
      </c>
    </row>
    <row r="462" customFormat="false" ht="15" hidden="false" customHeight="false" outlineLevel="0" collapsed="false">
      <c r="A462" s="39" t="s">
        <v>786</v>
      </c>
      <c r="B462" s="44" t="n">
        <v>46143</v>
      </c>
      <c r="C462" s="39" t="s">
        <v>150</v>
      </c>
      <c r="D462" s="39" t="s">
        <v>137</v>
      </c>
      <c r="E462" s="39" t="n">
        <v>15</v>
      </c>
      <c r="F462" s="39" t="str">
        <f aca="false">IF(COUNTIF(medicine_master!$A$2:$A$26,C462)&gt;0,"Valid","Invalid")</f>
        <v>Valid</v>
      </c>
      <c r="G462" s="39" t="str">
        <f aca="false">IFERROR(INDEX(medicine_master!$B$2:$B$26,MATCH($C462,medicine_master!$A$2:$A$26,0)),"Not found")</f>
        <v>Pantoprazole 40mg</v>
      </c>
      <c r="H462" s="39" t="str">
        <f aca="false">IFERROR(INDEX(medicine_master!$C$2:$C$26,MATCH($C462,medicine_master!$A$2:$A$26,0)),"Not found")</f>
        <v>Gastric</v>
      </c>
      <c r="I462" s="39" t="n">
        <f aca="false">YEAR(B462)</f>
        <v>2026</v>
      </c>
      <c r="J462" s="39" t="n">
        <f aca="false">MONTH(B462)</f>
        <v>5</v>
      </c>
      <c r="K462" s="39" t="str">
        <f aca="false">TEXT(B462,"mmm")</f>
        <v>May</v>
      </c>
      <c r="L462" s="45" t="n">
        <f aca="false">IFERROR(INDEX(medicine_master!$I$2:$I$26,MATCH($C462,medicine_master!$A$2:$A$26,0)),0)</f>
        <v>35</v>
      </c>
      <c r="M462" s="45" t="n">
        <f aca="false">IFERROR(INDEX(medicine_master!$G$2:$G$26,MATCH($C462,medicine_master!$A$2:$A$26,0)),0)</f>
        <v>24</v>
      </c>
      <c r="N462" s="45" t="n">
        <f aca="false">IF(D462="Sale",E462*L462,0)</f>
        <v>525</v>
      </c>
      <c r="O462" s="45" t="n">
        <f aca="false">IF(D462="Sale",E462*M462,0)</f>
        <v>360</v>
      </c>
      <c r="P462" s="45" t="n">
        <f aca="false">N462-O462</f>
        <v>165</v>
      </c>
      <c r="Q462" s="45" t="n">
        <f aca="false">IF(D462="Purchase",E462*M462,0)</f>
        <v>0</v>
      </c>
    </row>
    <row r="463" customFormat="false" ht="15" hidden="false" customHeight="false" outlineLevel="0" collapsed="false">
      <c r="A463" s="39" t="s">
        <v>787</v>
      </c>
      <c r="B463" s="44" t="n">
        <v>46176</v>
      </c>
      <c r="C463" s="39" t="s">
        <v>152</v>
      </c>
      <c r="D463" s="39" t="s">
        <v>138</v>
      </c>
      <c r="E463" s="39" t="n">
        <v>30</v>
      </c>
      <c r="F463" s="39" t="str">
        <f aca="false">IF(COUNTIF(medicine_master!$A$2:$A$26,C463)&gt;0,"Valid","Invalid")</f>
        <v>Valid</v>
      </c>
      <c r="G463" s="39" t="str">
        <f aca="false">IFERROR(INDEX(medicine_master!$B$2:$B$26,MATCH($C463,medicine_master!$A$2:$A$26,0)),"Not found")</f>
        <v>Amoxicillin 500mg</v>
      </c>
      <c r="H463" s="39" t="str">
        <f aca="false">IFERROR(INDEX(medicine_master!$C$2:$C$26,MATCH($C463,medicine_master!$A$2:$A$26,0)),"Not found")</f>
        <v>Antibiotic</v>
      </c>
      <c r="I463" s="39" t="n">
        <f aca="false">YEAR(B463)</f>
        <v>2026</v>
      </c>
      <c r="J463" s="39" t="n">
        <f aca="false">MONTH(B463)</f>
        <v>6</v>
      </c>
      <c r="K463" s="39" t="str">
        <f aca="false">TEXT(B463,"mmm")</f>
        <v>Jun</v>
      </c>
      <c r="L463" s="45" t="n">
        <f aca="false">IFERROR(INDEX(medicine_master!$I$2:$I$26,MATCH($C463,medicine_master!$A$2:$A$26,0)),0)</f>
        <v>40</v>
      </c>
      <c r="M463" s="45" t="n">
        <f aca="false">IFERROR(INDEX(medicine_master!$G$2:$G$26,MATCH($C463,medicine_master!$A$2:$A$26,0)),0)</f>
        <v>28</v>
      </c>
      <c r="N463" s="45" t="n">
        <f aca="false">IF(D463="Sale",E463*L463,0)</f>
        <v>0</v>
      </c>
      <c r="O463" s="45" t="n">
        <f aca="false">IF(D463="Sale",E463*M463,0)</f>
        <v>0</v>
      </c>
      <c r="P463" s="45" t="n">
        <f aca="false">N463-O463</f>
        <v>0</v>
      </c>
      <c r="Q463" s="45" t="n">
        <f aca="false">IF(D463="Purchase",E463*M463,0)</f>
        <v>840</v>
      </c>
    </row>
    <row r="464" customFormat="false" ht="15" hidden="false" customHeight="false" outlineLevel="0" collapsed="false">
      <c r="A464" s="39" t="s">
        <v>788</v>
      </c>
      <c r="B464" s="44" t="n">
        <v>46122</v>
      </c>
      <c r="C464" s="39" t="s">
        <v>180</v>
      </c>
      <c r="D464" s="39" t="s">
        <v>137</v>
      </c>
      <c r="E464" s="39" t="n">
        <v>10</v>
      </c>
      <c r="F464" s="39" t="str">
        <f aca="false">IF(COUNTIF(medicine_master!$A$2:$A$26,C464)&gt;0,"Valid","Invalid")</f>
        <v>Valid</v>
      </c>
      <c r="G464" s="39" t="str">
        <f aca="false">IFERROR(INDEX(medicine_master!$B$2:$B$26,MATCH($C464,medicine_master!$A$2:$A$26,0)),"Not found")</f>
        <v>Vitamin C 500mg</v>
      </c>
      <c r="H464" s="39" t="str">
        <f aca="false">IFERROR(INDEX(medicine_master!$C$2:$C$26,MATCH($C464,medicine_master!$A$2:$A$26,0)),"Not found")</f>
        <v>Vitamin</v>
      </c>
      <c r="I464" s="39" t="n">
        <f aca="false">YEAR(B464)</f>
        <v>2026</v>
      </c>
      <c r="J464" s="39" t="n">
        <f aca="false">MONTH(B464)</f>
        <v>4</v>
      </c>
      <c r="K464" s="39" t="str">
        <f aca="false">TEXT(B464,"mmm")</f>
        <v>Apr</v>
      </c>
      <c r="L464" s="45" t="n">
        <f aca="false">IFERROR(INDEX(medicine_master!$I$2:$I$26,MATCH($C464,medicine_master!$A$2:$A$26,0)),0)</f>
        <v>22</v>
      </c>
      <c r="M464" s="45" t="n">
        <f aca="false">IFERROR(INDEX(medicine_master!$G$2:$G$26,MATCH($C464,medicine_master!$A$2:$A$26,0)),0)</f>
        <v>14</v>
      </c>
      <c r="N464" s="45" t="n">
        <f aca="false">IF(D464="Sale",E464*L464,0)</f>
        <v>220</v>
      </c>
      <c r="O464" s="45" t="n">
        <f aca="false">IF(D464="Sale",E464*M464,0)</f>
        <v>140</v>
      </c>
      <c r="P464" s="45" t="n">
        <f aca="false">N464-O464</f>
        <v>80</v>
      </c>
      <c r="Q464" s="45" t="n">
        <f aca="false">IF(D464="Purchase",E464*M464,0)</f>
        <v>0</v>
      </c>
    </row>
    <row r="465" customFormat="false" ht="15" hidden="false" customHeight="false" outlineLevel="0" collapsed="false">
      <c r="A465" s="39" t="s">
        <v>789</v>
      </c>
      <c r="B465" s="44" t="n">
        <v>46186</v>
      </c>
      <c r="C465" s="39" t="s">
        <v>150</v>
      </c>
      <c r="D465" s="39" t="s">
        <v>137</v>
      </c>
      <c r="E465" s="39" t="n">
        <v>25</v>
      </c>
      <c r="F465" s="39" t="str">
        <f aca="false">IF(COUNTIF(medicine_master!$A$2:$A$26,C465)&gt;0,"Valid","Invalid")</f>
        <v>Valid</v>
      </c>
      <c r="G465" s="39" t="str">
        <f aca="false">IFERROR(INDEX(medicine_master!$B$2:$B$26,MATCH($C465,medicine_master!$A$2:$A$26,0)),"Not found")</f>
        <v>Pantoprazole 40mg</v>
      </c>
      <c r="H465" s="39" t="str">
        <f aca="false">IFERROR(INDEX(medicine_master!$C$2:$C$26,MATCH($C465,medicine_master!$A$2:$A$26,0)),"Not found")</f>
        <v>Gastric</v>
      </c>
      <c r="I465" s="39" t="n">
        <f aca="false">YEAR(B465)</f>
        <v>2026</v>
      </c>
      <c r="J465" s="39" t="n">
        <f aca="false">MONTH(B465)</f>
        <v>6</v>
      </c>
      <c r="K465" s="39" t="str">
        <f aca="false">TEXT(B465,"mmm")</f>
        <v>Jun</v>
      </c>
      <c r="L465" s="45" t="n">
        <f aca="false">IFERROR(INDEX(medicine_master!$I$2:$I$26,MATCH($C465,medicine_master!$A$2:$A$26,0)),0)</f>
        <v>35</v>
      </c>
      <c r="M465" s="45" t="n">
        <f aca="false">IFERROR(INDEX(medicine_master!$G$2:$G$26,MATCH($C465,medicine_master!$A$2:$A$26,0)),0)</f>
        <v>24</v>
      </c>
      <c r="N465" s="45" t="n">
        <f aca="false">IF(D465="Sale",E465*L465,0)</f>
        <v>875</v>
      </c>
      <c r="O465" s="45" t="n">
        <f aca="false">IF(D465="Sale",E465*M465,0)</f>
        <v>600</v>
      </c>
      <c r="P465" s="45" t="n">
        <f aca="false">N465-O465</f>
        <v>275</v>
      </c>
      <c r="Q465" s="45" t="n">
        <f aca="false">IF(D465="Purchase",E465*M465,0)</f>
        <v>0</v>
      </c>
    </row>
    <row r="466" customFormat="false" ht="15" hidden="false" customHeight="false" outlineLevel="0" collapsed="false">
      <c r="A466" s="39" t="s">
        <v>790</v>
      </c>
      <c r="B466" s="44" t="n">
        <v>46197</v>
      </c>
      <c r="C466" s="39" t="s">
        <v>145</v>
      </c>
      <c r="D466" s="39" t="s">
        <v>137</v>
      </c>
      <c r="E466" s="39" t="n">
        <v>40</v>
      </c>
      <c r="F466" s="39" t="str">
        <f aca="false">IF(COUNTIF(medicine_master!$A$2:$A$26,C466)&gt;0,"Valid","Invalid")</f>
        <v>Valid</v>
      </c>
      <c r="G466" s="39" t="str">
        <f aca="false">IFERROR(INDEX(medicine_master!$B$2:$B$26,MATCH($C466,medicine_master!$A$2:$A$26,0)),"Not found")</f>
        <v>Clotrimazole Cream</v>
      </c>
      <c r="H466" s="39" t="str">
        <f aca="false">IFERROR(INDEX(medicine_master!$C$2:$C$26,MATCH($C466,medicine_master!$A$2:$A$26,0)),"Not found")</f>
        <v>Dermatology</v>
      </c>
      <c r="I466" s="39" t="n">
        <f aca="false">YEAR(B466)</f>
        <v>2026</v>
      </c>
      <c r="J466" s="39" t="n">
        <f aca="false">MONTH(B466)</f>
        <v>6</v>
      </c>
      <c r="K466" s="39" t="str">
        <f aca="false">TEXT(B466,"mmm")</f>
        <v>Jun</v>
      </c>
      <c r="L466" s="45" t="n">
        <f aca="false">IFERROR(INDEX(medicine_master!$I$2:$I$26,MATCH($C466,medicine_master!$A$2:$A$26,0)),0)</f>
        <v>48</v>
      </c>
      <c r="M466" s="45" t="n">
        <f aca="false">IFERROR(INDEX(medicine_master!$G$2:$G$26,MATCH($C466,medicine_master!$A$2:$A$26,0)),0)</f>
        <v>32</v>
      </c>
      <c r="N466" s="45" t="n">
        <f aca="false">IF(D466="Sale",E466*L466,0)</f>
        <v>1920</v>
      </c>
      <c r="O466" s="45" t="n">
        <f aca="false">IF(D466="Sale",E466*M466,0)</f>
        <v>1280</v>
      </c>
      <c r="P466" s="45" t="n">
        <f aca="false">N466-O466</f>
        <v>640</v>
      </c>
      <c r="Q466" s="45" t="n">
        <f aca="false">IF(D466="Purchase",E466*M466,0)</f>
        <v>0</v>
      </c>
    </row>
    <row r="467" customFormat="false" ht="15" hidden="false" customHeight="false" outlineLevel="0" collapsed="false">
      <c r="A467" s="39" t="s">
        <v>791</v>
      </c>
      <c r="B467" s="44" t="n">
        <v>46141</v>
      </c>
      <c r="C467" s="39" t="s">
        <v>390</v>
      </c>
      <c r="D467" s="39" t="s">
        <v>138</v>
      </c>
      <c r="E467" s="39" t="n">
        <v>5</v>
      </c>
      <c r="F467" s="39" t="str">
        <f aca="false">IF(COUNTIF(medicine_master!$A$2:$A$26,C467)&gt;0,"Valid","Invalid")</f>
        <v>Valid</v>
      </c>
      <c r="G467" s="39" t="str">
        <f aca="false">IFERROR(INDEX(medicine_master!$B$2:$B$26,MATCH($C467,medicine_master!$A$2:$A$26,0)),"Not found")</f>
        <v>Montelukast 10mg</v>
      </c>
      <c r="H467" s="39" t="str">
        <f aca="false">IFERROR(INDEX(medicine_master!$C$2:$C$26,MATCH($C467,medicine_master!$A$2:$A$26,0)),"Not found")</f>
        <v>Allergy</v>
      </c>
      <c r="I467" s="39" t="n">
        <f aca="false">YEAR(B467)</f>
        <v>2026</v>
      </c>
      <c r="J467" s="39" t="n">
        <f aca="false">MONTH(B467)</f>
        <v>4</v>
      </c>
      <c r="K467" s="39" t="str">
        <f aca="false">TEXT(B467,"mmm")</f>
        <v>Apr</v>
      </c>
      <c r="L467" s="45" t="n">
        <f aca="false">IFERROR(INDEX(medicine_master!$I$2:$I$26,MATCH($C467,medicine_master!$A$2:$A$26,0)),0)</f>
        <v>39</v>
      </c>
      <c r="M467" s="45" t="n">
        <f aca="false">IFERROR(INDEX(medicine_master!$G$2:$G$26,MATCH($C467,medicine_master!$A$2:$A$26,0)),0)</f>
        <v>27</v>
      </c>
      <c r="N467" s="45" t="n">
        <f aca="false">IF(D467="Sale",E467*L467,0)</f>
        <v>0</v>
      </c>
      <c r="O467" s="45" t="n">
        <f aca="false">IF(D467="Sale",E467*M467,0)</f>
        <v>0</v>
      </c>
      <c r="P467" s="45" t="n">
        <f aca="false">N467-O467</f>
        <v>0</v>
      </c>
      <c r="Q467" s="45" t="n">
        <f aca="false">IF(D467="Purchase",E467*M467,0)</f>
        <v>135</v>
      </c>
    </row>
    <row r="468" customFormat="false" ht="15" hidden="false" customHeight="false" outlineLevel="0" collapsed="false">
      <c r="A468" s="39" t="s">
        <v>792</v>
      </c>
      <c r="B468" s="44" t="n">
        <v>46165</v>
      </c>
      <c r="C468" s="39" t="s">
        <v>151</v>
      </c>
      <c r="D468" s="39" t="s">
        <v>137</v>
      </c>
      <c r="E468" s="39" t="n">
        <v>25</v>
      </c>
      <c r="F468" s="39" t="str">
        <f aca="false">IF(COUNTIF(medicine_master!$A$2:$A$26,C468)&gt;0,"Valid","Invalid")</f>
        <v>Valid</v>
      </c>
      <c r="G468" s="39" t="str">
        <f aca="false">IFERROR(INDEX(medicine_master!$B$2:$B$26,MATCH($C468,medicine_master!$A$2:$A$26,0)),"Not found")</f>
        <v>Cetirizine 10mg</v>
      </c>
      <c r="H468" s="39" t="str">
        <f aca="false">IFERROR(INDEX(medicine_master!$C$2:$C$26,MATCH($C468,medicine_master!$A$2:$A$26,0)),"Not found")</f>
        <v>Allergy</v>
      </c>
      <c r="I468" s="39" t="n">
        <f aca="false">YEAR(B468)</f>
        <v>2026</v>
      </c>
      <c r="J468" s="39" t="n">
        <f aca="false">MONTH(B468)</f>
        <v>5</v>
      </c>
      <c r="K468" s="39" t="str">
        <f aca="false">TEXT(B468,"mmm")</f>
        <v>May</v>
      </c>
      <c r="L468" s="45" t="n">
        <f aca="false">IFERROR(INDEX(medicine_master!$I$2:$I$26,MATCH($C468,medicine_master!$A$2:$A$26,0)),0)</f>
        <v>13</v>
      </c>
      <c r="M468" s="45" t="n">
        <f aca="false">IFERROR(INDEX(medicine_master!$G$2:$G$26,MATCH($C468,medicine_master!$A$2:$A$26,0)),0)</f>
        <v>8</v>
      </c>
      <c r="N468" s="45" t="n">
        <f aca="false">IF(D468="Sale",E468*L468,0)</f>
        <v>325</v>
      </c>
      <c r="O468" s="45" t="n">
        <f aca="false">IF(D468="Sale",E468*M468,0)</f>
        <v>200</v>
      </c>
      <c r="P468" s="45" t="n">
        <f aca="false">N468-O468</f>
        <v>125</v>
      </c>
      <c r="Q468" s="45" t="n">
        <f aca="false">IF(D468="Purchase",E468*M468,0)</f>
        <v>0</v>
      </c>
    </row>
    <row r="469" customFormat="false" ht="15" hidden="false" customHeight="false" outlineLevel="0" collapsed="false">
      <c r="A469" s="39" t="s">
        <v>793</v>
      </c>
      <c r="B469" s="44" t="n">
        <v>46160</v>
      </c>
      <c r="C469" s="39" t="s">
        <v>326</v>
      </c>
      <c r="D469" s="39" t="s">
        <v>137</v>
      </c>
      <c r="E469" s="39" t="n">
        <v>25</v>
      </c>
      <c r="F469" s="39" t="str">
        <f aca="false">IF(COUNTIF(medicine_master!$A$2:$A$26,C469)&gt;0,"Valid","Invalid")</f>
        <v>Valid</v>
      </c>
      <c r="G469" s="39" t="str">
        <f aca="false">IFERROR(INDEX(medicine_master!$B$2:$B$26,MATCH($C469,medicine_master!$A$2:$A$26,0)),"Not found")</f>
        <v>Omeprazole 20mg</v>
      </c>
      <c r="H469" s="39" t="str">
        <f aca="false">IFERROR(INDEX(medicine_master!$C$2:$C$26,MATCH($C469,medicine_master!$A$2:$A$26,0)),"Not found")</f>
        <v>Gastric</v>
      </c>
      <c r="I469" s="39" t="n">
        <f aca="false">YEAR(B469)</f>
        <v>2026</v>
      </c>
      <c r="J469" s="39" t="n">
        <f aca="false">MONTH(B469)</f>
        <v>5</v>
      </c>
      <c r="K469" s="39" t="str">
        <f aca="false">TEXT(B469,"mmm")</f>
        <v>May</v>
      </c>
      <c r="L469" s="45" t="n">
        <f aca="false">IFERROR(INDEX(medicine_master!$I$2:$I$26,MATCH($C469,medicine_master!$A$2:$A$26,0)),0)</f>
        <v>26</v>
      </c>
      <c r="M469" s="45" t="n">
        <f aca="false">IFERROR(INDEX(medicine_master!$G$2:$G$26,MATCH($C469,medicine_master!$A$2:$A$26,0)),0)</f>
        <v>18</v>
      </c>
      <c r="N469" s="45" t="n">
        <f aca="false">IF(D469="Sale",E469*L469,0)</f>
        <v>650</v>
      </c>
      <c r="O469" s="45" t="n">
        <f aca="false">IF(D469="Sale",E469*M469,0)</f>
        <v>450</v>
      </c>
      <c r="P469" s="45" t="n">
        <f aca="false">N469-O469</f>
        <v>200</v>
      </c>
      <c r="Q469" s="45" t="n">
        <f aca="false">IF(D469="Purchase",E469*M469,0)</f>
        <v>0</v>
      </c>
    </row>
    <row r="470" customFormat="false" ht="15" hidden="false" customHeight="false" outlineLevel="0" collapsed="false">
      <c r="A470" s="39" t="s">
        <v>794</v>
      </c>
      <c r="B470" s="44" t="n">
        <v>46276</v>
      </c>
      <c r="C470" s="39" t="s">
        <v>178</v>
      </c>
      <c r="D470" s="39" t="s">
        <v>137</v>
      </c>
      <c r="E470" s="39" t="n">
        <v>10</v>
      </c>
      <c r="F470" s="39" t="str">
        <f aca="false">IF(COUNTIF(medicine_master!$A$2:$A$26,C470)&gt;0,"Valid","Invalid")</f>
        <v>Valid</v>
      </c>
      <c r="G470" s="39" t="str">
        <f aca="false">IFERROR(INDEX(medicine_master!$B$2:$B$26,MATCH($C470,medicine_master!$A$2:$A$26,0)),"Not found")</f>
        <v>Aspirin 75mg</v>
      </c>
      <c r="H470" s="39" t="str">
        <f aca="false">IFERROR(INDEX(medicine_master!$C$2:$C$26,MATCH($C470,medicine_master!$A$2:$A$26,0)),"Not found")</f>
        <v>Cardiac</v>
      </c>
      <c r="I470" s="39" t="n">
        <f aca="false">YEAR(B470)</f>
        <v>2026</v>
      </c>
      <c r="J470" s="39" t="n">
        <f aca="false">MONTH(B470)</f>
        <v>9</v>
      </c>
      <c r="K470" s="39" t="str">
        <f aca="false">TEXT(B470,"mmm")</f>
        <v>Sep</v>
      </c>
      <c r="L470" s="45" t="n">
        <f aca="false">IFERROR(INDEX(medicine_master!$I$2:$I$26,MATCH($C470,medicine_master!$A$2:$A$26,0)),0)</f>
        <v>15</v>
      </c>
      <c r="M470" s="45" t="n">
        <f aca="false">IFERROR(INDEX(medicine_master!$G$2:$G$26,MATCH($C470,medicine_master!$A$2:$A$26,0)),0)</f>
        <v>10</v>
      </c>
      <c r="N470" s="45" t="n">
        <f aca="false">IF(D470="Sale",E470*L470,0)</f>
        <v>150</v>
      </c>
      <c r="O470" s="45" t="n">
        <f aca="false">IF(D470="Sale",E470*M470,0)</f>
        <v>100</v>
      </c>
      <c r="P470" s="45" t="n">
        <f aca="false">N470-O470</f>
        <v>50</v>
      </c>
      <c r="Q470" s="45" t="n">
        <f aca="false">IF(D470="Purchase",E470*M470,0)</f>
        <v>0</v>
      </c>
    </row>
    <row r="471" customFormat="false" ht="15" hidden="false" customHeight="false" outlineLevel="0" collapsed="false">
      <c r="A471" s="39" t="s">
        <v>795</v>
      </c>
      <c r="B471" s="44" t="n">
        <v>46107</v>
      </c>
      <c r="C471" s="39" t="s">
        <v>160</v>
      </c>
      <c r="D471" s="39" t="s">
        <v>137</v>
      </c>
      <c r="E471" s="39" t="n">
        <v>20</v>
      </c>
      <c r="F471" s="39" t="str">
        <f aca="false">IF(COUNTIF(medicine_master!$A$2:$A$26,C471)&gt;0,"Valid","Invalid")</f>
        <v>Valid</v>
      </c>
      <c r="G471" s="39" t="str">
        <f aca="false">IFERROR(INDEX(medicine_master!$B$2:$B$26,MATCH($C471,medicine_master!$A$2:$A$26,0)),"Not found")</f>
        <v>Calamine Lotion</v>
      </c>
      <c r="H471" s="39" t="str">
        <f aca="false">IFERROR(INDEX(medicine_master!$C$2:$C$26,MATCH($C471,medicine_master!$A$2:$A$26,0)),"Not found")</f>
        <v>Dermatology</v>
      </c>
      <c r="I471" s="39" t="n">
        <f aca="false">YEAR(B471)</f>
        <v>2026</v>
      </c>
      <c r="J471" s="39" t="n">
        <f aca="false">MONTH(B471)</f>
        <v>3</v>
      </c>
      <c r="K471" s="39" t="str">
        <f aca="false">TEXT(B471,"mmm")</f>
        <v>Mar</v>
      </c>
      <c r="L471" s="45" t="n">
        <f aca="false">IFERROR(INDEX(medicine_master!$I$2:$I$26,MATCH($C471,medicine_master!$A$2:$A$26,0)),0)</f>
        <v>60</v>
      </c>
      <c r="M471" s="45" t="n">
        <f aca="false">IFERROR(INDEX(medicine_master!$G$2:$G$26,MATCH($C471,medicine_master!$A$2:$A$26,0)),0)</f>
        <v>42</v>
      </c>
      <c r="N471" s="45" t="n">
        <f aca="false">IF(D471="Sale",E471*L471,0)</f>
        <v>1200</v>
      </c>
      <c r="O471" s="45" t="n">
        <f aca="false">IF(D471="Sale",E471*M471,0)</f>
        <v>840</v>
      </c>
      <c r="P471" s="45" t="n">
        <f aca="false">N471-O471</f>
        <v>360</v>
      </c>
      <c r="Q471" s="45" t="n">
        <f aca="false">IF(D471="Purchase",E471*M471,0)</f>
        <v>0</v>
      </c>
    </row>
    <row r="472" customFormat="false" ht="15" hidden="false" customHeight="false" outlineLevel="0" collapsed="false">
      <c r="A472" s="39" t="s">
        <v>796</v>
      </c>
      <c r="B472" s="44" t="n">
        <v>46189</v>
      </c>
      <c r="C472" s="39" t="s">
        <v>326</v>
      </c>
      <c r="D472" s="39" t="s">
        <v>137</v>
      </c>
      <c r="E472" s="39" t="n">
        <v>50</v>
      </c>
      <c r="F472" s="39" t="str">
        <f aca="false">IF(COUNTIF(medicine_master!$A$2:$A$26,C472)&gt;0,"Valid","Invalid")</f>
        <v>Valid</v>
      </c>
      <c r="G472" s="39" t="str">
        <f aca="false">IFERROR(INDEX(medicine_master!$B$2:$B$26,MATCH($C472,medicine_master!$A$2:$A$26,0)),"Not found")</f>
        <v>Omeprazole 20mg</v>
      </c>
      <c r="H472" s="39" t="str">
        <f aca="false">IFERROR(INDEX(medicine_master!$C$2:$C$26,MATCH($C472,medicine_master!$A$2:$A$26,0)),"Not found")</f>
        <v>Gastric</v>
      </c>
      <c r="I472" s="39" t="n">
        <f aca="false">YEAR(B472)</f>
        <v>2026</v>
      </c>
      <c r="J472" s="39" t="n">
        <f aca="false">MONTH(B472)</f>
        <v>6</v>
      </c>
      <c r="K472" s="39" t="str">
        <f aca="false">TEXT(B472,"mmm")</f>
        <v>Jun</v>
      </c>
      <c r="L472" s="45" t="n">
        <f aca="false">IFERROR(INDEX(medicine_master!$I$2:$I$26,MATCH($C472,medicine_master!$A$2:$A$26,0)),0)</f>
        <v>26</v>
      </c>
      <c r="M472" s="45" t="n">
        <f aca="false">IFERROR(INDEX(medicine_master!$G$2:$G$26,MATCH($C472,medicine_master!$A$2:$A$26,0)),0)</f>
        <v>18</v>
      </c>
      <c r="N472" s="45" t="n">
        <f aca="false">IF(D472="Sale",E472*L472,0)</f>
        <v>1300</v>
      </c>
      <c r="O472" s="45" t="n">
        <f aca="false">IF(D472="Sale",E472*M472,0)</f>
        <v>900</v>
      </c>
      <c r="P472" s="45" t="n">
        <f aca="false">N472-O472</f>
        <v>400</v>
      </c>
      <c r="Q472" s="45" t="n">
        <f aca="false">IF(D472="Purchase",E472*M472,0)</f>
        <v>0</v>
      </c>
    </row>
    <row r="473" customFormat="false" ht="15" hidden="false" customHeight="false" outlineLevel="0" collapsed="false">
      <c r="A473" s="39" t="s">
        <v>797</v>
      </c>
      <c r="B473" s="44" t="n">
        <v>46210</v>
      </c>
      <c r="C473" s="39" t="s">
        <v>153</v>
      </c>
      <c r="D473" s="39" t="s">
        <v>138</v>
      </c>
      <c r="E473" s="39" t="n">
        <v>30</v>
      </c>
      <c r="F473" s="39" t="str">
        <f aca="false">IF(COUNTIF(medicine_master!$A$2:$A$26,C473)&gt;0,"Valid","Invalid")</f>
        <v>Valid</v>
      </c>
      <c r="G473" s="39" t="str">
        <f aca="false">IFERROR(INDEX(medicine_master!$B$2:$B$26,MATCH($C473,medicine_master!$A$2:$A$26,0)),"Not found")</f>
        <v>Atorvastatin 10mg</v>
      </c>
      <c r="H473" s="39" t="str">
        <f aca="false">IFERROR(INDEX(medicine_master!$C$2:$C$26,MATCH($C473,medicine_master!$A$2:$A$26,0)),"Not found")</f>
        <v>Cardiac</v>
      </c>
      <c r="I473" s="39" t="n">
        <f aca="false">YEAR(B473)</f>
        <v>2026</v>
      </c>
      <c r="J473" s="39" t="n">
        <f aca="false">MONTH(B473)</f>
        <v>7</v>
      </c>
      <c r="K473" s="39" t="str">
        <f aca="false">TEXT(B473,"mmm")</f>
        <v>Jul</v>
      </c>
      <c r="L473" s="45" t="n">
        <f aca="false">IFERROR(INDEX(medicine_master!$I$2:$I$26,MATCH($C473,medicine_master!$A$2:$A$26,0)),0)</f>
        <v>28</v>
      </c>
      <c r="M473" s="45" t="n">
        <f aca="false">IFERROR(INDEX(medicine_master!$G$2:$G$26,MATCH($C473,medicine_master!$A$2:$A$26,0)),0)</f>
        <v>19</v>
      </c>
      <c r="N473" s="45" t="n">
        <f aca="false">IF(D473="Sale",E473*L473,0)</f>
        <v>0</v>
      </c>
      <c r="O473" s="45" t="n">
        <f aca="false">IF(D473="Sale",E473*M473,0)</f>
        <v>0</v>
      </c>
      <c r="P473" s="45" t="n">
        <f aca="false">N473-O473</f>
        <v>0</v>
      </c>
      <c r="Q473" s="45" t="n">
        <f aca="false">IF(D473="Purchase",E473*M473,0)</f>
        <v>570</v>
      </c>
    </row>
    <row r="474" customFormat="false" ht="15" hidden="false" customHeight="false" outlineLevel="0" collapsed="false">
      <c r="A474" s="39" t="s">
        <v>798</v>
      </c>
      <c r="B474" s="44" t="n">
        <v>46064</v>
      </c>
      <c r="C474" s="39" t="s">
        <v>180</v>
      </c>
      <c r="D474" s="39" t="s">
        <v>137</v>
      </c>
      <c r="E474" s="39" t="n">
        <v>15</v>
      </c>
      <c r="F474" s="39" t="str">
        <f aca="false">IF(COUNTIF(medicine_master!$A$2:$A$26,C474)&gt;0,"Valid","Invalid")</f>
        <v>Valid</v>
      </c>
      <c r="G474" s="39" t="str">
        <f aca="false">IFERROR(INDEX(medicine_master!$B$2:$B$26,MATCH($C474,medicine_master!$A$2:$A$26,0)),"Not found")</f>
        <v>Vitamin C 500mg</v>
      </c>
      <c r="H474" s="39" t="str">
        <f aca="false">IFERROR(INDEX(medicine_master!$C$2:$C$26,MATCH($C474,medicine_master!$A$2:$A$26,0)),"Not found")</f>
        <v>Vitamin</v>
      </c>
      <c r="I474" s="39" t="n">
        <f aca="false">YEAR(B474)</f>
        <v>2026</v>
      </c>
      <c r="J474" s="39" t="n">
        <f aca="false">MONTH(B474)</f>
        <v>2</v>
      </c>
      <c r="K474" s="39" t="str">
        <f aca="false">TEXT(B474,"mmm")</f>
        <v>Feb</v>
      </c>
      <c r="L474" s="45" t="n">
        <f aca="false">IFERROR(INDEX(medicine_master!$I$2:$I$26,MATCH($C474,medicine_master!$A$2:$A$26,0)),0)</f>
        <v>22</v>
      </c>
      <c r="M474" s="45" t="n">
        <f aca="false">IFERROR(INDEX(medicine_master!$G$2:$G$26,MATCH($C474,medicine_master!$A$2:$A$26,0)),0)</f>
        <v>14</v>
      </c>
      <c r="N474" s="45" t="n">
        <f aca="false">IF(D474="Sale",E474*L474,0)</f>
        <v>330</v>
      </c>
      <c r="O474" s="45" t="n">
        <f aca="false">IF(D474="Sale",E474*M474,0)</f>
        <v>210</v>
      </c>
      <c r="P474" s="45" t="n">
        <f aca="false">N474-O474</f>
        <v>120</v>
      </c>
      <c r="Q474" s="45" t="n">
        <f aca="false">IF(D474="Purchase",E474*M474,0)</f>
        <v>0</v>
      </c>
    </row>
    <row r="475" customFormat="false" ht="15" hidden="false" customHeight="false" outlineLevel="0" collapsed="false">
      <c r="A475" s="39" t="s">
        <v>799</v>
      </c>
      <c r="B475" s="44" t="n">
        <v>46251</v>
      </c>
      <c r="C475" s="39" t="s">
        <v>345</v>
      </c>
      <c r="D475" s="39" t="s">
        <v>137</v>
      </c>
      <c r="E475" s="39" t="n">
        <v>20</v>
      </c>
      <c r="F475" s="39" t="str">
        <f aca="false">IF(COUNTIF(medicine_master!$A$2:$A$26,C475)&gt;0,"Valid","Invalid")</f>
        <v>Valid</v>
      </c>
      <c r="G475" s="39" t="str">
        <f aca="false">IFERROR(INDEX(medicine_master!$B$2:$B$26,MATCH($C475,medicine_master!$A$2:$A$26,0)),"Not found")</f>
        <v>Paracetamol 500mg</v>
      </c>
      <c r="H475" s="39" t="str">
        <f aca="false">IFERROR(INDEX(medicine_master!$C$2:$C$26,MATCH($C475,medicine_master!$A$2:$A$26,0)),"Not found")</f>
        <v>Pain Relief</v>
      </c>
      <c r="I475" s="39" t="n">
        <f aca="false">YEAR(B475)</f>
        <v>2026</v>
      </c>
      <c r="J475" s="39" t="n">
        <f aca="false">MONTH(B475)</f>
        <v>8</v>
      </c>
      <c r="K475" s="39" t="str">
        <f aca="false">TEXT(B475,"mmm")</f>
        <v>Aug</v>
      </c>
      <c r="L475" s="45" t="n">
        <f aca="false">IFERROR(INDEX(medicine_master!$I$2:$I$26,MATCH($C475,medicine_master!$A$2:$A$26,0)),0)</f>
        <v>18</v>
      </c>
      <c r="M475" s="45" t="n">
        <f aca="false">IFERROR(INDEX(medicine_master!$G$2:$G$26,MATCH($C475,medicine_master!$A$2:$A$26,0)),0)</f>
        <v>12</v>
      </c>
      <c r="N475" s="45" t="n">
        <f aca="false">IF(D475="Sale",E475*L475,0)</f>
        <v>360</v>
      </c>
      <c r="O475" s="45" t="n">
        <f aca="false">IF(D475="Sale",E475*M475,0)</f>
        <v>240</v>
      </c>
      <c r="P475" s="45" t="n">
        <f aca="false">N475-O475</f>
        <v>120</v>
      </c>
      <c r="Q475" s="45" t="n">
        <f aca="false">IF(D475="Purchase",E475*M475,0)</f>
        <v>0</v>
      </c>
    </row>
    <row r="476" customFormat="false" ht="15" hidden="false" customHeight="false" outlineLevel="0" collapsed="false">
      <c r="A476" s="39" t="s">
        <v>800</v>
      </c>
      <c r="B476" s="44" t="n">
        <v>46375</v>
      </c>
      <c r="C476" s="39" t="s">
        <v>158</v>
      </c>
      <c r="D476" s="39" t="s">
        <v>138</v>
      </c>
      <c r="E476" s="39" t="n">
        <v>5</v>
      </c>
      <c r="F476" s="39" t="str">
        <f aca="false">IF(COUNTIF(medicine_master!$A$2:$A$26,C476)&gt;0,"Valid","Invalid")</f>
        <v>Valid</v>
      </c>
      <c r="G476" s="39" t="str">
        <f aca="false">IFERROR(INDEX(medicine_master!$B$2:$B$26,MATCH($C476,medicine_master!$A$2:$A$26,0)),"Not found")</f>
        <v>Cough Syrup 100ml</v>
      </c>
      <c r="H476" s="39" t="str">
        <f aca="false">IFERROR(INDEX(medicine_master!$C$2:$C$26,MATCH($C476,medicine_master!$A$2:$A$26,0)),"Not found")</f>
        <v>Cold &amp; Cough</v>
      </c>
      <c r="I476" s="39" t="n">
        <f aca="false">YEAR(B476)</f>
        <v>2026</v>
      </c>
      <c r="J476" s="39" t="n">
        <f aca="false">MONTH(B476)</f>
        <v>12</v>
      </c>
      <c r="K476" s="39" t="str">
        <f aca="false">TEXT(B476,"mmm")</f>
        <v>Dec</v>
      </c>
      <c r="L476" s="45" t="n">
        <f aca="false">IFERROR(INDEX(medicine_master!$I$2:$I$26,MATCH($C476,medicine_master!$A$2:$A$26,0)),0)</f>
        <v>72</v>
      </c>
      <c r="M476" s="45" t="n">
        <f aca="false">IFERROR(INDEX(medicine_master!$G$2:$G$26,MATCH($C476,medicine_master!$A$2:$A$26,0)),0)</f>
        <v>52</v>
      </c>
      <c r="N476" s="45" t="n">
        <f aca="false">IF(D476="Sale",E476*L476,0)</f>
        <v>0</v>
      </c>
      <c r="O476" s="45" t="n">
        <f aca="false">IF(D476="Sale",E476*M476,0)</f>
        <v>0</v>
      </c>
      <c r="P476" s="45" t="n">
        <f aca="false">N476-O476</f>
        <v>0</v>
      </c>
      <c r="Q476" s="45" t="n">
        <f aca="false">IF(D476="Purchase",E476*M476,0)</f>
        <v>260</v>
      </c>
    </row>
    <row r="477" customFormat="false" ht="15" hidden="false" customHeight="false" outlineLevel="0" collapsed="false">
      <c r="A477" s="39" t="s">
        <v>801</v>
      </c>
      <c r="B477" s="44" t="n">
        <v>46071</v>
      </c>
      <c r="C477" s="39" t="s">
        <v>179</v>
      </c>
      <c r="D477" s="39" t="s">
        <v>137</v>
      </c>
      <c r="E477" s="39" t="n">
        <v>5</v>
      </c>
      <c r="F477" s="39" t="str">
        <f aca="false">IF(COUNTIF(medicine_master!$A$2:$A$26,C477)&gt;0,"Valid","Invalid")</f>
        <v>Valid</v>
      </c>
      <c r="G477" s="39" t="str">
        <f aca="false">IFERROR(INDEX(medicine_master!$B$2:$B$26,MATCH($C477,medicine_master!$A$2:$A$26,0)),"Not found")</f>
        <v>Ibuprofen 400mg</v>
      </c>
      <c r="H477" s="39" t="str">
        <f aca="false">IFERROR(INDEX(medicine_master!$C$2:$C$26,MATCH($C477,medicine_master!$A$2:$A$26,0)),"Not found")</f>
        <v>Pain Relief</v>
      </c>
      <c r="I477" s="39" t="n">
        <f aca="false">YEAR(B477)</f>
        <v>2026</v>
      </c>
      <c r="J477" s="39" t="n">
        <f aca="false">MONTH(B477)</f>
        <v>2</v>
      </c>
      <c r="K477" s="39" t="str">
        <f aca="false">TEXT(B477,"mmm")</f>
        <v>Feb</v>
      </c>
      <c r="L477" s="45" t="n">
        <f aca="false">IFERROR(INDEX(medicine_master!$I$2:$I$26,MATCH($C477,medicine_master!$A$2:$A$26,0)),0)</f>
        <v>30</v>
      </c>
      <c r="M477" s="45" t="n">
        <f aca="false">IFERROR(INDEX(medicine_master!$G$2:$G$26,MATCH($C477,medicine_master!$A$2:$A$26,0)),0)</f>
        <v>22</v>
      </c>
      <c r="N477" s="45" t="n">
        <f aca="false">IF(D477="Sale",E477*L477,0)</f>
        <v>150</v>
      </c>
      <c r="O477" s="45" t="n">
        <f aca="false">IF(D477="Sale",E477*M477,0)</f>
        <v>110</v>
      </c>
      <c r="P477" s="45" t="n">
        <f aca="false">N477-O477</f>
        <v>40</v>
      </c>
      <c r="Q477" s="45" t="n">
        <f aca="false">IF(D477="Purchase",E477*M477,0)</f>
        <v>0</v>
      </c>
    </row>
    <row r="478" customFormat="false" ht="15" hidden="false" customHeight="false" outlineLevel="0" collapsed="false">
      <c r="A478" s="39" t="s">
        <v>802</v>
      </c>
      <c r="B478" s="44" t="n">
        <v>46182</v>
      </c>
      <c r="C478" s="39" t="s">
        <v>390</v>
      </c>
      <c r="D478" s="39" t="s">
        <v>138</v>
      </c>
      <c r="E478" s="39" t="n">
        <v>25</v>
      </c>
      <c r="F478" s="39" t="str">
        <f aca="false">IF(COUNTIF(medicine_master!$A$2:$A$26,C478)&gt;0,"Valid","Invalid")</f>
        <v>Valid</v>
      </c>
      <c r="G478" s="39" t="str">
        <f aca="false">IFERROR(INDEX(medicine_master!$B$2:$B$26,MATCH($C478,medicine_master!$A$2:$A$26,0)),"Not found")</f>
        <v>Montelukast 10mg</v>
      </c>
      <c r="H478" s="39" t="str">
        <f aca="false">IFERROR(INDEX(medicine_master!$C$2:$C$26,MATCH($C478,medicine_master!$A$2:$A$26,0)),"Not found")</f>
        <v>Allergy</v>
      </c>
      <c r="I478" s="39" t="n">
        <f aca="false">YEAR(B478)</f>
        <v>2026</v>
      </c>
      <c r="J478" s="39" t="n">
        <f aca="false">MONTH(B478)</f>
        <v>6</v>
      </c>
      <c r="K478" s="39" t="str">
        <f aca="false">TEXT(B478,"mmm")</f>
        <v>Jun</v>
      </c>
      <c r="L478" s="45" t="n">
        <f aca="false">IFERROR(INDEX(medicine_master!$I$2:$I$26,MATCH($C478,medicine_master!$A$2:$A$26,0)),0)</f>
        <v>39</v>
      </c>
      <c r="M478" s="45" t="n">
        <f aca="false">IFERROR(INDEX(medicine_master!$G$2:$G$26,MATCH($C478,medicine_master!$A$2:$A$26,0)),0)</f>
        <v>27</v>
      </c>
      <c r="N478" s="45" t="n">
        <f aca="false">IF(D478="Sale",E478*L478,0)</f>
        <v>0</v>
      </c>
      <c r="O478" s="45" t="n">
        <f aca="false">IF(D478="Sale",E478*M478,0)</f>
        <v>0</v>
      </c>
      <c r="P478" s="45" t="n">
        <f aca="false">N478-O478</f>
        <v>0</v>
      </c>
      <c r="Q478" s="45" t="n">
        <f aca="false">IF(D478="Purchase",E478*M478,0)</f>
        <v>675</v>
      </c>
    </row>
    <row r="479" customFormat="false" ht="15" hidden="false" customHeight="false" outlineLevel="0" collapsed="false">
      <c r="A479" s="39" t="s">
        <v>803</v>
      </c>
      <c r="B479" s="44" t="n">
        <v>46089</v>
      </c>
      <c r="C479" s="39" t="s">
        <v>321</v>
      </c>
      <c r="D479" s="39" t="s">
        <v>138</v>
      </c>
      <c r="E479" s="39" t="n">
        <v>20</v>
      </c>
      <c r="F479" s="39" t="str">
        <f aca="false">IF(COUNTIF(medicine_master!$A$2:$A$26,C479)&gt;0,"Valid","Invalid")</f>
        <v>Valid</v>
      </c>
      <c r="G479" s="39" t="str">
        <f aca="false">IFERROR(INDEX(medicine_master!$B$2:$B$26,MATCH($C479,medicine_master!$A$2:$A$26,0)),"Not found")</f>
        <v>Levocetirizine 5mg</v>
      </c>
      <c r="H479" s="39" t="str">
        <f aca="false">IFERROR(INDEX(medicine_master!$C$2:$C$26,MATCH($C479,medicine_master!$A$2:$A$26,0)),"Not found")</f>
        <v>Allergy</v>
      </c>
      <c r="I479" s="39" t="n">
        <f aca="false">YEAR(B479)</f>
        <v>2026</v>
      </c>
      <c r="J479" s="39" t="n">
        <f aca="false">MONTH(B479)</f>
        <v>3</v>
      </c>
      <c r="K479" s="39" t="str">
        <f aca="false">TEXT(B479,"mmm")</f>
        <v>Mar</v>
      </c>
      <c r="L479" s="45" t="n">
        <f aca="false">IFERROR(INDEX(medicine_master!$I$2:$I$26,MATCH($C479,medicine_master!$A$2:$A$26,0)),0)</f>
        <v>22</v>
      </c>
      <c r="M479" s="45" t="n">
        <f aca="false">IFERROR(INDEX(medicine_master!$G$2:$G$26,MATCH($C479,medicine_master!$A$2:$A$26,0)),0)</f>
        <v>14</v>
      </c>
      <c r="N479" s="45" t="n">
        <f aca="false">IF(D479="Sale",E479*L479,0)</f>
        <v>0</v>
      </c>
      <c r="O479" s="45" t="n">
        <f aca="false">IF(D479="Sale",E479*M479,0)</f>
        <v>0</v>
      </c>
      <c r="P479" s="45" t="n">
        <f aca="false">N479-O479</f>
        <v>0</v>
      </c>
      <c r="Q479" s="45" t="n">
        <f aca="false">IF(D479="Purchase",E479*M479,0)</f>
        <v>280</v>
      </c>
    </row>
    <row r="480" customFormat="false" ht="15" hidden="false" customHeight="false" outlineLevel="0" collapsed="false">
      <c r="A480" s="39" t="s">
        <v>804</v>
      </c>
      <c r="B480" s="44" t="n">
        <v>46364</v>
      </c>
      <c r="C480" s="39" t="s">
        <v>158</v>
      </c>
      <c r="D480" s="39" t="s">
        <v>138</v>
      </c>
      <c r="E480" s="39" t="n">
        <v>20</v>
      </c>
      <c r="F480" s="39" t="str">
        <f aca="false">IF(COUNTIF(medicine_master!$A$2:$A$26,C480)&gt;0,"Valid","Invalid")</f>
        <v>Valid</v>
      </c>
      <c r="G480" s="39" t="str">
        <f aca="false">IFERROR(INDEX(medicine_master!$B$2:$B$26,MATCH($C480,medicine_master!$A$2:$A$26,0)),"Not found")</f>
        <v>Cough Syrup 100ml</v>
      </c>
      <c r="H480" s="39" t="str">
        <f aca="false">IFERROR(INDEX(medicine_master!$C$2:$C$26,MATCH($C480,medicine_master!$A$2:$A$26,0)),"Not found")</f>
        <v>Cold &amp; Cough</v>
      </c>
      <c r="I480" s="39" t="n">
        <f aca="false">YEAR(B480)</f>
        <v>2026</v>
      </c>
      <c r="J480" s="39" t="n">
        <f aca="false">MONTH(B480)</f>
        <v>12</v>
      </c>
      <c r="K480" s="39" t="str">
        <f aca="false">TEXT(B480,"mmm")</f>
        <v>Dec</v>
      </c>
      <c r="L480" s="45" t="n">
        <f aca="false">IFERROR(INDEX(medicine_master!$I$2:$I$26,MATCH($C480,medicine_master!$A$2:$A$26,0)),0)</f>
        <v>72</v>
      </c>
      <c r="M480" s="45" t="n">
        <f aca="false">IFERROR(INDEX(medicine_master!$G$2:$G$26,MATCH($C480,medicine_master!$A$2:$A$26,0)),0)</f>
        <v>52</v>
      </c>
      <c r="N480" s="45" t="n">
        <f aca="false">IF(D480="Sale",E480*L480,0)</f>
        <v>0</v>
      </c>
      <c r="O480" s="45" t="n">
        <f aca="false">IF(D480="Sale",E480*M480,0)</f>
        <v>0</v>
      </c>
      <c r="P480" s="45" t="n">
        <f aca="false">N480-O480</f>
        <v>0</v>
      </c>
      <c r="Q480" s="45" t="n">
        <f aca="false">IF(D480="Purchase",E480*M480,0)</f>
        <v>1040</v>
      </c>
    </row>
    <row r="481" customFormat="false" ht="15" hidden="false" customHeight="false" outlineLevel="0" collapsed="false">
      <c r="A481" s="39" t="s">
        <v>805</v>
      </c>
      <c r="B481" s="44" t="n">
        <v>46124</v>
      </c>
      <c r="C481" s="39" t="s">
        <v>145</v>
      </c>
      <c r="D481" s="39" t="s">
        <v>137</v>
      </c>
      <c r="E481" s="39" t="n">
        <v>20</v>
      </c>
      <c r="F481" s="39" t="str">
        <f aca="false">IF(COUNTIF(medicine_master!$A$2:$A$26,C481)&gt;0,"Valid","Invalid")</f>
        <v>Valid</v>
      </c>
      <c r="G481" s="39" t="str">
        <f aca="false">IFERROR(INDEX(medicine_master!$B$2:$B$26,MATCH($C481,medicine_master!$A$2:$A$26,0)),"Not found")</f>
        <v>Clotrimazole Cream</v>
      </c>
      <c r="H481" s="39" t="str">
        <f aca="false">IFERROR(INDEX(medicine_master!$C$2:$C$26,MATCH($C481,medicine_master!$A$2:$A$26,0)),"Not found")</f>
        <v>Dermatology</v>
      </c>
      <c r="I481" s="39" t="n">
        <f aca="false">YEAR(B481)</f>
        <v>2026</v>
      </c>
      <c r="J481" s="39" t="n">
        <f aca="false">MONTH(B481)</f>
        <v>4</v>
      </c>
      <c r="K481" s="39" t="str">
        <f aca="false">TEXT(B481,"mmm")</f>
        <v>Apr</v>
      </c>
      <c r="L481" s="45" t="n">
        <f aca="false">IFERROR(INDEX(medicine_master!$I$2:$I$26,MATCH($C481,medicine_master!$A$2:$A$26,0)),0)</f>
        <v>48</v>
      </c>
      <c r="M481" s="45" t="n">
        <f aca="false">IFERROR(INDEX(medicine_master!$G$2:$G$26,MATCH($C481,medicine_master!$A$2:$A$26,0)),0)</f>
        <v>32</v>
      </c>
      <c r="N481" s="45" t="n">
        <f aca="false">IF(D481="Sale",E481*L481,0)</f>
        <v>960</v>
      </c>
      <c r="O481" s="45" t="n">
        <f aca="false">IF(D481="Sale",E481*M481,0)</f>
        <v>640</v>
      </c>
      <c r="P481" s="45" t="n">
        <f aca="false">N481-O481</f>
        <v>320</v>
      </c>
      <c r="Q481" s="45" t="n">
        <f aca="false">IF(D481="Purchase",E481*M481,0)</f>
        <v>0</v>
      </c>
    </row>
    <row r="482" customFormat="false" ht="15" hidden="false" customHeight="false" outlineLevel="0" collapsed="false">
      <c r="A482" s="39" t="s">
        <v>806</v>
      </c>
      <c r="B482" s="44" t="n">
        <v>46138</v>
      </c>
      <c r="C482" s="39" t="s">
        <v>157</v>
      </c>
      <c r="D482" s="39" t="s">
        <v>137</v>
      </c>
      <c r="E482" s="39" t="n">
        <v>10</v>
      </c>
      <c r="F482" s="39" t="str">
        <f aca="false">IF(COUNTIF(medicine_master!$A$2:$A$26,C482)&gt;0,"Valid","Invalid")</f>
        <v>Valid</v>
      </c>
      <c r="G482" s="39" t="str">
        <f aca="false">IFERROR(INDEX(medicine_master!$B$2:$B$26,MATCH($C482,medicine_master!$A$2:$A$26,0)),"Not found")</f>
        <v>Multivitamin Tablets</v>
      </c>
      <c r="H482" s="39" t="str">
        <f aca="false">IFERROR(INDEX(medicine_master!$C$2:$C$26,MATCH($C482,medicine_master!$A$2:$A$26,0)),"Not found")</f>
        <v>Vitamin</v>
      </c>
      <c r="I482" s="39" t="n">
        <f aca="false">YEAR(B482)</f>
        <v>2026</v>
      </c>
      <c r="J482" s="39" t="n">
        <f aca="false">MONTH(B482)</f>
        <v>4</v>
      </c>
      <c r="K482" s="39" t="str">
        <f aca="false">TEXT(B482,"mmm")</f>
        <v>Apr</v>
      </c>
      <c r="L482" s="45" t="n">
        <f aca="false">IFERROR(INDEX(medicine_master!$I$2:$I$26,MATCH($C482,medicine_master!$A$2:$A$26,0)),0)</f>
        <v>105</v>
      </c>
      <c r="M482" s="45" t="n">
        <f aca="false">IFERROR(INDEX(medicine_master!$G$2:$G$26,MATCH($C482,medicine_master!$A$2:$A$26,0)),0)</f>
        <v>72</v>
      </c>
      <c r="N482" s="45" t="n">
        <f aca="false">IF(D482="Sale",E482*L482,0)</f>
        <v>1050</v>
      </c>
      <c r="O482" s="45" t="n">
        <f aca="false">IF(D482="Sale",E482*M482,0)</f>
        <v>720</v>
      </c>
      <c r="P482" s="45" t="n">
        <f aca="false">N482-O482</f>
        <v>330</v>
      </c>
      <c r="Q482" s="45" t="n">
        <f aca="false">IF(D482="Purchase",E482*M482,0)</f>
        <v>0</v>
      </c>
    </row>
    <row r="483" customFormat="false" ht="15" hidden="false" customHeight="false" outlineLevel="0" collapsed="false">
      <c r="A483" s="39" t="s">
        <v>807</v>
      </c>
      <c r="B483" s="44" t="n">
        <v>46355</v>
      </c>
      <c r="C483" s="39" t="s">
        <v>159</v>
      </c>
      <c r="D483" s="39" t="s">
        <v>138</v>
      </c>
      <c r="E483" s="39" t="n">
        <v>20</v>
      </c>
      <c r="F483" s="39" t="str">
        <f aca="false">IF(COUNTIF(medicine_master!$A$2:$A$26,C483)&gt;0,"Valid","Invalid")</f>
        <v>Valid</v>
      </c>
      <c r="G483" s="39" t="str">
        <f aca="false">IFERROR(INDEX(medicine_master!$B$2:$B$26,MATCH($C483,medicine_master!$A$2:$A$26,0)),"Not found")</f>
        <v>Antiseptic Liquid 100ml</v>
      </c>
      <c r="H483" s="39" t="str">
        <f aca="false">IFERROR(INDEX(medicine_master!$C$2:$C$26,MATCH($C483,medicine_master!$A$2:$A$26,0)),"Not found")</f>
        <v>First Aid</v>
      </c>
      <c r="I483" s="39" t="n">
        <f aca="false">YEAR(B483)</f>
        <v>2026</v>
      </c>
      <c r="J483" s="39" t="n">
        <f aca="false">MONTH(B483)</f>
        <v>11</v>
      </c>
      <c r="K483" s="39" t="str">
        <f aca="false">TEXT(B483,"mmm")</f>
        <v>Nov</v>
      </c>
      <c r="L483" s="45" t="n">
        <f aca="false">IFERROR(INDEX(medicine_master!$I$2:$I$26,MATCH($C483,medicine_master!$A$2:$A$26,0)),0)</f>
        <v>65</v>
      </c>
      <c r="M483" s="45" t="n">
        <f aca="false">IFERROR(INDEX(medicine_master!$G$2:$G$26,MATCH($C483,medicine_master!$A$2:$A$26,0)),0)</f>
        <v>48</v>
      </c>
      <c r="N483" s="45" t="n">
        <f aca="false">IF(D483="Sale",E483*L483,0)</f>
        <v>0</v>
      </c>
      <c r="O483" s="45" t="n">
        <f aca="false">IF(D483="Sale",E483*M483,0)</f>
        <v>0</v>
      </c>
      <c r="P483" s="45" t="n">
        <f aca="false">N483-O483</f>
        <v>0</v>
      </c>
      <c r="Q483" s="45" t="n">
        <f aca="false">IF(D483="Purchase",E483*M483,0)</f>
        <v>960</v>
      </c>
    </row>
    <row r="484" customFormat="false" ht="15" hidden="false" customHeight="false" outlineLevel="0" collapsed="false">
      <c r="A484" s="39" t="s">
        <v>808</v>
      </c>
      <c r="B484" s="44" t="n">
        <v>46180</v>
      </c>
      <c r="C484" s="39" t="s">
        <v>178</v>
      </c>
      <c r="D484" s="39" t="s">
        <v>137</v>
      </c>
      <c r="E484" s="39" t="n">
        <v>5</v>
      </c>
      <c r="F484" s="39" t="str">
        <f aca="false">IF(COUNTIF(medicine_master!$A$2:$A$26,C484)&gt;0,"Valid","Invalid")</f>
        <v>Valid</v>
      </c>
      <c r="G484" s="39" t="str">
        <f aca="false">IFERROR(INDEX(medicine_master!$B$2:$B$26,MATCH($C484,medicine_master!$A$2:$A$26,0)),"Not found")</f>
        <v>Aspirin 75mg</v>
      </c>
      <c r="H484" s="39" t="str">
        <f aca="false">IFERROR(INDEX(medicine_master!$C$2:$C$26,MATCH($C484,medicine_master!$A$2:$A$26,0)),"Not found")</f>
        <v>Cardiac</v>
      </c>
      <c r="I484" s="39" t="n">
        <f aca="false">YEAR(B484)</f>
        <v>2026</v>
      </c>
      <c r="J484" s="39" t="n">
        <f aca="false">MONTH(B484)</f>
        <v>6</v>
      </c>
      <c r="K484" s="39" t="str">
        <f aca="false">TEXT(B484,"mmm")</f>
        <v>Jun</v>
      </c>
      <c r="L484" s="45" t="n">
        <f aca="false">IFERROR(INDEX(medicine_master!$I$2:$I$26,MATCH($C484,medicine_master!$A$2:$A$26,0)),0)</f>
        <v>15</v>
      </c>
      <c r="M484" s="45" t="n">
        <f aca="false">IFERROR(INDEX(medicine_master!$G$2:$G$26,MATCH($C484,medicine_master!$A$2:$A$26,0)),0)</f>
        <v>10</v>
      </c>
      <c r="N484" s="45" t="n">
        <f aca="false">IF(D484="Sale",E484*L484,0)</f>
        <v>75</v>
      </c>
      <c r="O484" s="45" t="n">
        <f aca="false">IF(D484="Sale",E484*M484,0)</f>
        <v>50</v>
      </c>
      <c r="P484" s="45" t="n">
        <f aca="false">N484-O484</f>
        <v>25</v>
      </c>
      <c r="Q484" s="45" t="n">
        <f aca="false">IF(D484="Purchase",E484*M484,0)</f>
        <v>0</v>
      </c>
    </row>
    <row r="485" customFormat="false" ht="15" hidden="false" customHeight="false" outlineLevel="0" collapsed="false">
      <c r="A485" s="39" t="s">
        <v>809</v>
      </c>
      <c r="B485" s="44" t="n">
        <v>46158</v>
      </c>
      <c r="C485" s="39" t="s">
        <v>146</v>
      </c>
      <c r="D485" s="39" t="s">
        <v>137</v>
      </c>
      <c r="E485" s="39" t="n">
        <v>20</v>
      </c>
      <c r="F485" s="39" t="str">
        <f aca="false">IF(COUNTIF(medicine_master!$A$2:$A$26,C485)&gt;0,"Valid","Invalid")</f>
        <v>Valid</v>
      </c>
      <c r="G485" s="39" t="str">
        <f aca="false">IFERROR(INDEX(medicine_master!$B$2:$B$26,MATCH($C485,medicine_master!$A$2:$A$26,0)),"Not found")</f>
        <v>Diclofenac Gel</v>
      </c>
      <c r="H485" s="39" t="str">
        <f aca="false">IFERROR(INDEX(medicine_master!$C$2:$C$26,MATCH($C485,medicine_master!$A$2:$A$26,0)),"Not found")</f>
        <v>Pain Relief</v>
      </c>
      <c r="I485" s="39" t="n">
        <f aca="false">YEAR(B485)</f>
        <v>2026</v>
      </c>
      <c r="J485" s="39" t="n">
        <f aca="false">MONTH(B485)</f>
        <v>5</v>
      </c>
      <c r="K485" s="39" t="str">
        <f aca="false">TEXT(B485,"mmm")</f>
        <v>May</v>
      </c>
      <c r="L485" s="45" t="n">
        <f aca="false">IFERROR(INDEX(medicine_master!$I$2:$I$26,MATCH($C485,medicine_master!$A$2:$A$26,0)),0)</f>
        <v>55</v>
      </c>
      <c r="M485" s="45" t="n">
        <f aca="false">IFERROR(INDEX(medicine_master!$G$2:$G$26,MATCH($C485,medicine_master!$A$2:$A$26,0)),0)</f>
        <v>38</v>
      </c>
      <c r="N485" s="45" t="n">
        <f aca="false">IF(D485="Sale",E485*L485,0)</f>
        <v>1100</v>
      </c>
      <c r="O485" s="45" t="n">
        <f aca="false">IF(D485="Sale",E485*M485,0)</f>
        <v>760</v>
      </c>
      <c r="P485" s="45" t="n">
        <f aca="false">N485-O485</f>
        <v>340</v>
      </c>
      <c r="Q485" s="45" t="n">
        <f aca="false">IF(D485="Purchase",E485*M485,0)</f>
        <v>0</v>
      </c>
    </row>
    <row r="486" customFormat="false" ht="15" hidden="false" customHeight="false" outlineLevel="0" collapsed="false">
      <c r="A486" s="39" t="s">
        <v>810</v>
      </c>
      <c r="B486" s="44" t="n">
        <v>46301</v>
      </c>
      <c r="C486" s="39" t="s">
        <v>404</v>
      </c>
      <c r="D486" s="39" t="s">
        <v>138</v>
      </c>
      <c r="E486" s="39" t="n">
        <v>50</v>
      </c>
      <c r="F486" s="39" t="str">
        <f aca="false">IF(COUNTIF(medicine_master!$A$2:$A$26,C486)&gt;0,"Valid","Invalid")</f>
        <v>Valid</v>
      </c>
      <c r="G486" s="39" t="str">
        <f aca="false">IFERROR(INDEX(medicine_master!$B$2:$B$26,MATCH($C486,medicine_master!$A$2:$A$26,0)),"Not found")</f>
        <v>ORS Sachet</v>
      </c>
      <c r="H486" s="39" t="str">
        <f aca="false">IFERROR(INDEX(medicine_master!$C$2:$C$26,MATCH($C486,medicine_master!$A$2:$A$26,0)),"Not found")</f>
        <v>First Aid</v>
      </c>
      <c r="I486" s="39" t="n">
        <f aca="false">YEAR(B486)</f>
        <v>2026</v>
      </c>
      <c r="J486" s="39" t="n">
        <f aca="false">MONTH(B486)</f>
        <v>10</v>
      </c>
      <c r="K486" s="39" t="str">
        <f aca="false">TEXT(B486,"mmm")</f>
        <v>Oct</v>
      </c>
      <c r="L486" s="45" t="n">
        <f aca="false">IFERROR(INDEX(medicine_master!$I$2:$I$26,MATCH($C486,medicine_master!$A$2:$A$26,0)),0)</f>
        <v>10</v>
      </c>
      <c r="M486" s="45" t="n">
        <f aca="false">IFERROR(INDEX(medicine_master!$G$2:$G$26,MATCH($C486,medicine_master!$A$2:$A$26,0)),0)</f>
        <v>6</v>
      </c>
      <c r="N486" s="45" t="n">
        <f aca="false">IF(D486="Sale",E486*L486,0)</f>
        <v>0</v>
      </c>
      <c r="O486" s="45" t="n">
        <f aca="false">IF(D486="Sale",E486*M486,0)</f>
        <v>0</v>
      </c>
      <c r="P486" s="45" t="n">
        <f aca="false">N486-O486</f>
        <v>0</v>
      </c>
      <c r="Q486" s="45" t="n">
        <f aca="false">IF(D486="Purchase",E486*M486,0)</f>
        <v>300</v>
      </c>
    </row>
    <row r="487" customFormat="false" ht="15" hidden="false" customHeight="false" outlineLevel="0" collapsed="false">
      <c r="A487" s="39" t="s">
        <v>811</v>
      </c>
      <c r="B487" s="44" t="n">
        <v>46382</v>
      </c>
      <c r="C487" s="39" t="s">
        <v>147</v>
      </c>
      <c r="D487" s="39" t="s">
        <v>137</v>
      </c>
      <c r="E487" s="39" t="n">
        <v>40</v>
      </c>
      <c r="F487" s="39" t="str">
        <f aca="false">IF(COUNTIF(medicine_master!$A$2:$A$26,C487)&gt;0,"Valid","Invalid")</f>
        <v>Valid</v>
      </c>
      <c r="G487" s="39" t="str">
        <f aca="false">IFERROR(INDEX(medicine_master!$B$2:$B$26,MATCH($C487,medicine_master!$A$2:$A$26,0)),"Not found")</f>
        <v>Insulin Injection</v>
      </c>
      <c r="H487" s="39" t="str">
        <f aca="false">IFERROR(INDEX(medicine_master!$C$2:$C$26,MATCH($C487,medicine_master!$A$2:$A$26,0)),"Not found")</f>
        <v>Diabetes</v>
      </c>
      <c r="I487" s="39" t="n">
        <f aca="false">YEAR(B487)</f>
        <v>2026</v>
      </c>
      <c r="J487" s="39" t="n">
        <f aca="false">MONTH(B487)</f>
        <v>12</v>
      </c>
      <c r="K487" s="39" t="str">
        <f aca="false">TEXT(B487,"mmm")</f>
        <v>Dec</v>
      </c>
      <c r="L487" s="45" t="n">
        <f aca="false">IFERROR(INDEX(medicine_master!$I$2:$I$26,MATCH($C487,medicine_master!$A$2:$A$26,0)),0)</f>
        <v>225</v>
      </c>
      <c r="M487" s="45" t="n">
        <f aca="false">IFERROR(INDEX(medicine_master!$G$2:$G$26,MATCH($C487,medicine_master!$A$2:$A$26,0)),0)</f>
        <v>165</v>
      </c>
      <c r="N487" s="45" t="n">
        <f aca="false">IF(D487="Sale",E487*L487,0)</f>
        <v>9000</v>
      </c>
      <c r="O487" s="45" t="n">
        <f aca="false">IF(D487="Sale",E487*M487,0)</f>
        <v>6600</v>
      </c>
      <c r="P487" s="45" t="n">
        <f aca="false">N487-O487</f>
        <v>2400</v>
      </c>
      <c r="Q487" s="45" t="n">
        <f aca="false">IF(D487="Purchase",E487*M487,0)</f>
        <v>0</v>
      </c>
    </row>
    <row r="488" customFormat="false" ht="15" hidden="false" customHeight="false" outlineLevel="0" collapsed="false">
      <c r="A488" s="39" t="s">
        <v>812</v>
      </c>
      <c r="B488" s="44" t="n">
        <v>46171</v>
      </c>
      <c r="C488" s="39" t="s">
        <v>146</v>
      </c>
      <c r="D488" s="39" t="s">
        <v>137</v>
      </c>
      <c r="E488" s="39" t="n">
        <v>10</v>
      </c>
      <c r="F488" s="39" t="str">
        <f aca="false">IF(COUNTIF(medicine_master!$A$2:$A$26,C488)&gt;0,"Valid","Invalid")</f>
        <v>Valid</v>
      </c>
      <c r="G488" s="39" t="str">
        <f aca="false">IFERROR(INDEX(medicine_master!$B$2:$B$26,MATCH($C488,medicine_master!$A$2:$A$26,0)),"Not found")</f>
        <v>Diclofenac Gel</v>
      </c>
      <c r="H488" s="39" t="str">
        <f aca="false">IFERROR(INDEX(medicine_master!$C$2:$C$26,MATCH($C488,medicine_master!$A$2:$A$26,0)),"Not found")</f>
        <v>Pain Relief</v>
      </c>
      <c r="I488" s="39" t="n">
        <f aca="false">YEAR(B488)</f>
        <v>2026</v>
      </c>
      <c r="J488" s="39" t="n">
        <f aca="false">MONTH(B488)</f>
        <v>5</v>
      </c>
      <c r="K488" s="39" t="str">
        <f aca="false">TEXT(B488,"mmm")</f>
        <v>May</v>
      </c>
      <c r="L488" s="45" t="n">
        <f aca="false">IFERROR(INDEX(medicine_master!$I$2:$I$26,MATCH($C488,medicine_master!$A$2:$A$26,0)),0)</f>
        <v>55</v>
      </c>
      <c r="M488" s="45" t="n">
        <f aca="false">IFERROR(INDEX(medicine_master!$G$2:$G$26,MATCH($C488,medicine_master!$A$2:$A$26,0)),0)</f>
        <v>38</v>
      </c>
      <c r="N488" s="45" t="n">
        <f aca="false">IF(D488="Sale",E488*L488,0)</f>
        <v>550</v>
      </c>
      <c r="O488" s="45" t="n">
        <f aca="false">IF(D488="Sale",E488*M488,0)</f>
        <v>380</v>
      </c>
      <c r="P488" s="45" t="n">
        <f aca="false">N488-O488</f>
        <v>170</v>
      </c>
      <c r="Q488" s="45" t="n">
        <f aca="false">IF(D488="Purchase",E488*M488,0)</f>
        <v>0</v>
      </c>
    </row>
    <row r="489" customFormat="false" ht="15" hidden="false" customHeight="false" outlineLevel="0" collapsed="false">
      <c r="A489" s="39" t="s">
        <v>813</v>
      </c>
      <c r="B489" s="44" t="n">
        <v>46253</v>
      </c>
      <c r="C489" s="39" t="s">
        <v>345</v>
      </c>
      <c r="D489" s="39" t="s">
        <v>137</v>
      </c>
      <c r="E489" s="39" t="n">
        <v>20</v>
      </c>
      <c r="F489" s="39" t="str">
        <f aca="false">IF(COUNTIF(medicine_master!$A$2:$A$26,C489)&gt;0,"Valid","Invalid")</f>
        <v>Valid</v>
      </c>
      <c r="G489" s="39" t="str">
        <f aca="false">IFERROR(INDEX(medicine_master!$B$2:$B$26,MATCH($C489,medicine_master!$A$2:$A$26,0)),"Not found")</f>
        <v>Paracetamol 500mg</v>
      </c>
      <c r="H489" s="39" t="str">
        <f aca="false">IFERROR(INDEX(medicine_master!$C$2:$C$26,MATCH($C489,medicine_master!$A$2:$A$26,0)),"Not found")</f>
        <v>Pain Relief</v>
      </c>
      <c r="I489" s="39" t="n">
        <f aca="false">YEAR(B489)</f>
        <v>2026</v>
      </c>
      <c r="J489" s="39" t="n">
        <f aca="false">MONTH(B489)</f>
        <v>8</v>
      </c>
      <c r="K489" s="39" t="str">
        <f aca="false">TEXT(B489,"mmm")</f>
        <v>Aug</v>
      </c>
      <c r="L489" s="45" t="n">
        <f aca="false">IFERROR(INDEX(medicine_master!$I$2:$I$26,MATCH($C489,medicine_master!$A$2:$A$26,0)),0)</f>
        <v>18</v>
      </c>
      <c r="M489" s="45" t="n">
        <f aca="false">IFERROR(INDEX(medicine_master!$G$2:$G$26,MATCH($C489,medicine_master!$A$2:$A$26,0)),0)</f>
        <v>12</v>
      </c>
      <c r="N489" s="45" t="n">
        <f aca="false">IF(D489="Sale",E489*L489,0)</f>
        <v>360</v>
      </c>
      <c r="O489" s="45" t="n">
        <f aca="false">IF(D489="Sale",E489*M489,0)</f>
        <v>240</v>
      </c>
      <c r="P489" s="45" t="n">
        <f aca="false">N489-O489</f>
        <v>120</v>
      </c>
      <c r="Q489" s="45" t="n">
        <f aca="false">IF(D489="Purchase",E489*M489,0)</f>
        <v>0</v>
      </c>
    </row>
    <row r="490" customFormat="false" ht="15" hidden="false" customHeight="false" outlineLevel="0" collapsed="false">
      <c r="A490" s="39" t="s">
        <v>814</v>
      </c>
      <c r="B490" s="44" t="n">
        <v>46248</v>
      </c>
      <c r="C490" s="39" t="s">
        <v>153</v>
      </c>
      <c r="D490" s="39" t="s">
        <v>138</v>
      </c>
      <c r="E490" s="39" t="n">
        <v>15</v>
      </c>
      <c r="F490" s="39" t="str">
        <f aca="false">IF(COUNTIF(medicine_master!$A$2:$A$26,C490)&gt;0,"Valid","Invalid")</f>
        <v>Valid</v>
      </c>
      <c r="G490" s="39" t="str">
        <f aca="false">IFERROR(INDEX(medicine_master!$B$2:$B$26,MATCH($C490,medicine_master!$A$2:$A$26,0)),"Not found")</f>
        <v>Atorvastatin 10mg</v>
      </c>
      <c r="H490" s="39" t="str">
        <f aca="false">IFERROR(INDEX(medicine_master!$C$2:$C$26,MATCH($C490,medicine_master!$A$2:$A$26,0)),"Not found")</f>
        <v>Cardiac</v>
      </c>
      <c r="I490" s="39" t="n">
        <f aca="false">YEAR(B490)</f>
        <v>2026</v>
      </c>
      <c r="J490" s="39" t="n">
        <f aca="false">MONTH(B490)</f>
        <v>8</v>
      </c>
      <c r="K490" s="39" t="str">
        <f aca="false">TEXT(B490,"mmm")</f>
        <v>Aug</v>
      </c>
      <c r="L490" s="45" t="n">
        <f aca="false">IFERROR(INDEX(medicine_master!$I$2:$I$26,MATCH($C490,medicine_master!$A$2:$A$26,0)),0)</f>
        <v>28</v>
      </c>
      <c r="M490" s="45" t="n">
        <f aca="false">IFERROR(INDEX(medicine_master!$G$2:$G$26,MATCH($C490,medicine_master!$A$2:$A$26,0)),0)</f>
        <v>19</v>
      </c>
      <c r="N490" s="45" t="n">
        <f aca="false">IF(D490="Sale",E490*L490,0)</f>
        <v>0</v>
      </c>
      <c r="O490" s="45" t="n">
        <f aca="false">IF(D490="Sale",E490*M490,0)</f>
        <v>0</v>
      </c>
      <c r="P490" s="45" t="n">
        <f aca="false">N490-O490</f>
        <v>0</v>
      </c>
      <c r="Q490" s="45" t="n">
        <f aca="false">IF(D490="Purchase",E490*M490,0)</f>
        <v>285</v>
      </c>
    </row>
    <row r="491" customFormat="false" ht="15" hidden="false" customHeight="false" outlineLevel="0" collapsed="false">
      <c r="A491" s="39" t="s">
        <v>815</v>
      </c>
      <c r="B491" s="44" t="n">
        <v>46259</v>
      </c>
      <c r="C491" s="39" t="s">
        <v>179</v>
      </c>
      <c r="D491" s="39" t="s">
        <v>137</v>
      </c>
      <c r="E491" s="39" t="n">
        <v>15</v>
      </c>
      <c r="F491" s="39" t="str">
        <f aca="false">IF(COUNTIF(medicine_master!$A$2:$A$26,C491)&gt;0,"Valid","Invalid")</f>
        <v>Valid</v>
      </c>
      <c r="G491" s="39" t="str">
        <f aca="false">IFERROR(INDEX(medicine_master!$B$2:$B$26,MATCH($C491,medicine_master!$A$2:$A$26,0)),"Not found")</f>
        <v>Ibuprofen 400mg</v>
      </c>
      <c r="H491" s="39" t="str">
        <f aca="false">IFERROR(INDEX(medicine_master!$C$2:$C$26,MATCH($C491,medicine_master!$A$2:$A$26,0)),"Not found")</f>
        <v>Pain Relief</v>
      </c>
      <c r="I491" s="39" t="n">
        <f aca="false">YEAR(B491)</f>
        <v>2026</v>
      </c>
      <c r="J491" s="39" t="n">
        <f aca="false">MONTH(B491)</f>
        <v>8</v>
      </c>
      <c r="K491" s="39" t="str">
        <f aca="false">TEXT(B491,"mmm")</f>
        <v>Aug</v>
      </c>
      <c r="L491" s="45" t="n">
        <f aca="false">IFERROR(INDEX(medicine_master!$I$2:$I$26,MATCH($C491,medicine_master!$A$2:$A$26,0)),0)</f>
        <v>30</v>
      </c>
      <c r="M491" s="45" t="n">
        <f aca="false">IFERROR(INDEX(medicine_master!$G$2:$G$26,MATCH($C491,medicine_master!$A$2:$A$26,0)),0)</f>
        <v>22</v>
      </c>
      <c r="N491" s="45" t="n">
        <f aca="false">IF(D491="Sale",E491*L491,0)</f>
        <v>450</v>
      </c>
      <c r="O491" s="45" t="n">
        <f aca="false">IF(D491="Sale",E491*M491,0)</f>
        <v>330</v>
      </c>
      <c r="P491" s="45" t="n">
        <f aca="false">N491-O491</f>
        <v>120</v>
      </c>
      <c r="Q491" s="45" t="n">
        <f aca="false">IF(D491="Purchase",E491*M491,0)</f>
        <v>0</v>
      </c>
    </row>
    <row r="492" customFormat="false" ht="15" hidden="false" customHeight="false" outlineLevel="0" collapsed="false">
      <c r="A492" s="39" t="s">
        <v>816</v>
      </c>
      <c r="B492" s="44" t="n">
        <v>46271</v>
      </c>
      <c r="C492" s="39" t="s">
        <v>326</v>
      </c>
      <c r="D492" s="39" t="s">
        <v>137</v>
      </c>
      <c r="E492" s="39" t="n">
        <v>30</v>
      </c>
      <c r="F492" s="39" t="str">
        <f aca="false">IF(COUNTIF(medicine_master!$A$2:$A$26,C492)&gt;0,"Valid","Invalid")</f>
        <v>Valid</v>
      </c>
      <c r="G492" s="39" t="str">
        <f aca="false">IFERROR(INDEX(medicine_master!$B$2:$B$26,MATCH($C492,medicine_master!$A$2:$A$26,0)),"Not found")</f>
        <v>Omeprazole 20mg</v>
      </c>
      <c r="H492" s="39" t="str">
        <f aca="false">IFERROR(INDEX(medicine_master!$C$2:$C$26,MATCH($C492,medicine_master!$A$2:$A$26,0)),"Not found")</f>
        <v>Gastric</v>
      </c>
      <c r="I492" s="39" t="n">
        <f aca="false">YEAR(B492)</f>
        <v>2026</v>
      </c>
      <c r="J492" s="39" t="n">
        <f aca="false">MONTH(B492)</f>
        <v>9</v>
      </c>
      <c r="K492" s="39" t="str">
        <f aca="false">TEXT(B492,"mmm")</f>
        <v>Sep</v>
      </c>
      <c r="L492" s="45" t="n">
        <f aca="false">IFERROR(INDEX(medicine_master!$I$2:$I$26,MATCH($C492,medicine_master!$A$2:$A$26,0)),0)</f>
        <v>26</v>
      </c>
      <c r="M492" s="45" t="n">
        <f aca="false">IFERROR(INDEX(medicine_master!$G$2:$G$26,MATCH($C492,medicine_master!$A$2:$A$26,0)),0)</f>
        <v>18</v>
      </c>
      <c r="N492" s="45" t="n">
        <f aca="false">IF(D492="Sale",E492*L492,0)</f>
        <v>780</v>
      </c>
      <c r="O492" s="45" t="n">
        <f aca="false">IF(D492="Sale",E492*M492,0)</f>
        <v>540</v>
      </c>
      <c r="P492" s="45" t="n">
        <f aca="false">N492-O492</f>
        <v>240</v>
      </c>
      <c r="Q492" s="45" t="n">
        <f aca="false">IF(D492="Purchase",E492*M492,0)</f>
        <v>0</v>
      </c>
    </row>
    <row r="493" customFormat="false" ht="15" hidden="false" customHeight="false" outlineLevel="0" collapsed="false">
      <c r="A493" s="39" t="s">
        <v>817</v>
      </c>
      <c r="B493" s="44" t="n">
        <v>46212</v>
      </c>
      <c r="C493" s="39" t="s">
        <v>148</v>
      </c>
      <c r="D493" s="39" t="s">
        <v>137</v>
      </c>
      <c r="E493" s="39" t="n">
        <v>40</v>
      </c>
      <c r="F493" s="39" t="str">
        <f aca="false">IF(COUNTIF(medicine_master!$A$2:$A$26,C493)&gt;0,"Valid","Invalid")</f>
        <v>Valid</v>
      </c>
      <c r="G493" s="39" t="str">
        <f aca="false">IFERROR(INDEX(medicine_master!$B$2:$B$26,MATCH($C493,medicine_master!$A$2:$A$26,0)),"Not found")</f>
        <v>Dextromethorphan Syrup</v>
      </c>
      <c r="H493" s="39" t="str">
        <f aca="false">IFERROR(INDEX(medicine_master!$C$2:$C$26,MATCH($C493,medicine_master!$A$2:$A$26,0)),"Not found")</f>
        <v>Cold &amp; Cough</v>
      </c>
      <c r="I493" s="39" t="n">
        <f aca="false">YEAR(B493)</f>
        <v>2026</v>
      </c>
      <c r="J493" s="39" t="n">
        <f aca="false">MONTH(B493)</f>
        <v>7</v>
      </c>
      <c r="K493" s="39" t="str">
        <f aca="false">TEXT(B493,"mmm")</f>
        <v>Jul</v>
      </c>
      <c r="L493" s="45" t="n">
        <f aca="false">IFERROR(INDEX(medicine_master!$I$2:$I$26,MATCH($C493,medicine_master!$A$2:$A$26,0)),0)</f>
        <v>80</v>
      </c>
      <c r="M493" s="45" t="n">
        <f aca="false">IFERROR(INDEX(medicine_master!$G$2:$G$26,MATCH($C493,medicine_master!$A$2:$A$26,0)),0)</f>
        <v>58</v>
      </c>
      <c r="N493" s="45" t="n">
        <f aca="false">IF(D493="Sale",E493*L493,0)</f>
        <v>3200</v>
      </c>
      <c r="O493" s="45" t="n">
        <f aca="false">IF(D493="Sale",E493*M493,0)</f>
        <v>2320</v>
      </c>
      <c r="P493" s="45" t="n">
        <f aca="false">N493-O493</f>
        <v>880</v>
      </c>
      <c r="Q493" s="45" t="n">
        <f aca="false">IF(D493="Purchase",E493*M493,0)</f>
        <v>0</v>
      </c>
    </row>
    <row r="494" customFormat="false" ht="15" hidden="false" customHeight="false" outlineLevel="0" collapsed="false">
      <c r="A494" s="39" t="s">
        <v>818</v>
      </c>
      <c r="B494" s="44" t="n">
        <v>46284</v>
      </c>
      <c r="C494" s="39" t="s">
        <v>151</v>
      </c>
      <c r="D494" s="39" t="s">
        <v>137</v>
      </c>
      <c r="E494" s="39" t="n">
        <v>25</v>
      </c>
      <c r="F494" s="39" t="str">
        <f aca="false">IF(COUNTIF(medicine_master!$A$2:$A$26,C494)&gt;0,"Valid","Invalid")</f>
        <v>Valid</v>
      </c>
      <c r="G494" s="39" t="str">
        <f aca="false">IFERROR(INDEX(medicine_master!$B$2:$B$26,MATCH($C494,medicine_master!$A$2:$A$26,0)),"Not found")</f>
        <v>Cetirizine 10mg</v>
      </c>
      <c r="H494" s="39" t="str">
        <f aca="false">IFERROR(INDEX(medicine_master!$C$2:$C$26,MATCH($C494,medicine_master!$A$2:$A$26,0)),"Not found")</f>
        <v>Allergy</v>
      </c>
      <c r="I494" s="39" t="n">
        <f aca="false">YEAR(B494)</f>
        <v>2026</v>
      </c>
      <c r="J494" s="39" t="n">
        <f aca="false">MONTH(B494)</f>
        <v>9</v>
      </c>
      <c r="K494" s="39" t="str">
        <f aca="false">TEXT(B494,"mmm")</f>
        <v>Sep</v>
      </c>
      <c r="L494" s="45" t="n">
        <f aca="false">IFERROR(INDEX(medicine_master!$I$2:$I$26,MATCH($C494,medicine_master!$A$2:$A$26,0)),0)</f>
        <v>13</v>
      </c>
      <c r="M494" s="45" t="n">
        <f aca="false">IFERROR(INDEX(medicine_master!$G$2:$G$26,MATCH($C494,medicine_master!$A$2:$A$26,0)),0)</f>
        <v>8</v>
      </c>
      <c r="N494" s="45" t="n">
        <f aca="false">IF(D494="Sale",E494*L494,0)</f>
        <v>325</v>
      </c>
      <c r="O494" s="45" t="n">
        <f aca="false">IF(D494="Sale",E494*M494,0)</f>
        <v>200</v>
      </c>
      <c r="P494" s="45" t="n">
        <f aca="false">N494-O494</f>
        <v>125</v>
      </c>
      <c r="Q494" s="45" t="n">
        <f aca="false">IF(D494="Purchase",E494*M494,0)</f>
        <v>0</v>
      </c>
    </row>
    <row r="495" customFormat="false" ht="15" hidden="false" customHeight="false" outlineLevel="0" collapsed="false">
      <c r="A495" s="39" t="s">
        <v>819</v>
      </c>
      <c r="B495" s="44" t="n">
        <v>46338</v>
      </c>
      <c r="C495" s="39" t="s">
        <v>152</v>
      </c>
      <c r="D495" s="39" t="s">
        <v>137</v>
      </c>
      <c r="E495" s="39" t="n">
        <v>20</v>
      </c>
      <c r="F495" s="39" t="str">
        <f aca="false">IF(COUNTIF(medicine_master!$A$2:$A$26,C495)&gt;0,"Valid","Invalid")</f>
        <v>Valid</v>
      </c>
      <c r="G495" s="39" t="str">
        <f aca="false">IFERROR(INDEX(medicine_master!$B$2:$B$26,MATCH($C495,medicine_master!$A$2:$A$26,0)),"Not found")</f>
        <v>Amoxicillin 500mg</v>
      </c>
      <c r="H495" s="39" t="str">
        <f aca="false">IFERROR(INDEX(medicine_master!$C$2:$C$26,MATCH($C495,medicine_master!$A$2:$A$26,0)),"Not found")</f>
        <v>Antibiotic</v>
      </c>
      <c r="I495" s="39" t="n">
        <f aca="false">YEAR(B495)</f>
        <v>2026</v>
      </c>
      <c r="J495" s="39" t="n">
        <f aca="false">MONTH(B495)</f>
        <v>11</v>
      </c>
      <c r="K495" s="39" t="str">
        <f aca="false">TEXT(B495,"mmm")</f>
        <v>Nov</v>
      </c>
      <c r="L495" s="45" t="n">
        <f aca="false">IFERROR(INDEX(medicine_master!$I$2:$I$26,MATCH($C495,medicine_master!$A$2:$A$26,0)),0)</f>
        <v>40</v>
      </c>
      <c r="M495" s="45" t="n">
        <f aca="false">IFERROR(INDEX(medicine_master!$G$2:$G$26,MATCH($C495,medicine_master!$A$2:$A$26,0)),0)</f>
        <v>28</v>
      </c>
      <c r="N495" s="45" t="n">
        <f aca="false">IF(D495="Sale",E495*L495,0)</f>
        <v>800</v>
      </c>
      <c r="O495" s="45" t="n">
        <f aca="false">IF(D495="Sale",E495*M495,0)</f>
        <v>560</v>
      </c>
      <c r="P495" s="45" t="n">
        <f aca="false">N495-O495</f>
        <v>240</v>
      </c>
      <c r="Q495" s="45" t="n">
        <f aca="false">IF(D495="Purchase",E495*M495,0)</f>
        <v>0</v>
      </c>
    </row>
    <row r="496" customFormat="false" ht="15" hidden="false" customHeight="false" outlineLevel="0" collapsed="false">
      <c r="A496" s="39" t="s">
        <v>820</v>
      </c>
      <c r="B496" s="44" t="n">
        <v>46071</v>
      </c>
      <c r="C496" s="39" t="s">
        <v>150</v>
      </c>
      <c r="D496" s="39" t="s">
        <v>137</v>
      </c>
      <c r="E496" s="39" t="n">
        <v>25</v>
      </c>
      <c r="F496" s="39" t="str">
        <f aca="false">IF(COUNTIF(medicine_master!$A$2:$A$26,C496)&gt;0,"Valid","Invalid")</f>
        <v>Valid</v>
      </c>
      <c r="G496" s="39" t="str">
        <f aca="false">IFERROR(INDEX(medicine_master!$B$2:$B$26,MATCH($C496,medicine_master!$A$2:$A$26,0)),"Not found")</f>
        <v>Pantoprazole 40mg</v>
      </c>
      <c r="H496" s="39" t="str">
        <f aca="false">IFERROR(INDEX(medicine_master!$C$2:$C$26,MATCH($C496,medicine_master!$A$2:$A$26,0)),"Not found")</f>
        <v>Gastric</v>
      </c>
      <c r="I496" s="39" t="n">
        <f aca="false">YEAR(B496)</f>
        <v>2026</v>
      </c>
      <c r="J496" s="39" t="n">
        <f aca="false">MONTH(B496)</f>
        <v>2</v>
      </c>
      <c r="K496" s="39" t="str">
        <f aca="false">TEXT(B496,"mmm")</f>
        <v>Feb</v>
      </c>
      <c r="L496" s="45" t="n">
        <f aca="false">IFERROR(INDEX(medicine_master!$I$2:$I$26,MATCH($C496,medicine_master!$A$2:$A$26,0)),0)</f>
        <v>35</v>
      </c>
      <c r="M496" s="45" t="n">
        <f aca="false">IFERROR(INDEX(medicine_master!$G$2:$G$26,MATCH($C496,medicine_master!$A$2:$A$26,0)),0)</f>
        <v>24</v>
      </c>
      <c r="N496" s="45" t="n">
        <f aca="false">IF(D496="Sale",E496*L496,0)</f>
        <v>875</v>
      </c>
      <c r="O496" s="45" t="n">
        <f aca="false">IF(D496="Sale",E496*M496,0)</f>
        <v>600</v>
      </c>
      <c r="P496" s="45" t="n">
        <f aca="false">N496-O496</f>
        <v>275</v>
      </c>
      <c r="Q496" s="45" t="n">
        <f aca="false">IF(D496="Purchase",E496*M496,0)</f>
        <v>0</v>
      </c>
    </row>
    <row r="497" customFormat="false" ht="15" hidden="false" customHeight="false" outlineLevel="0" collapsed="false">
      <c r="A497" s="39" t="s">
        <v>821</v>
      </c>
      <c r="B497" s="44" t="n">
        <v>46180</v>
      </c>
      <c r="C497" s="39" t="s">
        <v>147</v>
      </c>
      <c r="D497" s="39" t="s">
        <v>137</v>
      </c>
      <c r="E497" s="39" t="n">
        <v>30</v>
      </c>
      <c r="F497" s="39" t="str">
        <f aca="false">IF(COUNTIF(medicine_master!$A$2:$A$26,C497)&gt;0,"Valid","Invalid")</f>
        <v>Valid</v>
      </c>
      <c r="G497" s="39" t="str">
        <f aca="false">IFERROR(INDEX(medicine_master!$B$2:$B$26,MATCH($C497,medicine_master!$A$2:$A$26,0)),"Not found")</f>
        <v>Insulin Injection</v>
      </c>
      <c r="H497" s="39" t="str">
        <f aca="false">IFERROR(INDEX(medicine_master!$C$2:$C$26,MATCH($C497,medicine_master!$A$2:$A$26,0)),"Not found")</f>
        <v>Diabetes</v>
      </c>
      <c r="I497" s="39" t="n">
        <f aca="false">YEAR(B497)</f>
        <v>2026</v>
      </c>
      <c r="J497" s="39" t="n">
        <f aca="false">MONTH(B497)</f>
        <v>6</v>
      </c>
      <c r="K497" s="39" t="str">
        <f aca="false">TEXT(B497,"mmm")</f>
        <v>Jun</v>
      </c>
      <c r="L497" s="45" t="n">
        <f aca="false">IFERROR(INDEX(medicine_master!$I$2:$I$26,MATCH($C497,medicine_master!$A$2:$A$26,0)),0)</f>
        <v>225</v>
      </c>
      <c r="M497" s="45" t="n">
        <f aca="false">IFERROR(INDEX(medicine_master!$G$2:$G$26,MATCH($C497,medicine_master!$A$2:$A$26,0)),0)</f>
        <v>165</v>
      </c>
      <c r="N497" s="45" t="n">
        <f aca="false">IF(D497="Sale",E497*L497,0)</f>
        <v>6750</v>
      </c>
      <c r="O497" s="45" t="n">
        <f aca="false">IF(D497="Sale",E497*M497,0)</f>
        <v>4950</v>
      </c>
      <c r="P497" s="45" t="n">
        <f aca="false">N497-O497</f>
        <v>1800</v>
      </c>
      <c r="Q497" s="45" t="n">
        <f aca="false">IF(D497="Purchase",E497*M497,0)</f>
        <v>0</v>
      </c>
    </row>
    <row r="498" customFormat="false" ht="15" hidden="false" customHeight="false" outlineLevel="0" collapsed="false">
      <c r="A498" s="39" t="s">
        <v>822</v>
      </c>
      <c r="B498" s="44" t="n">
        <v>46089</v>
      </c>
      <c r="C498" s="39" t="s">
        <v>177</v>
      </c>
      <c r="D498" s="39" t="s">
        <v>138</v>
      </c>
      <c r="E498" s="39" t="n">
        <v>30</v>
      </c>
      <c r="F498" s="39" t="str">
        <f aca="false">IF(COUNTIF(medicine_master!$A$2:$A$26,C498)&gt;0,"Valid","Invalid")</f>
        <v>Valid</v>
      </c>
      <c r="G498" s="39" t="str">
        <f aca="false">IFERROR(INDEX(medicine_master!$B$2:$B$26,MATCH($C498,medicine_master!$A$2:$A$26,0)),"Not found")</f>
        <v>Bandage Roll</v>
      </c>
      <c r="H498" s="39" t="str">
        <f aca="false">IFERROR(INDEX(medicine_master!$C$2:$C$26,MATCH($C498,medicine_master!$A$2:$A$26,0)),"Not found")</f>
        <v>First Aid</v>
      </c>
      <c r="I498" s="39" t="n">
        <f aca="false">YEAR(B498)</f>
        <v>2026</v>
      </c>
      <c r="J498" s="39" t="n">
        <f aca="false">MONTH(B498)</f>
        <v>3</v>
      </c>
      <c r="K498" s="39" t="str">
        <f aca="false">TEXT(B498,"mmm")</f>
        <v>Mar</v>
      </c>
      <c r="L498" s="45" t="n">
        <f aca="false">IFERROR(INDEX(medicine_master!$I$2:$I$26,MATCH($C498,medicine_master!$A$2:$A$26,0)),0)</f>
        <v>25</v>
      </c>
      <c r="M498" s="45" t="n">
        <f aca="false">IFERROR(INDEX(medicine_master!$G$2:$G$26,MATCH($C498,medicine_master!$A$2:$A$26,0)),0)</f>
        <v>15</v>
      </c>
      <c r="N498" s="45" t="n">
        <f aca="false">IF(D498="Sale",E498*L498,0)</f>
        <v>0</v>
      </c>
      <c r="O498" s="45" t="n">
        <f aca="false">IF(D498="Sale",E498*M498,0)</f>
        <v>0</v>
      </c>
      <c r="P498" s="45" t="n">
        <f aca="false">N498-O498</f>
        <v>0</v>
      </c>
      <c r="Q498" s="45" t="n">
        <f aca="false">IF(D498="Purchase",E498*M498,0)</f>
        <v>450</v>
      </c>
    </row>
    <row r="499" customFormat="false" ht="15" hidden="false" customHeight="false" outlineLevel="0" collapsed="false">
      <c r="A499" s="39" t="s">
        <v>823</v>
      </c>
      <c r="B499" s="44" t="n">
        <v>46185</v>
      </c>
      <c r="C499" s="39" t="s">
        <v>179</v>
      </c>
      <c r="D499" s="39" t="s">
        <v>138</v>
      </c>
      <c r="E499" s="39" t="n">
        <v>15</v>
      </c>
      <c r="F499" s="39" t="str">
        <f aca="false">IF(COUNTIF(medicine_master!$A$2:$A$26,C499)&gt;0,"Valid","Invalid")</f>
        <v>Valid</v>
      </c>
      <c r="G499" s="39" t="str">
        <f aca="false">IFERROR(INDEX(medicine_master!$B$2:$B$26,MATCH($C499,medicine_master!$A$2:$A$26,0)),"Not found")</f>
        <v>Ibuprofen 400mg</v>
      </c>
      <c r="H499" s="39" t="str">
        <f aca="false">IFERROR(INDEX(medicine_master!$C$2:$C$26,MATCH($C499,medicine_master!$A$2:$A$26,0)),"Not found")</f>
        <v>Pain Relief</v>
      </c>
      <c r="I499" s="39" t="n">
        <f aca="false">YEAR(B499)</f>
        <v>2026</v>
      </c>
      <c r="J499" s="39" t="n">
        <f aca="false">MONTH(B499)</f>
        <v>6</v>
      </c>
      <c r="K499" s="39" t="str">
        <f aca="false">TEXT(B499,"mmm")</f>
        <v>Jun</v>
      </c>
      <c r="L499" s="45" t="n">
        <f aca="false">IFERROR(INDEX(medicine_master!$I$2:$I$26,MATCH($C499,medicine_master!$A$2:$A$26,0)),0)</f>
        <v>30</v>
      </c>
      <c r="M499" s="45" t="n">
        <f aca="false">IFERROR(INDEX(medicine_master!$G$2:$G$26,MATCH($C499,medicine_master!$A$2:$A$26,0)),0)</f>
        <v>22</v>
      </c>
      <c r="N499" s="45" t="n">
        <f aca="false">IF(D499="Sale",E499*L499,0)</f>
        <v>0</v>
      </c>
      <c r="O499" s="45" t="n">
        <f aca="false">IF(D499="Sale",E499*M499,0)</f>
        <v>0</v>
      </c>
      <c r="P499" s="45" t="n">
        <f aca="false">N499-O499</f>
        <v>0</v>
      </c>
      <c r="Q499" s="45" t="n">
        <f aca="false">IF(D499="Purchase",E499*M499,0)</f>
        <v>330</v>
      </c>
    </row>
    <row r="500" customFormat="false" ht="15" hidden="false" customHeight="false" outlineLevel="0" collapsed="false">
      <c r="A500" s="39" t="s">
        <v>824</v>
      </c>
      <c r="B500" s="44" t="n">
        <v>46228</v>
      </c>
      <c r="C500" s="39" t="s">
        <v>146</v>
      </c>
      <c r="D500" s="39" t="s">
        <v>137</v>
      </c>
      <c r="E500" s="39" t="n">
        <v>40</v>
      </c>
      <c r="F500" s="39" t="str">
        <f aca="false">IF(COUNTIF(medicine_master!$A$2:$A$26,C500)&gt;0,"Valid","Invalid")</f>
        <v>Valid</v>
      </c>
      <c r="G500" s="39" t="str">
        <f aca="false">IFERROR(INDEX(medicine_master!$B$2:$B$26,MATCH($C500,medicine_master!$A$2:$A$26,0)),"Not found")</f>
        <v>Diclofenac Gel</v>
      </c>
      <c r="H500" s="39" t="str">
        <f aca="false">IFERROR(INDEX(medicine_master!$C$2:$C$26,MATCH($C500,medicine_master!$A$2:$A$26,0)),"Not found")</f>
        <v>Pain Relief</v>
      </c>
      <c r="I500" s="39" t="n">
        <f aca="false">YEAR(B500)</f>
        <v>2026</v>
      </c>
      <c r="J500" s="39" t="n">
        <f aca="false">MONTH(B500)</f>
        <v>7</v>
      </c>
      <c r="K500" s="39" t="str">
        <f aca="false">TEXT(B500,"mmm")</f>
        <v>Jul</v>
      </c>
      <c r="L500" s="45" t="n">
        <f aca="false">IFERROR(INDEX(medicine_master!$I$2:$I$26,MATCH($C500,medicine_master!$A$2:$A$26,0)),0)</f>
        <v>55</v>
      </c>
      <c r="M500" s="45" t="n">
        <f aca="false">IFERROR(INDEX(medicine_master!$G$2:$G$26,MATCH($C500,medicine_master!$A$2:$A$26,0)),0)</f>
        <v>38</v>
      </c>
      <c r="N500" s="45" t="n">
        <f aca="false">IF(D500="Sale",E500*L500,0)</f>
        <v>2200</v>
      </c>
      <c r="O500" s="45" t="n">
        <f aca="false">IF(D500="Sale",E500*M500,0)</f>
        <v>1520</v>
      </c>
      <c r="P500" s="45" t="n">
        <f aca="false">N500-O500</f>
        <v>680</v>
      </c>
      <c r="Q500" s="45" t="n">
        <f aca="false">IF(D500="Purchase",E500*M500,0)</f>
        <v>0</v>
      </c>
    </row>
    <row r="501" customFormat="false" ht="15" hidden="false" customHeight="false" outlineLevel="0" collapsed="false">
      <c r="A501" s="39" t="s">
        <v>825</v>
      </c>
      <c r="B501" s="44" t="n">
        <v>46303</v>
      </c>
      <c r="C501" s="39" t="s">
        <v>321</v>
      </c>
      <c r="D501" s="39" t="s">
        <v>138</v>
      </c>
      <c r="E501" s="39" t="n">
        <v>25</v>
      </c>
      <c r="F501" s="39" t="str">
        <f aca="false">IF(COUNTIF(medicine_master!$A$2:$A$26,C501)&gt;0,"Valid","Invalid")</f>
        <v>Valid</v>
      </c>
      <c r="G501" s="39" t="str">
        <f aca="false">IFERROR(INDEX(medicine_master!$B$2:$B$26,MATCH($C501,medicine_master!$A$2:$A$26,0)),"Not found")</f>
        <v>Levocetirizine 5mg</v>
      </c>
      <c r="H501" s="39" t="str">
        <f aca="false">IFERROR(INDEX(medicine_master!$C$2:$C$26,MATCH($C501,medicine_master!$A$2:$A$26,0)),"Not found")</f>
        <v>Allergy</v>
      </c>
      <c r="I501" s="39" t="n">
        <f aca="false">YEAR(B501)</f>
        <v>2026</v>
      </c>
      <c r="J501" s="39" t="n">
        <f aca="false">MONTH(B501)</f>
        <v>10</v>
      </c>
      <c r="K501" s="39" t="str">
        <f aca="false">TEXT(B501,"mmm")</f>
        <v>Oct</v>
      </c>
      <c r="L501" s="45" t="n">
        <f aca="false">IFERROR(INDEX(medicine_master!$I$2:$I$26,MATCH($C501,medicine_master!$A$2:$A$26,0)),0)</f>
        <v>22</v>
      </c>
      <c r="M501" s="45" t="n">
        <f aca="false">IFERROR(INDEX(medicine_master!$G$2:$G$26,MATCH($C501,medicine_master!$A$2:$A$26,0)),0)</f>
        <v>14</v>
      </c>
      <c r="N501" s="45" t="n">
        <f aca="false">IF(D501="Sale",E501*L501,0)</f>
        <v>0</v>
      </c>
      <c r="O501" s="45" t="n">
        <f aca="false">IF(D501="Sale",E501*M501,0)</f>
        <v>0</v>
      </c>
      <c r="P501" s="45" t="n">
        <f aca="false">N501-O501</f>
        <v>0</v>
      </c>
      <c r="Q501" s="45" t="n">
        <f aca="false">IF(D501="Purchase",E501*M501,0)</f>
        <v>350</v>
      </c>
    </row>
    <row r="502" customFormat="false" ht="15" hidden="false" customHeight="false" outlineLevel="0" collapsed="false">
      <c r="A502" s="39" t="s">
        <v>826</v>
      </c>
      <c r="B502" s="44" t="n">
        <v>46343</v>
      </c>
      <c r="C502" s="39" t="s">
        <v>153</v>
      </c>
      <c r="D502" s="39" t="s">
        <v>137</v>
      </c>
      <c r="E502" s="39" t="n">
        <v>30</v>
      </c>
      <c r="F502" s="39" t="str">
        <f aca="false">IF(COUNTIF(medicine_master!$A$2:$A$26,C502)&gt;0,"Valid","Invalid")</f>
        <v>Valid</v>
      </c>
      <c r="G502" s="39" t="str">
        <f aca="false">IFERROR(INDEX(medicine_master!$B$2:$B$26,MATCH($C502,medicine_master!$A$2:$A$26,0)),"Not found")</f>
        <v>Atorvastatin 10mg</v>
      </c>
      <c r="H502" s="39" t="str">
        <f aca="false">IFERROR(INDEX(medicine_master!$C$2:$C$26,MATCH($C502,medicine_master!$A$2:$A$26,0)),"Not found")</f>
        <v>Cardiac</v>
      </c>
      <c r="I502" s="39" t="n">
        <f aca="false">YEAR(B502)</f>
        <v>2026</v>
      </c>
      <c r="J502" s="39" t="n">
        <f aca="false">MONTH(B502)</f>
        <v>11</v>
      </c>
      <c r="K502" s="39" t="str">
        <f aca="false">TEXT(B502,"mmm")</f>
        <v>Nov</v>
      </c>
      <c r="L502" s="45" t="n">
        <f aca="false">IFERROR(INDEX(medicine_master!$I$2:$I$26,MATCH($C502,medicine_master!$A$2:$A$26,0)),0)</f>
        <v>28</v>
      </c>
      <c r="M502" s="45" t="n">
        <f aca="false">IFERROR(INDEX(medicine_master!$G$2:$G$26,MATCH($C502,medicine_master!$A$2:$A$26,0)),0)</f>
        <v>19</v>
      </c>
      <c r="N502" s="45" t="n">
        <f aca="false">IF(D502="Sale",E502*L502,0)</f>
        <v>840</v>
      </c>
      <c r="O502" s="45" t="n">
        <f aca="false">IF(D502="Sale",E502*M502,0)</f>
        <v>570</v>
      </c>
      <c r="P502" s="45" t="n">
        <f aca="false">N502-O502</f>
        <v>270</v>
      </c>
      <c r="Q502" s="45" t="n">
        <f aca="false">IF(D502="Purchase",E502*M502,0)</f>
        <v>0</v>
      </c>
    </row>
    <row r="503" customFormat="false" ht="15" hidden="false" customHeight="false" outlineLevel="0" collapsed="false">
      <c r="A503" s="39" t="s">
        <v>827</v>
      </c>
      <c r="B503" s="44" t="n">
        <v>46047</v>
      </c>
      <c r="C503" s="39" t="s">
        <v>167</v>
      </c>
      <c r="D503" s="39" t="s">
        <v>138</v>
      </c>
      <c r="E503" s="39" t="n">
        <v>5</v>
      </c>
      <c r="F503" s="39" t="str">
        <f aca="false">IF(COUNTIF(medicine_master!$A$2:$A$26,C503)&gt;0,"Valid","Invalid")</f>
        <v>Valid</v>
      </c>
      <c r="G503" s="39" t="str">
        <f aca="false">IFERROR(INDEX(medicine_master!$B$2:$B$26,MATCH($C503,medicine_master!$A$2:$A$26,0)),"Not found")</f>
        <v>Amlodipine 5mg</v>
      </c>
      <c r="H503" s="39" t="str">
        <f aca="false">IFERROR(INDEX(medicine_master!$C$2:$C$26,MATCH($C503,medicine_master!$A$2:$A$26,0)),"Not found")</f>
        <v>Cardiac</v>
      </c>
      <c r="I503" s="39" t="n">
        <f aca="false">YEAR(B503)</f>
        <v>2026</v>
      </c>
      <c r="J503" s="39" t="n">
        <f aca="false">MONTH(B503)</f>
        <v>1</v>
      </c>
      <c r="K503" s="39" t="str">
        <f aca="false">TEXT(B503,"mmm")</f>
        <v>Jan</v>
      </c>
      <c r="L503" s="45" t="n">
        <f aca="false">IFERROR(INDEX(medicine_master!$I$2:$I$26,MATCH($C503,medicine_master!$A$2:$A$26,0)),0)</f>
        <v>19</v>
      </c>
      <c r="M503" s="45" t="n">
        <f aca="false">IFERROR(INDEX(medicine_master!$G$2:$G$26,MATCH($C503,medicine_master!$A$2:$A$26,0)),0)</f>
        <v>13</v>
      </c>
      <c r="N503" s="45" t="n">
        <f aca="false">IF(D503="Sale",E503*L503,0)</f>
        <v>0</v>
      </c>
      <c r="O503" s="45" t="n">
        <f aca="false">IF(D503="Sale",E503*M503,0)</f>
        <v>0</v>
      </c>
      <c r="P503" s="45" t="n">
        <f aca="false">N503-O503</f>
        <v>0</v>
      </c>
      <c r="Q503" s="45" t="n">
        <f aca="false">IF(D503="Purchase",E503*M503,0)</f>
        <v>65</v>
      </c>
    </row>
    <row r="504" customFormat="false" ht="15" hidden="false" customHeight="false" outlineLevel="0" collapsed="false">
      <c r="A504" s="39" t="s">
        <v>828</v>
      </c>
      <c r="B504" s="44" t="n">
        <v>46047</v>
      </c>
      <c r="C504" s="39" t="s">
        <v>159</v>
      </c>
      <c r="D504" s="39" t="s">
        <v>137</v>
      </c>
      <c r="E504" s="39" t="n">
        <v>25</v>
      </c>
      <c r="F504" s="39" t="str">
        <f aca="false">IF(COUNTIF(medicine_master!$A$2:$A$26,C504)&gt;0,"Valid","Invalid")</f>
        <v>Valid</v>
      </c>
      <c r="G504" s="39" t="str">
        <f aca="false">IFERROR(INDEX(medicine_master!$B$2:$B$26,MATCH($C504,medicine_master!$A$2:$A$26,0)),"Not found")</f>
        <v>Antiseptic Liquid 100ml</v>
      </c>
      <c r="H504" s="39" t="str">
        <f aca="false">IFERROR(INDEX(medicine_master!$C$2:$C$26,MATCH($C504,medicine_master!$A$2:$A$26,0)),"Not found")</f>
        <v>First Aid</v>
      </c>
      <c r="I504" s="39" t="n">
        <f aca="false">YEAR(B504)</f>
        <v>2026</v>
      </c>
      <c r="J504" s="39" t="n">
        <f aca="false">MONTH(B504)</f>
        <v>1</v>
      </c>
      <c r="K504" s="39" t="str">
        <f aca="false">TEXT(B504,"mmm")</f>
        <v>Jan</v>
      </c>
      <c r="L504" s="45" t="n">
        <f aca="false">IFERROR(INDEX(medicine_master!$I$2:$I$26,MATCH($C504,medicine_master!$A$2:$A$26,0)),0)</f>
        <v>65</v>
      </c>
      <c r="M504" s="45" t="n">
        <f aca="false">IFERROR(INDEX(medicine_master!$G$2:$G$26,MATCH($C504,medicine_master!$A$2:$A$26,0)),0)</f>
        <v>48</v>
      </c>
      <c r="N504" s="45" t="n">
        <f aca="false">IF(D504="Sale",E504*L504,0)</f>
        <v>1625</v>
      </c>
      <c r="O504" s="45" t="n">
        <f aca="false">IF(D504="Sale",E504*M504,0)</f>
        <v>1200</v>
      </c>
      <c r="P504" s="45" t="n">
        <f aca="false">N504-O504</f>
        <v>425</v>
      </c>
      <c r="Q504" s="45" t="n">
        <f aca="false">IF(D504="Purchase",E504*M504,0)</f>
        <v>0</v>
      </c>
    </row>
    <row r="505" customFormat="false" ht="15" hidden="false" customHeight="false" outlineLevel="0" collapsed="false">
      <c r="A505" s="39" t="s">
        <v>829</v>
      </c>
      <c r="B505" s="44" t="n">
        <v>46310</v>
      </c>
      <c r="C505" s="39" t="s">
        <v>167</v>
      </c>
      <c r="D505" s="39" t="s">
        <v>137</v>
      </c>
      <c r="E505" s="39" t="n">
        <v>40</v>
      </c>
      <c r="F505" s="39" t="str">
        <f aca="false">IF(COUNTIF(medicine_master!$A$2:$A$26,C505)&gt;0,"Valid","Invalid")</f>
        <v>Valid</v>
      </c>
      <c r="G505" s="39" t="str">
        <f aca="false">IFERROR(INDEX(medicine_master!$B$2:$B$26,MATCH($C505,medicine_master!$A$2:$A$26,0)),"Not found")</f>
        <v>Amlodipine 5mg</v>
      </c>
      <c r="H505" s="39" t="str">
        <f aca="false">IFERROR(INDEX(medicine_master!$C$2:$C$26,MATCH($C505,medicine_master!$A$2:$A$26,0)),"Not found")</f>
        <v>Cardiac</v>
      </c>
      <c r="I505" s="39" t="n">
        <f aca="false">YEAR(B505)</f>
        <v>2026</v>
      </c>
      <c r="J505" s="39" t="n">
        <f aca="false">MONTH(B505)</f>
        <v>10</v>
      </c>
      <c r="K505" s="39" t="str">
        <f aca="false">TEXT(B505,"mmm")</f>
        <v>Oct</v>
      </c>
      <c r="L505" s="45" t="n">
        <f aca="false">IFERROR(INDEX(medicine_master!$I$2:$I$26,MATCH($C505,medicine_master!$A$2:$A$26,0)),0)</f>
        <v>19</v>
      </c>
      <c r="M505" s="45" t="n">
        <f aca="false">IFERROR(INDEX(medicine_master!$G$2:$G$26,MATCH($C505,medicine_master!$A$2:$A$26,0)),0)</f>
        <v>13</v>
      </c>
      <c r="N505" s="45" t="n">
        <f aca="false">IF(D505="Sale",E505*L505,0)</f>
        <v>760</v>
      </c>
      <c r="O505" s="45" t="n">
        <f aca="false">IF(D505="Sale",E505*M505,0)</f>
        <v>520</v>
      </c>
      <c r="P505" s="45" t="n">
        <f aca="false">N505-O505</f>
        <v>240</v>
      </c>
      <c r="Q505" s="45" t="n">
        <f aca="false">IF(D505="Purchase",E505*M505,0)</f>
        <v>0</v>
      </c>
    </row>
    <row r="506" customFormat="false" ht="15" hidden="false" customHeight="false" outlineLevel="0" collapsed="false">
      <c r="A506" s="39" t="s">
        <v>830</v>
      </c>
      <c r="B506" s="44" t="n">
        <v>46338</v>
      </c>
      <c r="C506" s="39" t="s">
        <v>158</v>
      </c>
      <c r="D506" s="39" t="s">
        <v>138</v>
      </c>
      <c r="E506" s="39" t="n">
        <v>5</v>
      </c>
      <c r="F506" s="39" t="str">
        <f aca="false">IF(COUNTIF(medicine_master!$A$2:$A$26,C506)&gt;0,"Valid","Invalid")</f>
        <v>Valid</v>
      </c>
      <c r="G506" s="39" t="str">
        <f aca="false">IFERROR(INDEX(medicine_master!$B$2:$B$26,MATCH($C506,medicine_master!$A$2:$A$26,0)),"Not found")</f>
        <v>Cough Syrup 100ml</v>
      </c>
      <c r="H506" s="39" t="str">
        <f aca="false">IFERROR(INDEX(medicine_master!$C$2:$C$26,MATCH($C506,medicine_master!$A$2:$A$26,0)),"Not found")</f>
        <v>Cold &amp; Cough</v>
      </c>
      <c r="I506" s="39" t="n">
        <f aca="false">YEAR(B506)</f>
        <v>2026</v>
      </c>
      <c r="J506" s="39" t="n">
        <f aca="false">MONTH(B506)</f>
        <v>11</v>
      </c>
      <c r="K506" s="39" t="str">
        <f aca="false">TEXT(B506,"mmm")</f>
        <v>Nov</v>
      </c>
      <c r="L506" s="45" t="n">
        <f aca="false">IFERROR(INDEX(medicine_master!$I$2:$I$26,MATCH($C506,medicine_master!$A$2:$A$26,0)),0)</f>
        <v>72</v>
      </c>
      <c r="M506" s="45" t="n">
        <f aca="false">IFERROR(INDEX(medicine_master!$G$2:$G$26,MATCH($C506,medicine_master!$A$2:$A$26,0)),0)</f>
        <v>52</v>
      </c>
      <c r="N506" s="45" t="n">
        <f aca="false">IF(D506="Sale",E506*L506,0)</f>
        <v>0</v>
      </c>
      <c r="O506" s="45" t="n">
        <f aca="false">IF(D506="Sale",E506*M506,0)</f>
        <v>0</v>
      </c>
      <c r="P506" s="45" t="n">
        <f aca="false">N506-O506</f>
        <v>0</v>
      </c>
      <c r="Q506" s="45" t="n">
        <f aca="false">IF(D506="Purchase",E506*M506,0)</f>
        <v>260</v>
      </c>
    </row>
    <row r="507" customFormat="false" ht="15" hidden="false" customHeight="false" outlineLevel="0" collapsed="false">
      <c r="A507" s="39" t="s">
        <v>831</v>
      </c>
      <c r="B507" s="44" t="n">
        <v>46152</v>
      </c>
      <c r="C507" s="39" t="s">
        <v>148</v>
      </c>
      <c r="D507" s="39" t="s">
        <v>138</v>
      </c>
      <c r="E507" s="39" t="n">
        <v>5</v>
      </c>
      <c r="F507" s="39" t="str">
        <f aca="false">IF(COUNTIF(medicine_master!$A$2:$A$26,C507)&gt;0,"Valid","Invalid")</f>
        <v>Valid</v>
      </c>
      <c r="G507" s="39" t="str">
        <f aca="false">IFERROR(INDEX(medicine_master!$B$2:$B$26,MATCH($C507,medicine_master!$A$2:$A$26,0)),"Not found")</f>
        <v>Dextromethorphan Syrup</v>
      </c>
      <c r="H507" s="39" t="str">
        <f aca="false">IFERROR(INDEX(medicine_master!$C$2:$C$26,MATCH($C507,medicine_master!$A$2:$A$26,0)),"Not found")</f>
        <v>Cold &amp; Cough</v>
      </c>
      <c r="I507" s="39" t="n">
        <f aca="false">YEAR(B507)</f>
        <v>2026</v>
      </c>
      <c r="J507" s="39" t="n">
        <f aca="false">MONTH(B507)</f>
        <v>5</v>
      </c>
      <c r="K507" s="39" t="str">
        <f aca="false">TEXT(B507,"mmm")</f>
        <v>May</v>
      </c>
      <c r="L507" s="45" t="n">
        <f aca="false">IFERROR(INDEX(medicine_master!$I$2:$I$26,MATCH($C507,medicine_master!$A$2:$A$26,0)),0)</f>
        <v>80</v>
      </c>
      <c r="M507" s="45" t="n">
        <f aca="false">IFERROR(INDEX(medicine_master!$G$2:$G$26,MATCH($C507,medicine_master!$A$2:$A$26,0)),0)</f>
        <v>58</v>
      </c>
      <c r="N507" s="45" t="n">
        <f aca="false">IF(D507="Sale",E507*L507,0)</f>
        <v>0</v>
      </c>
      <c r="O507" s="45" t="n">
        <f aca="false">IF(D507="Sale",E507*M507,0)</f>
        <v>0</v>
      </c>
      <c r="P507" s="45" t="n">
        <f aca="false">N507-O507</f>
        <v>0</v>
      </c>
      <c r="Q507" s="45" t="n">
        <f aca="false">IF(D507="Purchase",E507*M507,0)</f>
        <v>290</v>
      </c>
    </row>
    <row r="508" customFormat="false" ht="15" hidden="false" customHeight="false" outlineLevel="0" collapsed="false">
      <c r="A508" s="39" t="s">
        <v>832</v>
      </c>
      <c r="B508" s="44" t="n">
        <v>46288</v>
      </c>
      <c r="C508" s="39" t="s">
        <v>178</v>
      </c>
      <c r="D508" s="39" t="s">
        <v>138</v>
      </c>
      <c r="E508" s="39" t="n">
        <v>50</v>
      </c>
      <c r="F508" s="39" t="str">
        <f aca="false">IF(COUNTIF(medicine_master!$A$2:$A$26,C508)&gt;0,"Valid","Invalid")</f>
        <v>Valid</v>
      </c>
      <c r="G508" s="39" t="str">
        <f aca="false">IFERROR(INDEX(medicine_master!$B$2:$B$26,MATCH($C508,medicine_master!$A$2:$A$26,0)),"Not found")</f>
        <v>Aspirin 75mg</v>
      </c>
      <c r="H508" s="39" t="str">
        <f aca="false">IFERROR(INDEX(medicine_master!$C$2:$C$26,MATCH($C508,medicine_master!$A$2:$A$26,0)),"Not found")</f>
        <v>Cardiac</v>
      </c>
      <c r="I508" s="39" t="n">
        <f aca="false">YEAR(B508)</f>
        <v>2026</v>
      </c>
      <c r="J508" s="39" t="n">
        <f aca="false">MONTH(B508)</f>
        <v>9</v>
      </c>
      <c r="K508" s="39" t="str">
        <f aca="false">TEXT(B508,"mmm")</f>
        <v>Sep</v>
      </c>
      <c r="L508" s="45" t="n">
        <f aca="false">IFERROR(INDEX(medicine_master!$I$2:$I$26,MATCH($C508,medicine_master!$A$2:$A$26,0)),0)</f>
        <v>15</v>
      </c>
      <c r="M508" s="45" t="n">
        <f aca="false">IFERROR(INDEX(medicine_master!$G$2:$G$26,MATCH($C508,medicine_master!$A$2:$A$26,0)),0)</f>
        <v>10</v>
      </c>
      <c r="N508" s="45" t="n">
        <f aca="false">IF(D508="Sale",E508*L508,0)</f>
        <v>0</v>
      </c>
      <c r="O508" s="45" t="n">
        <f aca="false">IF(D508="Sale",E508*M508,0)</f>
        <v>0</v>
      </c>
      <c r="P508" s="45" t="n">
        <f aca="false">N508-O508</f>
        <v>0</v>
      </c>
      <c r="Q508" s="45" t="n">
        <f aca="false">IF(D508="Purchase",E508*M508,0)</f>
        <v>500</v>
      </c>
    </row>
    <row r="509" customFormat="false" ht="15" hidden="false" customHeight="false" outlineLevel="0" collapsed="false">
      <c r="A509" s="39" t="s">
        <v>833</v>
      </c>
      <c r="B509" s="44" t="n">
        <v>46275</v>
      </c>
      <c r="C509" s="39" t="s">
        <v>147</v>
      </c>
      <c r="D509" s="39" t="s">
        <v>138</v>
      </c>
      <c r="E509" s="39" t="n">
        <v>20</v>
      </c>
      <c r="F509" s="39" t="str">
        <f aca="false">IF(COUNTIF(medicine_master!$A$2:$A$26,C509)&gt;0,"Valid","Invalid")</f>
        <v>Valid</v>
      </c>
      <c r="G509" s="39" t="str">
        <f aca="false">IFERROR(INDEX(medicine_master!$B$2:$B$26,MATCH($C509,medicine_master!$A$2:$A$26,0)),"Not found")</f>
        <v>Insulin Injection</v>
      </c>
      <c r="H509" s="39" t="str">
        <f aca="false">IFERROR(INDEX(medicine_master!$C$2:$C$26,MATCH($C509,medicine_master!$A$2:$A$26,0)),"Not found")</f>
        <v>Diabetes</v>
      </c>
      <c r="I509" s="39" t="n">
        <f aca="false">YEAR(B509)</f>
        <v>2026</v>
      </c>
      <c r="J509" s="39" t="n">
        <f aca="false">MONTH(B509)</f>
        <v>9</v>
      </c>
      <c r="K509" s="39" t="str">
        <f aca="false">TEXT(B509,"mmm")</f>
        <v>Sep</v>
      </c>
      <c r="L509" s="45" t="n">
        <f aca="false">IFERROR(INDEX(medicine_master!$I$2:$I$26,MATCH($C509,medicine_master!$A$2:$A$26,0)),0)</f>
        <v>225</v>
      </c>
      <c r="M509" s="45" t="n">
        <f aca="false">IFERROR(INDEX(medicine_master!$G$2:$G$26,MATCH($C509,medicine_master!$A$2:$A$26,0)),0)</f>
        <v>165</v>
      </c>
      <c r="N509" s="45" t="n">
        <f aca="false">IF(D509="Sale",E509*L509,0)</f>
        <v>0</v>
      </c>
      <c r="O509" s="45" t="n">
        <f aca="false">IF(D509="Sale",E509*M509,0)</f>
        <v>0</v>
      </c>
      <c r="P509" s="45" t="n">
        <f aca="false">N509-O509</f>
        <v>0</v>
      </c>
      <c r="Q509" s="45" t="n">
        <f aca="false">IF(D509="Purchase",E509*M509,0)</f>
        <v>3300</v>
      </c>
    </row>
    <row r="510" customFormat="false" ht="15" hidden="false" customHeight="false" outlineLevel="0" collapsed="false">
      <c r="A510" s="39" t="s">
        <v>834</v>
      </c>
      <c r="B510" s="44" t="n">
        <v>46121</v>
      </c>
      <c r="C510" s="39" t="s">
        <v>390</v>
      </c>
      <c r="D510" s="39" t="s">
        <v>138</v>
      </c>
      <c r="E510" s="39" t="n">
        <v>15</v>
      </c>
      <c r="F510" s="39" t="str">
        <f aca="false">IF(COUNTIF(medicine_master!$A$2:$A$26,C510)&gt;0,"Valid","Invalid")</f>
        <v>Valid</v>
      </c>
      <c r="G510" s="39" t="str">
        <f aca="false">IFERROR(INDEX(medicine_master!$B$2:$B$26,MATCH($C510,medicine_master!$A$2:$A$26,0)),"Not found")</f>
        <v>Montelukast 10mg</v>
      </c>
      <c r="H510" s="39" t="str">
        <f aca="false">IFERROR(INDEX(medicine_master!$C$2:$C$26,MATCH($C510,medicine_master!$A$2:$A$26,0)),"Not found")</f>
        <v>Allergy</v>
      </c>
      <c r="I510" s="39" t="n">
        <f aca="false">YEAR(B510)</f>
        <v>2026</v>
      </c>
      <c r="J510" s="39" t="n">
        <f aca="false">MONTH(B510)</f>
        <v>4</v>
      </c>
      <c r="K510" s="39" t="str">
        <f aca="false">TEXT(B510,"mmm")</f>
        <v>Apr</v>
      </c>
      <c r="L510" s="45" t="n">
        <f aca="false">IFERROR(INDEX(medicine_master!$I$2:$I$26,MATCH($C510,medicine_master!$A$2:$A$26,0)),0)</f>
        <v>39</v>
      </c>
      <c r="M510" s="45" t="n">
        <f aca="false">IFERROR(INDEX(medicine_master!$G$2:$G$26,MATCH($C510,medicine_master!$A$2:$A$26,0)),0)</f>
        <v>27</v>
      </c>
      <c r="N510" s="45" t="n">
        <f aca="false">IF(D510="Sale",E510*L510,0)</f>
        <v>0</v>
      </c>
      <c r="O510" s="45" t="n">
        <f aca="false">IF(D510="Sale",E510*M510,0)</f>
        <v>0</v>
      </c>
      <c r="P510" s="45" t="n">
        <f aca="false">N510-O510</f>
        <v>0</v>
      </c>
      <c r="Q510" s="45" t="n">
        <f aca="false">IF(D510="Purchase",E510*M510,0)</f>
        <v>405</v>
      </c>
    </row>
    <row r="511" customFormat="false" ht="15" hidden="false" customHeight="false" outlineLevel="0" collapsed="false">
      <c r="A511" s="39" t="s">
        <v>835</v>
      </c>
      <c r="B511" s="44" t="n">
        <v>46285</v>
      </c>
      <c r="C511" s="39" t="s">
        <v>177</v>
      </c>
      <c r="D511" s="39" t="s">
        <v>137</v>
      </c>
      <c r="E511" s="39" t="n">
        <v>25</v>
      </c>
      <c r="F511" s="39" t="str">
        <f aca="false">IF(COUNTIF(medicine_master!$A$2:$A$26,C511)&gt;0,"Valid","Invalid")</f>
        <v>Valid</v>
      </c>
      <c r="G511" s="39" t="str">
        <f aca="false">IFERROR(INDEX(medicine_master!$B$2:$B$26,MATCH($C511,medicine_master!$A$2:$A$26,0)),"Not found")</f>
        <v>Bandage Roll</v>
      </c>
      <c r="H511" s="39" t="str">
        <f aca="false">IFERROR(INDEX(medicine_master!$C$2:$C$26,MATCH($C511,medicine_master!$A$2:$A$26,0)),"Not found")</f>
        <v>First Aid</v>
      </c>
      <c r="I511" s="39" t="n">
        <f aca="false">YEAR(B511)</f>
        <v>2026</v>
      </c>
      <c r="J511" s="39" t="n">
        <f aca="false">MONTH(B511)</f>
        <v>9</v>
      </c>
      <c r="K511" s="39" t="str">
        <f aca="false">TEXT(B511,"mmm")</f>
        <v>Sep</v>
      </c>
      <c r="L511" s="45" t="n">
        <f aca="false">IFERROR(INDEX(medicine_master!$I$2:$I$26,MATCH($C511,medicine_master!$A$2:$A$26,0)),0)</f>
        <v>25</v>
      </c>
      <c r="M511" s="45" t="n">
        <f aca="false">IFERROR(INDEX(medicine_master!$G$2:$G$26,MATCH($C511,medicine_master!$A$2:$A$26,0)),0)</f>
        <v>15</v>
      </c>
      <c r="N511" s="45" t="n">
        <f aca="false">IF(D511="Sale",E511*L511,0)</f>
        <v>625</v>
      </c>
      <c r="O511" s="45" t="n">
        <f aca="false">IF(D511="Sale",E511*M511,0)</f>
        <v>375</v>
      </c>
      <c r="P511" s="45" t="n">
        <f aca="false">N511-O511</f>
        <v>250</v>
      </c>
      <c r="Q511" s="45" t="n">
        <f aca="false">IF(D511="Purchase",E511*M511,0)</f>
        <v>0</v>
      </c>
    </row>
    <row r="512" customFormat="false" ht="15" hidden="false" customHeight="false" outlineLevel="0" collapsed="false">
      <c r="A512" s="39" t="s">
        <v>836</v>
      </c>
      <c r="B512" s="44" t="n">
        <v>46282</v>
      </c>
      <c r="C512" s="39" t="s">
        <v>180</v>
      </c>
      <c r="D512" s="39" t="s">
        <v>138</v>
      </c>
      <c r="E512" s="39" t="n">
        <v>15</v>
      </c>
      <c r="F512" s="39" t="str">
        <f aca="false">IF(COUNTIF(medicine_master!$A$2:$A$26,C512)&gt;0,"Valid","Invalid")</f>
        <v>Valid</v>
      </c>
      <c r="G512" s="39" t="str">
        <f aca="false">IFERROR(INDEX(medicine_master!$B$2:$B$26,MATCH($C512,medicine_master!$A$2:$A$26,0)),"Not found")</f>
        <v>Vitamin C 500mg</v>
      </c>
      <c r="H512" s="39" t="str">
        <f aca="false">IFERROR(INDEX(medicine_master!$C$2:$C$26,MATCH($C512,medicine_master!$A$2:$A$26,0)),"Not found")</f>
        <v>Vitamin</v>
      </c>
      <c r="I512" s="39" t="n">
        <f aca="false">YEAR(B512)</f>
        <v>2026</v>
      </c>
      <c r="J512" s="39" t="n">
        <f aca="false">MONTH(B512)</f>
        <v>9</v>
      </c>
      <c r="K512" s="39" t="str">
        <f aca="false">TEXT(B512,"mmm")</f>
        <v>Sep</v>
      </c>
      <c r="L512" s="45" t="n">
        <f aca="false">IFERROR(INDEX(medicine_master!$I$2:$I$26,MATCH($C512,medicine_master!$A$2:$A$26,0)),0)</f>
        <v>22</v>
      </c>
      <c r="M512" s="45" t="n">
        <f aca="false">IFERROR(INDEX(medicine_master!$G$2:$G$26,MATCH($C512,medicine_master!$A$2:$A$26,0)),0)</f>
        <v>14</v>
      </c>
      <c r="N512" s="45" t="n">
        <f aca="false">IF(D512="Sale",E512*L512,0)</f>
        <v>0</v>
      </c>
      <c r="O512" s="45" t="n">
        <f aca="false">IF(D512="Sale",E512*M512,0)</f>
        <v>0</v>
      </c>
      <c r="P512" s="45" t="n">
        <f aca="false">N512-O512</f>
        <v>0</v>
      </c>
      <c r="Q512" s="45" t="n">
        <f aca="false">IF(D512="Purchase",E512*M512,0)</f>
        <v>210</v>
      </c>
    </row>
    <row r="513" customFormat="false" ht="15" hidden="false" customHeight="false" outlineLevel="0" collapsed="false">
      <c r="A513" s="39" t="s">
        <v>837</v>
      </c>
      <c r="B513" s="44" t="n">
        <v>46330</v>
      </c>
      <c r="C513" s="39" t="s">
        <v>146</v>
      </c>
      <c r="D513" s="39" t="s">
        <v>137</v>
      </c>
      <c r="E513" s="39" t="n">
        <v>40</v>
      </c>
      <c r="F513" s="39" t="str">
        <f aca="false">IF(COUNTIF(medicine_master!$A$2:$A$26,C513)&gt;0,"Valid","Invalid")</f>
        <v>Valid</v>
      </c>
      <c r="G513" s="39" t="str">
        <f aca="false">IFERROR(INDEX(medicine_master!$B$2:$B$26,MATCH($C513,medicine_master!$A$2:$A$26,0)),"Not found")</f>
        <v>Diclofenac Gel</v>
      </c>
      <c r="H513" s="39" t="str">
        <f aca="false">IFERROR(INDEX(medicine_master!$C$2:$C$26,MATCH($C513,medicine_master!$A$2:$A$26,0)),"Not found")</f>
        <v>Pain Relief</v>
      </c>
      <c r="I513" s="39" t="n">
        <f aca="false">YEAR(B513)</f>
        <v>2026</v>
      </c>
      <c r="J513" s="39" t="n">
        <f aca="false">MONTH(B513)</f>
        <v>11</v>
      </c>
      <c r="K513" s="39" t="str">
        <f aca="false">TEXT(B513,"mmm")</f>
        <v>Nov</v>
      </c>
      <c r="L513" s="45" t="n">
        <f aca="false">IFERROR(INDEX(medicine_master!$I$2:$I$26,MATCH($C513,medicine_master!$A$2:$A$26,0)),0)</f>
        <v>55</v>
      </c>
      <c r="M513" s="45" t="n">
        <f aca="false">IFERROR(INDEX(medicine_master!$G$2:$G$26,MATCH($C513,medicine_master!$A$2:$A$26,0)),0)</f>
        <v>38</v>
      </c>
      <c r="N513" s="45" t="n">
        <f aca="false">IF(D513="Sale",E513*L513,0)</f>
        <v>2200</v>
      </c>
      <c r="O513" s="45" t="n">
        <f aca="false">IF(D513="Sale",E513*M513,0)</f>
        <v>1520</v>
      </c>
      <c r="P513" s="45" t="n">
        <f aca="false">N513-O513</f>
        <v>680</v>
      </c>
      <c r="Q513" s="45" t="n">
        <f aca="false">IF(D513="Purchase",E513*M513,0)</f>
        <v>0</v>
      </c>
    </row>
    <row r="514" customFormat="false" ht="15" hidden="false" customHeight="false" outlineLevel="0" collapsed="false">
      <c r="A514" s="39" t="s">
        <v>838</v>
      </c>
      <c r="B514" s="44" t="n">
        <v>46200</v>
      </c>
      <c r="C514" s="39" t="s">
        <v>152</v>
      </c>
      <c r="D514" s="39" t="s">
        <v>137</v>
      </c>
      <c r="E514" s="39" t="n">
        <v>20</v>
      </c>
      <c r="F514" s="39" t="str">
        <f aca="false">IF(COUNTIF(medicine_master!$A$2:$A$26,C514)&gt;0,"Valid","Invalid")</f>
        <v>Valid</v>
      </c>
      <c r="G514" s="39" t="str">
        <f aca="false">IFERROR(INDEX(medicine_master!$B$2:$B$26,MATCH($C514,medicine_master!$A$2:$A$26,0)),"Not found")</f>
        <v>Amoxicillin 500mg</v>
      </c>
      <c r="H514" s="39" t="str">
        <f aca="false">IFERROR(INDEX(medicine_master!$C$2:$C$26,MATCH($C514,medicine_master!$A$2:$A$26,0)),"Not found")</f>
        <v>Antibiotic</v>
      </c>
      <c r="I514" s="39" t="n">
        <f aca="false">YEAR(B514)</f>
        <v>2026</v>
      </c>
      <c r="J514" s="39" t="n">
        <f aca="false">MONTH(B514)</f>
        <v>6</v>
      </c>
      <c r="K514" s="39" t="str">
        <f aca="false">TEXT(B514,"mmm")</f>
        <v>Jun</v>
      </c>
      <c r="L514" s="45" t="n">
        <f aca="false">IFERROR(INDEX(medicine_master!$I$2:$I$26,MATCH($C514,medicine_master!$A$2:$A$26,0)),0)</f>
        <v>40</v>
      </c>
      <c r="M514" s="45" t="n">
        <f aca="false">IFERROR(INDEX(medicine_master!$G$2:$G$26,MATCH($C514,medicine_master!$A$2:$A$26,0)),0)</f>
        <v>28</v>
      </c>
      <c r="N514" s="45" t="n">
        <f aca="false">IF(D514="Sale",E514*L514,0)</f>
        <v>800</v>
      </c>
      <c r="O514" s="45" t="n">
        <f aca="false">IF(D514="Sale",E514*M514,0)</f>
        <v>560</v>
      </c>
      <c r="P514" s="45" t="n">
        <f aca="false">N514-O514</f>
        <v>240</v>
      </c>
      <c r="Q514" s="45" t="n">
        <f aca="false">IF(D514="Purchase",E514*M514,0)</f>
        <v>0</v>
      </c>
    </row>
    <row r="515" customFormat="false" ht="15" hidden="false" customHeight="false" outlineLevel="0" collapsed="false">
      <c r="A515" s="39" t="s">
        <v>839</v>
      </c>
      <c r="B515" s="44" t="n">
        <v>46029</v>
      </c>
      <c r="C515" s="39" t="s">
        <v>321</v>
      </c>
      <c r="D515" s="39" t="s">
        <v>137</v>
      </c>
      <c r="E515" s="39" t="n">
        <v>30</v>
      </c>
      <c r="F515" s="39" t="str">
        <f aca="false">IF(COUNTIF(medicine_master!$A$2:$A$26,C515)&gt;0,"Valid","Invalid")</f>
        <v>Valid</v>
      </c>
      <c r="G515" s="39" t="str">
        <f aca="false">IFERROR(INDEX(medicine_master!$B$2:$B$26,MATCH($C515,medicine_master!$A$2:$A$26,0)),"Not found")</f>
        <v>Levocetirizine 5mg</v>
      </c>
      <c r="H515" s="39" t="str">
        <f aca="false">IFERROR(INDEX(medicine_master!$C$2:$C$26,MATCH($C515,medicine_master!$A$2:$A$26,0)),"Not found")</f>
        <v>Allergy</v>
      </c>
      <c r="I515" s="39" t="n">
        <f aca="false">YEAR(B515)</f>
        <v>2026</v>
      </c>
      <c r="J515" s="39" t="n">
        <f aca="false">MONTH(B515)</f>
        <v>1</v>
      </c>
      <c r="K515" s="39" t="str">
        <f aca="false">TEXT(B515,"mmm")</f>
        <v>Jan</v>
      </c>
      <c r="L515" s="45" t="n">
        <f aca="false">IFERROR(INDEX(medicine_master!$I$2:$I$26,MATCH($C515,medicine_master!$A$2:$A$26,0)),0)</f>
        <v>22</v>
      </c>
      <c r="M515" s="45" t="n">
        <f aca="false">IFERROR(INDEX(medicine_master!$G$2:$G$26,MATCH($C515,medicine_master!$A$2:$A$26,0)),0)</f>
        <v>14</v>
      </c>
      <c r="N515" s="45" t="n">
        <f aca="false">IF(D515="Sale",E515*L515,0)</f>
        <v>660</v>
      </c>
      <c r="O515" s="45" t="n">
        <f aca="false">IF(D515="Sale",E515*M515,0)</f>
        <v>420</v>
      </c>
      <c r="P515" s="45" t="n">
        <f aca="false">N515-O515</f>
        <v>240</v>
      </c>
      <c r="Q515" s="45" t="n">
        <f aca="false">IF(D515="Purchase",E515*M515,0)</f>
        <v>0</v>
      </c>
    </row>
    <row r="516" customFormat="false" ht="15" hidden="false" customHeight="false" outlineLevel="0" collapsed="false">
      <c r="A516" s="39" t="s">
        <v>840</v>
      </c>
      <c r="B516" s="44" t="n">
        <v>46108</v>
      </c>
      <c r="C516" s="39" t="s">
        <v>152</v>
      </c>
      <c r="D516" s="39" t="s">
        <v>138</v>
      </c>
      <c r="E516" s="39" t="n">
        <v>20</v>
      </c>
      <c r="F516" s="39" t="str">
        <f aca="false">IF(COUNTIF(medicine_master!$A$2:$A$26,C516)&gt;0,"Valid","Invalid")</f>
        <v>Valid</v>
      </c>
      <c r="G516" s="39" t="str">
        <f aca="false">IFERROR(INDEX(medicine_master!$B$2:$B$26,MATCH($C516,medicine_master!$A$2:$A$26,0)),"Not found")</f>
        <v>Amoxicillin 500mg</v>
      </c>
      <c r="H516" s="39" t="str">
        <f aca="false">IFERROR(INDEX(medicine_master!$C$2:$C$26,MATCH($C516,medicine_master!$A$2:$A$26,0)),"Not found")</f>
        <v>Antibiotic</v>
      </c>
      <c r="I516" s="39" t="n">
        <f aca="false">YEAR(B516)</f>
        <v>2026</v>
      </c>
      <c r="J516" s="39" t="n">
        <f aca="false">MONTH(B516)</f>
        <v>3</v>
      </c>
      <c r="K516" s="39" t="str">
        <f aca="false">TEXT(B516,"mmm")</f>
        <v>Mar</v>
      </c>
      <c r="L516" s="45" t="n">
        <f aca="false">IFERROR(INDEX(medicine_master!$I$2:$I$26,MATCH($C516,medicine_master!$A$2:$A$26,0)),0)</f>
        <v>40</v>
      </c>
      <c r="M516" s="45" t="n">
        <f aca="false">IFERROR(INDEX(medicine_master!$G$2:$G$26,MATCH($C516,medicine_master!$A$2:$A$26,0)),0)</f>
        <v>28</v>
      </c>
      <c r="N516" s="45" t="n">
        <f aca="false">IF(D516="Sale",E516*L516,0)</f>
        <v>0</v>
      </c>
      <c r="O516" s="45" t="n">
        <f aca="false">IF(D516="Sale",E516*M516,0)</f>
        <v>0</v>
      </c>
      <c r="P516" s="45" t="n">
        <f aca="false">N516-O516</f>
        <v>0</v>
      </c>
      <c r="Q516" s="45" t="n">
        <f aca="false">IF(D516="Purchase",E516*M516,0)</f>
        <v>560</v>
      </c>
    </row>
    <row r="517" customFormat="false" ht="15" hidden="false" customHeight="false" outlineLevel="0" collapsed="false">
      <c r="A517" s="39" t="s">
        <v>841</v>
      </c>
      <c r="B517" s="44" t="n">
        <v>46241</v>
      </c>
      <c r="C517" s="39" t="s">
        <v>390</v>
      </c>
      <c r="D517" s="39" t="s">
        <v>138</v>
      </c>
      <c r="E517" s="39" t="n">
        <v>15</v>
      </c>
      <c r="F517" s="39" t="str">
        <f aca="false">IF(COUNTIF(medicine_master!$A$2:$A$26,C517)&gt;0,"Valid","Invalid")</f>
        <v>Valid</v>
      </c>
      <c r="G517" s="39" t="str">
        <f aca="false">IFERROR(INDEX(medicine_master!$B$2:$B$26,MATCH($C517,medicine_master!$A$2:$A$26,0)),"Not found")</f>
        <v>Montelukast 10mg</v>
      </c>
      <c r="H517" s="39" t="str">
        <f aca="false">IFERROR(INDEX(medicine_master!$C$2:$C$26,MATCH($C517,medicine_master!$A$2:$A$26,0)),"Not found")</f>
        <v>Allergy</v>
      </c>
      <c r="I517" s="39" t="n">
        <f aca="false">YEAR(B517)</f>
        <v>2026</v>
      </c>
      <c r="J517" s="39" t="n">
        <f aca="false">MONTH(B517)</f>
        <v>8</v>
      </c>
      <c r="K517" s="39" t="str">
        <f aca="false">TEXT(B517,"mmm")</f>
        <v>Aug</v>
      </c>
      <c r="L517" s="45" t="n">
        <f aca="false">IFERROR(INDEX(medicine_master!$I$2:$I$26,MATCH($C517,medicine_master!$A$2:$A$26,0)),0)</f>
        <v>39</v>
      </c>
      <c r="M517" s="45" t="n">
        <f aca="false">IFERROR(INDEX(medicine_master!$G$2:$G$26,MATCH($C517,medicine_master!$A$2:$A$26,0)),0)</f>
        <v>27</v>
      </c>
      <c r="N517" s="45" t="n">
        <f aca="false">IF(D517="Sale",E517*L517,0)</f>
        <v>0</v>
      </c>
      <c r="O517" s="45" t="n">
        <f aca="false">IF(D517="Sale",E517*M517,0)</f>
        <v>0</v>
      </c>
      <c r="P517" s="45" t="n">
        <f aca="false">N517-O517</f>
        <v>0</v>
      </c>
      <c r="Q517" s="45" t="n">
        <f aca="false">IF(D517="Purchase",E517*M517,0)</f>
        <v>405</v>
      </c>
    </row>
    <row r="518" customFormat="false" ht="15" hidden="false" customHeight="false" outlineLevel="0" collapsed="false">
      <c r="A518" s="39" t="s">
        <v>842</v>
      </c>
      <c r="B518" s="44" t="n">
        <v>46160</v>
      </c>
      <c r="C518" s="39" t="s">
        <v>148</v>
      </c>
      <c r="D518" s="39" t="s">
        <v>138</v>
      </c>
      <c r="E518" s="39" t="n">
        <v>20</v>
      </c>
      <c r="F518" s="39" t="str">
        <f aca="false">IF(COUNTIF(medicine_master!$A$2:$A$26,C518)&gt;0,"Valid","Invalid")</f>
        <v>Valid</v>
      </c>
      <c r="G518" s="39" t="str">
        <f aca="false">IFERROR(INDEX(medicine_master!$B$2:$B$26,MATCH($C518,medicine_master!$A$2:$A$26,0)),"Not found")</f>
        <v>Dextromethorphan Syrup</v>
      </c>
      <c r="H518" s="39" t="str">
        <f aca="false">IFERROR(INDEX(medicine_master!$C$2:$C$26,MATCH($C518,medicine_master!$A$2:$A$26,0)),"Not found")</f>
        <v>Cold &amp; Cough</v>
      </c>
      <c r="I518" s="39" t="n">
        <f aca="false">YEAR(B518)</f>
        <v>2026</v>
      </c>
      <c r="J518" s="39" t="n">
        <f aca="false">MONTH(B518)</f>
        <v>5</v>
      </c>
      <c r="K518" s="39" t="str">
        <f aca="false">TEXT(B518,"mmm")</f>
        <v>May</v>
      </c>
      <c r="L518" s="45" t="n">
        <f aca="false">IFERROR(INDEX(medicine_master!$I$2:$I$26,MATCH($C518,medicine_master!$A$2:$A$26,0)),0)</f>
        <v>80</v>
      </c>
      <c r="M518" s="45" t="n">
        <f aca="false">IFERROR(INDEX(medicine_master!$G$2:$G$26,MATCH($C518,medicine_master!$A$2:$A$26,0)),0)</f>
        <v>58</v>
      </c>
      <c r="N518" s="45" t="n">
        <f aca="false">IF(D518="Sale",E518*L518,0)</f>
        <v>0</v>
      </c>
      <c r="O518" s="45" t="n">
        <f aca="false">IF(D518="Sale",E518*M518,0)</f>
        <v>0</v>
      </c>
      <c r="P518" s="45" t="n">
        <f aca="false">N518-O518</f>
        <v>0</v>
      </c>
      <c r="Q518" s="45" t="n">
        <f aca="false">IF(D518="Purchase",E518*M518,0)</f>
        <v>1160</v>
      </c>
    </row>
    <row r="519" customFormat="false" ht="15" hidden="false" customHeight="false" outlineLevel="0" collapsed="false">
      <c r="A519" s="39" t="s">
        <v>843</v>
      </c>
      <c r="B519" s="44" t="n">
        <v>46087</v>
      </c>
      <c r="C519" s="39" t="s">
        <v>167</v>
      </c>
      <c r="D519" s="39" t="s">
        <v>138</v>
      </c>
      <c r="E519" s="39" t="n">
        <v>15</v>
      </c>
      <c r="F519" s="39" t="str">
        <f aca="false">IF(COUNTIF(medicine_master!$A$2:$A$26,C519)&gt;0,"Valid","Invalid")</f>
        <v>Valid</v>
      </c>
      <c r="G519" s="39" t="str">
        <f aca="false">IFERROR(INDEX(medicine_master!$B$2:$B$26,MATCH($C519,medicine_master!$A$2:$A$26,0)),"Not found")</f>
        <v>Amlodipine 5mg</v>
      </c>
      <c r="H519" s="39" t="str">
        <f aca="false">IFERROR(INDEX(medicine_master!$C$2:$C$26,MATCH($C519,medicine_master!$A$2:$A$26,0)),"Not found")</f>
        <v>Cardiac</v>
      </c>
      <c r="I519" s="39" t="n">
        <f aca="false">YEAR(B519)</f>
        <v>2026</v>
      </c>
      <c r="J519" s="39" t="n">
        <f aca="false">MONTH(B519)</f>
        <v>3</v>
      </c>
      <c r="K519" s="39" t="str">
        <f aca="false">TEXT(B519,"mmm")</f>
        <v>Mar</v>
      </c>
      <c r="L519" s="45" t="n">
        <f aca="false">IFERROR(INDEX(medicine_master!$I$2:$I$26,MATCH($C519,medicine_master!$A$2:$A$26,0)),0)</f>
        <v>19</v>
      </c>
      <c r="M519" s="45" t="n">
        <f aca="false">IFERROR(INDEX(medicine_master!$G$2:$G$26,MATCH($C519,medicine_master!$A$2:$A$26,0)),0)</f>
        <v>13</v>
      </c>
      <c r="N519" s="45" t="n">
        <f aca="false">IF(D519="Sale",E519*L519,0)</f>
        <v>0</v>
      </c>
      <c r="O519" s="45" t="n">
        <f aca="false">IF(D519="Sale",E519*M519,0)</f>
        <v>0</v>
      </c>
      <c r="P519" s="45" t="n">
        <f aca="false">N519-O519</f>
        <v>0</v>
      </c>
      <c r="Q519" s="45" t="n">
        <f aca="false">IF(D519="Purchase",E519*M519,0)</f>
        <v>195</v>
      </c>
    </row>
    <row r="520" customFormat="false" ht="15" hidden="false" customHeight="false" outlineLevel="0" collapsed="false">
      <c r="A520" s="39" t="s">
        <v>844</v>
      </c>
      <c r="B520" s="44" t="n">
        <v>46235</v>
      </c>
      <c r="C520" s="39" t="s">
        <v>390</v>
      </c>
      <c r="D520" s="39" t="s">
        <v>137</v>
      </c>
      <c r="E520" s="39" t="n">
        <v>50</v>
      </c>
      <c r="F520" s="39" t="str">
        <f aca="false">IF(COUNTIF(medicine_master!$A$2:$A$26,C520)&gt;0,"Valid","Invalid")</f>
        <v>Valid</v>
      </c>
      <c r="G520" s="39" t="str">
        <f aca="false">IFERROR(INDEX(medicine_master!$B$2:$B$26,MATCH($C520,medicine_master!$A$2:$A$26,0)),"Not found")</f>
        <v>Montelukast 10mg</v>
      </c>
      <c r="H520" s="39" t="str">
        <f aca="false">IFERROR(INDEX(medicine_master!$C$2:$C$26,MATCH($C520,medicine_master!$A$2:$A$26,0)),"Not found")</f>
        <v>Allergy</v>
      </c>
      <c r="I520" s="39" t="n">
        <f aca="false">YEAR(B520)</f>
        <v>2026</v>
      </c>
      <c r="J520" s="39" t="n">
        <f aca="false">MONTH(B520)</f>
        <v>8</v>
      </c>
      <c r="K520" s="39" t="str">
        <f aca="false">TEXT(B520,"mmm")</f>
        <v>Aug</v>
      </c>
      <c r="L520" s="45" t="n">
        <f aca="false">IFERROR(INDEX(medicine_master!$I$2:$I$26,MATCH($C520,medicine_master!$A$2:$A$26,0)),0)</f>
        <v>39</v>
      </c>
      <c r="M520" s="45" t="n">
        <f aca="false">IFERROR(INDEX(medicine_master!$G$2:$G$26,MATCH($C520,medicine_master!$A$2:$A$26,0)),0)</f>
        <v>27</v>
      </c>
      <c r="N520" s="45" t="n">
        <f aca="false">IF(D520="Sale",E520*L520,0)</f>
        <v>1950</v>
      </c>
      <c r="O520" s="45" t="n">
        <f aca="false">IF(D520="Sale",E520*M520,0)</f>
        <v>1350</v>
      </c>
      <c r="P520" s="45" t="n">
        <f aca="false">N520-O520</f>
        <v>600</v>
      </c>
      <c r="Q520" s="45" t="n">
        <f aca="false">IF(D520="Purchase",E520*M520,0)</f>
        <v>0</v>
      </c>
    </row>
    <row r="521" customFormat="false" ht="15" hidden="false" customHeight="false" outlineLevel="0" collapsed="false">
      <c r="A521" s="39" t="s">
        <v>845</v>
      </c>
      <c r="B521" s="44" t="n">
        <v>46186</v>
      </c>
      <c r="C521" s="39" t="s">
        <v>145</v>
      </c>
      <c r="D521" s="39" t="s">
        <v>138</v>
      </c>
      <c r="E521" s="39" t="n">
        <v>25</v>
      </c>
      <c r="F521" s="39" t="str">
        <f aca="false">IF(COUNTIF(medicine_master!$A$2:$A$26,C521)&gt;0,"Valid","Invalid")</f>
        <v>Valid</v>
      </c>
      <c r="G521" s="39" t="str">
        <f aca="false">IFERROR(INDEX(medicine_master!$B$2:$B$26,MATCH($C521,medicine_master!$A$2:$A$26,0)),"Not found")</f>
        <v>Clotrimazole Cream</v>
      </c>
      <c r="H521" s="39" t="str">
        <f aca="false">IFERROR(INDEX(medicine_master!$C$2:$C$26,MATCH($C521,medicine_master!$A$2:$A$26,0)),"Not found")</f>
        <v>Dermatology</v>
      </c>
      <c r="I521" s="39" t="n">
        <f aca="false">YEAR(B521)</f>
        <v>2026</v>
      </c>
      <c r="J521" s="39" t="n">
        <f aca="false">MONTH(B521)</f>
        <v>6</v>
      </c>
      <c r="K521" s="39" t="str">
        <f aca="false">TEXT(B521,"mmm")</f>
        <v>Jun</v>
      </c>
      <c r="L521" s="45" t="n">
        <f aca="false">IFERROR(INDEX(medicine_master!$I$2:$I$26,MATCH($C521,medicine_master!$A$2:$A$26,0)),0)</f>
        <v>48</v>
      </c>
      <c r="M521" s="45" t="n">
        <f aca="false">IFERROR(INDEX(medicine_master!$G$2:$G$26,MATCH($C521,medicine_master!$A$2:$A$26,0)),0)</f>
        <v>32</v>
      </c>
      <c r="N521" s="45" t="n">
        <f aca="false">IF(D521="Sale",E521*L521,0)</f>
        <v>0</v>
      </c>
      <c r="O521" s="45" t="n">
        <f aca="false">IF(D521="Sale",E521*M521,0)</f>
        <v>0</v>
      </c>
      <c r="P521" s="45" t="n">
        <f aca="false">N521-O521</f>
        <v>0</v>
      </c>
      <c r="Q521" s="45" t="n">
        <f aca="false">IF(D521="Purchase",E521*M521,0)</f>
        <v>800</v>
      </c>
    </row>
    <row r="522" customFormat="false" ht="15" hidden="false" customHeight="false" outlineLevel="0" collapsed="false">
      <c r="A522" s="39" t="s">
        <v>846</v>
      </c>
      <c r="B522" s="44" t="n">
        <v>46213</v>
      </c>
      <c r="C522" s="39" t="s">
        <v>390</v>
      </c>
      <c r="D522" s="39" t="s">
        <v>137</v>
      </c>
      <c r="E522" s="39" t="n">
        <v>10</v>
      </c>
      <c r="F522" s="39" t="str">
        <f aca="false">IF(COUNTIF(medicine_master!$A$2:$A$26,C522)&gt;0,"Valid","Invalid")</f>
        <v>Valid</v>
      </c>
      <c r="G522" s="39" t="str">
        <f aca="false">IFERROR(INDEX(medicine_master!$B$2:$B$26,MATCH($C522,medicine_master!$A$2:$A$26,0)),"Not found")</f>
        <v>Montelukast 10mg</v>
      </c>
      <c r="H522" s="39" t="str">
        <f aca="false">IFERROR(INDEX(medicine_master!$C$2:$C$26,MATCH($C522,medicine_master!$A$2:$A$26,0)),"Not found")</f>
        <v>Allergy</v>
      </c>
      <c r="I522" s="39" t="n">
        <f aca="false">YEAR(B522)</f>
        <v>2026</v>
      </c>
      <c r="J522" s="39" t="n">
        <f aca="false">MONTH(B522)</f>
        <v>7</v>
      </c>
      <c r="K522" s="39" t="str">
        <f aca="false">TEXT(B522,"mmm")</f>
        <v>Jul</v>
      </c>
      <c r="L522" s="45" t="n">
        <f aca="false">IFERROR(INDEX(medicine_master!$I$2:$I$26,MATCH($C522,medicine_master!$A$2:$A$26,0)),0)</f>
        <v>39</v>
      </c>
      <c r="M522" s="45" t="n">
        <f aca="false">IFERROR(INDEX(medicine_master!$G$2:$G$26,MATCH($C522,medicine_master!$A$2:$A$26,0)),0)</f>
        <v>27</v>
      </c>
      <c r="N522" s="45" t="n">
        <f aca="false">IF(D522="Sale",E522*L522,0)</f>
        <v>390</v>
      </c>
      <c r="O522" s="45" t="n">
        <f aca="false">IF(D522="Sale",E522*M522,0)</f>
        <v>270</v>
      </c>
      <c r="P522" s="45" t="n">
        <f aca="false">N522-O522</f>
        <v>120</v>
      </c>
      <c r="Q522" s="45" t="n">
        <f aca="false">IF(D522="Purchase",E522*M522,0)</f>
        <v>0</v>
      </c>
    </row>
    <row r="523" customFormat="false" ht="15" hidden="false" customHeight="false" outlineLevel="0" collapsed="false">
      <c r="A523" s="39" t="s">
        <v>847</v>
      </c>
      <c r="B523" s="44" t="n">
        <v>46304</v>
      </c>
      <c r="C523" s="39" t="s">
        <v>149</v>
      </c>
      <c r="D523" s="39" t="s">
        <v>137</v>
      </c>
      <c r="E523" s="39" t="n">
        <v>15</v>
      </c>
      <c r="F523" s="39" t="str">
        <f aca="false">IF(COUNTIF(medicine_master!$A$2:$A$26,C523)&gt;0,"Valid","Invalid")</f>
        <v>Valid</v>
      </c>
      <c r="G523" s="39" t="str">
        <f aca="false">IFERROR(INDEX(medicine_master!$B$2:$B$26,MATCH($C523,medicine_master!$A$2:$A$26,0)),"Not found")</f>
        <v>Azithromycin 500mg</v>
      </c>
      <c r="H523" s="39" t="str">
        <f aca="false">IFERROR(INDEX(medicine_master!$C$2:$C$26,MATCH($C523,medicine_master!$A$2:$A$26,0)),"Not found")</f>
        <v>Antibiotic</v>
      </c>
      <c r="I523" s="39" t="n">
        <f aca="false">YEAR(B523)</f>
        <v>2026</v>
      </c>
      <c r="J523" s="39" t="n">
        <f aca="false">MONTH(B523)</f>
        <v>10</v>
      </c>
      <c r="K523" s="39" t="str">
        <f aca="false">TEXT(B523,"mmm")</f>
        <v>Oct</v>
      </c>
      <c r="L523" s="45" t="n">
        <f aca="false">IFERROR(INDEX(medicine_master!$I$2:$I$26,MATCH($C523,medicine_master!$A$2:$A$26,0)),0)</f>
        <v>50</v>
      </c>
      <c r="M523" s="45" t="n">
        <f aca="false">IFERROR(INDEX(medicine_master!$G$2:$G$26,MATCH($C523,medicine_master!$A$2:$A$26,0)),0)</f>
        <v>35</v>
      </c>
      <c r="N523" s="45" t="n">
        <f aca="false">IF(D523="Sale",E523*L523,0)</f>
        <v>750</v>
      </c>
      <c r="O523" s="45" t="n">
        <f aca="false">IF(D523="Sale",E523*M523,0)</f>
        <v>525</v>
      </c>
      <c r="P523" s="45" t="n">
        <f aca="false">N523-O523</f>
        <v>225</v>
      </c>
      <c r="Q523" s="45" t="n">
        <f aca="false">IF(D523="Purchase",E523*M523,0)</f>
        <v>0</v>
      </c>
    </row>
    <row r="524" customFormat="false" ht="15" hidden="false" customHeight="false" outlineLevel="0" collapsed="false">
      <c r="A524" s="39" t="s">
        <v>848</v>
      </c>
      <c r="B524" s="44" t="n">
        <v>46104</v>
      </c>
      <c r="C524" s="39" t="s">
        <v>157</v>
      </c>
      <c r="D524" s="39" t="s">
        <v>137</v>
      </c>
      <c r="E524" s="39" t="n">
        <v>25</v>
      </c>
      <c r="F524" s="39" t="str">
        <f aca="false">IF(COUNTIF(medicine_master!$A$2:$A$26,C524)&gt;0,"Valid","Invalid")</f>
        <v>Valid</v>
      </c>
      <c r="G524" s="39" t="str">
        <f aca="false">IFERROR(INDEX(medicine_master!$B$2:$B$26,MATCH($C524,medicine_master!$A$2:$A$26,0)),"Not found")</f>
        <v>Multivitamin Tablets</v>
      </c>
      <c r="H524" s="39" t="str">
        <f aca="false">IFERROR(INDEX(medicine_master!$C$2:$C$26,MATCH($C524,medicine_master!$A$2:$A$26,0)),"Not found")</f>
        <v>Vitamin</v>
      </c>
      <c r="I524" s="39" t="n">
        <f aca="false">YEAR(B524)</f>
        <v>2026</v>
      </c>
      <c r="J524" s="39" t="n">
        <f aca="false">MONTH(B524)</f>
        <v>3</v>
      </c>
      <c r="K524" s="39" t="str">
        <f aca="false">TEXT(B524,"mmm")</f>
        <v>Mar</v>
      </c>
      <c r="L524" s="45" t="n">
        <f aca="false">IFERROR(INDEX(medicine_master!$I$2:$I$26,MATCH($C524,medicine_master!$A$2:$A$26,0)),0)</f>
        <v>105</v>
      </c>
      <c r="M524" s="45" t="n">
        <f aca="false">IFERROR(INDEX(medicine_master!$G$2:$G$26,MATCH($C524,medicine_master!$A$2:$A$26,0)),0)</f>
        <v>72</v>
      </c>
      <c r="N524" s="45" t="n">
        <f aca="false">IF(D524="Sale",E524*L524,0)</f>
        <v>2625</v>
      </c>
      <c r="O524" s="45" t="n">
        <f aca="false">IF(D524="Sale",E524*M524,0)</f>
        <v>1800</v>
      </c>
      <c r="P524" s="45" t="n">
        <f aca="false">N524-O524</f>
        <v>825</v>
      </c>
      <c r="Q524" s="45" t="n">
        <f aca="false">IF(D524="Purchase",E524*M524,0)</f>
        <v>0</v>
      </c>
    </row>
    <row r="525" customFormat="false" ht="15" hidden="false" customHeight="false" outlineLevel="0" collapsed="false">
      <c r="A525" s="39" t="s">
        <v>849</v>
      </c>
      <c r="B525" s="44" t="n">
        <v>46064</v>
      </c>
      <c r="C525" s="39" t="s">
        <v>390</v>
      </c>
      <c r="D525" s="39" t="s">
        <v>137</v>
      </c>
      <c r="E525" s="39" t="n">
        <v>10</v>
      </c>
      <c r="F525" s="39" t="str">
        <f aca="false">IF(COUNTIF(medicine_master!$A$2:$A$26,C525)&gt;0,"Valid","Invalid")</f>
        <v>Valid</v>
      </c>
      <c r="G525" s="39" t="str">
        <f aca="false">IFERROR(INDEX(medicine_master!$B$2:$B$26,MATCH($C525,medicine_master!$A$2:$A$26,0)),"Not found")</f>
        <v>Montelukast 10mg</v>
      </c>
      <c r="H525" s="39" t="str">
        <f aca="false">IFERROR(INDEX(medicine_master!$C$2:$C$26,MATCH($C525,medicine_master!$A$2:$A$26,0)),"Not found")</f>
        <v>Allergy</v>
      </c>
      <c r="I525" s="39" t="n">
        <f aca="false">YEAR(B525)</f>
        <v>2026</v>
      </c>
      <c r="J525" s="39" t="n">
        <f aca="false">MONTH(B525)</f>
        <v>2</v>
      </c>
      <c r="K525" s="39" t="str">
        <f aca="false">TEXT(B525,"mmm")</f>
        <v>Feb</v>
      </c>
      <c r="L525" s="45" t="n">
        <f aca="false">IFERROR(INDEX(medicine_master!$I$2:$I$26,MATCH($C525,medicine_master!$A$2:$A$26,0)),0)</f>
        <v>39</v>
      </c>
      <c r="M525" s="45" t="n">
        <f aca="false">IFERROR(INDEX(medicine_master!$G$2:$G$26,MATCH($C525,medicine_master!$A$2:$A$26,0)),0)</f>
        <v>27</v>
      </c>
      <c r="N525" s="45" t="n">
        <f aca="false">IF(D525="Sale",E525*L525,0)</f>
        <v>390</v>
      </c>
      <c r="O525" s="45" t="n">
        <f aca="false">IF(D525="Sale",E525*M525,0)</f>
        <v>270</v>
      </c>
      <c r="P525" s="45" t="n">
        <f aca="false">N525-O525</f>
        <v>120</v>
      </c>
      <c r="Q525" s="45" t="n">
        <f aca="false">IF(D525="Purchase",E525*M525,0)</f>
        <v>0</v>
      </c>
    </row>
    <row r="526" customFormat="false" ht="15" hidden="false" customHeight="false" outlineLevel="0" collapsed="false">
      <c r="A526" s="39" t="s">
        <v>850</v>
      </c>
      <c r="B526" s="44" t="n">
        <v>46214</v>
      </c>
      <c r="C526" s="39" t="s">
        <v>145</v>
      </c>
      <c r="D526" s="39" t="s">
        <v>137</v>
      </c>
      <c r="E526" s="39" t="n">
        <v>50</v>
      </c>
      <c r="F526" s="39" t="str">
        <f aca="false">IF(COUNTIF(medicine_master!$A$2:$A$26,C526)&gt;0,"Valid","Invalid")</f>
        <v>Valid</v>
      </c>
      <c r="G526" s="39" t="str">
        <f aca="false">IFERROR(INDEX(medicine_master!$B$2:$B$26,MATCH($C526,medicine_master!$A$2:$A$26,0)),"Not found")</f>
        <v>Clotrimazole Cream</v>
      </c>
      <c r="H526" s="39" t="str">
        <f aca="false">IFERROR(INDEX(medicine_master!$C$2:$C$26,MATCH($C526,medicine_master!$A$2:$A$26,0)),"Not found")</f>
        <v>Dermatology</v>
      </c>
      <c r="I526" s="39" t="n">
        <f aca="false">YEAR(B526)</f>
        <v>2026</v>
      </c>
      <c r="J526" s="39" t="n">
        <f aca="false">MONTH(B526)</f>
        <v>7</v>
      </c>
      <c r="K526" s="39" t="str">
        <f aca="false">TEXT(B526,"mmm")</f>
        <v>Jul</v>
      </c>
      <c r="L526" s="45" t="n">
        <f aca="false">IFERROR(INDEX(medicine_master!$I$2:$I$26,MATCH($C526,medicine_master!$A$2:$A$26,0)),0)</f>
        <v>48</v>
      </c>
      <c r="M526" s="45" t="n">
        <f aca="false">IFERROR(INDEX(medicine_master!$G$2:$G$26,MATCH($C526,medicine_master!$A$2:$A$26,0)),0)</f>
        <v>32</v>
      </c>
      <c r="N526" s="45" t="n">
        <f aca="false">IF(D526="Sale",E526*L526,0)</f>
        <v>2400</v>
      </c>
      <c r="O526" s="45" t="n">
        <f aca="false">IF(D526="Sale",E526*M526,0)</f>
        <v>1600</v>
      </c>
      <c r="P526" s="45" t="n">
        <f aca="false">N526-O526</f>
        <v>800</v>
      </c>
      <c r="Q526" s="45" t="n">
        <f aca="false">IF(D526="Purchase",E526*M526,0)</f>
        <v>0</v>
      </c>
    </row>
    <row r="527" customFormat="false" ht="15" hidden="false" customHeight="false" outlineLevel="0" collapsed="false">
      <c r="A527" s="39" t="s">
        <v>851</v>
      </c>
      <c r="B527" s="44" t="n">
        <v>46152</v>
      </c>
      <c r="C527" s="39" t="s">
        <v>177</v>
      </c>
      <c r="D527" s="39" t="s">
        <v>138</v>
      </c>
      <c r="E527" s="39" t="n">
        <v>40</v>
      </c>
      <c r="F527" s="39" t="str">
        <f aca="false">IF(COUNTIF(medicine_master!$A$2:$A$26,C527)&gt;0,"Valid","Invalid")</f>
        <v>Valid</v>
      </c>
      <c r="G527" s="39" t="str">
        <f aca="false">IFERROR(INDEX(medicine_master!$B$2:$B$26,MATCH($C527,medicine_master!$A$2:$A$26,0)),"Not found")</f>
        <v>Bandage Roll</v>
      </c>
      <c r="H527" s="39" t="str">
        <f aca="false">IFERROR(INDEX(medicine_master!$C$2:$C$26,MATCH($C527,medicine_master!$A$2:$A$26,0)),"Not found")</f>
        <v>First Aid</v>
      </c>
      <c r="I527" s="39" t="n">
        <f aca="false">YEAR(B527)</f>
        <v>2026</v>
      </c>
      <c r="J527" s="39" t="n">
        <f aca="false">MONTH(B527)</f>
        <v>5</v>
      </c>
      <c r="K527" s="39" t="str">
        <f aca="false">TEXT(B527,"mmm")</f>
        <v>May</v>
      </c>
      <c r="L527" s="45" t="n">
        <f aca="false">IFERROR(INDEX(medicine_master!$I$2:$I$26,MATCH($C527,medicine_master!$A$2:$A$26,0)),0)</f>
        <v>25</v>
      </c>
      <c r="M527" s="45" t="n">
        <f aca="false">IFERROR(INDEX(medicine_master!$G$2:$G$26,MATCH($C527,medicine_master!$A$2:$A$26,0)),0)</f>
        <v>15</v>
      </c>
      <c r="N527" s="45" t="n">
        <f aca="false">IF(D527="Sale",E527*L527,0)</f>
        <v>0</v>
      </c>
      <c r="O527" s="45" t="n">
        <f aca="false">IF(D527="Sale",E527*M527,0)</f>
        <v>0</v>
      </c>
      <c r="P527" s="45" t="n">
        <f aca="false">N527-O527</f>
        <v>0</v>
      </c>
      <c r="Q527" s="45" t="n">
        <f aca="false">IF(D527="Purchase",E527*M527,0)</f>
        <v>600</v>
      </c>
    </row>
    <row r="528" customFormat="false" ht="15" hidden="false" customHeight="false" outlineLevel="0" collapsed="false">
      <c r="A528" s="39" t="s">
        <v>852</v>
      </c>
      <c r="B528" s="44" t="n">
        <v>46336</v>
      </c>
      <c r="C528" s="39" t="s">
        <v>157</v>
      </c>
      <c r="D528" s="39" t="s">
        <v>137</v>
      </c>
      <c r="E528" s="39" t="n">
        <v>25</v>
      </c>
      <c r="F528" s="39" t="str">
        <f aca="false">IF(COUNTIF(medicine_master!$A$2:$A$26,C528)&gt;0,"Valid","Invalid")</f>
        <v>Valid</v>
      </c>
      <c r="G528" s="39" t="str">
        <f aca="false">IFERROR(INDEX(medicine_master!$B$2:$B$26,MATCH($C528,medicine_master!$A$2:$A$26,0)),"Not found")</f>
        <v>Multivitamin Tablets</v>
      </c>
      <c r="H528" s="39" t="str">
        <f aca="false">IFERROR(INDEX(medicine_master!$C$2:$C$26,MATCH($C528,medicine_master!$A$2:$A$26,0)),"Not found")</f>
        <v>Vitamin</v>
      </c>
      <c r="I528" s="39" t="n">
        <f aca="false">YEAR(B528)</f>
        <v>2026</v>
      </c>
      <c r="J528" s="39" t="n">
        <f aca="false">MONTH(B528)</f>
        <v>11</v>
      </c>
      <c r="K528" s="39" t="str">
        <f aca="false">TEXT(B528,"mmm")</f>
        <v>Nov</v>
      </c>
      <c r="L528" s="45" t="n">
        <f aca="false">IFERROR(INDEX(medicine_master!$I$2:$I$26,MATCH($C528,medicine_master!$A$2:$A$26,0)),0)</f>
        <v>105</v>
      </c>
      <c r="M528" s="45" t="n">
        <f aca="false">IFERROR(INDEX(medicine_master!$G$2:$G$26,MATCH($C528,medicine_master!$A$2:$A$26,0)),0)</f>
        <v>72</v>
      </c>
      <c r="N528" s="45" t="n">
        <f aca="false">IF(D528="Sale",E528*L528,0)</f>
        <v>2625</v>
      </c>
      <c r="O528" s="45" t="n">
        <f aca="false">IF(D528="Sale",E528*M528,0)</f>
        <v>1800</v>
      </c>
      <c r="P528" s="45" t="n">
        <f aca="false">N528-O528</f>
        <v>825</v>
      </c>
      <c r="Q528" s="45" t="n">
        <f aca="false">IF(D528="Purchase",E528*M528,0)</f>
        <v>0</v>
      </c>
    </row>
    <row r="529" customFormat="false" ht="15" hidden="false" customHeight="false" outlineLevel="0" collapsed="false">
      <c r="A529" s="39" t="s">
        <v>853</v>
      </c>
      <c r="B529" s="44" t="n">
        <v>46312</v>
      </c>
      <c r="C529" s="39" t="s">
        <v>157</v>
      </c>
      <c r="D529" s="39" t="s">
        <v>137</v>
      </c>
      <c r="E529" s="39" t="n">
        <v>25</v>
      </c>
      <c r="F529" s="39" t="str">
        <f aca="false">IF(COUNTIF(medicine_master!$A$2:$A$26,C529)&gt;0,"Valid","Invalid")</f>
        <v>Valid</v>
      </c>
      <c r="G529" s="39" t="str">
        <f aca="false">IFERROR(INDEX(medicine_master!$B$2:$B$26,MATCH($C529,medicine_master!$A$2:$A$26,0)),"Not found")</f>
        <v>Multivitamin Tablets</v>
      </c>
      <c r="H529" s="39" t="str">
        <f aca="false">IFERROR(INDEX(medicine_master!$C$2:$C$26,MATCH($C529,medicine_master!$A$2:$A$26,0)),"Not found")</f>
        <v>Vitamin</v>
      </c>
      <c r="I529" s="39" t="n">
        <f aca="false">YEAR(B529)</f>
        <v>2026</v>
      </c>
      <c r="J529" s="39" t="n">
        <f aca="false">MONTH(B529)</f>
        <v>10</v>
      </c>
      <c r="K529" s="39" t="str">
        <f aca="false">TEXT(B529,"mmm")</f>
        <v>Oct</v>
      </c>
      <c r="L529" s="45" t="n">
        <f aca="false">IFERROR(INDEX(medicine_master!$I$2:$I$26,MATCH($C529,medicine_master!$A$2:$A$26,0)),0)</f>
        <v>105</v>
      </c>
      <c r="M529" s="45" t="n">
        <f aca="false">IFERROR(INDEX(medicine_master!$G$2:$G$26,MATCH($C529,medicine_master!$A$2:$A$26,0)),0)</f>
        <v>72</v>
      </c>
      <c r="N529" s="45" t="n">
        <f aca="false">IF(D529="Sale",E529*L529,0)</f>
        <v>2625</v>
      </c>
      <c r="O529" s="45" t="n">
        <f aca="false">IF(D529="Sale",E529*M529,0)</f>
        <v>1800</v>
      </c>
      <c r="P529" s="45" t="n">
        <f aca="false">N529-O529</f>
        <v>825</v>
      </c>
      <c r="Q529" s="45" t="n">
        <f aca="false">IF(D529="Purchase",E529*M529,0)</f>
        <v>0</v>
      </c>
    </row>
    <row r="530" customFormat="false" ht="15" hidden="false" customHeight="false" outlineLevel="0" collapsed="false">
      <c r="A530" s="39" t="s">
        <v>854</v>
      </c>
      <c r="B530" s="44" t="n">
        <v>46101</v>
      </c>
      <c r="C530" s="39" t="s">
        <v>145</v>
      </c>
      <c r="D530" s="39" t="s">
        <v>138</v>
      </c>
      <c r="E530" s="39" t="n">
        <v>20</v>
      </c>
      <c r="F530" s="39" t="str">
        <f aca="false">IF(COUNTIF(medicine_master!$A$2:$A$26,C530)&gt;0,"Valid","Invalid")</f>
        <v>Valid</v>
      </c>
      <c r="G530" s="39" t="str">
        <f aca="false">IFERROR(INDEX(medicine_master!$B$2:$B$26,MATCH($C530,medicine_master!$A$2:$A$26,0)),"Not found")</f>
        <v>Clotrimazole Cream</v>
      </c>
      <c r="H530" s="39" t="str">
        <f aca="false">IFERROR(INDEX(medicine_master!$C$2:$C$26,MATCH($C530,medicine_master!$A$2:$A$26,0)),"Not found")</f>
        <v>Dermatology</v>
      </c>
      <c r="I530" s="39" t="n">
        <f aca="false">YEAR(B530)</f>
        <v>2026</v>
      </c>
      <c r="J530" s="39" t="n">
        <f aca="false">MONTH(B530)</f>
        <v>3</v>
      </c>
      <c r="K530" s="39" t="str">
        <f aca="false">TEXT(B530,"mmm")</f>
        <v>Mar</v>
      </c>
      <c r="L530" s="45" t="n">
        <f aca="false">IFERROR(INDEX(medicine_master!$I$2:$I$26,MATCH($C530,medicine_master!$A$2:$A$26,0)),0)</f>
        <v>48</v>
      </c>
      <c r="M530" s="45" t="n">
        <f aca="false">IFERROR(INDEX(medicine_master!$G$2:$G$26,MATCH($C530,medicine_master!$A$2:$A$26,0)),0)</f>
        <v>32</v>
      </c>
      <c r="N530" s="45" t="n">
        <f aca="false">IF(D530="Sale",E530*L530,0)</f>
        <v>0</v>
      </c>
      <c r="O530" s="45" t="n">
        <f aca="false">IF(D530="Sale",E530*M530,0)</f>
        <v>0</v>
      </c>
      <c r="P530" s="45" t="n">
        <f aca="false">N530-O530</f>
        <v>0</v>
      </c>
      <c r="Q530" s="45" t="n">
        <f aca="false">IF(D530="Purchase",E530*M530,0)</f>
        <v>640</v>
      </c>
    </row>
    <row r="531" customFormat="false" ht="15" hidden="false" customHeight="false" outlineLevel="0" collapsed="false">
      <c r="A531" s="39" t="s">
        <v>855</v>
      </c>
      <c r="B531" s="44" t="n">
        <v>46091</v>
      </c>
      <c r="C531" s="39" t="s">
        <v>144</v>
      </c>
      <c r="D531" s="39" t="s">
        <v>137</v>
      </c>
      <c r="E531" s="39" t="n">
        <v>25</v>
      </c>
      <c r="F531" s="39" t="str">
        <f aca="false">IF(COUNTIF(medicine_master!$A$2:$A$26,C531)&gt;0,"Valid","Invalid")</f>
        <v>Valid</v>
      </c>
      <c r="G531" s="39" t="str">
        <f aca="false">IFERROR(INDEX(medicine_master!$B$2:$B$26,MATCH($C531,medicine_master!$A$2:$A$26,0)),"Not found")</f>
        <v>Glimepiride 2mg</v>
      </c>
      <c r="H531" s="39" t="str">
        <f aca="false">IFERROR(INDEX(medicine_master!$C$2:$C$26,MATCH($C531,medicine_master!$A$2:$A$26,0)),"Not found")</f>
        <v>Diabetes</v>
      </c>
      <c r="I531" s="39" t="n">
        <f aca="false">YEAR(B531)</f>
        <v>2026</v>
      </c>
      <c r="J531" s="39" t="n">
        <f aca="false">MONTH(B531)</f>
        <v>3</v>
      </c>
      <c r="K531" s="39" t="str">
        <f aca="false">TEXT(B531,"mmm")</f>
        <v>Mar</v>
      </c>
      <c r="L531" s="45" t="n">
        <f aca="false">IFERROR(INDEX(medicine_master!$I$2:$I$26,MATCH($C531,medicine_master!$A$2:$A$26,0)),0)</f>
        <v>52</v>
      </c>
      <c r="M531" s="45" t="n">
        <f aca="false">IFERROR(INDEX(medicine_master!$G$2:$G$26,MATCH($C531,medicine_master!$A$2:$A$26,0)),0)</f>
        <v>38</v>
      </c>
      <c r="N531" s="45" t="n">
        <f aca="false">IF(D531="Sale",E531*L531,0)</f>
        <v>1300</v>
      </c>
      <c r="O531" s="45" t="n">
        <f aca="false">IF(D531="Sale",E531*M531,0)</f>
        <v>950</v>
      </c>
      <c r="P531" s="45" t="n">
        <f aca="false">N531-O531</f>
        <v>350</v>
      </c>
      <c r="Q531" s="45" t="n">
        <f aca="false">IF(D531="Purchase",E531*M531,0)</f>
        <v>0</v>
      </c>
    </row>
    <row r="532" customFormat="false" ht="15" hidden="false" customHeight="false" outlineLevel="0" collapsed="false">
      <c r="A532" s="39" t="s">
        <v>856</v>
      </c>
      <c r="B532" s="44" t="n">
        <v>46355</v>
      </c>
      <c r="C532" s="39" t="s">
        <v>157</v>
      </c>
      <c r="D532" s="39" t="s">
        <v>138</v>
      </c>
      <c r="E532" s="39" t="n">
        <v>30</v>
      </c>
      <c r="F532" s="39" t="str">
        <f aca="false">IF(COUNTIF(medicine_master!$A$2:$A$26,C532)&gt;0,"Valid","Invalid")</f>
        <v>Valid</v>
      </c>
      <c r="G532" s="39" t="str">
        <f aca="false">IFERROR(INDEX(medicine_master!$B$2:$B$26,MATCH($C532,medicine_master!$A$2:$A$26,0)),"Not found")</f>
        <v>Multivitamin Tablets</v>
      </c>
      <c r="H532" s="39" t="str">
        <f aca="false">IFERROR(INDEX(medicine_master!$C$2:$C$26,MATCH($C532,medicine_master!$A$2:$A$26,0)),"Not found")</f>
        <v>Vitamin</v>
      </c>
      <c r="I532" s="39" t="n">
        <f aca="false">YEAR(B532)</f>
        <v>2026</v>
      </c>
      <c r="J532" s="39" t="n">
        <f aca="false">MONTH(B532)</f>
        <v>11</v>
      </c>
      <c r="K532" s="39" t="str">
        <f aca="false">TEXT(B532,"mmm")</f>
        <v>Nov</v>
      </c>
      <c r="L532" s="45" t="n">
        <f aca="false">IFERROR(INDEX(medicine_master!$I$2:$I$26,MATCH($C532,medicine_master!$A$2:$A$26,0)),0)</f>
        <v>105</v>
      </c>
      <c r="M532" s="45" t="n">
        <f aca="false">IFERROR(INDEX(medicine_master!$G$2:$G$26,MATCH($C532,medicine_master!$A$2:$A$26,0)),0)</f>
        <v>72</v>
      </c>
      <c r="N532" s="45" t="n">
        <f aca="false">IF(D532="Sale",E532*L532,0)</f>
        <v>0</v>
      </c>
      <c r="O532" s="45" t="n">
        <f aca="false">IF(D532="Sale",E532*M532,0)</f>
        <v>0</v>
      </c>
      <c r="P532" s="45" t="n">
        <f aca="false">N532-O532</f>
        <v>0</v>
      </c>
      <c r="Q532" s="45" t="n">
        <f aca="false">IF(D532="Purchase",E532*M532,0)</f>
        <v>2160</v>
      </c>
    </row>
    <row r="533" customFormat="false" ht="15" hidden="false" customHeight="false" outlineLevel="0" collapsed="false">
      <c r="A533" s="39" t="s">
        <v>857</v>
      </c>
      <c r="B533" s="44" t="n">
        <v>46131</v>
      </c>
      <c r="C533" s="39" t="s">
        <v>404</v>
      </c>
      <c r="D533" s="39" t="s">
        <v>138</v>
      </c>
      <c r="E533" s="39" t="n">
        <v>5</v>
      </c>
      <c r="F533" s="39" t="str">
        <f aca="false">IF(COUNTIF(medicine_master!$A$2:$A$26,C533)&gt;0,"Valid","Invalid")</f>
        <v>Valid</v>
      </c>
      <c r="G533" s="39" t="str">
        <f aca="false">IFERROR(INDEX(medicine_master!$B$2:$B$26,MATCH($C533,medicine_master!$A$2:$A$26,0)),"Not found")</f>
        <v>ORS Sachet</v>
      </c>
      <c r="H533" s="39" t="str">
        <f aca="false">IFERROR(INDEX(medicine_master!$C$2:$C$26,MATCH($C533,medicine_master!$A$2:$A$26,0)),"Not found")</f>
        <v>First Aid</v>
      </c>
      <c r="I533" s="39" t="n">
        <f aca="false">YEAR(B533)</f>
        <v>2026</v>
      </c>
      <c r="J533" s="39" t="n">
        <f aca="false">MONTH(B533)</f>
        <v>4</v>
      </c>
      <c r="K533" s="39" t="str">
        <f aca="false">TEXT(B533,"mmm")</f>
        <v>Apr</v>
      </c>
      <c r="L533" s="45" t="n">
        <f aca="false">IFERROR(INDEX(medicine_master!$I$2:$I$26,MATCH($C533,medicine_master!$A$2:$A$26,0)),0)</f>
        <v>10</v>
      </c>
      <c r="M533" s="45" t="n">
        <f aca="false">IFERROR(INDEX(medicine_master!$G$2:$G$26,MATCH($C533,medicine_master!$A$2:$A$26,0)),0)</f>
        <v>6</v>
      </c>
      <c r="N533" s="45" t="n">
        <f aca="false">IF(D533="Sale",E533*L533,0)</f>
        <v>0</v>
      </c>
      <c r="O533" s="45" t="n">
        <f aca="false">IF(D533="Sale",E533*M533,0)</f>
        <v>0</v>
      </c>
      <c r="P533" s="45" t="n">
        <f aca="false">N533-O533</f>
        <v>0</v>
      </c>
      <c r="Q533" s="45" t="n">
        <f aca="false">IF(D533="Purchase",E533*M533,0)</f>
        <v>30</v>
      </c>
    </row>
    <row r="534" customFormat="false" ht="15" hidden="false" customHeight="false" outlineLevel="0" collapsed="false">
      <c r="A534" s="39" t="s">
        <v>858</v>
      </c>
      <c r="B534" s="44" t="n">
        <v>46155</v>
      </c>
      <c r="C534" s="39" t="s">
        <v>146</v>
      </c>
      <c r="D534" s="39" t="s">
        <v>137</v>
      </c>
      <c r="E534" s="39" t="n">
        <v>15</v>
      </c>
      <c r="F534" s="39" t="str">
        <f aca="false">IF(COUNTIF(medicine_master!$A$2:$A$26,C534)&gt;0,"Valid","Invalid")</f>
        <v>Valid</v>
      </c>
      <c r="G534" s="39" t="str">
        <f aca="false">IFERROR(INDEX(medicine_master!$B$2:$B$26,MATCH($C534,medicine_master!$A$2:$A$26,0)),"Not found")</f>
        <v>Diclofenac Gel</v>
      </c>
      <c r="H534" s="39" t="str">
        <f aca="false">IFERROR(INDEX(medicine_master!$C$2:$C$26,MATCH($C534,medicine_master!$A$2:$A$26,0)),"Not found")</f>
        <v>Pain Relief</v>
      </c>
      <c r="I534" s="39" t="n">
        <f aca="false">YEAR(B534)</f>
        <v>2026</v>
      </c>
      <c r="J534" s="39" t="n">
        <f aca="false">MONTH(B534)</f>
        <v>5</v>
      </c>
      <c r="K534" s="39" t="str">
        <f aca="false">TEXT(B534,"mmm")</f>
        <v>May</v>
      </c>
      <c r="L534" s="45" t="n">
        <f aca="false">IFERROR(INDEX(medicine_master!$I$2:$I$26,MATCH($C534,medicine_master!$A$2:$A$26,0)),0)</f>
        <v>55</v>
      </c>
      <c r="M534" s="45" t="n">
        <f aca="false">IFERROR(INDEX(medicine_master!$G$2:$G$26,MATCH($C534,medicine_master!$A$2:$A$26,0)),0)</f>
        <v>38</v>
      </c>
      <c r="N534" s="45" t="n">
        <f aca="false">IF(D534="Sale",E534*L534,0)</f>
        <v>825</v>
      </c>
      <c r="O534" s="45" t="n">
        <f aca="false">IF(D534="Sale",E534*M534,0)</f>
        <v>570</v>
      </c>
      <c r="P534" s="45" t="n">
        <f aca="false">N534-O534</f>
        <v>255</v>
      </c>
      <c r="Q534" s="45" t="n">
        <f aca="false">IF(D534="Purchase",E534*M534,0)</f>
        <v>0</v>
      </c>
    </row>
    <row r="535" customFormat="false" ht="15" hidden="false" customHeight="false" outlineLevel="0" collapsed="false">
      <c r="A535" s="39" t="s">
        <v>859</v>
      </c>
      <c r="B535" s="44" t="n">
        <v>46250</v>
      </c>
      <c r="C535" s="39" t="s">
        <v>495</v>
      </c>
      <c r="D535" s="39" t="s">
        <v>137</v>
      </c>
      <c r="E535" s="39" t="n">
        <v>50</v>
      </c>
      <c r="F535" s="39" t="str">
        <f aca="false">IF(COUNTIF(medicine_master!$A$2:$A$26,C535)&gt;0,"Valid","Invalid")</f>
        <v>Valid</v>
      </c>
      <c r="G535" s="39" t="str">
        <f aca="false">IFERROR(INDEX(medicine_master!$B$2:$B$26,MATCH($C535,medicine_master!$A$2:$A$26,0)),"Not found")</f>
        <v>Metformin 500mg</v>
      </c>
      <c r="H535" s="39" t="str">
        <f aca="false">IFERROR(INDEX(medicine_master!$C$2:$C$26,MATCH($C535,medicine_master!$A$2:$A$26,0)),"Not found")</f>
        <v>Diabetes</v>
      </c>
      <c r="I535" s="39" t="n">
        <f aca="false">YEAR(B535)</f>
        <v>2026</v>
      </c>
      <c r="J535" s="39" t="n">
        <f aca="false">MONTH(B535)</f>
        <v>8</v>
      </c>
      <c r="K535" s="39" t="str">
        <f aca="false">TEXT(B535,"mmm")</f>
        <v>Aug</v>
      </c>
      <c r="L535" s="45" t="n">
        <f aca="false">IFERROR(INDEX(medicine_master!$I$2:$I$26,MATCH($C535,medicine_master!$A$2:$A$26,0)),0)</f>
        <v>24</v>
      </c>
      <c r="M535" s="45" t="n">
        <f aca="false">IFERROR(INDEX(medicine_master!$G$2:$G$26,MATCH($C535,medicine_master!$A$2:$A$26,0)),0)</f>
        <v>16</v>
      </c>
      <c r="N535" s="45" t="n">
        <f aca="false">IF(D535="Sale",E535*L535,0)</f>
        <v>1200</v>
      </c>
      <c r="O535" s="45" t="n">
        <f aca="false">IF(D535="Sale",E535*M535,0)</f>
        <v>800</v>
      </c>
      <c r="P535" s="45" t="n">
        <f aca="false">N535-O535</f>
        <v>400</v>
      </c>
      <c r="Q535" s="45" t="n">
        <f aca="false">IF(D535="Purchase",E535*M535,0)</f>
        <v>0</v>
      </c>
    </row>
    <row r="536" customFormat="false" ht="15" hidden="false" customHeight="false" outlineLevel="0" collapsed="false">
      <c r="A536" s="39" t="s">
        <v>860</v>
      </c>
      <c r="B536" s="44" t="n">
        <v>46050</v>
      </c>
      <c r="C536" s="39" t="s">
        <v>404</v>
      </c>
      <c r="D536" s="39" t="s">
        <v>138</v>
      </c>
      <c r="E536" s="39" t="n">
        <v>10</v>
      </c>
      <c r="F536" s="39" t="str">
        <f aca="false">IF(COUNTIF(medicine_master!$A$2:$A$26,C536)&gt;0,"Valid","Invalid")</f>
        <v>Valid</v>
      </c>
      <c r="G536" s="39" t="str">
        <f aca="false">IFERROR(INDEX(medicine_master!$B$2:$B$26,MATCH($C536,medicine_master!$A$2:$A$26,0)),"Not found")</f>
        <v>ORS Sachet</v>
      </c>
      <c r="H536" s="39" t="str">
        <f aca="false">IFERROR(INDEX(medicine_master!$C$2:$C$26,MATCH($C536,medicine_master!$A$2:$A$26,0)),"Not found")</f>
        <v>First Aid</v>
      </c>
      <c r="I536" s="39" t="n">
        <f aca="false">YEAR(B536)</f>
        <v>2026</v>
      </c>
      <c r="J536" s="39" t="n">
        <f aca="false">MONTH(B536)</f>
        <v>1</v>
      </c>
      <c r="K536" s="39" t="str">
        <f aca="false">TEXT(B536,"mmm")</f>
        <v>Jan</v>
      </c>
      <c r="L536" s="45" t="n">
        <f aca="false">IFERROR(INDEX(medicine_master!$I$2:$I$26,MATCH($C536,medicine_master!$A$2:$A$26,0)),0)</f>
        <v>10</v>
      </c>
      <c r="M536" s="45" t="n">
        <f aca="false">IFERROR(INDEX(medicine_master!$G$2:$G$26,MATCH($C536,medicine_master!$A$2:$A$26,0)),0)</f>
        <v>6</v>
      </c>
      <c r="N536" s="45" t="n">
        <f aca="false">IF(D536="Sale",E536*L536,0)</f>
        <v>0</v>
      </c>
      <c r="O536" s="45" t="n">
        <f aca="false">IF(D536="Sale",E536*M536,0)</f>
        <v>0</v>
      </c>
      <c r="P536" s="45" t="n">
        <f aca="false">N536-O536</f>
        <v>0</v>
      </c>
      <c r="Q536" s="45" t="n">
        <f aca="false">IF(D536="Purchase",E536*M536,0)</f>
        <v>60</v>
      </c>
    </row>
    <row r="537" customFormat="false" ht="15" hidden="false" customHeight="false" outlineLevel="0" collapsed="false">
      <c r="A537" s="39" t="s">
        <v>861</v>
      </c>
      <c r="B537" s="44" t="n">
        <v>46372</v>
      </c>
      <c r="C537" s="39" t="s">
        <v>321</v>
      </c>
      <c r="D537" s="39" t="s">
        <v>137</v>
      </c>
      <c r="E537" s="39" t="n">
        <v>15</v>
      </c>
      <c r="F537" s="39" t="str">
        <f aca="false">IF(COUNTIF(medicine_master!$A$2:$A$26,C537)&gt;0,"Valid","Invalid")</f>
        <v>Valid</v>
      </c>
      <c r="G537" s="39" t="str">
        <f aca="false">IFERROR(INDEX(medicine_master!$B$2:$B$26,MATCH($C537,medicine_master!$A$2:$A$26,0)),"Not found")</f>
        <v>Levocetirizine 5mg</v>
      </c>
      <c r="H537" s="39" t="str">
        <f aca="false">IFERROR(INDEX(medicine_master!$C$2:$C$26,MATCH($C537,medicine_master!$A$2:$A$26,0)),"Not found")</f>
        <v>Allergy</v>
      </c>
      <c r="I537" s="39" t="n">
        <f aca="false">YEAR(B537)</f>
        <v>2026</v>
      </c>
      <c r="J537" s="39" t="n">
        <f aca="false">MONTH(B537)</f>
        <v>12</v>
      </c>
      <c r="K537" s="39" t="str">
        <f aca="false">TEXT(B537,"mmm")</f>
        <v>Dec</v>
      </c>
      <c r="L537" s="45" t="n">
        <f aca="false">IFERROR(INDEX(medicine_master!$I$2:$I$26,MATCH($C537,medicine_master!$A$2:$A$26,0)),0)</f>
        <v>22</v>
      </c>
      <c r="M537" s="45" t="n">
        <f aca="false">IFERROR(INDEX(medicine_master!$G$2:$G$26,MATCH($C537,medicine_master!$A$2:$A$26,0)),0)</f>
        <v>14</v>
      </c>
      <c r="N537" s="45" t="n">
        <f aca="false">IF(D537="Sale",E537*L537,0)</f>
        <v>330</v>
      </c>
      <c r="O537" s="45" t="n">
        <f aca="false">IF(D537="Sale",E537*M537,0)</f>
        <v>210</v>
      </c>
      <c r="P537" s="45" t="n">
        <f aca="false">N537-O537</f>
        <v>120</v>
      </c>
      <c r="Q537" s="45" t="n">
        <f aca="false">IF(D537="Purchase",E537*M537,0)</f>
        <v>0</v>
      </c>
    </row>
    <row r="538" customFormat="false" ht="15" hidden="false" customHeight="false" outlineLevel="0" collapsed="false">
      <c r="A538" s="39" t="s">
        <v>862</v>
      </c>
      <c r="B538" s="44" t="n">
        <v>46060</v>
      </c>
      <c r="C538" s="39" t="s">
        <v>159</v>
      </c>
      <c r="D538" s="39" t="s">
        <v>138</v>
      </c>
      <c r="E538" s="39" t="n">
        <v>50</v>
      </c>
      <c r="F538" s="39" t="str">
        <f aca="false">IF(COUNTIF(medicine_master!$A$2:$A$26,C538)&gt;0,"Valid","Invalid")</f>
        <v>Valid</v>
      </c>
      <c r="G538" s="39" t="str">
        <f aca="false">IFERROR(INDEX(medicine_master!$B$2:$B$26,MATCH($C538,medicine_master!$A$2:$A$26,0)),"Not found")</f>
        <v>Antiseptic Liquid 100ml</v>
      </c>
      <c r="H538" s="39" t="str">
        <f aca="false">IFERROR(INDEX(medicine_master!$C$2:$C$26,MATCH($C538,medicine_master!$A$2:$A$26,0)),"Not found")</f>
        <v>First Aid</v>
      </c>
      <c r="I538" s="39" t="n">
        <f aca="false">YEAR(B538)</f>
        <v>2026</v>
      </c>
      <c r="J538" s="39" t="n">
        <f aca="false">MONTH(B538)</f>
        <v>2</v>
      </c>
      <c r="K538" s="39" t="str">
        <f aca="false">TEXT(B538,"mmm")</f>
        <v>Feb</v>
      </c>
      <c r="L538" s="45" t="n">
        <f aca="false">IFERROR(INDEX(medicine_master!$I$2:$I$26,MATCH($C538,medicine_master!$A$2:$A$26,0)),0)</f>
        <v>65</v>
      </c>
      <c r="M538" s="45" t="n">
        <f aca="false">IFERROR(INDEX(medicine_master!$G$2:$G$26,MATCH($C538,medicine_master!$A$2:$A$26,0)),0)</f>
        <v>48</v>
      </c>
      <c r="N538" s="45" t="n">
        <f aca="false">IF(D538="Sale",E538*L538,0)</f>
        <v>0</v>
      </c>
      <c r="O538" s="45" t="n">
        <f aca="false">IF(D538="Sale",E538*M538,0)</f>
        <v>0</v>
      </c>
      <c r="P538" s="45" t="n">
        <f aca="false">N538-O538</f>
        <v>0</v>
      </c>
      <c r="Q538" s="45" t="n">
        <f aca="false">IF(D538="Purchase",E538*M538,0)</f>
        <v>2400</v>
      </c>
    </row>
    <row r="539" customFormat="false" ht="15" hidden="false" customHeight="false" outlineLevel="0" collapsed="false">
      <c r="A539" s="39" t="s">
        <v>863</v>
      </c>
      <c r="B539" s="44" t="n">
        <v>46245</v>
      </c>
      <c r="C539" s="39" t="s">
        <v>157</v>
      </c>
      <c r="D539" s="39" t="s">
        <v>137</v>
      </c>
      <c r="E539" s="39" t="n">
        <v>25</v>
      </c>
      <c r="F539" s="39" t="str">
        <f aca="false">IF(COUNTIF(medicine_master!$A$2:$A$26,C539)&gt;0,"Valid","Invalid")</f>
        <v>Valid</v>
      </c>
      <c r="G539" s="39" t="str">
        <f aca="false">IFERROR(INDEX(medicine_master!$B$2:$B$26,MATCH($C539,medicine_master!$A$2:$A$26,0)),"Not found")</f>
        <v>Multivitamin Tablets</v>
      </c>
      <c r="H539" s="39" t="str">
        <f aca="false">IFERROR(INDEX(medicine_master!$C$2:$C$26,MATCH($C539,medicine_master!$A$2:$A$26,0)),"Not found")</f>
        <v>Vitamin</v>
      </c>
      <c r="I539" s="39" t="n">
        <f aca="false">YEAR(B539)</f>
        <v>2026</v>
      </c>
      <c r="J539" s="39" t="n">
        <f aca="false">MONTH(B539)</f>
        <v>8</v>
      </c>
      <c r="K539" s="39" t="str">
        <f aca="false">TEXT(B539,"mmm")</f>
        <v>Aug</v>
      </c>
      <c r="L539" s="45" t="n">
        <f aca="false">IFERROR(INDEX(medicine_master!$I$2:$I$26,MATCH($C539,medicine_master!$A$2:$A$26,0)),0)</f>
        <v>105</v>
      </c>
      <c r="M539" s="45" t="n">
        <f aca="false">IFERROR(INDEX(medicine_master!$G$2:$G$26,MATCH($C539,medicine_master!$A$2:$A$26,0)),0)</f>
        <v>72</v>
      </c>
      <c r="N539" s="45" t="n">
        <f aca="false">IF(D539="Sale",E539*L539,0)</f>
        <v>2625</v>
      </c>
      <c r="O539" s="45" t="n">
        <f aca="false">IF(D539="Sale",E539*M539,0)</f>
        <v>1800</v>
      </c>
      <c r="P539" s="45" t="n">
        <f aca="false">N539-O539</f>
        <v>825</v>
      </c>
      <c r="Q539" s="45" t="n">
        <f aca="false">IF(D539="Purchase",E539*M539,0)</f>
        <v>0</v>
      </c>
    </row>
    <row r="540" customFormat="false" ht="15" hidden="false" customHeight="false" outlineLevel="0" collapsed="false">
      <c r="A540" s="39" t="s">
        <v>864</v>
      </c>
      <c r="B540" s="44" t="n">
        <v>46071</v>
      </c>
      <c r="C540" s="39" t="s">
        <v>149</v>
      </c>
      <c r="D540" s="39" t="s">
        <v>137</v>
      </c>
      <c r="E540" s="39" t="n">
        <v>30</v>
      </c>
      <c r="F540" s="39" t="str">
        <f aca="false">IF(COUNTIF(medicine_master!$A$2:$A$26,C540)&gt;0,"Valid","Invalid")</f>
        <v>Valid</v>
      </c>
      <c r="G540" s="39" t="str">
        <f aca="false">IFERROR(INDEX(medicine_master!$B$2:$B$26,MATCH($C540,medicine_master!$A$2:$A$26,0)),"Not found")</f>
        <v>Azithromycin 500mg</v>
      </c>
      <c r="H540" s="39" t="str">
        <f aca="false">IFERROR(INDEX(medicine_master!$C$2:$C$26,MATCH($C540,medicine_master!$A$2:$A$26,0)),"Not found")</f>
        <v>Antibiotic</v>
      </c>
      <c r="I540" s="39" t="n">
        <f aca="false">YEAR(B540)</f>
        <v>2026</v>
      </c>
      <c r="J540" s="39" t="n">
        <f aca="false">MONTH(B540)</f>
        <v>2</v>
      </c>
      <c r="K540" s="39" t="str">
        <f aca="false">TEXT(B540,"mmm")</f>
        <v>Feb</v>
      </c>
      <c r="L540" s="45" t="n">
        <f aca="false">IFERROR(INDEX(medicine_master!$I$2:$I$26,MATCH($C540,medicine_master!$A$2:$A$26,0)),0)</f>
        <v>50</v>
      </c>
      <c r="M540" s="45" t="n">
        <f aca="false">IFERROR(INDEX(medicine_master!$G$2:$G$26,MATCH($C540,medicine_master!$A$2:$A$26,0)),0)</f>
        <v>35</v>
      </c>
      <c r="N540" s="45" t="n">
        <f aca="false">IF(D540="Sale",E540*L540,0)</f>
        <v>1500</v>
      </c>
      <c r="O540" s="45" t="n">
        <f aca="false">IF(D540="Sale",E540*M540,0)</f>
        <v>1050</v>
      </c>
      <c r="P540" s="45" t="n">
        <f aca="false">N540-O540</f>
        <v>450</v>
      </c>
      <c r="Q540" s="45" t="n">
        <f aca="false">IF(D540="Purchase",E540*M540,0)</f>
        <v>0</v>
      </c>
    </row>
    <row r="541" customFormat="false" ht="15" hidden="false" customHeight="false" outlineLevel="0" collapsed="false">
      <c r="A541" s="39" t="s">
        <v>865</v>
      </c>
      <c r="B541" s="44" t="n">
        <v>46191</v>
      </c>
      <c r="C541" s="39" t="s">
        <v>178</v>
      </c>
      <c r="D541" s="39" t="s">
        <v>137</v>
      </c>
      <c r="E541" s="39" t="n">
        <v>5</v>
      </c>
      <c r="F541" s="39" t="str">
        <f aca="false">IF(COUNTIF(medicine_master!$A$2:$A$26,C541)&gt;0,"Valid","Invalid")</f>
        <v>Valid</v>
      </c>
      <c r="G541" s="39" t="str">
        <f aca="false">IFERROR(INDEX(medicine_master!$B$2:$B$26,MATCH($C541,medicine_master!$A$2:$A$26,0)),"Not found")</f>
        <v>Aspirin 75mg</v>
      </c>
      <c r="H541" s="39" t="str">
        <f aca="false">IFERROR(INDEX(medicine_master!$C$2:$C$26,MATCH($C541,medicine_master!$A$2:$A$26,0)),"Not found")</f>
        <v>Cardiac</v>
      </c>
      <c r="I541" s="39" t="n">
        <f aca="false">YEAR(B541)</f>
        <v>2026</v>
      </c>
      <c r="J541" s="39" t="n">
        <f aca="false">MONTH(B541)</f>
        <v>6</v>
      </c>
      <c r="K541" s="39" t="str">
        <f aca="false">TEXT(B541,"mmm")</f>
        <v>Jun</v>
      </c>
      <c r="L541" s="45" t="n">
        <f aca="false">IFERROR(INDEX(medicine_master!$I$2:$I$26,MATCH($C541,medicine_master!$A$2:$A$26,0)),0)</f>
        <v>15</v>
      </c>
      <c r="M541" s="45" t="n">
        <f aca="false">IFERROR(INDEX(medicine_master!$G$2:$G$26,MATCH($C541,medicine_master!$A$2:$A$26,0)),0)</f>
        <v>10</v>
      </c>
      <c r="N541" s="45" t="n">
        <f aca="false">IF(D541="Sale",E541*L541,0)</f>
        <v>75</v>
      </c>
      <c r="O541" s="45" t="n">
        <f aca="false">IF(D541="Sale",E541*M541,0)</f>
        <v>50</v>
      </c>
      <c r="P541" s="45" t="n">
        <f aca="false">N541-O541</f>
        <v>25</v>
      </c>
      <c r="Q541" s="45" t="n">
        <f aca="false">IF(D541="Purchase",E541*M541,0)</f>
        <v>0</v>
      </c>
    </row>
    <row r="542" customFormat="false" ht="15" hidden="false" customHeight="false" outlineLevel="0" collapsed="false">
      <c r="A542" s="39" t="s">
        <v>866</v>
      </c>
      <c r="B542" s="44" t="n">
        <v>46288</v>
      </c>
      <c r="C542" s="39" t="s">
        <v>390</v>
      </c>
      <c r="D542" s="39" t="s">
        <v>138</v>
      </c>
      <c r="E542" s="39" t="n">
        <v>20</v>
      </c>
      <c r="F542" s="39" t="str">
        <f aca="false">IF(COUNTIF(medicine_master!$A$2:$A$26,C542)&gt;0,"Valid","Invalid")</f>
        <v>Valid</v>
      </c>
      <c r="G542" s="39" t="str">
        <f aca="false">IFERROR(INDEX(medicine_master!$B$2:$B$26,MATCH($C542,medicine_master!$A$2:$A$26,0)),"Not found")</f>
        <v>Montelukast 10mg</v>
      </c>
      <c r="H542" s="39" t="str">
        <f aca="false">IFERROR(INDEX(medicine_master!$C$2:$C$26,MATCH($C542,medicine_master!$A$2:$A$26,0)),"Not found")</f>
        <v>Allergy</v>
      </c>
      <c r="I542" s="39" t="n">
        <f aca="false">YEAR(B542)</f>
        <v>2026</v>
      </c>
      <c r="J542" s="39" t="n">
        <f aca="false">MONTH(B542)</f>
        <v>9</v>
      </c>
      <c r="K542" s="39" t="str">
        <f aca="false">TEXT(B542,"mmm")</f>
        <v>Sep</v>
      </c>
      <c r="L542" s="45" t="n">
        <f aca="false">IFERROR(INDEX(medicine_master!$I$2:$I$26,MATCH($C542,medicine_master!$A$2:$A$26,0)),0)</f>
        <v>39</v>
      </c>
      <c r="M542" s="45" t="n">
        <f aca="false">IFERROR(INDEX(medicine_master!$G$2:$G$26,MATCH($C542,medicine_master!$A$2:$A$26,0)),0)</f>
        <v>27</v>
      </c>
      <c r="N542" s="45" t="n">
        <f aca="false">IF(D542="Sale",E542*L542,0)</f>
        <v>0</v>
      </c>
      <c r="O542" s="45" t="n">
        <f aca="false">IF(D542="Sale",E542*M542,0)</f>
        <v>0</v>
      </c>
      <c r="P542" s="45" t="n">
        <f aca="false">N542-O542</f>
        <v>0</v>
      </c>
      <c r="Q542" s="45" t="n">
        <f aca="false">IF(D542="Purchase",E542*M542,0)</f>
        <v>540</v>
      </c>
    </row>
    <row r="543" customFormat="false" ht="15" hidden="false" customHeight="false" outlineLevel="0" collapsed="false">
      <c r="A543" s="39" t="s">
        <v>867</v>
      </c>
      <c r="B543" s="44" t="n">
        <v>46280</v>
      </c>
      <c r="C543" s="39" t="s">
        <v>321</v>
      </c>
      <c r="D543" s="39" t="s">
        <v>137</v>
      </c>
      <c r="E543" s="39" t="n">
        <v>40</v>
      </c>
      <c r="F543" s="39" t="str">
        <f aca="false">IF(COUNTIF(medicine_master!$A$2:$A$26,C543)&gt;0,"Valid","Invalid")</f>
        <v>Valid</v>
      </c>
      <c r="G543" s="39" t="str">
        <f aca="false">IFERROR(INDEX(medicine_master!$B$2:$B$26,MATCH($C543,medicine_master!$A$2:$A$26,0)),"Not found")</f>
        <v>Levocetirizine 5mg</v>
      </c>
      <c r="H543" s="39" t="str">
        <f aca="false">IFERROR(INDEX(medicine_master!$C$2:$C$26,MATCH($C543,medicine_master!$A$2:$A$26,0)),"Not found")</f>
        <v>Allergy</v>
      </c>
      <c r="I543" s="39" t="n">
        <f aca="false">YEAR(B543)</f>
        <v>2026</v>
      </c>
      <c r="J543" s="39" t="n">
        <f aca="false">MONTH(B543)</f>
        <v>9</v>
      </c>
      <c r="K543" s="39" t="str">
        <f aca="false">TEXT(B543,"mmm")</f>
        <v>Sep</v>
      </c>
      <c r="L543" s="45" t="n">
        <f aca="false">IFERROR(INDEX(medicine_master!$I$2:$I$26,MATCH($C543,medicine_master!$A$2:$A$26,0)),0)</f>
        <v>22</v>
      </c>
      <c r="M543" s="45" t="n">
        <f aca="false">IFERROR(INDEX(medicine_master!$G$2:$G$26,MATCH($C543,medicine_master!$A$2:$A$26,0)),0)</f>
        <v>14</v>
      </c>
      <c r="N543" s="45" t="n">
        <f aca="false">IF(D543="Sale",E543*L543,0)</f>
        <v>880</v>
      </c>
      <c r="O543" s="45" t="n">
        <f aca="false">IF(D543="Sale",E543*M543,0)</f>
        <v>560</v>
      </c>
      <c r="P543" s="45" t="n">
        <f aca="false">N543-O543</f>
        <v>320</v>
      </c>
      <c r="Q543" s="45" t="n">
        <f aca="false">IF(D543="Purchase",E543*M543,0)</f>
        <v>0</v>
      </c>
    </row>
    <row r="544" customFormat="false" ht="15" hidden="false" customHeight="false" outlineLevel="0" collapsed="false">
      <c r="A544" s="39" t="s">
        <v>868</v>
      </c>
      <c r="B544" s="44" t="n">
        <v>46310</v>
      </c>
      <c r="C544" s="39" t="s">
        <v>179</v>
      </c>
      <c r="D544" s="39" t="s">
        <v>138</v>
      </c>
      <c r="E544" s="39" t="n">
        <v>15</v>
      </c>
      <c r="F544" s="39" t="str">
        <f aca="false">IF(COUNTIF(medicine_master!$A$2:$A$26,C544)&gt;0,"Valid","Invalid")</f>
        <v>Valid</v>
      </c>
      <c r="G544" s="39" t="str">
        <f aca="false">IFERROR(INDEX(medicine_master!$B$2:$B$26,MATCH($C544,medicine_master!$A$2:$A$26,0)),"Not found")</f>
        <v>Ibuprofen 400mg</v>
      </c>
      <c r="H544" s="39" t="str">
        <f aca="false">IFERROR(INDEX(medicine_master!$C$2:$C$26,MATCH($C544,medicine_master!$A$2:$A$26,0)),"Not found")</f>
        <v>Pain Relief</v>
      </c>
      <c r="I544" s="39" t="n">
        <f aca="false">YEAR(B544)</f>
        <v>2026</v>
      </c>
      <c r="J544" s="39" t="n">
        <f aca="false">MONTH(B544)</f>
        <v>10</v>
      </c>
      <c r="K544" s="39" t="str">
        <f aca="false">TEXT(B544,"mmm")</f>
        <v>Oct</v>
      </c>
      <c r="L544" s="45" t="n">
        <f aca="false">IFERROR(INDEX(medicine_master!$I$2:$I$26,MATCH($C544,medicine_master!$A$2:$A$26,0)),0)</f>
        <v>30</v>
      </c>
      <c r="M544" s="45" t="n">
        <f aca="false">IFERROR(INDEX(medicine_master!$G$2:$G$26,MATCH($C544,medicine_master!$A$2:$A$26,0)),0)</f>
        <v>22</v>
      </c>
      <c r="N544" s="45" t="n">
        <f aca="false">IF(D544="Sale",E544*L544,0)</f>
        <v>0</v>
      </c>
      <c r="O544" s="45" t="n">
        <f aca="false">IF(D544="Sale",E544*M544,0)</f>
        <v>0</v>
      </c>
      <c r="P544" s="45" t="n">
        <f aca="false">N544-O544</f>
        <v>0</v>
      </c>
      <c r="Q544" s="45" t="n">
        <f aca="false">IF(D544="Purchase",E544*M544,0)</f>
        <v>330</v>
      </c>
    </row>
    <row r="545" customFormat="false" ht="15" hidden="false" customHeight="false" outlineLevel="0" collapsed="false">
      <c r="A545" s="39" t="s">
        <v>869</v>
      </c>
      <c r="B545" s="44" t="n">
        <v>46205</v>
      </c>
      <c r="C545" s="39" t="s">
        <v>326</v>
      </c>
      <c r="D545" s="39" t="s">
        <v>138</v>
      </c>
      <c r="E545" s="39" t="n">
        <v>20</v>
      </c>
      <c r="F545" s="39" t="str">
        <f aca="false">IF(COUNTIF(medicine_master!$A$2:$A$26,C545)&gt;0,"Valid","Invalid")</f>
        <v>Valid</v>
      </c>
      <c r="G545" s="39" t="str">
        <f aca="false">IFERROR(INDEX(medicine_master!$B$2:$B$26,MATCH($C545,medicine_master!$A$2:$A$26,0)),"Not found")</f>
        <v>Omeprazole 20mg</v>
      </c>
      <c r="H545" s="39" t="str">
        <f aca="false">IFERROR(INDEX(medicine_master!$C$2:$C$26,MATCH($C545,medicine_master!$A$2:$A$26,0)),"Not found")</f>
        <v>Gastric</v>
      </c>
      <c r="I545" s="39" t="n">
        <f aca="false">YEAR(B545)</f>
        <v>2026</v>
      </c>
      <c r="J545" s="39" t="n">
        <f aca="false">MONTH(B545)</f>
        <v>7</v>
      </c>
      <c r="K545" s="39" t="str">
        <f aca="false">TEXT(B545,"mmm")</f>
        <v>Jul</v>
      </c>
      <c r="L545" s="45" t="n">
        <f aca="false">IFERROR(INDEX(medicine_master!$I$2:$I$26,MATCH($C545,medicine_master!$A$2:$A$26,0)),0)</f>
        <v>26</v>
      </c>
      <c r="M545" s="45" t="n">
        <f aca="false">IFERROR(INDEX(medicine_master!$G$2:$G$26,MATCH($C545,medicine_master!$A$2:$A$26,0)),0)</f>
        <v>18</v>
      </c>
      <c r="N545" s="45" t="n">
        <f aca="false">IF(D545="Sale",E545*L545,0)</f>
        <v>0</v>
      </c>
      <c r="O545" s="45" t="n">
        <f aca="false">IF(D545="Sale",E545*M545,0)</f>
        <v>0</v>
      </c>
      <c r="P545" s="45" t="n">
        <f aca="false">N545-O545</f>
        <v>0</v>
      </c>
      <c r="Q545" s="45" t="n">
        <f aca="false">IF(D545="Purchase",E545*M545,0)</f>
        <v>360</v>
      </c>
    </row>
    <row r="546" customFormat="false" ht="15" hidden="false" customHeight="false" outlineLevel="0" collapsed="false">
      <c r="A546" s="39" t="s">
        <v>870</v>
      </c>
      <c r="B546" s="44" t="n">
        <v>46146</v>
      </c>
      <c r="C546" s="39" t="s">
        <v>178</v>
      </c>
      <c r="D546" s="39" t="s">
        <v>138</v>
      </c>
      <c r="E546" s="39" t="n">
        <v>15</v>
      </c>
      <c r="F546" s="39" t="str">
        <f aca="false">IF(COUNTIF(medicine_master!$A$2:$A$26,C546)&gt;0,"Valid","Invalid")</f>
        <v>Valid</v>
      </c>
      <c r="G546" s="39" t="str">
        <f aca="false">IFERROR(INDEX(medicine_master!$B$2:$B$26,MATCH($C546,medicine_master!$A$2:$A$26,0)),"Not found")</f>
        <v>Aspirin 75mg</v>
      </c>
      <c r="H546" s="39" t="str">
        <f aca="false">IFERROR(INDEX(medicine_master!$C$2:$C$26,MATCH($C546,medicine_master!$A$2:$A$26,0)),"Not found")</f>
        <v>Cardiac</v>
      </c>
      <c r="I546" s="39" t="n">
        <f aca="false">YEAR(B546)</f>
        <v>2026</v>
      </c>
      <c r="J546" s="39" t="n">
        <f aca="false">MONTH(B546)</f>
        <v>5</v>
      </c>
      <c r="K546" s="39" t="str">
        <f aca="false">TEXT(B546,"mmm")</f>
        <v>May</v>
      </c>
      <c r="L546" s="45" t="n">
        <f aca="false">IFERROR(INDEX(medicine_master!$I$2:$I$26,MATCH($C546,medicine_master!$A$2:$A$26,0)),0)</f>
        <v>15</v>
      </c>
      <c r="M546" s="45" t="n">
        <f aca="false">IFERROR(INDEX(medicine_master!$G$2:$G$26,MATCH($C546,medicine_master!$A$2:$A$26,0)),0)</f>
        <v>10</v>
      </c>
      <c r="N546" s="45" t="n">
        <f aca="false">IF(D546="Sale",E546*L546,0)</f>
        <v>0</v>
      </c>
      <c r="O546" s="45" t="n">
        <f aca="false">IF(D546="Sale",E546*M546,0)</f>
        <v>0</v>
      </c>
      <c r="P546" s="45" t="n">
        <f aca="false">N546-O546</f>
        <v>0</v>
      </c>
      <c r="Q546" s="45" t="n">
        <f aca="false">IF(D546="Purchase",E546*M546,0)</f>
        <v>150</v>
      </c>
    </row>
    <row r="547" customFormat="false" ht="15" hidden="false" customHeight="false" outlineLevel="0" collapsed="false">
      <c r="A547" s="39" t="s">
        <v>871</v>
      </c>
      <c r="B547" s="44" t="n">
        <v>46235</v>
      </c>
      <c r="C547" s="39" t="s">
        <v>144</v>
      </c>
      <c r="D547" s="39" t="s">
        <v>138</v>
      </c>
      <c r="E547" s="39" t="n">
        <v>40</v>
      </c>
      <c r="F547" s="39" t="str">
        <f aca="false">IF(COUNTIF(medicine_master!$A$2:$A$26,C547)&gt;0,"Valid","Invalid")</f>
        <v>Valid</v>
      </c>
      <c r="G547" s="39" t="str">
        <f aca="false">IFERROR(INDEX(medicine_master!$B$2:$B$26,MATCH($C547,medicine_master!$A$2:$A$26,0)),"Not found")</f>
        <v>Glimepiride 2mg</v>
      </c>
      <c r="H547" s="39" t="str">
        <f aca="false">IFERROR(INDEX(medicine_master!$C$2:$C$26,MATCH($C547,medicine_master!$A$2:$A$26,0)),"Not found")</f>
        <v>Diabetes</v>
      </c>
      <c r="I547" s="39" t="n">
        <f aca="false">YEAR(B547)</f>
        <v>2026</v>
      </c>
      <c r="J547" s="39" t="n">
        <f aca="false">MONTH(B547)</f>
        <v>8</v>
      </c>
      <c r="K547" s="39" t="str">
        <f aca="false">TEXT(B547,"mmm")</f>
        <v>Aug</v>
      </c>
      <c r="L547" s="45" t="n">
        <f aca="false">IFERROR(INDEX(medicine_master!$I$2:$I$26,MATCH($C547,medicine_master!$A$2:$A$26,0)),0)</f>
        <v>52</v>
      </c>
      <c r="M547" s="45" t="n">
        <f aca="false">IFERROR(INDEX(medicine_master!$G$2:$G$26,MATCH($C547,medicine_master!$A$2:$A$26,0)),0)</f>
        <v>38</v>
      </c>
      <c r="N547" s="45" t="n">
        <f aca="false">IF(D547="Sale",E547*L547,0)</f>
        <v>0</v>
      </c>
      <c r="O547" s="45" t="n">
        <f aca="false">IF(D547="Sale",E547*M547,0)</f>
        <v>0</v>
      </c>
      <c r="P547" s="45" t="n">
        <f aca="false">N547-O547</f>
        <v>0</v>
      </c>
      <c r="Q547" s="45" t="n">
        <f aca="false">IF(D547="Purchase",E547*M547,0)</f>
        <v>1520</v>
      </c>
    </row>
    <row r="548" customFormat="false" ht="15" hidden="false" customHeight="false" outlineLevel="0" collapsed="false">
      <c r="A548" s="39" t="s">
        <v>872</v>
      </c>
      <c r="B548" s="44" t="n">
        <v>46144</v>
      </c>
      <c r="C548" s="39" t="s">
        <v>148</v>
      </c>
      <c r="D548" s="39" t="s">
        <v>137</v>
      </c>
      <c r="E548" s="39" t="n">
        <v>15</v>
      </c>
      <c r="F548" s="39" t="str">
        <f aca="false">IF(COUNTIF(medicine_master!$A$2:$A$26,C548)&gt;0,"Valid","Invalid")</f>
        <v>Valid</v>
      </c>
      <c r="G548" s="39" t="str">
        <f aca="false">IFERROR(INDEX(medicine_master!$B$2:$B$26,MATCH($C548,medicine_master!$A$2:$A$26,0)),"Not found")</f>
        <v>Dextromethorphan Syrup</v>
      </c>
      <c r="H548" s="39" t="str">
        <f aca="false">IFERROR(INDEX(medicine_master!$C$2:$C$26,MATCH($C548,medicine_master!$A$2:$A$26,0)),"Not found")</f>
        <v>Cold &amp; Cough</v>
      </c>
      <c r="I548" s="39" t="n">
        <f aca="false">YEAR(B548)</f>
        <v>2026</v>
      </c>
      <c r="J548" s="39" t="n">
        <f aca="false">MONTH(B548)</f>
        <v>5</v>
      </c>
      <c r="K548" s="39" t="str">
        <f aca="false">TEXT(B548,"mmm")</f>
        <v>May</v>
      </c>
      <c r="L548" s="45" t="n">
        <f aca="false">IFERROR(INDEX(medicine_master!$I$2:$I$26,MATCH($C548,medicine_master!$A$2:$A$26,0)),0)</f>
        <v>80</v>
      </c>
      <c r="M548" s="45" t="n">
        <f aca="false">IFERROR(INDEX(medicine_master!$G$2:$G$26,MATCH($C548,medicine_master!$A$2:$A$26,0)),0)</f>
        <v>58</v>
      </c>
      <c r="N548" s="45" t="n">
        <f aca="false">IF(D548="Sale",E548*L548,0)</f>
        <v>1200</v>
      </c>
      <c r="O548" s="45" t="n">
        <f aca="false">IF(D548="Sale",E548*M548,0)</f>
        <v>870</v>
      </c>
      <c r="P548" s="45" t="n">
        <f aca="false">N548-O548</f>
        <v>330</v>
      </c>
      <c r="Q548" s="45" t="n">
        <f aca="false">IF(D548="Purchase",E548*M548,0)</f>
        <v>0</v>
      </c>
    </row>
    <row r="549" customFormat="false" ht="15" hidden="false" customHeight="false" outlineLevel="0" collapsed="false">
      <c r="A549" s="39" t="s">
        <v>873</v>
      </c>
      <c r="B549" s="44" t="n">
        <v>46040</v>
      </c>
      <c r="C549" s="39" t="s">
        <v>390</v>
      </c>
      <c r="D549" s="39" t="s">
        <v>137</v>
      </c>
      <c r="E549" s="39" t="n">
        <v>20</v>
      </c>
      <c r="F549" s="39" t="str">
        <f aca="false">IF(COUNTIF(medicine_master!$A$2:$A$26,C549)&gt;0,"Valid","Invalid")</f>
        <v>Valid</v>
      </c>
      <c r="G549" s="39" t="str">
        <f aca="false">IFERROR(INDEX(medicine_master!$B$2:$B$26,MATCH($C549,medicine_master!$A$2:$A$26,0)),"Not found")</f>
        <v>Montelukast 10mg</v>
      </c>
      <c r="H549" s="39" t="str">
        <f aca="false">IFERROR(INDEX(medicine_master!$C$2:$C$26,MATCH($C549,medicine_master!$A$2:$A$26,0)),"Not found")</f>
        <v>Allergy</v>
      </c>
      <c r="I549" s="39" t="n">
        <f aca="false">YEAR(B549)</f>
        <v>2026</v>
      </c>
      <c r="J549" s="39" t="n">
        <f aca="false">MONTH(B549)</f>
        <v>1</v>
      </c>
      <c r="K549" s="39" t="str">
        <f aca="false">TEXT(B549,"mmm")</f>
        <v>Jan</v>
      </c>
      <c r="L549" s="45" t="n">
        <f aca="false">IFERROR(INDEX(medicine_master!$I$2:$I$26,MATCH($C549,medicine_master!$A$2:$A$26,0)),0)</f>
        <v>39</v>
      </c>
      <c r="M549" s="45" t="n">
        <f aca="false">IFERROR(INDEX(medicine_master!$G$2:$G$26,MATCH($C549,medicine_master!$A$2:$A$26,0)),0)</f>
        <v>27</v>
      </c>
      <c r="N549" s="45" t="n">
        <f aca="false">IF(D549="Sale",E549*L549,0)</f>
        <v>780</v>
      </c>
      <c r="O549" s="45" t="n">
        <f aca="false">IF(D549="Sale",E549*M549,0)</f>
        <v>540</v>
      </c>
      <c r="P549" s="45" t="n">
        <f aca="false">N549-O549</f>
        <v>240</v>
      </c>
      <c r="Q549" s="45" t="n">
        <f aca="false">IF(D549="Purchase",E549*M549,0)</f>
        <v>0</v>
      </c>
    </row>
    <row r="550" customFormat="false" ht="15" hidden="false" customHeight="false" outlineLevel="0" collapsed="false">
      <c r="A550" s="39" t="s">
        <v>874</v>
      </c>
      <c r="B550" s="44" t="n">
        <v>46324</v>
      </c>
      <c r="C550" s="39" t="s">
        <v>157</v>
      </c>
      <c r="D550" s="39" t="s">
        <v>137</v>
      </c>
      <c r="E550" s="39" t="n">
        <v>10</v>
      </c>
      <c r="F550" s="39" t="str">
        <f aca="false">IF(COUNTIF(medicine_master!$A$2:$A$26,C550)&gt;0,"Valid","Invalid")</f>
        <v>Valid</v>
      </c>
      <c r="G550" s="39" t="str">
        <f aca="false">IFERROR(INDEX(medicine_master!$B$2:$B$26,MATCH($C550,medicine_master!$A$2:$A$26,0)),"Not found")</f>
        <v>Multivitamin Tablets</v>
      </c>
      <c r="H550" s="39" t="str">
        <f aca="false">IFERROR(INDEX(medicine_master!$C$2:$C$26,MATCH($C550,medicine_master!$A$2:$A$26,0)),"Not found")</f>
        <v>Vitamin</v>
      </c>
      <c r="I550" s="39" t="n">
        <f aca="false">YEAR(B550)</f>
        <v>2026</v>
      </c>
      <c r="J550" s="39" t="n">
        <f aca="false">MONTH(B550)</f>
        <v>10</v>
      </c>
      <c r="K550" s="39" t="str">
        <f aca="false">TEXT(B550,"mmm")</f>
        <v>Oct</v>
      </c>
      <c r="L550" s="45" t="n">
        <f aca="false">IFERROR(INDEX(medicine_master!$I$2:$I$26,MATCH($C550,medicine_master!$A$2:$A$26,0)),0)</f>
        <v>105</v>
      </c>
      <c r="M550" s="45" t="n">
        <f aca="false">IFERROR(INDEX(medicine_master!$G$2:$G$26,MATCH($C550,medicine_master!$A$2:$A$26,0)),0)</f>
        <v>72</v>
      </c>
      <c r="N550" s="45" t="n">
        <f aca="false">IF(D550="Sale",E550*L550,0)</f>
        <v>1050</v>
      </c>
      <c r="O550" s="45" t="n">
        <f aca="false">IF(D550="Sale",E550*M550,0)</f>
        <v>720</v>
      </c>
      <c r="P550" s="45" t="n">
        <f aca="false">N550-O550</f>
        <v>330</v>
      </c>
      <c r="Q550" s="45" t="n">
        <f aca="false">IF(D550="Purchase",E550*M550,0)</f>
        <v>0</v>
      </c>
    </row>
    <row r="551" customFormat="false" ht="15" hidden="false" customHeight="false" outlineLevel="0" collapsed="false">
      <c r="A551" s="39" t="s">
        <v>875</v>
      </c>
      <c r="B551" s="44" t="n">
        <v>46246</v>
      </c>
      <c r="C551" s="39" t="s">
        <v>495</v>
      </c>
      <c r="D551" s="39" t="s">
        <v>138</v>
      </c>
      <c r="E551" s="39" t="n">
        <v>30</v>
      </c>
      <c r="F551" s="39" t="str">
        <f aca="false">IF(COUNTIF(medicine_master!$A$2:$A$26,C551)&gt;0,"Valid","Invalid")</f>
        <v>Valid</v>
      </c>
      <c r="G551" s="39" t="str">
        <f aca="false">IFERROR(INDEX(medicine_master!$B$2:$B$26,MATCH($C551,medicine_master!$A$2:$A$26,0)),"Not found")</f>
        <v>Metformin 500mg</v>
      </c>
      <c r="H551" s="39" t="str">
        <f aca="false">IFERROR(INDEX(medicine_master!$C$2:$C$26,MATCH($C551,medicine_master!$A$2:$A$26,0)),"Not found")</f>
        <v>Diabetes</v>
      </c>
      <c r="I551" s="39" t="n">
        <f aca="false">YEAR(B551)</f>
        <v>2026</v>
      </c>
      <c r="J551" s="39" t="n">
        <f aca="false">MONTH(B551)</f>
        <v>8</v>
      </c>
      <c r="K551" s="39" t="str">
        <f aca="false">TEXT(B551,"mmm")</f>
        <v>Aug</v>
      </c>
      <c r="L551" s="45" t="n">
        <f aca="false">IFERROR(INDEX(medicine_master!$I$2:$I$26,MATCH($C551,medicine_master!$A$2:$A$26,0)),0)</f>
        <v>24</v>
      </c>
      <c r="M551" s="45" t="n">
        <f aca="false">IFERROR(INDEX(medicine_master!$G$2:$G$26,MATCH($C551,medicine_master!$A$2:$A$26,0)),0)</f>
        <v>16</v>
      </c>
      <c r="N551" s="45" t="n">
        <f aca="false">IF(D551="Sale",E551*L551,0)</f>
        <v>0</v>
      </c>
      <c r="O551" s="45" t="n">
        <f aca="false">IF(D551="Sale",E551*M551,0)</f>
        <v>0</v>
      </c>
      <c r="P551" s="45" t="n">
        <f aca="false">N551-O551</f>
        <v>0</v>
      </c>
      <c r="Q551" s="45" t="n">
        <f aca="false">IF(D551="Purchase",E551*M551,0)</f>
        <v>480</v>
      </c>
    </row>
    <row r="552" customFormat="false" ht="15" hidden="false" customHeight="false" outlineLevel="0" collapsed="false">
      <c r="A552" s="39" t="s">
        <v>876</v>
      </c>
      <c r="B552" s="44" t="n">
        <v>46367</v>
      </c>
      <c r="C552" s="39" t="s">
        <v>321</v>
      </c>
      <c r="D552" s="39" t="s">
        <v>137</v>
      </c>
      <c r="E552" s="39" t="n">
        <v>30</v>
      </c>
      <c r="F552" s="39" t="str">
        <f aca="false">IF(COUNTIF(medicine_master!$A$2:$A$26,C552)&gt;0,"Valid","Invalid")</f>
        <v>Valid</v>
      </c>
      <c r="G552" s="39" t="str">
        <f aca="false">IFERROR(INDEX(medicine_master!$B$2:$B$26,MATCH($C552,medicine_master!$A$2:$A$26,0)),"Not found")</f>
        <v>Levocetirizine 5mg</v>
      </c>
      <c r="H552" s="39" t="str">
        <f aca="false">IFERROR(INDEX(medicine_master!$C$2:$C$26,MATCH($C552,medicine_master!$A$2:$A$26,0)),"Not found")</f>
        <v>Allergy</v>
      </c>
      <c r="I552" s="39" t="n">
        <f aca="false">YEAR(B552)</f>
        <v>2026</v>
      </c>
      <c r="J552" s="39" t="n">
        <f aca="false">MONTH(B552)</f>
        <v>12</v>
      </c>
      <c r="K552" s="39" t="str">
        <f aca="false">TEXT(B552,"mmm")</f>
        <v>Dec</v>
      </c>
      <c r="L552" s="45" t="n">
        <f aca="false">IFERROR(INDEX(medicine_master!$I$2:$I$26,MATCH($C552,medicine_master!$A$2:$A$26,0)),0)</f>
        <v>22</v>
      </c>
      <c r="M552" s="45" t="n">
        <f aca="false">IFERROR(INDEX(medicine_master!$G$2:$G$26,MATCH($C552,medicine_master!$A$2:$A$26,0)),0)</f>
        <v>14</v>
      </c>
      <c r="N552" s="45" t="n">
        <f aca="false">IF(D552="Sale",E552*L552,0)</f>
        <v>660</v>
      </c>
      <c r="O552" s="45" t="n">
        <f aca="false">IF(D552="Sale",E552*M552,0)</f>
        <v>420</v>
      </c>
      <c r="P552" s="45" t="n">
        <f aca="false">N552-O552</f>
        <v>240</v>
      </c>
      <c r="Q552" s="45" t="n">
        <f aca="false">IF(D552="Purchase",E552*M552,0)</f>
        <v>0</v>
      </c>
    </row>
    <row r="553" customFormat="false" ht="15" hidden="false" customHeight="false" outlineLevel="0" collapsed="false">
      <c r="A553" s="39" t="s">
        <v>877</v>
      </c>
      <c r="B553" s="44" t="n">
        <v>46280</v>
      </c>
      <c r="C553" s="39" t="s">
        <v>390</v>
      </c>
      <c r="D553" s="39" t="s">
        <v>137</v>
      </c>
      <c r="E553" s="39" t="n">
        <v>30</v>
      </c>
      <c r="F553" s="39" t="str">
        <f aca="false">IF(COUNTIF(medicine_master!$A$2:$A$26,C553)&gt;0,"Valid","Invalid")</f>
        <v>Valid</v>
      </c>
      <c r="G553" s="39" t="str">
        <f aca="false">IFERROR(INDEX(medicine_master!$B$2:$B$26,MATCH($C553,medicine_master!$A$2:$A$26,0)),"Not found")</f>
        <v>Montelukast 10mg</v>
      </c>
      <c r="H553" s="39" t="str">
        <f aca="false">IFERROR(INDEX(medicine_master!$C$2:$C$26,MATCH($C553,medicine_master!$A$2:$A$26,0)),"Not found")</f>
        <v>Allergy</v>
      </c>
      <c r="I553" s="39" t="n">
        <f aca="false">YEAR(B553)</f>
        <v>2026</v>
      </c>
      <c r="J553" s="39" t="n">
        <f aca="false">MONTH(B553)</f>
        <v>9</v>
      </c>
      <c r="K553" s="39" t="str">
        <f aca="false">TEXT(B553,"mmm")</f>
        <v>Sep</v>
      </c>
      <c r="L553" s="45" t="n">
        <f aca="false">IFERROR(INDEX(medicine_master!$I$2:$I$26,MATCH($C553,medicine_master!$A$2:$A$26,0)),0)</f>
        <v>39</v>
      </c>
      <c r="M553" s="45" t="n">
        <f aca="false">IFERROR(INDEX(medicine_master!$G$2:$G$26,MATCH($C553,medicine_master!$A$2:$A$26,0)),0)</f>
        <v>27</v>
      </c>
      <c r="N553" s="45" t="n">
        <f aca="false">IF(D553="Sale",E553*L553,0)</f>
        <v>1170</v>
      </c>
      <c r="O553" s="45" t="n">
        <f aca="false">IF(D553="Sale",E553*M553,0)</f>
        <v>810</v>
      </c>
      <c r="P553" s="45" t="n">
        <f aca="false">N553-O553</f>
        <v>360</v>
      </c>
      <c r="Q553" s="45" t="n">
        <f aca="false">IF(D553="Purchase",E553*M553,0)</f>
        <v>0</v>
      </c>
    </row>
    <row r="554" customFormat="false" ht="15" hidden="false" customHeight="false" outlineLevel="0" collapsed="false">
      <c r="A554" s="39" t="s">
        <v>878</v>
      </c>
      <c r="B554" s="44" t="n">
        <v>46117</v>
      </c>
      <c r="C554" s="39" t="s">
        <v>159</v>
      </c>
      <c r="D554" s="39" t="s">
        <v>137</v>
      </c>
      <c r="E554" s="39" t="n">
        <v>40</v>
      </c>
      <c r="F554" s="39" t="str">
        <f aca="false">IF(COUNTIF(medicine_master!$A$2:$A$26,C554)&gt;0,"Valid","Invalid")</f>
        <v>Valid</v>
      </c>
      <c r="G554" s="39" t="str">
        <f aca="false">IFERROR(INDEX(medicine_master!$B$2:$B$26,MATCH($C554,medicine_master!$A$2:$A$26,0)),"Not found")</f>
        <v>Antiseptic Liquid 100ml</v>
      </c>
      <c r="H554" s="39" t="str">
        <f aca="false">IFERROR(INDEX(medicine_master!$C$2:$C$26,MATCH($C554,medicine_master!$A$2:$A$26,0)),"Not found")</f>
        <v>First Aid</v>
      </c>
      <c r="I554" s="39" t="n">
        <f aca="false">YEAR(B554)</f>
        <v>2026</v>
      </c>
      <c r="J554" s="39" t="n">
        <f aca="false">MONTH(B554)</f>
        <v>4</v>
      </c>
      <c r="K554" s="39" t="str">
        <f aca="false">TEXT(B554,"mmm")</f>
        <v>Apr</v>
      </c>
      <c r="L554" s="45" t="n">
        <f aca="false">IFERROR(INDEX(medicine_master!$I$2:$I$26,MATCH($C554,medicine_master!$A$2:$A$26,0)),0)</f>
        <v>65</v>
      </c>
      <c r="M554" s="45" t="n">
        <f aca="false">IFERROR(INDEX(medicine_master!$G$2:$G$26,MATCH($C554,medicine_master!$A$2:$A$26,0)),0)</f>
        <v>48</v>
      </c>
      <c r="N554" s="45" t="n">
        <f aca="false">IF(D554="Sale",E554*L554,0)</f>
        <v>2600</v>
      </c>
      <c r="O554" s="45" t="n">
        <f aca="false">IF(D554="Sale",E554*M554,0)</f>
        <v>1920</v>
      </c>
      <c r="P554" s="45" t="n">
        <f aca="false">N554-O554</f>
        <v>680</v>
      </c>
      <c r="Q554" s="45" t="n">
        <f aca="false">IF(D554="Purchase",E554*M554,0)</f>
        <v>0</v>
      </c>
    </row>
    <row r="555" customFormat="false" ht="15" hidden="false" customHeight="false" outlineLevel="0" collapsed="false">
      <c r="A555" s="39" t="s">
        <v>879</v>
      </c>
      <c r="B555" s="44" t="n">
        <v>46300</v>
      </c>
      <c r="C555" s="39" t="s">
        <v>495</v>
      </c>
      <c r="D555" s="39" t="s">
        <v>137</v>
      </c>
      <c r="E555" s="39" t="n">
        <v>30</v>
      </c>
      <c r="F555" s="39" t="str">
        <f aca="false">IF(COUNTIF(medicine_master!$A$2:$A$26,C555)&gt;0,"Valid","Invalid")</f>
        <v>Valid</v>
      </c>
      <c r="G555" s="39" t="str">
        <f aca="false">IFERROR(INDEX(medicine_master!$B$2:$B$26,MATCH($C555,medicine_master!$A$2:$A$26,0)),"Not found")</f>
        <v>Metformin 500mg</v>
      </c>
      <c r="H555" s="39" t="str">
        <f aca="false">IFERROR(INDEX(medicine_master!$C$2:$C$26,MATCH($C555,medicine_master!$A$2:$A$26,0)),"Not found")</f>
        <v>Diabetes</v>
      </c>
      <c r="I555" s="39" t="n">
        <f aca="false">YEAR(B555)</f>
        <v>2026</v>
      </c>
      <c r="J555" s="39" t="n">
        <f aca="false">MONTH(B555)</f>
        <v>10</v>
      </c>
      <c r="K555" s="39" t="str">
        <f aca="false">TEXT(B555,"mmm")</f>
        <v>Oct</v>
      </c>
      <c r="L555" s="45" t="n">
        <f aca="false">IFERROR(INDEX(medicine_master!$I$2:$I$26,MATCH($C555,medicine_master!$A$2:$A$26,0)),0)</f>
        <v>24</v>
      </c>
      <c r="M555" s="45" t="n">
        <f aca="false">IFERROR(INDEX(medicine_master!$G$2:$G$26,MATCH($C555,medicine_master!$A$2:$A$26,0)),0)</f>
        <v>16</v>
      </c>
      <c r="N555" s="45" t="n">
        <f aca="false">IF(D555="Sale",E555*L555,0)</f>
        <v>720</v>
      </c>
      <c r="O555" s="45" t="n">
        <f aca="false">IF(D555="Sale",E555*M555,0)</f>
        <v>480</v>
      </c>
      <c r="P555" s="45" t="n">
        <f aca="false">N555-O555</f>
        <v>240</v>
      </c>
      <c r="Q555" s="45" t="n">
        <f aca="false">IF(D555="Purchase",E555*M555,0)</f>
        <v>0</v>
      </c>
    </row>
    <row r="556" customFormat="false" ht="15" hidden="false" customHeight="false" outlineLevel="0" collapsed="false">
      <c r="A556" s="39" t="s">
        <v>880</v>
      </c>
      <c r="B556" s="44" t="n">
        <v>46025</v>
      </c>
      <c r="C556" s="39" t="s">
        <v>321</v>
      </c>
      <c r="D556" s="39" t="s">
        <v>137</v>
      </c>
      <c r="E556" s="39" t="n">
        <v>25</v>
      </c>
      <c r="F556" s="39" t="str">
        <f aca="false">IF(COUNTIF(medicine_master!$A$2:$A$26,C556)&gt;0,"Valid","Invalid")</f>
        <v>Valid</v>
      </c>
      <c r="G556" s="39" t="str">
        <f aca="false">IFERROR(INDEX(medicine_master!$B$2:$B$26,MATCH($C556,medicine_master!$A$2:$A$26,0)),"Not found")</f>
        <v>Levocetirizine 5mg</v>
      </c>
      <c r="H556" s="39" t="str">
        <f aca="false">IFERROR(INDEX(medicine_master!$C$2:$C$26,MATCH($C556,medicine_master!$A$2:$A$26,0)),"Not found")</f>
        <v>Allergy</v>
      </c>
      <c r="I556" s="39" t="n">
        <f aca="false">YEAR(B556)</f>
        <v>2026</v>
      </c>
      <c r="J556" s="39" t="n">
        <f aca="false">MONTH(B556)</f>
        <v>1</v>
      </c>
      <c r="K556" s="39" t="str">
        <f aca="false">TEXT(B556,"mmm")</f>
        <v>Jan</v>
      </c>
      <c r="L556" s="45" t="n">
        <f aca="false">IFERROR(INDEX(medicine_master!$I$2:$I$26,MATCH($C556,medicine_master!$A$2:$A$26,0)),0)</f>
        <v>22</v>
      </c>
      <c r="M556" s="45" t="n">
        <f aca="false">IFERROR(INDEX(medicine_master!$G$2:$G$26,MATCH($C556,medicine_master!$A$2:$A$26,0)),0)</f>
        <v>14</v>
      </c>
      <c r="N556" s="45" t="n">
        <f aca="false">IF(D556="Sale",E556*L556,0)</f>
        <v>550</v>
      </c>
      <c r="O556" s="45" t="n">
        <f aca="false">IF(D556="Sale",E556*M556,0)</f>
        <v>350</v>
      </c>
      <c r="P556" s="45" t="n">
        <f aca="false">N556-O556</f>
        <v>200</v>
      </c>
      <c r="Q556" s="45" t="n">
        <f aca="false">IF(D556="Purchase",E556*M556,0)</f>
        <v>0</v>
      </c>
    </row>
    <row r="557" customFormat="false" ht="15" hidden="false" customHeight="false" outlineLevel="0" collapsed="false">
      <c r="A557" s="39" t="s">
        <v>881</v>
      </c>
      <c r="B557" s="44" t="n">
        <v>46317</v>
      </c>
      <c r="C557" s="39" t="s">
        <v>144</v>
      </c>
      <c r="D557" s="39" t="s">
        <v>137</v>
      </c>
      <c r="E557" s="39" t="n">
        <v>30</v>
      </c>
      <c r="F557" s="39" t="str">
        <f aca="false">IF(COUNTIF(medicine_master!$A$2:$A$26,C557)&gt;0,"Valid","Invalid")</f>
        <v>Valid</v>
      </c>
      <c r="G557" s="39" t="str">
        <f aca="false">IFERROR(INDEX(medicine_master!$B$2:$B$26,MATCH($C557,medicine_master!$A$2:$A$26,0)),"Not found")</f>
        <v>Glimepiride 2mg</v>
      </c>
      <c r="H557" s="39" t="str">
        <f aca="false">IFERROR(INDEX(medicine_master!$C$2:$C$26,MATCH($C557,medicine_master!$A$2:$A$26,0)),"Not found")</f>
        <v>Diabetes</v>
      </c>
      <c r="I557" s="39" t="n">
        <f aca="false">YEAR(B557)</f>
        <v>2026</v>
      </c>
      <c r="J557" s="39" t="n">
        <f aca="false">MONTH(B557)</f>
        <v>10</v>
      </c>
      <c r="K557" s="39" t="str">
        <f aca="false">TEXT(B557,"mmm")</f>
        <v>Oct</v>
      </c>
      <c r="L557" s="45" t="n">
        <f aca="false">IFERROR(INDEX(medicine_master!$I$2:$I$26,MATCH($C557,medicine_master!$A$2:$A$26,0)),0)</f>
        <v>52</v>
      </c>
      <c r="M557" s="45" t="n">
        <f aca="false">IFERROR(INDEX(medicine_master!$G$2:$G$26,MATCH($C557,medicine_master!$A$2:$A$26,0)),0)</f>
        <v>38</v>
      </c>
      <c r="N557" s="45" t="n">
        <f aca="false">IF(D557="Sale",E557*L557,0)</f>
        <v>1560</v>
      </c>
      <c r="O557" s="45" t="n">
        <f aca="false">IF(D557="Sale",E557*M557,0)</f>
        <v>1140</v>
      </c>
      <c r="P557" s="45" t="n">
        <f aca="false">N557-O557</f>
        <v>420</v>
      </c>
      <c r="Q557" s="45" t="n">
        <f aca="false">IF(D557="Purchase",E557*M557,0)</f>
        <v>0</v>
      </c>
    </row>
    <row r="558" customFormat="false" ht="15" hidden="false" customHeight="false" outlineLevel="0" collapsed="false">
      <c r="A558" s="39" t="s">
        <v>882</v>
      </c>
      <c r="B558" s="44" t="n">
        <v>46133</v>
      </c>
      <c r="C558" s="39" t="s">
        <v>157</v>
      </c>
      <c r="D558" s="39" t="s">
        <v>137</v>
      </c>
      <c r="E558" s="39" t="n">
        <v>5</v>
      </c>
      <c r="F558" s="39" t="str">
        <f aca="false">IF(COUNTIF(medicine_master!$A$2:$A$26,C558)&gt;0,"Valid","Invalid")</f>
        <v>Valid</v>
      </c>
      <c r="G558" s="39" t="str">
        <f aca="false">IFERROR(INDEX(medicine_master!$B$2:$B$26,MATCH($C558,medicine_master!$A$2:$A$26,0)),"Not found")</f>
        <v>Multivitamin Tablets</v>
      </c>
      <c r="H558" s="39" t="str">
        <f aca="false">IFERROR(INDEX(medicine_master!$C$2:$C$26,MATCH($C558,medicine_master!$A$2:$A$26,0)),"Not found")</f>
        <v>Vitamin</v>
      </c>
      <c r="I558" s="39" t="n">
        <f aca="false">YEAR(B558)</f>
        <v>2026</v>
      </c>
      <c r="J558" s="39" t="n">
        <f aca="false">MONTH(B558)</f>
        <v>4</v>
      </c>
      <c r="K558" s="39" t="str">
        <f aca="false">TEXT(B558,"mmm")</f>
        <v>Apr</v>
      </c>
      <c r="L558" s="45" t="n">
        <f aca="false">IFERROR(INDEX(medicine_master!$I$2:$I$26,MATCH($C558,medicine_master!$A$2:$A$26,0)),0)</f>
        <v>105</v>
      </c>
      <c r="M558" s="45" t="n">
        <f aca="false">IFERROR(INDEX(medicine_master!$G$2:$G$26,MATCH($C558,medicine_master!$A$2:$A$26,0)),0)</f>
        <v>72</v>
      </c>
      <c r="N558" s="45" t="n">
        <f aca="false">IF(D558="Sale",E558*L558,0)</f>
        <v>525</v>
      </c>
      <c r="O558" s="45" t="n">
        <f aca="false">IF(D558="Sale",E558*M558,0)</f>
        <v>360</v>
      </c>
      <c r="P558" s="45" t="n">
        <f aca="false">N558-O558</f>
        <v>165</v>
      </c>
      <c r="Q558" s="45" t="n">
        <f aca="false">IF(D558="Purchase",E558*M558,0)</f>
        <v>0</v>
      </c>
    </row>
    <row r="559" customFormat="false" ht="15" hidden="false" customHeight="false" outlineLevel="0" collapsed="false">
      <c r="A559" s="39" t="s">
        <v>883</v>
      </c>
      <c r="B559" s="44" t="n">
        <v>46151</v>
      </c>
      <c r="C559" s="39" t="s">
        <v>144</v>
      </c>
      <c r="D559" s="39" t="s">
        <v>137</v>
      </c>
      <c r="E559" s="39" t="n">
        <v>50</v>
      </c>
      <c r="F559" s="39" t="str">
        <f aca="false">IF(COUNTIF(medicine_master!$A$2:$A$26,C559)&gt;0,"Valid","Invalid")</f>
        <v>Valid</v>
      </c>
      <c r="G559" s="39" t="str">
        <f aca="false">IFERROR(INDEX(medicine_master!$B$2:$B$26,MATCH($C559,medicine_master!$A$2:$A$26,0)),"Not found")</f>
        <v>Glimepiride 2mg</v>
      </c>
      <c r="H559" s="39" t="str">
        <f aca="false">IFERROR(INDEX(medicine_master!$C$2:$C$26,MATCH($C559,medicine_master!$A$2:$A$26,0)),"Not found")</f>
        <v>Diabetes</v>
      </c>
      <c r="I559" s="39" t="n">
        <f aca="false">YEAR(B559)</f>
        <v>2026</v>
      </c>
      <c r="J559" s="39" t="n">
        <f aca="false">MONTH(B559)</f>
        <v>5</v>
      </c>
      <c r="K559" s="39" t="str">
        <f aca="false">TEXT(B559,"mmm")</f>
        <v>May</v>
      </c>
      <c r="L559" s="45" t="n">
        <f aca="false">IFERROR(INDEX(medicine_master!$I$2:$I$26,MATCH($C559,medicine_master!$A$2:$A$26,0)),0)</f>
        <v>52</v>
      </c>
      <c r="M559" s="45" t="n">
        <f aca="false">IFERROR(INDEX(medicine_master!$G$2:$G$26,MATCH($C559,medicine_master!$A$2:$A$26,0)),0)</f>
        <v>38</v>
      </c>
      <c r="N559" s="45" t="n">
        <f aca="false">IF(D559="Sale",E559*L559,0)</f>
        <v>2600</v>
      </c>
      <c r="O559" s="45" t="n">
        <f aca="false">IF(D559="Sale",E559*M559,0)</f>
        <v>1900</v>
      </c>
      <c r="P559" s="45" t="n">
        <f aca="false">N559-O559</f>
        <v>700</v>
      </c>
      <c r="Q559" s="45" t="n">
        <f aca="false">IF(D559="Purchase",E559*M559,0)</f>
        <v>0</v>
      </c>
    </row>
    <row r="560" customFormat="false" ht="15" hidden="false" customHeight="false" outlineLevel="0" collapsed="false">
      <c r="A560" s="39" t="s">
        <v>884</v>
      </c>
      <c r="B560" s="44" t="n">
        <v>46126</v>
      </c>
      <c r="C560" s="39" t="s">
        <v>151</v>
      </c>
      <c r="D560" s="39" t="s">
        <v>137</v>
      </c>
      <c r="E560" s="39" t="n">
        <v>30</v>
      </c>
      <c r="F560" s="39" t="str">
        <f aca="false">IF(COUNTIF(medicine_master!$A$2:$A$26,C560)&gt;0,"Valid","Invalid")</f>
        <v>Valid</v>
      </c>
      <c r="G560" s="39" t="str">
        <f aca="false">IFERROR(INDEX(medicine_master!$B$2:$B$26,MATCH($C560,medicine_master!$A$2:$A$26,0)),"Not found")</f>
        <v>Cetirizine 10mg</v>
      </c>
      <c r="H560" s="39" t="str">
        <f aca="false">IFERROR(INDEX(medicine_master!$C$2:$C$26,MATCH($C560,medicine_master!$A$2:$A$26,0)),"Not found")</f>
        <v>Allergy</v>
      </c>
      <c r="I560" s="39" t="n">
        <f aca="false">YEAR(B560)</f>
        <v>2026</v>
      </c>
      <c r="J560" s="39" t="n">
        <f aca="false">MONTH(B560)</f>
        <v>4</v>
      </c>
      <c r="K560" s="39" t="str">
        <f aca="false">TEXT(B560,"mmm")</f>
        <v>Apr</v>
      </c>
      <c r="L560" s="45" t="n">
        <f aca="false">IFERROR(INDEX(medicine_master!$I$2:$I$26,MATCH($C560,medicine_master!$A$2:$A$26,0)),0)</f>
        <v>13</v>
      </c>
      <c r="M560" s="45" t="n">
        <f aca="false">IFERROR(INDEX(medicine_master!$G$2:$G$26,MATCH($C560,medicine_master!$A$2:$A$26,0)),0)</f>
        <v>8</v>
      </c>
      <c r="N560" s="45" t="n">
        <f aca="false">IF(D560="Sale",E560*L560,0)</f>
        <v>390</v>
      </c>
      <c r="O560" s="45" t="n">
        <f aca="false">IF(D560="Sale",E560*M560,0)</f>
        <v>240</v>
      </c>
      <c r="P560" s="45" t="n">
        <f aca="false">N560-O560</f>
        <v>150</v>
      </c>
      <c r="Q560" s="45" t="n">
        <f aca="false">IF(D560="Purchase",E560*M560,0)</f>
        <v>0</v>
      </c>
    </row>
    <row r="561" customFormat="false" ht="15" hidden="false" customHeight="false" outlineLevel="0" collapsed="false">
      <c r="A561" s="39" t="s">
        <v>885</v>
      </c>
      <c r="B561" s="44" t="n">
        <v>46032</v>
      </c>
      <c r="C561" s="39" t="s">
        <v>390</v>
      </c>
      <c r="D561" s="39" t="s">
        <v>137</v>
      </c>
      <c r="E561" s="39" t="n">
        <v>25</v>
      </c>
      <c r="F561" s="39" t="str">
        <f aca="false">IF(COUNTIF(medicine_master!$A$2:$A$26,C561)&gt;0,"Valid","Invalid")</f>
        <v>Valid</v>
      </c>
      <c r="G561" s="39" t="str">
        <f aca="false">IFERROR(INDEX(medicine_master!$B$2:$B$26,MATCH($C561,medicine_master!$A$2:$A$26,0)),"Not found")</f>
        <v>Montelukast 10mg</v>
      </c>
      <c r="H561" s="39" t="str">
        <f aca="false">IFERROR(INDEX(medicine_master!$C$2:$C$26,MATCH($C561,medicine_master!$A$2:$A$26,0)),"Not found")</f>
        <v>Allergy</v>
      </c>
      <c r="I561" s="39" t="n">
        <f aca="false">YEAR(B561)</f>
        <v>2026</v>
      </c>
      <c r="J561" s="39" t="n">
        <f aca="false">MONTH(B561)</f>
        <v>1</v>
      </c>
      <c r="K561" s="39" t="str">
        <f aca="false">TEXT(B561,"mmm")</f>
        <v>Jan</v>
      </c>
      <c r="L561" s="45" t="n">
        <f aca="false">IFERROR(INDEX(medicine_master!$I$2:$I$26,MATCH($C561,medicine_master!$A$2:$A$26,0)),0)</f>
        <v>39</v>
      </c>
      <c r="M561" s="45" t="n">
        <f aca="false">IFERROR(INDEX(medicine_master!$G$2:$G$26,MATCH($C561,medicine_master!$A$2:$A$26,0)),0)</f>
        <v>27</v>
      </c>
      <c r="N561" s="45" t="n">
        <f aca="false">IF(D561="Sale",E561*L561,0)</f>
        <v>975</v>
      </c>
      <c r="O561" s="45" t="n">
        <f aca="false">IF(D561="Sale",E561*M561,0)</f>
        <v>675</v>
      </c>
      <c r="P561" s="45" t="n">
        <f aca="false">N561-O561</f>
        <v>300</v>
      </c>
      <c r="Q561" s="45" t="n">
        <f aca="false">IF(D561="Purchase",E561*M561,0)</f>
        <v>0</v>
      </c>
    </row>
    <row r="562" customFormat="false" ht="15" hidden="false" customHeight="false" outlineLevel="0" collapsed="false">
      <c r="A562" s="39" t="s">
        <v>886</v>
      </c>
      <c r="B562" s="44" t="n">
        <v>46088</v>
      </c>
      <c r="C562" s="39" t="s">
        <v>326</v>
      </c>
      <c r="D562" s="39" t="s">
        <v>138</v>
      </c>
      <c r="E562" s="39" t="n">
        <v>20</v>
      </c>
      <c r="F562" s="39" t="str">
        <f aca="false">IF(COUNTIF(medicine_master!$A$2:$A$26,C562)&gt;0,"Valid","Invalid")</f>
        <v>Valid</v>
      </c>
      <c r="G562" s="39" t="str">
        <f aca="false">IFERROR(INDEX(medicine_master!$B$2:$B$26,MATCH($C562,medicine_master!$A$2:$A$26,0)),"Not found")</f>
        <v>Omeprazole 20mg</v>
      </c>
      <c r="H562" s="39" t="str">
        <f aca="false">IFERROR(INDEX(medicine_master!$C$2:$C$26,MATCH($C562,medicine_master!$A$2:$A$26,0)),"Not found")</f>
        <v>Gastric</v>
      </c>
      <c r="I562" s="39" t="n">
        <f aca="false">YEAR(B562)</f>
        <v>2026</v>
      </c>
      <c r="J562" s="39" t="n">
        <f aca="false">MONTH(B562)</f>
        <v>3</v>
      </c>
      <c r="K562" s="39" t="str">
        <f aca="false">TEXT(B562,"mmm")</f>
        <v>Mar</v>
      </c>
      <c r="L562" s="45" t="n">
        <f aca="false">IFERROR(INDEX(medicine_master!$I$2:$I$26,MATCH($C562,medicine_master!$A$2:$A$26,0)),0)</f>
        <v>26</v>
      </c>
      <c r="M562" s="45" t="n">
        <f aca="false">IFERROR(INDEX(medicine_master!$G$2:$G$26,MATCH($C562,medicine_master!$A$2:$A$26,0)),0)</f>
        <v>18</v>
      </c>
      <c r="N562" s="45" t="n">
        <f aca="false">IF(D562="Sale",E562*L562,0)</f>
        <v>0</v>
      </c>
      <c r="O562" s="45" t="n">
        <f aca="false">IF(D562="Sale",E562*M562,0)</f>
        <v>0</v>
      </c>
      <c r="P562" s="45" t="n">
        <f aca="false">N562-O562</f>
        <v>0</v>
      </c>
      <c r="Q562" s="45" t="n">
        <f aca="false">IF(D562="Purchase",E562*M562,0)</f>
        <v>360</v>
      </c>
    </row>
    <row r="563" customFormat="false" ht="15" hidden="false" customHeight="false" outlineLevel="0" collapsed="false">
      <c r="A563" s="39" t="s">
        <v>887</v>
      </c>
      <c r="B563" s="44" t="n">
        <v>46108</v>
      </c>
      <c r="C563" s="39" t="s">
        <v>150</v>
      </c>
      <c r="D563" s="39" t="s">
        <v>137</v>
      </c>
      <c r="E563" s="39" t="n">
        <v>5</v>
      </c>
      <c r="F563" s="39" t="str">
        <f aca="false">IF(COUNTIF(medicine_master!$A$2:$A$26,C563)&gt;0,"Valid","Invalid")</f>
        <v>Valid</v>
      </c>
      <c r="G563" s="39" t="str">
        <f aca="false">IFERROR(INDEX(medicine_master!$B$2:$B$26,MATCH($C563,medicine_master!$A$2:$A$26,0)),"Not found")</f>
        <v>Pantoprazole 40mg</v>
      </c>
      <c r="H563" s="39" t="str">
        <f aca="false">IFERROR(INDEX(medicine_master!$C$2:$C$26,MATCH($C563,medicine_master!$A$2:$A$26,0)),"Not found")</f>
        <v>Gastric</v>
      </c>
      <c r="I563" s="39" t="n">
        <f aca="false">YEAR(B563)</f>
        <v>2026</v>
      </c>
      <c r="J563" s="39" t="n">
        <f aca="false">MONTH(B563)</f>
        <v>3</v>
      </c>
      <c r="K563" s="39" t="str">
        <f aca="false">TEXT(B563,"mmm")</f>
        <v>Mar</v>
      </c>
      <c r="L563" s="45" t="n">
        <f aca="false">IFERROR(INDEX(medicine_master!$I$2:$I$26,MATCH($C563,medicine_master!$A$2:$A$26,0)),0)</f>
        <v>35</v>
      </c>
      <c r="M563" s="45" t="n">
        <f aca="false">IFERROR(INDEX(medicine_master!$G$2:$G$26,MATCH($C563,medicine_master!$A$2:$A$26,0)),0)</f>
        <v>24</v>
      </c>
      <c r="N563" s="45" t="n">
        <f aca="false">IF(D563="Sale",E563*L563,0)</f>
        <v>175</v>
      </c>
      <c r="O563" s="45" t="n">
        <f aca="false">IF(D563="Sale",E563*M563,0)</f>
        <v>120</v>
      </c>
      <c r="P563" s="45" t="n">
        <f aca="false">N563-O563</f>
        <v>55</v>
      </c>
      <c r="Q563" s="45" t="n">
        <f aca="false">IF(D563="Purchase",E563*M563,0)</f>
        <v>0</v>
      </c>
    </row>
    <row r="564" customFormat="false" ht="15" hidden="false" customHeight="false" outlineLevel="0" collapsed="false">
      <c r="A564" s="39" t="s">
        <v>888</v>
      </c>
      <c r="B564" s="44" t="n">
        <v>46231</v>
      </c>
      <c r="C564" s="39" t="s">
        <v>153</v>
      </c>
      <c r="D564" s="39" t="s">
        <v>138</v>
      </c>
      <c r="E564" s="39" t="n">
        <v>50</v>
      </c>
      <c r="F564" s="39" t="str">
        <f aca="false">IF(COUNTIF(medicine_master!$A$2:$A$26,C564)&gt;0,"Valid","Invalid")</f>
        <v>Valid</v>
      </c>
      <c r="G564" s="39" t="str">
        <f aca="false">IFERROR(INDEX(medicine_master!$B$2:$B$26,MATCH($C564,medicine_master!$A$2:$A$26,0)),"Not found")</f>
        <v>Atorvastatin 10mg</v>
      </c>
      <c r="H564" s="39" t="str">
        <f aca="false">IFERROR(INDEX(medicine_master!$C$2:$C$26,MATCH($C564,medicine_master!$A$2:$A$26,0)),"Not found")</f>
        <v>Cardiac</v>
      </c>
      <c r="I564" s="39" t="n">
        <f aca="false">YEAR(B564)</f>
        <v>2026</v>
      </c>
      <c r="J564" s="39" t="n">
        <f aca="false">MONTH(B564)</f>
        <v>7</v>
      </c>
      <c r="K564" s="39" t="str">
        <f aca="false">TEXT(B564,"mmm")</f>
        <v>Jul</v>
      </c>
      <c r="L564" s="45" t="n">
        <f aca="false">IFERROR(INDEX(medicine_master!$I$2:$I$26,MATCH($C564,medicine_master!$A$2:$A$26,0)),0)</f>
        <v>28</v>
      </c>
      <c r="M564" s="45" t="n">
        <f aca="false">IFERROR(INDEX(medicine_master!$G$2:$G$26,MATCH($C564,medicine_master!$A$2:$A$26,0)),0)</f>
        <v>19</v>
      </c>
      <c r="N564" s="45" t="n">
        <f aca="false">IF(D564="Sale",E564*L564,0)</f>
        <v>0</v>
      </c>
      <c r="O564" s="45" t="n">
        <f aca="false">IF(D564="Sale",E564*M564,0)</f>
        <v>0</v>
      </c>
      <c r="P564" s="45" t="n">
        <f aca="false">N564-O564</f>
        <v>0</v>
      </c>
      <c r="Q564" s="45" t="n">
        <f aca="false">IF(D564="Purchase",E564*M564,0)</f>
        <v>950</v>
      </c>
    </row>
    <row r="565" customFormat="false" ht="15" hidden="false" customHeight="false" outlineLevel="0" collapsed="false">
      <c r="A565" s="39" t="s">
        <v>889</v>
      </c>
      <c r="B565" s="44" t="n">
        <v>46042</v>
      </c>
      <c r="C565" s="39" t="s">
        <v>495</v>
      </c>
      <c r="D565" s="39" t="s">
        <v>137</v>
      </c>
      <c r="E565" s="39" t="n">
        <v>40</v>
      </c>
      <c r="F565" s="39" t="str">
        <f aca="false">IF(COUNTIF(medicine_master!$A$2:$A$26,C565)&gt;0,"Valid","Invalid")</f>
        <v>Valid</v>
      </c>
      <c r="G565" s="39" t="str">
        <f aca="false">IFERROR(INDEX(medicine_master!$B$2:$B$26,MATCH($C565,medicine_master!$A$2:$A$26,0)),"Not found")</f>
        <v>Metformin 500mg</v>
      </c>
      <c r="H565" s="39" t="str">
        <f aca="false">IFERROR(INDEX(medicine_master!$C$2:$C$26,MATCH($C565,medicine_master!$A$2:$A$26,0)),"Not found")</f>
        <v>Diabetes</v>
      </c>
      <c r="I565" s="39" t="n">
        <f aca="false">YEAR(B565)</f>
        <v>2026</v>
      </c>
      <c r="J565" s="39" t="n">
        <f aca="false">MONTH(B565)</f>
        <v>1</v>
      </c>
      <c r="K565" s="39" t="str">
        <f aca="false">TEXT(B565,"mmm")</f>
        <v>Jan</v>
      </c>
      <c r="L565" s="45" t="n">
        <f aca="false">IFERROR(INDEX(medicine_master!$I$2:$I$26,MATCH($C565,medicine_master!$A$2:$A$26,0)),0)</f>
        <v>24</v>
      </c>
      <c r="M565" s="45" t="n">
        <f aca="false">IFERROR(INDEX(medicine_master!$G$2:$G$26,MATCH($C565,medicine_master!$A$2:$A$26,0)),0)</f>
        <v>16</v>
      </c>
      <c r="N565" s="45" t="n">
        <f aca="false">IF(D565="Sale",E565*L565,0)</f>
        <v>960</v>
      </c>
      <c r="O565" s="45" t="n">
        <f aca="false">IF(D565="Sale",E565*M565,0)</f>
        <v>640</v>
      </c>
      <c r="P565" s="45" t="n">
        <f aca="false">N565-O565</f>
        <v>320</v>
      </c>
      <c r="Q565" s="45" t="n">
        <f aca="false">IF(D565="Purchase",E565*M565,0)</f>
        <v>0</v>
      </c>
    </row>
    <row r="566" customFormat="false" ht="15" hidden="false" customHeight="false" outlineLevel="0" collapsed="false">
      <c r="A566" s="39" t="s">
        <v>890</v>
      </c>
      <c r="B566" s="44" t="n">
        <v>46092</v>
      </c>
      <c r="C566" s="39" t="s">
        <v>147</v>
      </c>
      <c r="D566" s="39" t="s">
        <v>137</v>
      </c>
      <c r="E566" s="39" t="n">
        <v>10</v>
      </c>
      <c r="F566" s="39" t="str">
        <f aca="false">IF(COUNTIF(medicine_master!$A$2:$A$26,C566)&gt;0,"Valid","Invalid")</f>
        <v>Valid</v>
      </c>
      <c r="G566" s="39" t="str">
        <f aca="false">IFERROR(INDEX(medicine_master!$B$2:$B$26,MATCH($C566,medicine_master!$A$2:$A$26,0)),"Not found")</f>
        <v>Insulin Injection</v>
      </c>
      <c r="H566" s="39" t="str">
        <f aca="false">IFERROR(INDEX(medicine_master!$C$2:$C$26,MATCH($C566,medicine_master!$A$2:$A$26,0)),"Not found")</f>
        <v>Diabetes</v>
      </c>
      <c r="I566" s="39" t="n">
        <f aca="false">YEAR(B566)</f>
        <v>2026</v>
      </c>
      <c r="J566" s="39" t="n">
        <f aca="false">MONTH(B566)</f>
        <v>3</v>
      </c>
      <c r="K566" s="39" t="str">
        <f aca="false">TEXT(B566,"mmm")</f>
        <v>Mar</v>
      </c>
      <c r="L566" s="45" t="n">
        <f aca="false">IFERROR(INDEX(medicine_master!$I$2:$I$26,MATCH($C566,medicine_master!$A$2:$A$26,0)),0)</f>
        <v>225</v>
      </c>
      <c r="M566" s="45" t="n">
        <f aca="false">IFERROR(INDEX(medicine_master!$G$2:$G$26,MATCH($C566,medicine_master!$A$2:$A$26,0)),0)</f>
        <v>165</v>
      </c>
      <c r="N566" s="45" t="n">
        <f aca="false">IF(D566="Sale",E566*L566,0)</f>
        <v>2250</v>
      </c>
      <c r="O566" s="45" t="n">
        <f aca="false">IF(D566="Sale",E566*M566,0)</f>
        <v>1650</v>
      </c>
      <c r="P566" s="45" t="n">
        <f aca="false">N566-O566</f>
        <v>600</v>
      </c>
      <c r="Q566" s="45" t="n">
        <f aca="false">IF(D566="Purchase",E566*M566,0)</f>
        <v>0</v>
      </c>
    </row>
    <row r="567" customFormat="false" ht="15" hidden="false" customHeight="false" outlineLevel="0" collapsed="false">
      <c r="A567" s="39" t="s">
        <v>891</v>
      </c>
      <c r="B567" s="44" t="n">
        <v>46133</v>
      </c>
      <c r="C567" s="39" t="s">
        <v>149</v>
      </c>
      <c r="D567" s="39" t="s">
        <v>137</v>
      </c>
      <c r="E567" s="39" t="n">
        <v>40</v>
      </c>
      <c r="F567" s="39" t="str">
        <f aca="false">IF(COUNTIF(medicine_master!$A$2:$A$26,C567)&gt;0,"Valid","Invalid")</f>
        <v>Valid</v>
      </c>
      <c r="G567" s="39" t="str">
        <f aca="false">IFERROR(INDEX(medicine_master!$B$2:$B$26,MATCH($C567,medicine_master!$A$2:$A$26,0)),"Not found")</f>
        <v>Azithromycin 500mg</v>
      </c>
      <c r="H567" s="39" t="str">
        <f aca="false">IFERROR(INDEX(medicine_master!$C$2:$C$26,MATCH($C567,medicine_master!$A$2:$A$26,0)),"Not found")</f>
        <v>Antibiotic</v>
      </c>
      <c r="I567" s="39" t="n">
        <f aca="false">YEAR(B567)</f>
        <v>2026</v>
      </c>
      <c r="J567" s="39" t="n">
        <f aca="false">MONTH(B567)</f>
        <v>4</v>
      </c>
      <c r="K567" s="39" t="str">
        <f aca="false">TEXT(B567,"mmm")</f>
        <v>Apr</v>
      </c>
      <c r="L567" s="45" t="n">
        <f aca="false">IFERROR(INDEX(medicine_master!$I$2:$I$26,MATCH($C567,medicine_master!$A$2:$A$26,0)),0)</f>
        <v>50</v>
      </c>
      <c r="M567" s="45" t="n">
        <f aca="false">IFERROR(INDEX(medicine_master!$G$2:$G$26,MATCH($C567,medicine_master!$A$2:$A$26,0)),0)</f>
        <v>35</v>
      </c>
      <c r="N567" s="45" t="n">
        <f aca="false">IF(D567="Sale",E567*L567,0)</f>
        <v>2000</v>
      </c>
      <c r="O567" s="45" t="n">
        <f aca="false">IF(D567="Sale",E567*M567,0)</f>
        <v>1400</v>
      </c>
      <c r="P567" s="45" t="n">
        <f aca="false">N567-O567</f>
        <v>600</v>
      </c>
      <c r="Q567" s="45" t="n">
        <f aca="false">IF(D567="Purchase",E567*M567,0)</f>
        <v>0</v>
      </c>
    </row>
    <row r="568" customFormat="false" ht="15" hidden="false" customHeight="false" outlineLevel="0" collapsed="false">
      <c r="A568" s="39" t="s">
        <v>892</v>
      </c>
      <c r="B568" s="44" t="n">
        <v>46249</v>
      </c>
      <c r="C568" s="39" t="s">
        <v>152</v>
      </c>
      <c r="D568" s="39" t="s">
        <v>137</v>
      </c>
      <c r="E568" s="39" t="n">
        <v>5</v>
      </c>
      <c r="F568" s="39" t="str">
        <f aca="false">IF(COUNTIF(medicine_master!$A$2:$A$26,C568)&gt;0,"Valid","Invalid")</f>
        <v>Valid</v>
      </c>
      <c r="G568" s="39" t="str">
        <f aca="false">IFERROR(INDEX(medicine_master!$B$2:$B$26,MATCH($C568,medicine_master!$A$2:$A$26,0)),"Not found")</f>
        <v>Amoxicillin 500mg</v>
      </c>
      <c r="H568" s="39" t="str">
        <f aca="false">IFERROR(INDEX(medicine_master!$C$2:$C$26,MATCH($C568,medicine_master!$A$2:$A$26,0)),"Not found")</f>
        <v>Antibiotic</v>
      </c>
      <c r="I568" s="39" t="n">
        <f aca="false">YEAR(B568)</f>
        <v>2026</v>
      </c>
      <c r="J568" s="39" t="n">
        <f aca="false">MONTH(B568)</f>
        <v>8</v>
      </c>
      <c r="K568" s="39" t="str">
        <f aca="false">TEXT(B568,"mmm")</f>
        <v>Aug</v>
      </c>
      <c r="L568" s="45" t="n">
        <f aca="false">IFERROR(INDEX(medicine_master!$I$2:$I$26,MATCH($C568,medicine_master!$A$2:$A$26,0)),0)</f>
        <v>40</v>
      </c>
      <c r="M568" s="45" t="n">
        <f aca="false">IFERROR(INDEX(medicine_master!$G$2:$G$26,MATCH($C568,medicine_master!$A$2:$A$26,0)),0)</f>
        <v>28</v>
      </c>
      <c r="N568" s="45" t="n">
        <f aca="false">IF(D568="Sale",E568*L568,0)</f>
        <v>200</v>
      </c>
      <c r="O568" s="45" t="n">
        <f aca="false">IF(D568="Sale",E568*M568,0)</f>
        <v>140</v>
      </c>
      <c r="P568" s="45" t="n">
        <f aca="false">N568-O568</f>
        <v>60</v>
      </c>
      <c r="Q568" s="45" t="n">
        <f aca="false">IF(D568="Purchase",E568*M568,0)</f>
        <v>0</v>
      </c>
    </row>
    <row r="569" customFormat="false" ht="15" hidden="false" customHeight="false" outlineLevel="0" collapsed="false">
      <c r="A569" s="39" t="s">
        <v>893</v>
      </c>
      <c r="B569" s="44" t="n">
        <v>46381</v>
      </c>
      <c r="C569" s="39" t="s">
        <v>390</v>
      </c>
      <c r="D569" s="39" t="s">
        <v>138</v>
      </c>
      <c r="E569" s="39" t="n">
        <v>10</v>
      </c>
      <c r="F569" s="39" t="str">
        <f aca="false">IF(COUNTIF(medicine_master!$A$2:$A$26,C569)&gt;0,"Valid","Invalid")</f>
        <v>Valid</v>
      </c>
      <c r="G569" s="39" t="str">
        <f aca="false">IFERROR(INDEX(medicine_master!$B$2:$B$26,MATCH($C569,medicine_master!$A$2:$A$26,0)),"Not found")</f>
        <v>Montelukast 10mg</v>
      </c>
      <c r="H569" s="39" t="str">
        <f aca="false">IFERROR(INDEX(medicine_master!$C$2:$C$26,MATCH($C569,medicine_master!$A$2:$A$26,0)),"Not found")</f>
        <v>Allergy</v>
      </c>
      <c r="I569" s="39" t="n">
        <f aca="false">YEAR(B569)</f>
        <v>2026</v>
      </c>
      <c r="J569" s="39" t="n">
        <f aca="false">MONTH(B569)</f>
        <v>12</v>
      </c>
      <c r="K569" s="39" t="str">
        <f aca="false">TEXT(B569,"mmm")</f>
        <v>Dec</v>
      </c>
      <c r="L569" s="45" t="n">
        <f aca="false">IFERROR(INDEX(medicine_master!$I$2:$I$26,MATCH($C569,medicine_master!$A$2:$A$26,0)),0)</f>
        <v>39</v>
      </c>
      <c r="M569" s="45" t="n">
        <f aca="false">IFERROR(INDEX(medicine_master!$G$2:$G$26,MATCH($C569,medicine_master!$A$2:$A$26,0)),0)</f>
        <v>27</v>
      </c>
      <c r="N569" s="45" t="n">
        <f aca="false">IF(D569="Sale",E569*L569,0)</f>
        <v>0</v>
      </c>
      <c r="O569" s="45" t="n">
        <f aca="false">IF(D569="Sale",E569*M569,0)</f>
        <v>0</v>
      </c>
      <c r="P569" s="45" t="n">
        <f aca="false">N569-O569</f>
        <v>0</v>
      </c>
      <c r="Q569" s="45" t="n">
        <f aca="false">IF(D569="Purchase",E569*M569,0)</f>
        <v>270</v>
      </c>
    </row>
    <row r="570" customFormat="false" ht="15" hidden="false" customHeight="false" outlineLevel="0" collapsed="false">
      <c r="A570" s="39" t="s">
        <v>894</v>
      </c>
      <c r="B570" s="44" t="n">
        <v>46210</v>
      </c>
      <c r="C570" s="39" t="s">
        <v>178</v>
      </c>
      <c r="D570" s="39" t="s">
        <v>137</v>
      </c>
      <c r="E570" s="39" t="n">
        <v>20</v>
      </c>
      <c r="F570" s="39" t="str">
        <f aca="false">IF(COUNTIF(medicine_master!$A$2:$A$26,C570)&gt;0,"Valid","Invalid")</f>
        <v>Valid</v>
      </c>
      <c r="G570" s="39" t="str">
        <f aca="false">IFERROR(INDEX(medicine_master!$B$2:$B$26,MATCH($C570,medicine_master!$A$2:$A$26,0)),"Not found")</f>
        <v>Aspirin 75mg</v>
      </c>
      <c r="H570" s="39" t="str">
        <f aca="false">IFERROR(INDEX(medicine_master!$C$2:$C$26,MATCH($C570,medicine_master!$A$2:$A$26,0)),"Not found")</f>
        <v>Cardiac</v>
      </c>
      <c r="I570" s="39" t="n">
        <f aca="false">YEAR(B570)</f>
        <v>2026</v>
      </c>
      <c r="J570" s="39" t="n">
        <f aca="false">MONTH(B570)</f>
        <v>7</v>
      </c>
      <c r="K570" s="39" t="str">
        <f aca="false">TEXT(B570,"mmm")</f>
        <v>Jul</v>
      </c>
      <c r="L570" s="45" t="n">
        <f aca="false">IFERROR(INDEX(medicine_master!$I$2:$I$26,MATCH($C570,medicine_master!$A$2:$A$26,0)),0)</f>
        <v>15</v>
      </c>
      <c r="M570" s="45" t="n">
        <f aca="false">IFERROR(INDEX(medicine_master!$G$2:$G$26,MATCH($C570,medicine_master!$A$2:$A$26,0)),0)</f>
        <v>10</v>
      </c>
      <c r="N570" s="45" t="n">
        <f aca="false">IF(D570="Sale",E570*L570,0)</f>
        <v>300</v>
      </c>
      <c r="O570" s="45" t="n">
        <f aca="false">IF(D570="Sale",E570*M570,0)</f>
        <v>200</v>
      </c>
      <c r="P570" s="45" t="n">
        <f aca="false">N570-O570</f>
        <v>100</v>
      </c>
      <c r="Q570" s="45" t="n">
        <f aca="false">IF(D570="Purchase",E570*M570,0)</f>
        <v>0</v>
      </c>
    </row>
    <row r="571" customFormat="false" ht="15" hidden="false" customHeight="false" outlineLevel="0" collapsed="false">
      <c r="A571" s="39" t="s">
        <v>895</v>
      </c>
      <c r="B571" s="44" t="n">
        <v>46093</v>
      </c>
      <c r="C571" s="39" t="s">
        <v>149</v>
      </c>
      <c r="D571" s="39" t="s">
        <v>137</v>
      </c>
      <c r="E571" s="39" t="n">
        <v>30</v>
      </c>
      <c r="F571" s="39" t="str">
        <f aca="false">IF(COUNTIF(medicine_master!$A$2:$A$26,C571)&gt;0,"Valid","Invalid")</f>
        <v>Valid</v>
      </c>
      <c r="G571" s="39" t="str">
        <f aca="false">IFERROR(INDEX(medicine_master!$B$2:$B$26,MATCH($C571,medicine_master!$A$2:$A$26,0)),"Not found")</f>
        <v>Azithromycin 500mg</v>
      </c>
      <c r="H571" s="39" t="str">
        <f aca="false">IFERROR(INDEX(medicine_master!$C$2:$C$26,MATCH($C571,medicine_master!$A$2:$A$26,0)),"Not found")</f>
        <v>Antibiotic</v>
      </c>
      <c r="I571" s="39" t="n">
        <f aca="false">YEAR(B571)</f>
        <v>2026</v>
      </c>
      <c r="J571" s="39" t="n">
        <f aca="false">MONTH(B571)</f>
        <v>3</v>
      </c>
      <c r="K571" s="39" t="str">
        <f aca="false">TEXT(B571,"mmm")</f>
        <v>Mar</v>
      </c>
      <c r="L571" s="45" t="n">
        <f aca="false">IFERROR(INDEX(medicine_master!$I$2:$I$26,MATCH($C571,medicine_master!$A$2:$A$26,0)),0)</f>
        <v>50</v>
      </c>
      <c r="M571" s="45" t="n">
        <f aca="false">IFERROR(INDEX(medicine_master!$G$2:$G$26,MATCH($C571,medicine_master!$A$2:$A$26,0)),0)</f>
        <v>35</v>
      </c>
      <c r="N571" s="45" t="n">
        <f aca="false">IF(D571="Sale",E571*L571,0)</f>
        <v>1500</v>
      </c>
      <c r="O571" s="45" t="n">
        <f aca="false">IF(D571="Sale",E571*M571,0)</f>
        <v>1050</v>
      </c>
      <c r="P571" s="45" t="n">
        <f aca="false">N571-O571</f>
        <v>450</v>
      </c>
      <c r="Q571" s="45" t="n">
        <f aca="false">IF(D571="Purchase",E571*M571,0)</f>
        <v>0</v>
      </c>
    </row>
    <row r="572" customFormat="false" ht="15" hidden="false" customHeight="false" outlineLevel="0" collapsed="false">
      <c r="A572" s="39" t="s">
        <v>896</v>
      </c>
      <c r="B572" s="44" t="n">
        <v>46251</v>
      </c>
      <c r="C572" s="39" t="s">
        <v>177</v>
      </c>
      <c r="D572" s="39" t="s">
        <v>138</v>
      </c>
      <c r="E572" s="39" t="n">
        <v>30</v>
      </c>
      <c r="F572" s="39" t="str">
        <f aca="false">IF(COUNTIF(medicine_master!$A$2:$A$26,C572)&gt;0,"Valid","Invalid")</f>
        <v>Valid</v>
      </c>
      <c r="G572" s="39" t="str">
        <f aca="false">IFERROR(INDEX(medicine_master!$B$2:$B$26,MATCH($C572,medicine_master!$A$2:$A$26,0)),"Not found")</f>
        <v>Bandage Roll</v>
      </c>
      <c r="H572" s="39" t="str">
        <f aca="false">IFERROR(INDEX(medicine_master!$C$2:$C$26,MATCH($C572,medicine_master!$A$2:$A$26,0)),"Not found")</f>
        <v>First Aid</v>
      </c>
      <c r="I572" s="39" t="n">
        <f aca="false">YEAR(B572)</f>
        <v>2026</v>
      </c>
      <c r="J572" s="39" t="n">
        <f aca="false">MONTH(B572)</f>
        <v>8</v>
      </c>
      <c r="K572" s="39" t="str">
        <f aca="false">TEXT(B572,"mmm")</f>
        <v>Aug</v>
      </c>
      <c r="L572" s="45" t="n">
        <f aca="false">IFERROR(INDEX(medicine_master!$I$2:$I$26,MATCH($C572,medicine_master!$A$2:$A$26,0)),0)</f>
        <v>25</v>
      </c>
      <c r="M572" s="45" t="n">
        <f aca="false">IFERROR(INDEX(medicine_master!$G$2:$G$26,MATCH($C572,medicine_master!$A$2:$A$26,0)),0)</f>
        <v>15</v>
      </c>
      <c r="N572" s="45" t="n">
        <f aca="false">IF(D572="Sale",E572*L572,0)</f>
        <v>0</v>
      </c>
      <c r="O572" s="45" t="n">
        <f aca="false">IF(D572="Sale",E572*M572,0)</f>
        <v>0</v>
      </c>
      <c r="P572" s="45" t="n">
        <f aca="false">N572-O572</f>
        <v>0</v>
      </c>
      <c r="Q572" s="45" t="n">
        <f aca="false">IF(D572="Purchase",E572*M572,0)</f>
        <v>450</v>
      </c>
    </row>
    <row r="573" customFormat="false" ht="15" hidden="false" customHeight="false" outlineLevel="0" collapsed="false">
      <c r="A573" s="39" t="s">
        <v>897</v>
      </c>
      <c r="B573" s="44" t="n">
        <v>46276</v>
      </c>
      <c r="C573" s="39" t="s">
        <v>147</v>
      </c>
      <c r="D573" s="39" t="s">
        <v>137</v>
      </c>
      <c r="E573" s="39" t="n">
        <v>30</v>
      </c>
      <c r="F573" s="39" t="str">
        <f aca="false">IF(COUNTIF(medicine_master!$A$2:$A$26,C573)&gt;0,"Valid","Invalid")</f>
        <v>Valid</v>
      </c>
      <c r="G573" s="39" t="str">
        <f aca="false">IFERROR(INDEX(medicine_master!$B$2:$B$26,MATCH($C573,medicine_master!$A$2:$A$26,0)),"Not found")</f>
        <v>Insulin Injection</v>
      </c>
      <c r="H573" s="39" t="str">
        <f aca="false">IFERROR(INDEX(medicine_master!$C$2:$C$26,MATCH($C573,medicine_master!$A$2:$A$26,0)),"Not found")</f>
        <v>Diabetes</v>
      </c>
      <c r="I573" s="39" t="n">
        <f aca="false">YEAR(B573)</f>
        <v>2026</v>
      </c>
      <c r="J573" s="39" t="n">
        <f aca="false">MONTH(B573)</f>
        <v>9</v>
      </c>
      <c r="K573" s="39" t="str">
        <f aca="false">TEXT(B573,"mmm")</f>
        <v>Sep</v>
      </c>
      <c r="L573" s="45" t="n">
        <f aca="false">IFERROR(INDEX(medicine_master!$I$2:$I$26,MATCH($C573,medicine_master!$A$2:$A$26,0)),0)</f>
        <v>225</v>
      </c>
      <c r="M573" s="45" t="n">
        <f aca="false">IFERROR(INDEX(medicine_master!$G$2:$G$26,MATCH($C573,medicine_master!$A$2:$A$26,0)),0)</f>
        <v>165</v>
      </c>
      <c r="N573" s="45" t="n">
        <f aca="false">IF(D573="Sale",E573*L573,0)</f>
        <v>6750</v>
      </c>
      <c r="O573" s="45" t="n">
        <f aca="false">IF(D573="Sale",E573*M573,0)</f>
        <v>4950</v>
      </c>
      <c r="P573" s="45" t="n">
        <f aca="false">N573-O573</f>
        <v>1800</v>
      </c>
      <c r="Q573" s="45" t="n">
        <f aca="false">IF(D573="Purchase",E573*M573,0)</f>
        <v>0</v>
      </c>
    </row>
    <row r="574" customFormat="false" ht="15" hidden="false" customHeight="false" outlineLevel="0" collapsed="false">
      <c r="A574" s="39" t="s">
        <v>898</v>
      </c>
      <c r="B574" s="44" t="n">
        <v>46181</v>
      </c>
      <c r="C574" s="39" t="s">
        <v>404</v>
      </c>
      <c r="D574" s="39" t="s">
        <v>137</v>
      </c>
      <c r="E574" s="39" t="n">
        <v>5</v>
      </c>
      <c r="F574" s="39" t="str">
        <f aca="false">IF(COUNTIF(medicine_master!$A$2:$A$26,C574)&gt;0,"Valid","Invalid")</f>
        <v>Valid</v>
      </c>
      <c r="G574" s="39" t="str">
        <f aca="false">IFERROR(INDEX(medicine_master!$B$2:$B$26,MATCH($C574,medicine_master!$A$2:$A$26,0)),"Not found")</f>
        <v>ORS Sachet</v>
      </c>
      <c r="H574" s="39" t="str">
        <f aca="false">IFERROR(INDEX(medicine_master!$C$2:$C$26,MATCH($C574,medicine_master!$A$2:$A$26,0)),"Not found")</f>
        <v>First Aid</v>
      </c>
      <c r="I574" s="39" t="n">
        <f aca="false">YEAR(B574)</f>
        <v>2026</v>
      </c>
      <c r="J574" s="39" t="n">
        <f aca="false">MONTH(B574)</f>
        <v>6</v>
      </c>
      <c r="K574" s="39" t="str">
        <f aca="false">TEXT(B574,"mmm")</f>
        <v>Jun</v>
      </c>
      <c r="L574" s="45" t="n">
        <f aca="false">IFERROR(INDEX(medicine_master!$I$2:$I$26,MATCH($C574,medicine_master!$A$2:$A$26,0)),0)</f>
        <v>10</v>
      </c>
      <c r="M574" s="45" t="n">
        <f aca="false">IFERROR(INDEX(medicine_master!$G$2:$G$26,MATCH($C574,medicine_master!$A$2:$A$26,0)),0)</f>
        <v>6</v>
      </c>
      <c r="N574" s="45" t="n">
        <f aca="false">IF(D574="Sale",E574*L574,0)</f>
        <v>50</v>
      </c>
      <c r="O574" s="45" t="n">
        <f aca="false">IF(D574="Sale",E574*M574,0)</f>
        <v>30</v>
      </c>
      <c r="P574" s="45" t="n">
        <f aca="false">N574-O574</f>
        <v>20</v>
      </c>
      <c r="Q574" s="45" t="n">
        <f aca="false">IF(D574="Purchase",E574*M574,0)</f>
        <v>0</v>
      </c>
    </row>
    <row r="575" customFormat="false" ht="15" hidden="false" customHeight="false" outlineLevel="0" collapsed="false">
      <c r="A575" s="39" t="s">
        <v>899</v>
      </c>
      <c r="B575" s="44" t="n">
        <v>46174</v>
      </c>
      <c r="C575" s="39" t="s">
        <v>167</v>
      </c>
      <c r="D575" s="39" t="s">
        <v>137</v>
      </c>
      <c r="E575" s="39" t="n">
        <v>50</v>
      </c>
      <c r="F575" s="39" t="str">
        <f aca="false">IF(COUNTIF(medicine_master!$A$2:$A$26,C575)&gt;0,"Valid","Invalid")</f>
        <v>Valid</v>
      </c>
      <c r="G575" s="39" t="str">
        <f aca="false">IFERROR(INDEX(medicine_master!$B$2:$B$26,MATCH($C575,medicine_master!$A$2:$A$26,0)),"Not found")</f>
        <v>Amlodipine 5mg</v>
      </c>
      <c r="H575" s="39" t="str">
        <f aca="false">IFERROR(INDEX(medicine_master!$C$2:$C$26,MATCH($C575,medicine_master!$A$2:$A$26,0)),"Not found")</f>
        <v>Cardiac</v>
      </c>
      <c r="I575" s="39" t="n">
        <f aca="false">YEAR(B575)</f>
        <v>2026</v>
      </c>
      <c r="J575" s="39" t="n">
        <f aca="false">MONTH(B575)</f>
        <v>6</v>
      </c>
      <c r="K575" s="39" t="str">
        <f aca="false">TEXT(B575,"mmm")</f>
        <v>Jun</v>
      </c>
      <c r="L575" s="45" t="n">
        <f aca="false">IFERROR(INDEX(medicine_master!$I$2:$I$26,MATCH($C575,medicine_master!$A$2:$A$26,0)),0)</f>
        <v>19</v>
      </c>
      <c r="M575" s="45" t="n">
        <f aca="false">IFERROR(INDEX(medicine_master!$G$2:$G$26,MATCH($C575,medicine_master!$A$2:$A$26,0)),0)</f>
        <v>13</v>
      </c>
      <c r="N575" s="45" t="n">
        <f aca="false">IF(D575="Sale",E575*L575,0)</f>
        <v>950</v>
      </c>
      <c r="O575" s="45" t="n">
        <f aca="false">IF(D575="Sale",E575*M575,0)</f>
        <v>650</v>
      </c>
      <c r="P575" s="45" t="n">
        <f aca="false">N575-O575</f>
        <v>300</v>
      </c>
      <c r="Q575" s="45" t="n">
        <f aca="false">IF(D575="Purchase",E575*M575,0)</f>
        <v>0</v>
      </c>
    </row>
    <row r="576" customFormat="false" ht="15" hidden="false" customHeight="false" outlineLevel="0" collapsed="false">
      <c r="A576" s="39" t="s">
        <v>900</v>
      </c>
      <c r="B576" s="44" t="n">
        <v>46139</v>
      </c>
      <c r="C576" s="39" t="s">
        <v>149</v>
      </c>
      <c r="D576" s="39" t="s">
        <v>137</v>
      </c>
      <c r="E576" s="39" t="n">
        <v>20</v>
      </c>
      <c r="F576" s="39" t="str">
        <f aca="false">IF(COUNTIF(medicine_master!$A$2:$A$26,C576)&gt;0,"Valid","Invalid")</f>
        <v>Valid</v>
      </c>
      <c r="G576" s="39" t="str">
        <f aca="false">IFERROR(INDEX(medicine_master!$B$2:$B$26,MATCH($C576,medicine_master!$A$2:$A$26,0)),"Not found")</f>
        <v>Azithromycin 500mg</v>
      </c>
      <c r="H576" s="39" t="str">
        <f aca="false">IFERROR(INDEX(medicine_master!$C$2:$C$26,MATCH($C576,medicine_master!$A$2:$A$26,0)),"Not found")</f>
        <v>Antibiotic</v>
      </c>
      <c r="I576" s="39" t="n">
        <f aca="false">YEAR(B576)</f>
        <v>2026</v>
      </c>
      <c r="J576" s="39" t="n">
        <f aca="false">MONTH(B576)</f>
        <v>4</v>
      </c>
      <c r="K576" s="39" t="str">
        <f aca="false">TEXT(B576,"mmm")</f>
        <v>Apr</v>
      </c>
      <c r="L576" s="45" t="n">
        <f aca="false">IFERROR(INDEX(medicine_master!$I$2:$I$26,MATCH($C576,medicine_master!$A$2:$A$26,0)),0)</f>
        <v>50</v>
      </c>
      <c r="M576" s="45" t="n">
        <f aca="false">IFERROR(INDEX(medicine_master!$G$2:$G$26,MATCH($C576,medicine_master!$A$2:$A$26,0)),0)</f>
        <v>35</v>
      </c>
      <c r="N576" s="45" t="n">
        <f aca="false">IF(D576="Sale",E576*L576,0)</f>
        <v>1000</v>
      </c>
      <c r="O576" s="45" t="n">
        <f aca="false">IF(D576="Sale",E576*M576,0)</f>
        <v>700</v>
      </c>
      <c r="P576" s="45" t="n">
        <f aca="false">N576-O576</f>
        <v>300</v>
      </c>
      <c r="Q576" s="45" t="n">
        <f aca="false">IF(D576="Purchase",E576*M576,0)</f>
        <v>0</v>
      </c>
    </row>
    <row r="577" customFormat="false" ht="15" hidden="false" customHeight="false" outlineLevel="0" collapsed="false">
      <c r="A577" s="39" t="s">
        <v>901</v>
      </c>
      <c r="B577" s="44" t="n">
        <v>46250</v>
      </c>
      <c r="C577" s="39" t="s">
        <v>148</v>
      </c>
      <c r="D577" s="39" t="s">
        <v>137</v>
      </c>
      <c r="E577" s="39" t="n">
        <v>15</v>
      </c>
      <c r="F577" s="39" t="str">
        <f aca="false">IF(COUNTIF(medicine_master!$A$2:$A$26,C577)&gt;0,"Valid","Invalid")</f>
        <v>Valid</v>
      </c>
      <c r="G577" s="39" t="str">
        <f aca="false">IFERROR(INDEX(medicine_master!$B$2:$B$26,MATCH($C577,medicine_master!$A$2:$A$26,0)),"Not found")</f>
        <v>Dextromethorphan Syrup</v>
      </c>
      <c r="H577" s="39" t="str">
        <f aca="false">IFERROR(INDEX(medicine_master!$C$2:$C$26,MATCH($C577,medicine_master!$A$2:$A$26,0)),"Not found")</f>
        <v>Cold &amp; Cough</v>
      </c>
      <c r="I577" s="39" t="n">
        <f aca="false">YEAR(B577)</f>
        <v>2026</v>
      </c>
      <c r="J577" s="39" t="n">
        <f aca="false">MONTH(B577)</f>
        <v>8</v>
      </c>
      <c r="K577" s="39" t="str">
        <f aca="false">TEXT(B577,"mmm")</f>
        <v>Aug</v>
      </c>
      <c r="L577" s="45" t="n">
        <f aca="false">IFERROR(INDEX(medicine_master!$I$2:$I$26,MATCH($C577,medicine_master!$A$2:$A$26,0)),0)</f>
        <v>80</v>
      </c>
      <c r="M577" s="45" t="n">
        <f aca="false">IFERROR(INDEX(medicine_master!$G$2:$G$26,MATCH($C577,medicine_master!$A$2:$A$26,0)),0)</f>
        <v>58</v>
      </c>
      <c r="N577" s="45" t="n">
        <f aca="false">IF(D577="Sale",E577*L577,0)</f>
        <v>1200</v>
      </c>
      <c r="O577" s="45" t="n">
        <f aca="false">IF(D577="Sale",E577*M577,0)</f>
        <v>870</v>
      </c>
      <c r="P577" s="45" t="n">
        <f aca="false">N577-O577</f>
        <v>330</v>
      </c>
      <c r="Q577" s="45" t="n">
        <f aca="false">IF(D577="Purchase",E577*M577,0)</f>
        <v>0</v>
      </c>
    </row>
    <row r="578" customFormat="false" ht="15" hidden="false" customHeight="false" outlineLevel="0" collapsed="false">
      <c r="A578" s="39" t="s">
        <v>902</v>
      </c>
      <c r="B578" s="44" t="n">
        <v>46341</v>
      </c>
      <c r="C578" s="39" t="s">
        <v>146</v>
      </c>
      <c r="D578" s="39" t="s">
        <v>138</v>
      </c>
      <c r="E578" s="39" t="n">
        <v>30</v>
      </c>
      <c r="F578" s="39" t="str">
        <f aca="false">IF(COUNTIF(medicine_master!$A$2:$A$26,C578)&gt;0,"Valid","Invalid")</f>
        <v>Valid</v>
      </c>
      <c r="G578" s="39" t="str">
        <f aca="false">IFERROR(INDEX(medicine_master!$B$2:$B$26,MATCH($C578,medicine_master!$A$2:$A$26,0)),"Not found")</f>
        <v>Diclofenac Gel</v>
      </c>
      <c r="H578" s="39" t="str">
        <f aca="false">IFERROR(INDEX(medicine_master!$C$2:$C$26,MATCH($C578,medicine_master!$A$2:$A$26,0)),"Not found")</f>
        <v>Pain Relief</v>
      </c>
      <c r="I578" s="39" t="n">
        <f aca="false">YEAR(B578)</f>
        <v>2026</v>
      </c>
      <c r="J578" s="39" t="n">
        <f aca="false">MONTH(B578)</f>
        <v>11</v>
      </c>
      <c r="K578" s="39" t="str">
        <f aca="false">TEXT(B578,"mmm")</f>
        <v>Nov</v>
      </c>
      <c r="L578" s="45" t="n">
        <f aca="false">IFERROR(INDEX(medicine_master!$I$2:$I$26,MATCH($C578,medicine_master!$A$2:$A$26,0)),0)</f>
        <v>55</v>
      </c>
      <c r="M578" s="45" t="n">
        <f aca="false">IFERROR(INDEX(medicine_master!$G$2:$G$26,MATCH($C578,medicine_master!$A$2:$A$26,0)),0)</f>
        <v>38</v>
      </c>
      <c r="N578" s="45" t="n">
        <f aca="false">IF(D578="Sale",E578*L578,0)</f>
        <v>0</v>
      </c>
      <c r="O578" s="45" t="n">
        <f aca="false">IF(D578="Sale",E578*M578,0)</f>
        <v>0</v>
      </c>
      <c r="P578" s="45" t="n">
        <f aca="false">N578-O578</f>
        <v>0</v>
      </c>
      <c r="Q578" s="45" t="n">
        <f aca="false">IF(D578="Purchase",E578*M578,0)</f>
        <v>1140</v>
      </c>
    </row>
    <row r="579" customFormat="false" ht="15" hidden="false" customHeight="false" outlineLevel="0" collapsed="false">
      <c r="A579" s="39" t="s">
        <v>903</v>
      </c>
      <c r="B579" s="44" t="n">
        <v>46325</v>
      </c>
      <c r="C579" s="39" t="s">
        <v>495</v>
      </c>
      <c r="D579" s="39" t="s">
        <v>137</v>
      </c>
      <c r="E579" s="39" t="n">
        <v>15</v>
      </c>
      <c r="F579" s="39" t="str">
        <f aca="false">IF(COUNTIF(medicine_master!$A$2:$A$26,C579)&gt;0,"Valid","Invalid")</f>
        <v>Valid</v>
      </c>
      <c r="G579" s="39" t="str">
        <f aca="false">IFERROR(INDEX(medicine_master!$B$2:$B$26,MATCH($C579,medicine_master!$A$2:$A$26,0)),"Not found")</f>
        <v>Metformin 500mg</v>
      </c>
      <c r="H579" s="39" t="str">
        <f aca="false">IFERROR(INDEX(medicine_master!$C$2:$C$26,MATCH($C579,medicine_master!$A$2:$A$26,0)),"Not found")</f>
        <v>Diabetes</v>
      </c>
      <c r="I579" s="39" t="n">
        <f aca="false">YEAR(B579)</f>
        <v>2026</v>
      </c>
      <c r="J579" s="39" t="n">
        <f aca="false">MONTH(B579)</f>
        <v>10</v>
      </c>
      <c r="K579" s="39" t="str">
        <f aca="false">TEXT(B579,"mmm")</f>
        <v>Oct</v>
      </c>
      <c r="L579" s="45" t="n">
        <f aca="false">IFERROR(INDEX(medicine_master!$I$2:$I$26,MATCH($C579,medicine_master!$A$2:$A$26,0)),0)</f>
        <v>24</v>
      </c>
      <c r="M579" s="45" t="n">
        <f aca="false">IFERROR(INDEX(medicine_master!$G$2:$G$26,MATCH($C579,medicine_master!$A$2:$A$26,0)),0)</f>
        <v>16</v>
      </c>
      <c r="N579" s="45" t="n">
        <f aca="false">IF(D579="Sale",E579*L579,0)</f>
        <v>360</v>
      </c>
      <c r="O579" s="45" t="n">
        <f aca="false">IF(D579="Sale",E579*M579,0)</f>
        <v>240</v>
      </c>
      <c r="P579" s="45" t="n">
        <f aca="false">N579-O579</f>
        <v>120</v>
      </c>
      <c r="Q579" s="45" t="n">
        <f aca="false">IF(D579="Purchase",E579*M579,0)</f>
        <v>0</v>
      </c>
    </row>
    <row r="580" customFormat="false" ht="15" hidden="false" customHeight="false" outlineLevel="0" collapsed="false">
      <c r="A580" s="39" t="s">
        <v>904</v>
      </c>
      <c r="B580" s="44" t="n">
        <v>46183</v>
      </c>
      <c r="C580" s="39" t="s">
        <v>145</v>
      </c>
      <c r="D580" s="39" t="s">
        <v>137</v>
      </c>
      <c r="E580" s="39" t="n">
        <v>20</v>
      </c>
      <c r="F580" s="39" t="str">
        <f aca="false">IF(COUNTIF(medicine_master!$A$2:$A$26,C580)&gt;0,"Valid","Invalid")</f>
        <v>Valid</v>
      </c>
      <c r="G580" s="39" t="str">
        <f aca="false">IFERROR(INDEX(medicine_master!$B$2:$B$26,MATCH($C580,medicine_master!$A$2:$A$26,0)),"Not found")</f>
        <v>Clotrimazole Cream</v>
      </c>
      <c r="H580" s="39" t="str">
        <f aca="false">IFERROR(INDEX(medicine_master!$C$2:$C$26,MATCH($C580,medicine_master!$A$2:$A$26,0)),"Not found")</f>
        <v>Dermatology</v>
      </c>
      <c r="I580" s="39" t="n">
        <f aca="false">YEAR(B580)</f>
        <v>2026</v>
      </c>
      <c r="J580" s="39" t="n">
        <f aca="false">MONTH(B580)</f>
        <v>6</v>
      </c>
      <c r="K580" s="39" t="str">
        <f aca="false">TEXT(B580,"mmm")</f>
        <v>Jun</v>
      </c>
      <c r="L580" s="45" t="n">
        <f aca="false">IFERROR(INDEX(medicine_master!$I$2:$I$26,MATCH($C580,medicine_master!$A$2:$A$26,0)),0)</f>
        <v>48</v>
      </c>
      <c r="M580" s="45" t="n">
        <f aca="false">IFERROR(INDEX(medicine_master!$G$2:$G$26,MATCH($C580,medicine_master!$A$2:$A$26,0)),0)</f>
        <v>32</v>
      </c>
      <c r="N580" s="45" t="n">
        <f aca="false">IF(D580="Sale",E580*L580,0)</f>
        <v>960</v>
      </c>
      <c r="O580" s="45" t="n">
        <f aca="false">IF(D580="Sale",E580*M580,0)</f>
        <v>640</v>
      </c>
      <c r="P580" s="45" t="n">
        <f aca="false">N580-O580</f>
        <v>320</v>
      </c>
      <c r="Q580" s="45" t="n">
        <f aca="false">IF(D580="Purchase",E580*M580,0)</f>
        <v>0</v>
      </c>
    </row>
    <row r="581" customFormat="false" ht="15" hidden="false" customHeight="false" outlineLevel="0" collapsed="false">
      <c r="A581" s="39" t="s">
        <v>905</v>
      </c>
      <c r="B581" s="44" t="n">
        <v>46069</v>
      </c>
      <c r="C581" s="39" t="s">
        <v>159</v>
      </c>
      <c r="D581" s="39" t="s">
        <v>137</v>
      </c>
      <c r="E581" s="39" t="n">
        <v>30</v>
      </c>
      <c r="F581" s="39" t="str">
        <f aca="false">IF(COUNTIF(medicine_master!$A$2:$A$26,C581)&gt;0,"Valid","Invalid")</f>
        <v>Valid</v>
      </c>
      <c r="G581" s="39" t="str">
        <f aca="false">IFERROR(INDEX(medicine_master!$B$2:$B$26,MATCH($C581,medicine_master!$A$2:$A$26,0)),"Not found")</f>
        <v>Antiseptic Liquid 100ml</v>
      </c>
      <c r="H581" s="39" t="str">
        <f aca="false">IFERROR(INDEX(medicine_master!$C$2:$C$26,MATCH($C581,medicine_master!$A$2:$A$26,0)),"Not found")</f>
        <v>First Aid</v>
      </c>
      <c r="I581" s="39" t="n">
        <f aca="false">YEAR(B581)</f>
        <v>2026</v>
      </c>
      <c r="J581" s="39" t="n">
        <f aca="false">MONTH(B581)</f>
        <v>2</v>
      </c>
      <c r="K581" s="39" t="str">
        <f aca="false">TEXT(B581,"mmm")</f>
        <v>Feb</v>
      </c>
      <c r="L581" s="45" t="n">
        <f aca="false">IFERROR(INDEX(medicine_master!$I$2:$I$26,MATCH($C581,medicine_master!$A$2:$A$26,0)),0)</f>
        <v>65</v>
      </c>
      <c r="M581" s="45" t="n">
        <f aca="false">IFERROR(INDEX(medicine_master!$G$2:$G$26,MATCH($C581,medicine_master!$A$2:$A$26,0)),0)</f>
        <v>48</v>
      </c>
      <c r="N581" s="45" t="n">
        <f aca="false">IF(D581="Sale",E581*L581,0)</f>
        <v>1950</v>
      </c>
      <c r="O581" s="45" t="n">
        <f aca="false">IF(D581="Sale",E581*M581,0)</f>
        <v>1440</v>
      </c>
      <c r="P581" s="45" t="n">
        <f aca="false">N581-O581</f>
        <v>510</v>
      </c>
      <c r="Q581" s="45" t="n">
        <f aca="false">IF(D581="Purchase",E581*M581,0)</f>
        <v>0</v>
      </c>
    </row>
    <row r="582" customFormat="false" ht="15" hidden="false" customHeight="false" outlineLevel="0" collapsed="false">
      <c r="A582" s="39" t="s">
        <v>906</v>
      </c>
      <c r="B582" s="44" t="n">
        <v>46097</v>
      </c>
      <c r="C582" s="39" t="s">
        <v>180</v>
      </c>
      <c r="D582" s="39" t="s">
        <v>137</v>
      </c>
      <c r="E582" s="39" t="n">
        <v>25</v>
      </c>
      <c r="F582" s="39" t="str">
        <f aca="false">IF(COUNTIF(medicine_master!$A$2:$A$26,C582)&gt;0,"Valid","Invalid")</f>
        <v>Valid</v>
      </c>
      <c r="G582" s="39" t="str">
        <f aca="false">IFERROR(INDEX(medicine_master!$B$2:$B$26,MATCH($C582,medicine_master!$A$2:$A$26,0)),"Not found")</f>
        <v>Vitamin C 500mg</v>
      </c>
      <c r="H582" s="39" t="str">
        <f aca="false">IFERROR(INDEX(medicine_master!$C$2:$C$26,MATCH($C582,medicine_master!$A$2:$A$26,0)),"Not found")</f>
        <v>Vitamin</v>
      </c>
      <c r="I582" s="39" t="n">
        <f aca="false">YEAR(B582)</f>
        <v>2026</v>
      </c>
      <c r="J582" s="39" t="n">
        <f aca="false">MONTH(B582)</f>
        <v>3</v>
      </c>
      <c r="K582" s="39" t="str">
        <f aca="false">TEXT(B582,"mmm")</f>
        <v>Mar</v>
      </c>
      <c r="L582" s="45" t="n">
        <f aca="false">IFERROR(INDEX(medicine_master!$I$2:$I$26,MATCH($C582,medicine_master!$A$2:$A$26,0)),0)</f>
        <v>22</v>
      </c>
      <c r="M582" s="45" t="n">
        <f aca="false">IFERROR(INDEX(medicine_master!$G$2:$G$26,MATCH($C582,medicine_master!$A$2:$A$26,0)),0)</f>
        <v>14</v>
      </c>
      <c r="N582" s="45" t="n">
        <f aca="false">IF(D582="Sale",E582*L582,0)</f>
        <v>550</v>
      </c>
      <c r="O582" s="45" t="n">
        <f aca="false">IF(D582="Sale",E582*M582,0)</f>
        <v>350</v>
      </c>
      <c r="P582" s="45" t="n">
        <f aca="false">N582-O582</f>
        <v>200</v>
      </c>
      <c r="Q582" s="45" t="n">
        <f aca="false">IF(D582="Purchase",E582*M582,0)</f>
        <v>0</v>
      </c>
    </row>
    <row r="583" customFormat="false" ht="15" hidden="false" customHeight="false" outlineLevel="0" collapsed="false">
      <c r="A583" s="39" t="s">
        <v>907</v>
      </c>
      <c r="B583" s="44" t="n">
        <v>46083</v>
      </c>
      <c r="C583" s="39" t="s">
        <v>150</v>
      </c>
      <c r="D583" s="39" t="s">
        <v>138</v>
      </c>
      <c r="E583" s="39" t="n">
        <v>5</v>
      </c>
      <c r="F583" s="39" t="str">
        <f aca="false">IF(COUNTIF(medicine_master!$A$2:$A$26,C583)&gt;0,"Valid","Invalid")</f>
        <v>Valid</v>
      </c>
      <c r="G583" s="39" t="str">
        <f aca="false">IFERROR(INDEX(medicine_master!$B$2:$B$26,MATCH($C583,medicine_master!$A$2:$A$26,0)),"Not found")</f>
        <v>Pantoprazole 40mg</v>
      </c>
      <c r="H583" s="39" t="str">
        <f aca="false">IFERROR(INDEX(medicine_master!$C$2:$C$26,MATCH($C583,medicine_master!$A$2:$A$26,0)),"Not found")</f>
        <v>Gastric</v>
      </c>
      <c r="I583" s="39" t="n">
        <f aca="false">YEAR(B583)</f>
        <v>2026</v>
      </c>
      <c r="J583" s="39" t="n">
        <f aca="false">MONTH(B583)</f>
        <v>3</v>
      </c>
      <c r="K583" s="39" t="str">
        <f aca="false">TEXT(B583,"mmm")</f>
        <v>Mar</v>
      </c>
      <c r="L583" s="45" t="n">
        <f aca="false">IFERROR(INDEX(medicine_master!$I$2:$I$26,MATCH($C583,medicine_master!$A$2:$A$26,0)),0)</f>
        <v>35</v>
      </c>
      <c r="M583" s="45" t="n">
        <f aca="false">IFERROR(INDEX(medicine_master!$G$2:$G$26,MATCH($C583,medicine_master!$A$2:$A$26,0)),0)</f>
        <v>24</v>
      </c>
      <c r="N583" s="45" t="n">
        <f aca="false">IF(D583="Sale",E583*L583,0)</f>
        <v>0</v>
      </c>
      <c r="O583" s="45" t="n">
        <f aca="false">IF(D583="Sale",E583*M583,0)</f>
        <v>0</v>
      </c>
      <c r="P583" s="45" t="n">
        <f aca="false">N583-O583</f>
        <v>0</v>
      </c>
      <c r="Q583" s="45" t="n">
        <f aca="false">IF(D583="Purchase",E583*M583,0)</f>
        <v>120</v>
      </c>
    </row>
    <row r="584" customFormat="false" ht="15" hidden="false" customHeight="false" outlineLevel="0" collapsed="false">
      <c r="A584" s="39" t="s">
        <v>908</v>
      </c>
      <c r="B584" s="44" t="n">
        <v>46135</v>
      </c>
      <c r="C584" s="39" t="s">
        <v>321</v>
      </c>
      <c r="D584" s="39" t="s">
        <v>138</v>
      </c>
      <c r="E584" s="39" t="n">
        <v>20</v>
      </c>
      <c r="F584" s="39" t="str">
        <f aca="false">IF(COUNTIF(medicine_master!$A$2:$A$26,C584)&gt;0,"Valid","Invalid")</f>
        <v>Valid</v>
      </c>
      <c r="G584" s="39" t="str">
        <f aca="false">IFERROR(INDEX(medicine_master!$B$2:$B$26,MATCH($C584,medicine_master!$A$2:$A$26,0)),"Not found")</f>
        <v>Levocetirizine 5mg</v>
      </c>
      <c r="H584" s="39" t="str">
        <f aca="false">IFERROR(INDEX(medicine_master!$C$2:$C$26,MATCH($C584,medicine_master!$A$2:$A$26,0)),"Not found")</f>
        <v>Allergy</v>
      </c>
      <c r="I584" s="39" t="n">
        <f aca="false">YEAR(B584)</f>
        <v>2026</v>
      </c>
      <c r="J584" s="39" t="n">
        <f aca="false">MONTH(B584)</f>
        <v>4</v>
      </c>
      <c r="K584" s="39" t="str">
        <f aca="false">TEXT(B584,"mmm")</f>
        <v>Apr</v>
      </c>
      <c r="L584" s="45" t="n">
        <f aca="false">IFERROR(INDEX(medicine_master!$I$2:$I$26,MATCH($C584,medicine_master!$A$2:$A$26,0)),0)</f>
        <v>22</v>
      </c>
      <c r="M584" s="45" t="n">
        <f aca="false">IFERROR(INDEX(medicine_master!$G$2:$G$26,MATCH($C584,medicine_master!$A$2:$A$26,0)),0)</f>
        <v>14</v>
      </c>
      <c r="N584" s="45" t="n">
        <f aca="false">IF(D584="Sale",E584*L584,0)</f>
        <v>0</v>
      </c>
      <c r="O584" s="45" t="n">
        <f aca="false">IF(D584="Sale",E584*M584,0)</f>
        <v>0</v>
      </c>
      <c r="P584" s="45" t="n">
        <f aca="false">N584-O584</f>
        <v>0</v>
      </c>
      <c r="Q584" s="45" t="n">
        <f aca="false">IF(D584="Purchase",E584*M584,0)</f>
        <v>280</v>
      </c>
    </row>
    <row r="585" customFormat="false" ht="15" hidden="false" customHeight="false" outlineLevel="0" collapsed="false">
      <c r="A585" s="39" t="s">
        <v>909</v>
      </c>
      <c r="B585" s="44" t="n">
        <v>46387</v>
      </c>
      <c r="C585" s="39" t="s">
        <v>404</v>
      </c>
      <c r="D585" s="39" t="s">
        <v>137</v>
      </c>
      <c r="E585" s="39" t="n">
        <v>15</v>
      </c>
      <c r="F585" s="39" t="str">
        <f aca="false">IF(COUNTIF(medicine_master!$A$2:$A$26,C585)&gt;0,"Valid","Invalid")</f>
        <v>Valid</v>
      </c>
      <c r="G585" s="39" t="str">
        <f aca="false">IFERROR(INDEX(medicine_master!$B$2:$B$26,MATCH($C585,medicine_master!$A$2:$A$26,0)),"Not found")</f>
        <v>ORS Sachet</v>
      </c>
      <c r="H585" s="39" t="str">
        <f aca="false">IFERROR(INDEX(medicine_master!$C$2:$C$26,MATCH($C585,medicine_master!$A$2:$A$26,0)),"Not found")</f>
        <v>First Aid</v>
      </c>
      <c r="I585" s="39" t="n">
        <f aca="false">YEAR(B585)</f>
        <v>2026</v>
      </c>
      <c r="J585" s="39" t="n">
        <f aca="false">MONTH(B585)</f>
        <v>12</v>
      </c>
      <c r="K585" s="39" t="str">
        <f aca="false">TEXT(B585,"mmm")</f>
        <v>Dec</v>
      </c>
      <c r="L585" s="45" t="n">
        <f aca="false">IFERROR(INDEX(medicine_master!$I$2:$I$26,MATCH($C585,medicine_master!$A$2:$A$26,0)),0)</f>
        <v>10</v>
      </c>
      <c r="M585" s="45" t="n">
        <f aca="false">IFERROR(INDEX(medicine_master!$G$2:$G$26,MATCH($C585,medicine_master!$A$2:$A$26,0)),0)</f>
        <v>6</v>
      </c>
      <c r="N585" s="45" t="n">
        <f aca="false">IF(D585="Sale",E585*L585,0)</f>
        <v>150</v>
      </c>
      <c r="O585" s="45" t="n">
        <f aca="false">IF(D585="Sale",E585*M585,0)</f>
        <v>90</v>
      </c>
      <c r="P585" s="45" t="n">
        <f aca="false">N585-O585</f>
        <v>60</v>
      </c>
      <c r="Q585" s="45" t="n">
        <f aca="false">IF(D585="Purchase",E585*M585,0)</f>
        <v>0</v>
      </c>
    </row>
    <row r="586" customFormat="false" ht="15" hidden="false" customHeight="false" outlineLevel="0" collapsed="false">
      <c r="A586" s="39" t="s">
        <v>910</v>
      </c>
      <c r="B586" s="44" t="n">
        <v>46324</v>
      </c>
      <c r="C586" s="39" t="s">
        <v>404</v>
      </c>
      <c r="D586" s="39" t="s">
        <v>138</v>
      </c>
      <c r="E586" s="39" t="n">
        <v>20</v>
      </c>
      <c r="F586" s="39" t="str">
        <f aca="false">IF(COUNTIF(medicine_master!$A$2:$A$26,C586)&gt;0,"Valid","Invalid")</f>
        <v>Valid</v>
      </c>
      <c r="G586" s="39" t="str">
        <f aca="false">IFERROR(INDEX(medicine_master!$B$2:$B$26,MATCH($C586,medicine_master!$A$2:$A$26,0)),"Not found")</f>
        <v>ORS Sachet</v>
      </c>
      <c r="H586" s="39" t="str">
        <f aca="false">IFERROR(INDEX(medicine_master!$C$2:$C$26,MATCH($C586,medicine_master!$A$2:$A$26,0)),"Not found")</f>
        <v>First Aid</v>
      </c>
      <c r="I586" s="39" t="n">
        <f aca="false">YEAR(B586)</f>
        <v>2026</v>
      </c>
      <c r="J586" s="39" t="n">
        <f aca="false">MONTH(B586)</f>
        <v>10</v>
      </c>
      <c r="K586" s="39" t="str">
        <f aca="false">TEXT(B586,"mmm")</f>
        <v>Oct</v>
      </c>
      <c r="L586" s="45" t="n">
        <f aca="false">IFERROR(INDEX(medicine_master!$I$2:$I$26,MATCH($C586,medicine_master!$A$2:$A$26,0)),0)</f>
        <v>10</v>
      </c>
      <c r="M586" s="45" t="n">
        <f aca="false">IFERROR(INDEX(medicine_master!$G$2:$G$26,MATCH($C586,medicine_master!$A$2:$A$26,0)),0)</f>
        <v>6</v>
      </c>
      <c r="N586" s="45" t="n">
        <f aca="false">IF(D586="Sale",E586*L586,0)</f>
        <v>0</v>
      </c>
      <c r="O586" s="45" t="n">
        <f aca="false">IF(D586="Sale",E586*M586,0)</f>
        <v>0</v>
      </c>
      <c r="P586" s="45" t="n">
        <f aca="false">N586-O586</f>
        <v>0</v>
      </c>
      <c r="Q586" s="45" t="n">
        <f aca="false">IF(D586="Purchase",E586*M586,0)</f>
        <v>120</v>
      </c>
    </row>
    <row r="587" customFormat="false" ht="15" hidden="false" customHeight="false" outlineLevel="0" collapsed="false">
      <c r="A587" s="39" t="s">
        <v>911</v>
      </c>
      <c r="B587" s="44" t="n">
        <v>46071</v>
      </c>
      <c r="C587" s="39" t="s">
        <v>390</v>
      </c>
      <c r="D587" s="39" t="s">
        <v>137</v>
      </c>
      <c r="E587" s="39" t="n">
        <v>20</v>
      </c>
      <c r="F587" s="39" t="str">
        <f aca="false">IF(COUNTIF(medicine_master!$A$2:$A$26,C587)&gt;0,"Valid","Invalid")</f>
        <v>Valid</v>
      </c>
      <c r="G587" s="39" t="str">
        <f aca="false">IFERROR(INDEX(medicine_master!$B$2:$B$26,MATCH($C587,medicine_master!$A$2:$A$26,0)),"Not found")</f>
        <v>Montelukast 10mg</v>
      </c>
      <c r="H587" s="39" t="str">
        <f aca="false">IFERROR(INDEX(medicine_master!$C$2:$C$26,MATCH($C587,medicine_master!$A$2:$A$26,0)),"Not found")</f>
        <v>Allergy</v>
      </c>
      <c r="I587" s="39" t="n">
        <f aca="false">YEAR(B587)</f>
        <v>2026</v>
      </c>
      <c r="J587" s="39" t="n">
        <f aca="false">MONTH(B587)</f>
        <v>2</v>
      </c>
      <c r="K587" s="39" t="str">
        <f aca="false">TEXT(B587,"mmm")</f>
        <v>Feb</v>
      </c>
      <c r="L587" s="45" t="n">
        <f aca="false">IFERROR(INDEX(medicine_master!$I$2:$I$26,MATCH($C587,medicine_master!$A$2:$A$26,0)),0)</f>
        <v>39</v>
      </c>
      <c r="M587" s="45" t="n">
        <f aca="false">IFERROR(INDEX(medicine_master!$G$2:$G$26,MATCH($C587,medicine_master!$A$2:$A$26,0)),0)</f>
        <v>27</v>
      </c>
      <c r="N587" s="45" t="n">
        <f aca="false">IF(D587="Sale",E587*L587,0)</f>
        <v>780</v>
      </c>
      <c r="O587" s="45" t="n">
        <f aca="false">IF(D587="Sale",E587*M587,0)</f>
        <v>540</v>
      </c>
      <c r="P587" s="45" t="n">
        <f aca="false">N587-O587</f>
        <v>240</v>
      </c>
      <c r="Q587" s="45" t="n">
        <f aca="false">IF(D587="Purchase",E587*M587,0)</f>
        <v>0</v>
      </c>
    </row>
    <row r="588" customFormat="false" ht="15" hidden="false" customHeight="false" outlineLevel="0" collapsed="false">
      <c r="A588" s="39" t="s">
        <v>912</v>
      </c>
      <c r="B588" s="44" t="n">
        <v>46092</v>
      </c>
      <c r="C588" s="39" t="s">
        <v>149</v>
      </c>
      <c r="D588" s="39" t="s">
        <v>138</v>
      </c>
      <c r="E588" s="39" t="n">
        <v>40</v>
      </c>
      <c r="F588" s="39" t="str">
        <f aca="false">IF(COUNTIF(medicine_master!$A$2:$A$26,C588)&gt;0,"Valid","Invalid")</f>
        <v>Valid</v>
      </c>
      <c r="G588" s="39" t="str">
        <f aca="false">IFERROR(INDEX(medicine_master!$B$2:$B$26,MATCH($C588,medicine_master!$A$2:$A$26,0)),"Not found")</f>
        <v>Azithromycin 500mg</v>
      </c>
      <c r="H588" s="39" t="str">
        <f aca="false">IFERROR(INDEX(medicine_master!$C$2:$C$26,MATCH($C588,medicine_master!$A$2:$A$26,0)),"Not found")</f>
        <v>Antibiotic</v>
      </c>
      <c r="I588" s="39" t="n">
        <f aca="false">YEAR(B588)</f>
        <v>2026</v>
      </c>
      <c r="J588" s="39" t="n">
        <f aca="false">MONTH(B588)</f>
        <v>3</v>
      </c>
      <c r="K588" s="39" t="str">
        <f aca="false">TEXT(B588,"mmm")</f>
        <v>Mar</v>
      </c>
      <c r="L588" s="45" t="n">
        <f aca="false">IFERROR(INDEX(medicine_master!$I$2:$I$26,MATCH($C588,medicine_master!$A$2:$A$26,0)),0)</f>
        <v>50</v>
      </c>
      <c r="M588" s="45" t="n">
        <f aca="false">IFERROR(INDEX(medicine_master!$G$2:$G$26,MATCH($C588,medicine_master!$A$2:$A$26,0)),0)</f>
        <v>35</v>
      </c>
      <c r="N588" s="45" t="n">
        <f aca="false">IF(D588="Sale",E588*L588,0)</f>
        <v>0</v>
      </c>
      <c r="O588" s="45" t="n">
        <f aca="false">IF(D588="Sale",E588*M588,0)</f>
        <v>0</v>
      </c>
      <c r="P588" s="45" t="n">
        <f aca="false">N588-O588</f>
        <v>0</v>
      </c>
      <c r="Q588" s="45" t="n">
        <f aca="false">IF(D588="Purchase",E588*M588,0)</f>
        <v>1400</v>
      </c>
    </row>
    <row r="589" customFormat="false" ht="15" hidden="false" customHeight="false" outlineLevel="0" collapsed="false">
      <c r="A589" s="39" t="s">
        <v>913</v>
      </c>
      <c r="B589" s="44" t="n">
        <v>46151</v>
      </c>
      <c r="C589" s="39" t="s">
        <v>147</v>
      </c>
      <c r="D589" s="39" t="s">
        <v>137</v>
      </c>
      <c r="E589" s="39" t="n">
        <v>30</v>
      </c>
      <c r="F589" s="39" t="str">
        <f aca="false">IF(COUNTIF(medicine_master!$A$2:$A$26,C589)&gt;0,"Valid","Invalid")</f>
        <v>Valid</v>
      </c>
      <c r="G589" s="39" t="str">
        <f aca="false">IFERROR(INDEX(medicine_master!$B$2:$B$26,MATCH($C589,medicine_master!$A$2:$A$26,0)),"Not found")</f>
        <v>Insulin Injection</v>
      </c>
      <c r="H589" s="39" t="str">
        <f aca="false">IFERROR(INDEX(medicine_master!$C$2:$C$26,MATCH($C589,medicine_master!$A$2:$A$26,0)),"Not found")</f>
        <v>Diabetes</v>
      </c>
      <c r="I589" s="39" t="n">
        <f aca="false">YEAR(B589)</f>
        <v>2026</v>
      </c>
      <c r="J589" s="39" t="n">
        <f aca="false">MONTH(B589)</f>
        <v>5</v>
      </c>
      <c r="K589" s="39" t="str">
        <f aca="false">TEXT(B589,"mmm")</f>
        <v>May</v>
      </c>
      <c r="L589" s="45" t="n">
        <f aca="false">IFERROR(INDEX(medicine_master!$I$2:$I$26,MATCH($C589,medicine_master!$A$2:$A$26,0)),0)</f>
        <v>225</v>
      </c>
      <c r="M589" s="45" t="n">
        <f aca="false">IFERROR(INDEX(medicine_master!$G$2:$G$26,MATCH($C589,medicine_master!$A$2:$A$26,0)),0)</f>
        <v>165</v>
      </c>
      <c r="N589" s="45" t="n">
        <f aca="false">IF(D589="Sale",E589*L589,0)</f>
        <v>6750</v>
      </c>
      <c r="O589" s="45" t="n">
        <f aca="false">IF(D589="Sale",E589*M589,0)</f>
        <v>4950</v>
      </c>
      <c r="P589" s="45" t="n">
        <f aca="false">N589-O589</f>
        <v>1800</v>
      </c>
      <c r="Q589" s="45" t="n">
        <f aca="false">IF(D589="Purchase",E589*M589,0)</f>
        <v>0</v>
      </c>
    </row>
    <row r="590" customFormat="false" ht="15" hidden="false" customHeight="false" outlineLevel="0" collapsed="false">
      <c r="A590" s="39" t="s">
        <v>914</v>
      </c>
      <c r="B590" s="44" t="n">
        <v>46204</v>
      </c>
      <c r="C590" s="39" t="s">
        <v>153</v>
      </c>
      <c r="D590" s="39" t="s">
        <v>137</v>
      </c>
      <c r="E590" s="39" t="n">
        <v>10</v>
      </c>
      <c r="F590" s="39" t="str">
        <f aca="false">IF(COUNTIF(medicine_master!$A$2:$A$26,C590)&gt;0,"Valid","Invalid")</f>
        <v>Valid</v>
      </c>
      <c r="G590" s="39" t="str">
        <f aca="false">IFERROR(INDEX(medicine_master!$B$2:$B$26,MATCH($C590,medicine_master!$A$2:$A$26,0)),"Not found")</f>
        <v>Atorvastatin 10mg</v>
      </c>
      <c r="H590" s="39" t="str">
        <f aca="false">IFERROR(INDEX(medicine_master!$C$2:$C$26,MATCH($C590,medicine_master!$A$2:$A$26,0)),"Not found")</f>
        <v>Cardiac</v>
      </c>
      <c r="I590" s="39" t="n">
        <f aca="false">YEAR(B590)</f>
        <v>2026</v>
      </c>
      <c r="J590" s="39" t="n">
        <f aca="false">MONTH(B590)</f>
        <v>7</v>
      </c>
      <c r="K590" s="39" t="str">
        <f aca="false">TEXT(B590,"mmm")</f>
        <v>Jul</v>
      </c>
      <c r="L590" s="45" t="n">
        <f aca="false">IFERROR(INDEX(medicine_master!$I$2:$I$26,MATCH($C590,medicine_master!$A$2:$A$26,0)),0)</f>
        <v>28</v>
      </c>
      <c r="M590" s="45" t="n">
        <f aca="false">IFERROR(INDEX(medicine_master!$G$2:$G$26,MATCH($C590,medicine_master!$A$2:$A$26,0)),0)</f>
        <v>19</v>
      </c>
      <c r="N590" s="45" t="n">
        <f aca="false">IF(D590="Sale",E590*L590,0)</f>
        <v>280</v>
      </c>
      <c r="O590" s="45" t="n">
        <f aca="false">IF(D590="Sale",E590*M590,0)</f>
        <v>190</v>
      </c>
      <c r="P590" s="45" t="n">
        <f aca="false">N590-O590</f>
        <v>90</v>
      </c>
      <c r="Q590" s="45" t="n">
        <f aca="false">IF(D590="Purchase",E590*M590,0)</f>
        <v>0</v>
      </c>
    </row>
    <row r="591" customFormat="false" ht="15" hidden="false" customHeight="false" outlineLevel="0" collapsed="false">
      <c r="A591" s="39" t="s">
        <v>915</v>
      </c>
      <c r="B591" s="44" t="n">
        <v>46053</v>
      </c>
      <c r="C591" s="39" t="s">
        <v>146</v>
      </c>
      <c r="D591" s="39" t="s">
        <v>137</v>
      </c>
      <c r="E591" s="39" t="n">
        <v>50</v>
      </c>
      <c r="F591" s="39" t="str">
        <f aca="false">IF(COUNTIF(medicine_master!$A$2:$A$26,C591)&gt;0,"Valid","Invalid")</f>
        <v>Valid</v>
      </c>
      <c r="G591" s="39" t="str">
        <f aca="false">IFERROR(INDEX(medicine_master!$B$2:$B$26,MATCH($C591,medicine_master!$A$2:$A$26,0)),"Not found")</f>
        <v>Diclofenac Gel</v>
      </c>
      <c r="H591" s="39" t="str">
        <f aca="false">IFERROR(INDEX(medicine_master!$C$2:$C$26,MATCH($C591,medicine_master!$A$2:$A$26,0)),"Not found")</f>
        <v>Pain Relief</v>
      </c>
      <c r="I591" s="39" t="n">
        <f aca="false">YEAR(B591)</f>
        <v>2026</v>
      </c>
      <c r="J591" s="39" t="n">
        <f aca="false">MONTH(B591)</f>
        <v>1</v>
      </c>
      <c r="K591" s="39" t="str">
        <f aca="false">TEXT(B591,"mmm")</f>
        <v>Jan</v>
      </c>
      <c r="L591" s="45" t="n">
        <f aca="false">IFERROR(INDEX(medicine_master!$I$2:$I$26,MATCH($C591,medicine_master!$A$2:$A$26,0)),0)</f>
        <v>55</v>
      </c>
      <c r="M591" s="45" t="n">
        <f aca="false">IFERROR(INDEX(medicine_master!$G$2:$G$26,MATCH($C591,medicine_master!$A$2:$A$26,0)),0)</f>
        <v>38</v>
      </c>
      <c r="N591" s="45" t="n">
        <f aca="false">IF(D591="Sale",E591*L591,0)</f>
        <v>2750</v>
      </c>
      <c r="O591" s="45" t="n">
        <f aca="false">IF(D591="Sale",E591*M591,0)</f>
        <v>1900</v>
      </c>
      <c r="P591" s="45" t="n">
        <f aca="false">N591-O591</f>
        <v>850</v>
      </c>
      <c r="Q591" s="45" t="n">
        <f aca="false">IF(D591="Purchase",E591*M591,0)</f>
        <v>0</v>
      </c>
    </row>
    <row r="592" customFormat="false" ht="15" hidden="false" customHeight="false" outlineLevel="0" collapsed="false">
      <c r="A592" s="39" t="s">
        <v>916</v>
      </c>
      <c r="B592" s="44" t="n">
        <v>46386</v>
      </c>
      <c r="C592" s="39" t="s">
        <v>150</v>
      </c>
      <c r="D592" s="39" t="s">
        <v>138</v>
      </c>
      <c r="E592" s="39" t="n">
        <v>15</v>
      </c>
      <c r="F592" s="39" t="str">
        <f aca="false">IF(COUNTIF(medicine_master!$A$2:$A$26,C592)&gt;0,"Valid","Invalid")</f>
        <v>Valid</v>
      </c>
      <c r="G592" s="39" t="str">
        <f aca="false">IFERROR(INDEX(medicine_master!$B$2:$B$26,MATCH($C592,medicine_master!$A$2:$A$26,0)),"Not found")</f>
        <v>Pantoprazole 40mg</v>
      </c>
      <c r="H592" s="39" t="str">
        <f aca="false">IFERROR(INDEX(medicine_master!$C$2:$C$26,MATCH($C592,medicine_master!$A$2:$A$26,0)),"Not found")</f>
        <v>Gastric</v>
      </c>
      <c r="I592" s="39" t="n">
        <f aca="false">YEAR(B592)</f>
        <v>2026</v>
      </c>
      <c r="J592" s="39" t="n">
        <f aca="false">MONTH(B592)</f>
        <v>12</v>
      </c>
      <c r="K592" s="39" t="str">
        <f aca="false">TEXT(B592,"mmm")</f>
        <v>Dec</v>
      </c>
      <c r="L592" s="45" t="n">
        <f aca="false">IFERROR(INDEX(medicine_master!$I$2:$I$26,MATCH($C592,medicine_master!$A$2:$A$26,0)),0)</f>
        <v>35</v>
      </c>
      <c r="M592" s="45" t="n">
        <f aca="false">IFERROR(INDEX(medicine_master!$G$2:$G$26,MATCH($C592,medicine_master!$A$2:$A$26,0)),0)</f>
        <v>24</v>
      </c>
      <c r="N592" s="45" t="n">
        <f aca="false">IF(D592="Sale",E592*L592,0)</f>
        <v>0</v>
      </c>
      <c r="O592" s="45" t="n">
        <f aca="false">IF(D592="Sale",E592*M592,0)</f>
        <v>0</v>
      </c>
      <c r="P592" s="45" t="n">
        <f aca="false">N592-O592</f>
        <v>0</v>
      </c>
      <c r="Q592" s="45" t="n">
        <f aca="false">IF(D592="Purchase",E592*M592,0)</f>
        <v>360</v>
      </c>
    </row>
    <row r="593" customFormat="false" ht="15" hidden="false" customHeight="false" outlineLevel="0" collapsed="false">
      <c r="A593" s="39" t="s">
        <v>917</v>
      </c>
      <c r="B593" s="44" t="n">
        <v>46185</v>
      </c>
      <c r="C593" s="39" t="s">
        <v>148</v>
      </c>
      <c r="D593" s="39" t="s">
        <v>137</v>
      </c>
      <c r="E593" s="39" t="n">
        <v>15</v>
      </c>
      <c r="F593" s="39" t="str">
        <f aca="false">IF(COUNTIF(medicine_master!$A$2:$A$26,C593)&gt;0,"Valid","Invalid")</f>
        <v>Valid</v>
      </c>
      <c r="G593" s="39" t="str">
        <f aca="false">IFERROR(INDEX(medicine_master!$B$2:$B$26,MATCH($C593,medicine_master!$A$2:$A$26,0)),"Not found")</f>
        <v>Dextromethorphan Syrup</v>
      </c>
      <c r="H593" s="39" t="str">
        <f aca="false">IFERROR(INDEX(medicine_master!$C$2:$C$26,MATCH($C593,medicine_master!$A$2:$A$26,0)),"Not found")</f>
        <v>Cold &amp; Cough</v>
      </c>
      <c r="I593" s="39" t="n">
        <f aca="false">YEAR(B593)</f>
        <v>2026</v>
      </c>
      <c r="J593" s="39" t="n">
        <f aca="false">MONTH(B593)</f>
        <v>6</v>
      </c>
      <c r="K593" s="39" t="str">
        <f aca="false">TEXT(B593,"mmm")</f>
        <v>Jun</v>
      </c>
      <c r="L593" s="45" t="n">
        <f aca="false">IFERROR(INDEX(medicine_master!$I$2:$I$26,MATCH($C593,medicine_master!$A$2:$A$26,0)),0)</f>
        <v>80</v>
      </c>
      <c r="M593" s="45" t="n">
        <f aca="false">IFERROR(INDEX(medicine_master!$G$2:$G$26,MATCH($C593,medicine_master!$A$2:$A$26,0)),0)</f>
        <v>58</v>
      </c>
      <c r="N593" s="45" t="n">
        <f aca="false">IF(D593="Sale",E593*L593,0)</f>
        <v>1200</v>
      </c>
      <c r="O593" s="45" t="n">
        <f aca="false">IF(D593="Sale",E593*M593,0)</f>
        <v>870</v>
      </c>
      <c r="P593" s="45" t="n">
        <f aca="false">N593-O593</f>
        <v>330</v>
      </c>
      <c r="Q593" s="45" t="n">
        <f aca="false">IF(D593="Purchase",E593*M593,0)</f>
        <v>0</v>
      </c>
    </row>
    <row r="594" customFormat="false" ht="15" hidden="false" customHeight="false" outlineLevel="0" collapsed="false">
      <c r="A594" s="39" t="s">
        <v>918</v>
      </c>
      <c r="B594" s="44" t="n">
        <v>46358</v>
      </c>
      <c r="C594" s="39" t="s">
        <v>177</v>
      </c>
      <c r="D594" s="39" t="s">
        <v>137</v>
      </c>
      <c r="E594" s="39" t="n">
        <v>20</v>
      </c>
      <c r="F594" s="39" t="str">
        <f aca="false">IF(COUNTIF(medicine_master!$A$2:$A$26,C594)&gt;0,"Valid","Invalid")</f>
        <v>Valid</v>
      </c>
      <c r="G594" s="39" t="str">
        <f aca="false">IFERROR(INDEX(medicine_master!$B$2:$B$26,MATCH($C594,medicine_master!$A$2:$A$26,0)),"Not found")</f>
        <v>Bandage Roll</v>
      </c>
      <c r="H594" s="39" t="str">
        <f aca="false">IFERROR(INDEX(medicine_master!$C$2:$C$26,MATCH($C594,medicine_master!$A$2:$A$26,0)),"Not found")</f>
        <v>First Aid</v>
      </c>
      <c r="I594" s="39" t="n">
        <f aca="false">YEAR(B594)</f>
        <v>2026</v>
      </c>
      <c r="J594" s="39" t="n">
        <f aca="false">MONTH(B594)</f>
        <v>12</v>
      </c>
      <c r="K594" s="39" t="str">
        <f aca="false">TEXT(B594,"mmm")</f>
        <v>Dec</v>
      </c>
      <c r="L594" s="45" t="n">
        <f aca="false">IFERROR(INDEX(medicine_master!$I$2:$I$26,MATCH($C594,medicine_master!$A$2:$A$26,0)),0)</f>
        <v>25</v>
      </c>
      <c r="M594" s="45" t="n">
        <f aca="false">IFERROR(INDEX(medicine_master!$G$2:$G$26,MATCH($C594,medicine_master!$A$2:$A$26,0)),0)</f>
        <v>15</v>
      </c>
      <c r="N594" s="45" t="n">
        <f aca="false">IF(D594="Sale",E594*L594,0)</f>
        <v>500</v>
      </c>
      <c r="O594" s="45" t="n">
        <f aca="false">IF(D594="Sale",E594*M594,0)</f>
        <v>300</v>
      </c>
      <c r="P594" s="45" t="n">
        <f aca="false">N594-O594</f>
        <v>200</v>
      </c>
      <c r="Q594" s="45" t="n">
        <f aca="false">IF(D594="Purchase",E594*M594,0)</f>
        <v>0</v>
      </c>
    </row>
    <row r="595" customFormat="false" ht="15" hidden="false" customHeight="false" outlineLevel="0" collapsed="false">
      <c r="A595" s="39" t="s">
        <v>919</v>
      </c>
      <c r="B595" s="44" t="n">
        <v>46227</v>
      </c>
      <c r="C595" s="39" t="s">
        <v>158</v>
      </c>
      <c r="D595" s="39" t="s">
        <v>138</v>
      </c>
      <c r="E595" s="39" t="n">
        <v>20</v>
      </c>
      <c r="F595" s="39" t="str">
        <f aca="false">IF(COUNTIF(medicine_master!$A$2:$A$26,C595)&gt;0,"Valid","Invalid")</f>
        <v>Valid</v>
      </c>
      <c r="G595" s="39" t="str">
        <f aca="false">IFERROR(INDEX(medicine_master!$B$2:$B$26,MATCH($C595,medicine_master!$A$2:$A$26,0)),"Not found")</f>
        <v>Cough Syrup 100ml</v>
      </c>
      <c r="H595" s="39" t="str">
        <f aca="false">IFERROR(INDEX(medicine_master!$C$2:$C$26,MATCH($C595,medicine_master!$A$2:$A$26,0)),"Not found")</f>
        <v>Cold &amp; Cough</v>
      </c>
      <c r="I595" s="39" t="n">
        <f aca="false">YEAR(B595)</f>
        <v>2026</v>
      </c>
      <c r="J595" s="39" t="n">
        <f aca="false">MONTH(B595)</f>
        <v>7</v>
      </c>
      <c r="K595" s="39" t="str">
        <f aca="false">TEXT(B595,"mmm")</f>
        <v>Jul</v>
      </c>
      <c r="L595" s="45" t="n">
        <f aca="false">IFERROR(INDEX(medicine_master!$I$2:$I$26,MATCH($C595,medicine_master!$A$2:$A$26,0)),0)</f>
        <v>72</v>
      </c>
      <c r="M595" s="45" t="n">
        <f aca="false">IFERROR(INDEX(medicine_master!$G$2:$G$26,MATCH($C595,medicine_master!$A$2:$A$26,0)),0)</f>
        <v>52</v>
      </c>
      <c r="N595" s="45" t="n">
        <f aca="false">IF(D595="Sale",E595*L595,0)</f>
        <v>0</v>
      </c>
      <c r="O595" s="45" t="n">
        <f aca="false">IF(D595="Sale",E595*M595,0)</f>
        <v>0</v>
      </c>
      <c r="P595" s="45" t="n">
        <f aca="false">N595-O595</f>
        <v>0</v>
      </c>
      <c r="Q595" s="45" t="n">
        <f aca="false">IF(D595="Purchase",E595*M595,0)</f>
        <v>1040</v>
      </c>
    </row>
    <row r="596" customFormat="false" ht="15" hidden="false" customHeight="false" outlineLevel="0" collapsed="false">
      <c r="A596" s="39" t="s">
        <v>920</v>
      </c>
      <c r="B596" s="44" t="n">
        <v>46206</v>
      </c>
      <c r="C596" s="39" t="s">
        <v>495</v>
      </c>
      <c r="D596" s="39" t="s">
        <v>138</v>
      </c>
      <c r="E596" s="39" t="n">
        <v>40</v>
      </c>
      <c r="F596" s="39" t="str">
        <f aca="false">IF(COUNTIF(medicine_master!$A$2:$A$26,C596)&gt;0,"Valid","Invalid")</f>
        <v>Valid</v>
      </c>
      <c r="G596" s="39" t="str">
        <f aca="false">IFERROR(INDEX(medicine_master!$B$2:$B$26,MATCH($C596,medicine_master!$A$2:$A$26,0)),"Not found")</f>
        <v>Metformin 500mg</v>
      </c>
      <c r="H596" s="39" t="str">
        <f aca="false">IFERROR(INDEX(medicine_master!$C$2:$C$26,MATCH($C596,medicine_master!$A$2:$A$26,0)),"Not found")</f>
        <v>Diabetes</v>
      </c>
      <c r="I596" s="39" t="n">
        <f aca="false">YEAR(B596)</f>
        <v>2026</v>
      </c>
      <c r="J596" s="39" t="n">
        <f aca="false">MONTH(B596)</f>
        <v>7</v>
      </c>
      <c r="K596" s="39" t="str">
        <f aca="false">TEXT(B596,"mmm")</f>
        <v>Jul</v>
      </c>
      <c r="L596" s="45" t="n">
        <f aca="false">IFERROR(INDEX(medicine_master!$I$2:$I$26,MATCH($C596,medicine_master!$A$2:$A$26,0)),0)</f>
        <v>24</v>
      </c>
      <c r="M596" s="45" t="n">
        <f aca="false">IFERROR(INDEX(medicine_master!$G$2:$G$26,MATCH($C596,medicine_master!$A$2:$A$26,0)),0)</f>
        <v>16</v>
      </c>
      <c r="N596" s="45" t="n">
        <f aca="false">IF(D596="Sale",E596*L596,0)</f>
        <v>0</v>
      </c>
      <c r="O596" s="45" t="n">
        <f aca="false">IF(D596="Sale",E596*M596,0)</f>
        <v>0</v>
      </c>
      <c r="P596" s="45" t="n">
        <f aca="false">N596-O596</f>
        <v>0</v>
      </c>
      <c r="Q596" s="45" t="n">
        <f aca="false">IF(D596="Purchase",E596*M596,0)</f>
        <v>640</v>
      </c>
    </row>
    <row r="597" customFormat="false" ht="15" hidden="false" customHeight="false" outlineLevel="0" collapsed="false">
      <c r="A597" s="39" t="s">
        <v>921</v>
      </c>
      <c r="B597" s="44" t="n">
        <v>46043</v>
      </c>
      <c r="C597" s="39" t="s">
        <v>149</v>
      </c>
      <c r="D597" s="39" t="s">
        <v>138</v>
      </c>
      <c r="E597" s="39" t="n">
        <v>30</v>
      </c>
      <c r="F597" s="39" t="str">
        <f aca="false">IF(COUNTIF(medicine_master!$A$2:$A$26,C597)&gt;0,"Valid","Invalid")</f>
        <v>Valid</v>
      </c>
      <c r="G597" s="39" t="str">
        <f aca="false">IFERROR(INDEX(medicine_master!$B$2:$B$26,MATCH($C597,medicine_master!$A$2:$A$26,0)),"Not found")</f>
        <v>Azithromycin 500mg</v>
      </c>
      <c r="H597" s="39" t="str">
        <f aca="false">IFERROR(INDEX(medicine_master!$C$2:$C$26,MATCH($C597,medicine_master!$A$2:$A$26,0)),"Not found")</f>
        <v>Antibiotic</v>
      </c>
      <c r="I597" s="39" t="n">
        <f aca="false">YEAR(B597)</f>
        <v>2026</v>
      </c>
      <c r="J597" s="39" t="n">
        <f aca="false">MONTH(B597)</f>
        <v>1</v>
      </c>
      <c r="K597" s="39" t="str">
        <f aca="false">TEXT(B597,"mmm")</f>
        <v>Jan</v>
      </c>
      <c r="L597" s="45" t="n">
        <f aca="false">IFERROR(INDEX(medicine_master!$I$2:$I$26,MATCH($C597,medicine_master!$A$2:$A$26,0)),0)</f>
        <v>50</v>
      </c>
      <c r="M597" s="45" t="n">
        <f aca="false">IFERROR(INDEX(medicine_master!$G$2:$G$26,MATCH($C597,medicine_master!$A$2:$A$26,0)),0)</f>
        <v>35</v>
      </c>
      <c r="N597" s="45" t="n">
        <f aca="false">IF(D597="Sale",E597*L597,0)</f>
        <v>0</v>
      </c>
      <c r="O597" s="45" t="n">
        <f aca="false">IF(D597="Sale",E597*M597,0)</f>
        <v>0</v>
      </c>
      <c r="P597" s="45" t="n">
        <f aca="false">N597-O597</f>
        <v>0</v>
      </c>
      <c r="Q597" s="45" t="n">
        <f aca="false">IF(D597="Purchase",E597*M597,0)</f>
        <v>1050</v>
      </c>
    </row>
    <row r="598" customFormat="false" ht="15" hidden="false" customHeight="false" outlineLevel="0" collapsed="false">
      <c r="A598" s="39" t="s">
        <v>922</v>
      </c>
      <c r="B598" s="44" t="n">
        <v>46092</v>
      </c>
      <c r="C598" s="39" t="s">
        <v>159</v>
      </c>
      <c r="D598" s="39" t="s">
        <v>138</v>
      </c>
      <c r="E598" s="39" t="n">
        <v>25</v>
      </c>
      <c r="F598" s="39" t="str">
        <f aca="false">IF(COUNTIF(medicine_master!$A$2:$A$26,C598)&gt;0,"Valid","Invalid")</f>
        <v>Valid</v>
      </c>
      <c r="G598" s="39" t="str">
        <f aca="false">IFERROR(INDEX(medicine_master!$B$2:$B$26,MATCH($C598,medicine_master!$A$2:$A$26,0)),"Not found")</f>
        <v>Antiseptic Liquid 100ml</v>
      </c>
      <c r="H598" s="39" t="str">
        <f aca="false">IFERROR(INDEX(medicine_master!$C$2:$C$26,MATCH($C598,medicine_master!$A$2:$A$26,0)),"Not found")</f>
        <v>First Aid</v>
      </c>
      <c r="I598" s="39" t="n">
        <f aca="false">YEAR(B598)</f>
        <v>2026</v>
      </c>
      <c r="J598" s="39" t="n">
        <f aca="false">MONTH(B598)</f>
        <v>3</v>
      </c>
      <c r="K598" s="39" t="str">
        <f aca="false">TEXT(B598,"mmm")</f>
        <v>Mar</v>
      </c>
      <c r="L598" s="45" t="n">
        <f aca="false">IFERROR(INDEX(medicine_master!$I$2:$I$26,MATCH($C598,medicine_master!$A$2:$A$26,0)),0)</f>
        <v>65</v>
      </c>
      <c r="M598" s="45" t="n">
        <f aca="false">IFERROR(INDEX(medicine_master!$G$2:$G$26,MATCH($C598,medicine_master!$A$2:$A$26,0)),0)</f>
        <v>48</v>
      </c>
      <c r="N598" s="45" t="n">
        <f aca="false">IF(D598="Sale",E598*L598,0)</f>
        <v>0</v>
      </c>
      <c r="O598" s="45" t="n">
        <f aca="false">IF(D598="Sale",E598*M598,0)</f>
        <v>0</v>
      </c>
      <c r="P598" s="45" t="n">
        <f aca="false">N598-O598</f>
        <v>0</v>
      </c>
      <c r="Q598" s="45" t="n">
        <f aca="false">IF(D598="Purchase",E598*M598,0)</f>
        <v>1200</v>
      </c>
    </row>
    <row r="599" customFormat="false" ht="15" hidden="false" customHeight="false" outlineLevel="0" collapsed="false">
      <c r="A599" s="39" t="s">
        <v>923</v>
      </c>
      <c r="B599" s="44" t="n">
        <v>46170</v>
      </c>
      <c r="C599" s="39" t="s">
        <v>147</v>
      </c>
      <c r="D599" s="39" t="s">
        <v>137</v>
      </c>
      <c r="E599" s="39" t="n">
        <v>40</v>
      </c>
      <c r="F599" s="39" t="str">
        <f aca="false">IF(COUNTIF(medicine_master!$A$2:$A$26,C599)&gt;0,"Valid","Invalid")</f>
        <v>Valid</v>
      </c>
      <c r="G599" s="39" t="str">
        <f aca="false">IFERROR(INDEX(medicine_master!$B$2:$B$26,MATCH($C599,medicine_master!$A$2:$A$26,0)),"Not found")</f>
        <v>Insulin Injection</v>
      </c>
      <c r="H599" s="39" t="str">
        <f aca="false">IFERROR(INDEX(medicine_master!$C$2:$C$26,MATCH($C599,medicine_master!$A$2:$A$26,0)),"Not found")</f>
        <v>Diabetes</v>
      </c>
      <c r="I599" s="39" t="n">
        <f aca="false">YEAR(B599)</f>
        <v>2026</v>
      </c>
      <c r="J599" s="39" t="n">
        <f aca="false">MONTH(B599)</f>
        <v>5</v>
      </c>
      <c r="K599" s="39" t="str">
        <f aca="false">TEXT(B599,"mmm")</f>
        <v>May</v>
      </c>
      <c r="L599" s="45" t="n">
        <f aca="false">IFERROR(INDEX(medicine_master!$I$2:$I$26,MATCH($C599,medicine_master!$A$2:$A$26,0)),0)</f>
        <v>225</v>
      </c>
      <c r="M599" s="45" t="n">
        <f aca="false">IFERROR(INDEX(medicine_master!$G$2:$G$26,MATCH($C599,medicine_master!$A$2:$A$26,0)),0)</f>
        <v>165</v>
      </c>
      <c r="N599" s="45" t="n">
        <f aca="false">IF(D599="Sale",E599*L599,0)</f>
        <v>9000</v>
      </c>
      <c r="O599" s="45" t="n">
        <f aca="false">IF(D599="Sale",E599*M599,0)</f>
        <v>6600</v>
      </c>
      <c r="P599" s="45" t="n">
        <f aca="false">N599-O599</f>
        <v>2400</v>
      </c>
      <c r="Q599" s="45" t="n">
        <f aca="false">IF(D599="Purchase",E599*M599,0)</f>
        <v>0</v>
      </c>
    </row>
    <row r="600" customFormat="false" ht="15" hidden="false" customHeight="false" outlineLevel="0" collapsed="false">
      <c r="A600" s="39" t="s">
        <v>924</v>
      </c>
      <c r="B600" s="44" t="n">
        <v>46176</v>
      </c>
      <c r="C600" s="39" t="s">
        <v>144</v>
      </c>
      <c r="D600" s="39" t="s">
        <v>137</v>
      </c>
      <c r="E600" s="39" t="n">
        <v>25</v>
      </c>
      <c r="F600" s="39" t="str">
        <f aca="false">IF(COUNTIF(medicine_master!$A$2:$A$26,C600)&gt;0,"Valid","Invalid")</f>
        <v>Valid</v>
      </c>
      <c r="G600" s="39" t="str">
        <f aca="false">IFERROR(INDEX(medicine_master!$B$2:$B$26,MATCH($C600,medicine_master!$A$2:$A$26,0)),"Not found")</f>
        <v>Glimepiride 2mg</v>
      </c>
      <c r="H600" s="39" t="str">
        <f aca="false">IFERROR(INDEX(medicine_master!$C$2:$C$26,MATCH($C600,medicine_master!$A$2:$A$26,0)),"Not found")</f>
        <v>Diabetes</v>
      </c>
      <c r="I600" s="39" t="n">
        <f aca="false">YEAR(B600)</f>
        <v>2026</v>
      </c>
      <c r="J600" s="39" t="n">
        <f aca="false">MONTH(B600)</f>
        <v>6</v>
      </c>
      <c r="K600" s="39" t="str">
        <f aca="false">TEXT(B600,"mmm")</f>
        <v>Jun</v>
      </c>
      <c r="L600" s="45" t="n">
        <f aca="false">IFERROR(INDEX(medicine_master!$I$2:$I$26,MATCH($C600,medicine_master!$A$2:$A$26,0)),0)</f>
        <v>52</v>
      </c>
      <c r="M600" s="45" t="n">
        <f aca="false">IFERROR(INDEX(medicine_master!$G$2:$G$26,MATCH($C600,medicine_master!$A$2:$A$26,0)),0)</f>
        <v>38</v>
      </c>
      <c r="N600" s="45" t="n">
        <f aca="false">IF(D600="Sale",E600*L600,0)</f>
        <v>1300</v>
      </c>
      <c r="O600" s="45" t="n">
        <f aca="false">IF(D600="Sale",E600*M600,0)</f>
        <v>950</v>
      </c>
      <c r="P600" s="45" t="n">
        <f aca="false">N600-O600</f>
        <v>350</v>
      </c>
      <c r="Q600" s="45" t="n">
        <f aca="false">IF(D600="Purchase",E600*M600,0)</f>
        <v>0</v>
      </c>
    </row>
    <row r="601" customFormat="false" ht="15" hidden="false" customHeight="false" outlineLevel="0" collapsed="false">
      <c r="A601" s="39" t="s">
        <v>925</v>
      </c>
      <c r="B601" s="44" t="n">
        <v>46187</v>
      </c>
      <c r="C601" s="39" t="s">
        <v>390</v>
      </c>
      <c r="D601" s="39" t="s">
        <v>138</v>
      </c>
      <c r="E601" s="39" t="n">
        <v>25</v>
      </c>
      <c r="F601" s="39" t="str">
        <f aca="false">IF(COUNTIF(medicine_master!$A$2:$A$26,C601)&gt;0,"Valid","Invalid")</f>
        <v>Valid</v>
      </c>
      <c r="G601" s="39" t="str">
        <f aca="false">IFERROR(INDEX(medicine_master!$B$2:$B$26,MATCH($C601,medicine_master!$A$2:$A$26,0)),"Not found")</f>
        <v>Montelukast 10mg</v>
      </c>
      <c r="H601" s="39" t="str">
        <f aca="false">IFERROR(INDEX(medicine_master!$C$2:$C$26,MATCH($C601,medicine_master!$A$2:$A$26,0)),"Not found")</f>
        <v>Allergy</v>
      </c>
      <c r="I601" s="39" t="n">
        <f aca="false">YEAR(B601)</f>
        <v>2026</v>
      </c>
      <c r="J601" s="39" t="n">
        <f aca="false">MONTH(B601)</f>
        <v>6</v>
      </c>
      <c r="K601" s="39" t="str">
        <f aca="false">TEXT(B601,"mmm")</f>
        <v>Jun</v>
      </c>
      <c r="L601" s="45" t="n">
        <f aca="false">IFERROR(INDEX(medicine_master!$I$2:$I$26,MATCH($C601,medicine_master!$A$2:$A$26,0)),0)</f>
        <v>39</v>
      </c>
      <c r="M601" s="45" t="n">
        <f aca="false">IFERROR(INDEX(medicine_master!$G$2:$G$26,MATCH($C601,medicine_master!$A$2:$A$26,0)),0)</f>
        <v>27</v>
      </c>
      <c r="N601" s="45" t="n">
        <f aca="false">IF(D601="Sale",E601*L601,0)</f>
        <v>0</v>
      </c>
      <c r="O601" s="45" t="n">
        <f aca="false">IF(D601="Sale",E601*M601,0)</f>
        <v>0</v>
      </c>
      <c r="P601" s="45" t="n">
        <f aca="false">N601-O601</f>
        <v>0</v>
      </c>
      <c r="Q601" s="45" t="n">
        <f aca="false">IF(D601="Purchase",E601*M601,0)</f>
        <v>675</v>
      </c>
    </row>
    <row r="602" customFormat="false" ht="15" hidden="false" customHeight="false" outlineLevel="0" collapsed="false">
      <c r="A602" s="39" t="s">
        <v>926</v>
      </c>
      <c r="B602" s="44" t="n">
        <v>46240</v>
      </c>
      <c r="C602" s="39" t="s">
        <v>152</v>
      </c>
      <c r="D602" s="39" t="s">
        <v>137</v>
      </c>
      <c r="E602" s="39" t="n">
        <v>20</v>
      </c>
      <c r="F602" s="39" t="str">
        <f aca="false">IF(COUNTIF(medicine_master!$A$2:$A$26,C602)&gt;0,"Valid","Invalid")</f>
        <v>Valid</v>
      </c>
      <c r="G602" s="39" t="str">
        <f aca="false">IFERROR(INDEX(medicine_master!$B$2:$B$26,MATCH($C602,medicine_master!$A$2:$A$26,0)),"Not found")</f>
        <v>Amoxicillin 500mg</v>
      </c>
      <c r="H602" s="39" t="str">
        <f aca="false">IFERROR(INDEX(medicine_master!$C$2:$C$26,MATCH($C602,medicine_master!$A$2:$A$26,0)),"Not found")</f>
        <v>Antibiotic</v>
      </c>
      <c r="I602" s="39" t="n">
        <f aca="false">YEAR(B602)</f>
        <v>2026</v>
      </c>
      <c r="J602" s="39" t="n">
        <f aca="false">MONTH(B602)</f>
        <v>8</v>
      </c>
      <c r="K602" s="39" t="str">
        <f aca="false">TEXT(B602,"mmm")</f>
        <v>Aug</v>
      </c>
      <c r="L602" s="45" t="n">
        <f aca="false">IFERROR(INDEX(medicine_master!$I$2:$I$26,MATCH($C602,medicine_master!$A$2:$A$26,0)),0)</f>
        <v>40</v>
      </c>
      <c r="M602" s="45" t="n">
        <f aca="false">IFERROR(INDEX(medicine_master!$G$2:$G$26,MATCH($C602,medicine_master!$A$2:$A$26,0)),0)</f>
        <v>28</v>
      </c>
      <c r="N602" s="45" t="n">
        <f aca="false">IF(D602="Sale",E602*L602,0)</f>
        <v>800</v>
      </c>
      <c r="O602" s="45" t="n">
        <f aca="false">IF(D602="Sale",E602*M602,0)</f>
        <v>560</v>
      </c>
      <c r="P602" s="45" t="n">
        <f aca="false">N602-O602</f>
        <v>240</v>
      </c>
      <c r="Q602" s="45" t="n">
        <f aca="false">IF(D602="Purchase",E602*M602,0)</f>
        <v>0</v>
      </c>
    </row>
    <row r="603" customFormat="false" ht="15" hidden="false" customHeight="false" outlineLevel="0" collapsed="false">
      <c r="A603" s="39" t="s">
        <v>927</v>
      </c>
      <c r="B603" s="44" t="n">
        <v>46367</v>
      </c>
      <c r="C603" s="39" t="s">
        <v>390</v>
      </c>
      <c r="D603" s="39" t="s">
        <v>137</v>
      </c>
      <c r="E603" s="39" t="n">
        <v>15</v>
      </c>
      <c r="F603" s="39" t="str">
        <f aca="false">IF(COUNTIF(medicine_master!$A$2:$A$26,C603)&gt;0,"Valid","Invalid")</f>
        <v>Valid</v>
      </c>
      <c r="G603" s="39" t="str">
        <f aca="false">IFERROR(INDEX(medicine_master!$B$2:$B$26,MATCH($C603,medicine_master!$A$2:$A$26,0)),"Not found")</f>
        <v>Montelukast 10mg</v>
      </c>
      <c r="H603" s="39" t="str">
        <f aca="false">IFERROR(INDEX(medicine_master!$C$2:$C$26,MATCH($C603,medicine_master!$A$2:$A$26,0)),"Not found")</f>
        <v>Allergy</v>
      </c>
      <c r="I603" s="39" t="n">
        <f aca="false">YEAR(B603)</f>
        <v>2026</v>
      </c>
      <c r="J603" s="39" t="n">
        <f aca="false">MONTH(B603)</f>
        <v>12</v>
      </c>
      <c r="K603" s="39" t="str">
        <f aca="false">TEXT(B603,"mmm")</f>
        <v>Dec</v>
      </c>
      <c r="L603" s="45" t="n">
        <f aca="false">IFERROR(INDEX(medicine_master!$I$2:$I$26,MATCH($C603,medicine_master!$A$2:$A$26,0)),0)</f>
        <v>39</v>
      </c>
      <c r="M603" s="45" t="n">
        <f aca="false">IFERROR(INDEX(medicine_master!$G$2:$G$26,MATCH($C603,medicine_master!$A$2:$A$26,0)),0)</f>
        <v>27</v>
      </c>
      <c r="N603" s="45" t="n">
        <f aca="false">IF(D603="Sale",E603*L603,0)</f>
        <v>585</v>
      </c>
      <c r="O603" s="45" t="n">
        <f aca="false">IF(D603="Sale",E603*M603,0)</f>
        <v>405</v>
      </c>
      <c r="P603" s="45" t="n">
        <f aca="false">N603-O603</f>
        <v>180</v>
      </c>
      <c r="Q603" s="45" t="n">
        <f aca="false">IF(D603="Purchase",E603*M603,0)</f>
        <v>0</v>
      </c>
    </row>
    <row r="604" customFormat="false" ht="15" hidden="false" customHeight="false" outlineLevel="0" collapsed="false">
      <c r="A604" s="39" t="s">
        <v>928</v>
      </c>
      <c r="B604" s="44" t="n">
        <v>46183</v>
      </c>
      <c r="C604" s="39" t="s">
        <v>160</v>
      </c>
      <c r="D604" s="39" t="s">
        <v>137</v>
      </c>
      <c r="E604" s="39" t="n">
        <v>20</v>
      </c>
      <c r="F604" s="39" t="str">
        <f aca="false">IF(COUNTIF(medicine_master!$A$2:$A$26,C604)&gt;0,"Valid","Invalid")</f>
        <v>Valid</v>
      </c>
      <c r="G604" s="39" t="str">
        <f aca="false">IFERROR(INDEX(medicine_master!$B$2:$B$26,MATCH($C604,medicine_master!$A$2:$A$26,0)),"Not found")</f>
        <v>Calamine Lotion</v>
      </c>
      <c r="H604" s="39" t="str">
        <f aca="false">IFERROR(INDEX(medicine_master!$C$2:$C$26,MATCH($C604,medicine_master!$A$2:$A$26,0)),"Not found")</f>
        <v>Dermatology</v>
      </c>
      <c r="I604" s="39" t="n">
        <f aca="false">YEAR(B604)</f>
        <v>2026</v>
      </c>
      <c r="J604" s="39" t="n">
        <f aca="false">MONTH(B604)</f>
        <v>6</v>
      </c>
      <c r="K604" s="39" t="str">
        <f aca="false">TEXT(B604,"mmm")</f>
        <v>Jun</v>
      </c>
      <c r="L604" s="45" t="n">
        <f aca="false">IFERROR(INDEX(medicine_master!$I$2:$I$26,MATCH($C604,medicine_master!$A$2:$A$26,0)),0)</f>
        <v>60</v>
      </c>
      <c r="M604" s="45" t="n">
        <f aca="false">IFERROR(INDEX(medicine_master!$G$2:$G$26,MATCH($C604,medicine_master!$A$2:$A$26,0)),0)</f>
        <v>42</v>
      </c>
      <c r="N604" s="45" t="n">
        <f aca="false">IF(D604="Sale",E604*L604,0)</f>
        <v>1200</v>
      </c>
      <c r="O604" s="45" t="n">
        <f aca="false">IF(D604="Sale",E604*M604,0)</f>
        <v>840</v>
      </c>
      <c r="P604" s="45" t="n">
        <f aca="false">N604-O604</f>
        <v>360</v>
      </c>
      <c r="Q604" s="45" t="n">
        <f aca="false">IF(D604="Purchase",E604*M604,0)</f>
        <v>0</v>
      </c>
    </row>
    <row r="605" customFormat="false" ht="15" hidden="false" customHeight="false" outlineLevel="0" collapsed="false">
      <c r="A605" s="39" t="s">
        <v>929</v>
      </c>
      <c r="B605" s="44" t="n">
        <v>46349</v>
      </c>
      <c r="C605" s="39" t="s">
        <v>321</v>
      </c>
      <c r="D605" s="39" t="s">
        <v>137</v>
      </c>
      <c r="E605" s="39" t="n">
        <v>20</v>
      </c>
      <c r="F605" s="39" t="str">
        <f aca="false">IF(COUNTIF(medicine_master!$A$2:$A$26,C605)&gt;0,"Valid","Invalid")</f>
        <v>Valid</v>
      </c>
      <c r="G605" s="39" t="str">
        <f aca="false">IFERROR(INDEX(medicine_master!$B$2:$B$26,MATCH($C605,medicine_master!$A$2:$A$26,0)),"Not found")</f>
        <v>Levocetirizine 5mg</v>
      </c>
      <c r="H605" s="39" t="str">
        <f aca="false">IFERROR(INDEX(medicine_master!$C$2:$C$26,MATCH($C605,medicine_master!$A$2:$A$26,0)),"Not found")</f>
        <v>Allergy</v>
      </c>
      <c r="I605" s="39" t="n">
        <f aca="false">YEAR(B605)</f>
        <v>2026</v>
      </c>
      <c r="J605" s="39" t="n">
        <f aca="false">MONTH(B605)</f>
        <v>11</v>
      </c>
      <c r="K605" s="39" t="str">
        <f aca="false">TEXT(B605,"mmm")</f>
        <v>Nov</v>
      </c>
      <c r="L605" s="45" t="n">
        <f aca="false">IFERROR(INDEX(medicine_master!$I$2:$I$26,MATCH($C605,medicine_master!$A$2:$A$26,0)),0)</f>
        <v>22</v>
      </c>
      <c r="M605" s="45" t="n">
        <f aca="false">IFERROR(INDEX(medicine_master!$G$2:$G$26,MATCH($C605,medicine_master!$A$2:$A$26,0)),0)</f>
        <v>14</v>
      </c>
      <c r="N605" s="45" t="n">
        <f aca="false">IF(D605="Sale",E605*L605,0)</f>
        <v>440</v>
      </c>
      <c r="O605" s="45" t="n">
        <f aca="false">IF(D605="Sale",E605*M605,0)</f>
        <v>280</v>
      </c>
      <c r="P605" s="45" t="n">
        <f aca="false">N605-O605</f>
        <v>160</v>
      </c>
      <c r="Q605" s="45" t="n">
        <f aca="false">IF(D605="Purchase",E605*M605,0)</f>
        <v>0</v>
      </c>
    </row>
    <row r="606" customFormat="false" ht="15" hidden="false" customHeight="false" outlineLevel="0" collapsed="false">
      <c r="A606" s="39" t="s">
        <v>930</v>
      </c>
      <c r="B606" s="44" t="n">
        <v>46083</v>
      </c>
      <c r="C606" s="39" t="s">
        <v>179</v>
      </c>
      <c r="D606" s="39" t="s">
        <v>137</v>
      </c>
      <c r="E606" s="39" t="n">
        <v>25</v>
      </c>
      <c r="F606" s="39" t="str">
        <f aca="false">IF(COUNTIF(medicine_master!$A$2:$A$26,C606)&gt;0,"Valid","Invalid")</f>
        <v>Valid</v>
      </c>
      <c r="G606" s="39" t="str">
        <f aca="false">IFERROR(INDEX(medicine_master!$B$2:$B$26,MATCH($C606,medicine_master!$A$2:$A$26,0)),"Not found")</f>
        <v>Ibuprofen 400mg</v>
      </c>
      <c r="H606" s="39" t="str">
        <f aca="false">IFERROR(INDEX(medicine_master!$C$2:$C$26,MATCH($C606,medicine_master!$A$2:$A$26,0)),"Not found")</f>
        <v>Pain Relief</v>
      </c>
      <c r="I606" s="39" t="n">
        <f aca="false">YEAR(B606)</f>
        <v>2026</v>
      </c>
      <c r="J606" s="39" t="n">
        <f aca="false">MONTH(B606)</f>
        <v>3</v>
      </c>
      <c r="K606" s="39" t="str">
        <f aca="false">TEXT(B606,"mmm")</f>
        <v>Mar</v>
      </c>
      <c r="L606" s="45" t="n">
        <f aca="false">IFERROR(INDEX(medicine_master!$I$2:$I$26,MATCH($C606,medicine_master!$A$2:$A$26,0)),0)</f>
        <v>30</v>
      </c>
      <c r="M606" s="45" t="n">
        <f aca="false">IFERROR(INDEX(medicine_master!$G$2:$G$26,MATCH($C606,medicine_master!$A$2:$A$26,0)),0)</f>
        <v>22</v>
      </c>
      <c r="N606" s="45" t="n">
        <f aca="false">IF(D606="Sale",E606*L606,0)</f>
        <v>750</v>
      </c>
      <c r="O606" s="45" t="n">
        <f aca="false">IF(D606="Sale",E606*M606,0)</f>
        <v>550</v>
      </c>
      <c r="P606" s="45" t="n">
        <f aca="false">N606-O606</f>
        <v>200</v>
      </c>
      <c r="Q606" s="45" t="n">
        <f aca="false">IF(D606="Purchase",E606*M606,0)</f>
        <v>0</v>
      </c>
    </row>
    <row r="607" customFormat="false" ht="15" hidden="false" customHeight="false" outlineLevel="0" collapsed="false">
      <c r="A607" s="39" t="s">
        <v>931</v>
      </c>
      <c r="B607" s="44" t="n">
        <v>46108</v>
      </c>
      <c r="C607" s="39" t="s">
        <v>145</v>
      </c>
      <c r="D607" s="39" t="s">
        <v>137</v>
      </c>
      <c r="E607" s="39" t="n">
        <v>10</v>
      </c>
      <c r="F607" s="39" t="str">
        <f aca="false">IF(COUNTIF(medicine_master!$A$2:$A$26,C607)&gt;0,"Valid","Invalid")</f>
        <v>Valid</v>
      </c>
      <c r="G607" s="39" t="str">
        <f aca="false">IFERROR(INDEX(medicine_master!$B$2:$B$26,MATCH($C607,medicine_master!$A$2:$A$26,0)),"Not found")</f>
        <v>Clotrimazole Cream</v>
      </c>
      <c r="H607" s="39" t="str">
        <f aca="false">IFERROR(INDEX(medicine_master!$C$2:$C$26,MATCH($C607,medicine_master!$A$2:$A$26,0)),"Not found")</f>
        <v>Dermatology</v>
      </c>
      <c r="I607" s="39" t="n">
        <f aca="false">YEAR(B607)</f>
        <v>2026</v>
      </c>
      <c r="J607" s="39" t="n">
        <f aca="false">MONTH(B607)</f>
        <v>3</v>
      </c>
      <c r="K607" s="39" t="str">
        <f aca="false">TEXT(B607,"mmm")</f>
        <v>Mar</v>
      </c>
      <c r="L607" s="45" t="n">
        <f aca="false">IFERROR(INDEX(medicine_master!$I$2:$I$26,MATCH($C607,medicine_master!$A$2:$A$26,0)),0)</f>
        <v>48</v>
      </c>
      <c r="M607" s="45" t="n">
        <f aca="false">IFERROR(INDEX(medicine_master!$G$2:$G$26,MATCH($C607,medicine_master!$A$2:$A$26,0)),0)</f>
        <v>32</v>
      </c>
      <c r="N607" s="45" t="n">
        <f aca="false">IF(D607="Sale",E607*L607,0)</f>
        <v>480</v>
      </c>
      <c r="O607" s="45" t="n">
        <f aca="false">IF(D607="Sale",E607*M607,0)</f>
        <v>320</v>
      </c>
      <c r="P607" s="45" t="n">
        <f aca="false">N607-O607</f>
        <v>160</v>
      </c>
      <c r="Q607" s="45" t="n">
        <f aca="false">IF(D607="Purchase",E607*M607,0)</f>
        <v>0</v>
      </c>
    </row>
    <row r="608" customFormat="false" ht="15" hidden="false" customHeight="false" outlineLevel="0" collapsed="false">
      <c r="A608" s="39" t="s">
        <v>932</v>
      </c>
      <c r="B608" s="44" t="n">
        <v>46220</v>
      </c>
      <c r="C608" s="39" t="s">
        <v>179</v>
      </c>
      <c r="D608" s="39" t="s">
        <v>137</v>
      </c>
      <c r="E608" s="39" t="n">
        <v>10</v>
      </c>
      <c r="F608" s="39" t="str">
        <f aca="false">IF(COUNTIF(medicine_master!$A$2:$A$26,C608)&gt;0,"Valid","Invalid")</f>
        <v>Valid</v>
      </c>
      <c r="G608" s="39" t="str">
        <f aca="false">IFERROR(INDEX(medicine_master!$B$2:$B$26,MATCH($C608,medicine_master!$A$2:$A$26,0)),"Not found")</f>
        <v>Ibuprofen 400mg</v>
      </c>
      <c r="H608" s="39" t="str">
        <f aca="false">IFERROR(INDEX(medicine_master!$C$2:$C$26,MATCH($C608,medicine_master!$A$2:$A$26,0)),"Not found")</f>
        <v>Pain Relief</v>
      </c>
      <c r="I608" s="39" t="n">
        <f aca="false">YEAR(B608)</f>
        <v>2026</v>
      </c>
      <c r="J608" s="39" t="n">
        <f aca="false">MONTH(B608)</f>
        <v>7</v>
      </c>
      <c r="K608" s="39" t="str">
        <f aca="false">TEXT(B608,"mmm")</f>
        <v>Jul</v>
      </c>
      <c r="L608" s="45" t="n">
        <f aca="false">IFERROR(INDEX(medicine_master!$I$2:$I$26,MATCH($C608,medicine_master!$A$2:$A$26,0)),0)</f>
        <v>30</v>
      </c>
      <c r="M608" s="45" t="n">
        <f aca="false">IFERROR(INDEX(medicine_master!$G$2:$G$26,MATCH($C608,medicine_master!$A$2:$A$26,0)),0)</f>
        <v>22</v>
      </c>
      <c r="N608" s="45" t="n">
        <f aca="false">IF(D608="Sale",E608*L608,0)</f>
        <v>300</v>
      </c>
      <c r="O608" s="45" t="n">
        <f aca="false">IF(D608="Sale",E608*M608,0)</f>
        <v>220</v>
      </c>
      <c r="P608" s="45" t="n">
        <f aca="false">N608-O608</f>
        <v>80</v>
      </c>
      <c r="Q608" s="45" t="n">
        <f aca="false">IF(D608="Purchase",E608*M608,0)</f>
        <v>0</v>
      </c>
    </row>
    <row r="609" customFormat="false" ht="15" hidden="false" customHeight="false" outlineLevel="0" collapsed="false">
      <c r="A609" s="39" t="s">
        <v>933</v>
      </c>
      <c r="B609" s="44" t="n">
        <v>46024</v>
      </c>
      <c r="C609" s="39" t="s">
        <v>321</v>
      </c>
      <c r="D609" s="39" t="s">
        <v>137</v>
      </c>
      <c r="E609" s="39" t="n">
        <v>25</v>
      </c>
      <c r="F609" s="39" t="str">
        <f aca="false">IF(COUNTIF(medicine_master!$A$2:$A$26,C609)&gt;0,"Valid","Invalid")</f>
        <v>Valid</v>
      </c>
      <c r="G609" s="39" t="str">
        <f aca="false">IFERROR(INDEX(medicine_master!$B$2:$B$26,MATCH($C609,medicine_master!$A$2:$A$26,0)),"Not found")</f>
        <v>Levocetirizine 5mg</v>
      </c>
      <c r="H609" s="39" t="str">
        <f aca="false">IFERROR(INDEX(medicine_master!$C$2:$C$26,MATCH($C609,medicine_master!$A$2:$A$26,0)),"Not found")</f>
        <v>Allergy</v>
      </c>
      <c r="I609" s="39" t="n">
        <f aca="false">YEAR(B609)</f>
        <v>2026</v>
      </c>
      <c r="J609" s="39" t="n">
        <f aca="false">MONTH(B609)</f>
        <v>1</v>
      </c>
      <c r="K609" s="39" t="str">
        <f aca="false">TEXT(B609,"mmm")</f>
        <v>Jan</v>
      </c>
      <c r="L609" s="45" t="n">
        <f aca="false">IFERROR(INDEX(medicine_master!$I$2:$I$26,MATCH($C609,medicine_master!$A$2:$A$26,0)),0)</f>
        <v>22</v>
      </c>
      <c r="M609" s="45" t="n">
        <f aca="false">IFERROR(INDEX(medicine_master!$G$2:$G$26,MATCH($C609,medicine_master!$A$2:$A$26,0)),0)</f>
        <v>14</v>
      </c>
      <c r="N609" s="45" t="n">
        <f aca="false">IF(D609="Sale",E609*L609,0)</f>
        <v>550</v>
      </c>
      <c r="O609" s="45" t="n">
        <f aca="false">IF(D609="Sale",E609*M609,0)</f>
        <v>350</v>
      </c>
      <c r="P609" s="45" t="n">
        <f aca="false">N609-O609</f>
        <v>200</v>
      </c>
      <c r="Q609" s="45" t="n">
        <f aca="false">IF(D609="Purchase",E609*M609,0)</f>
        <v>0</v>
      </c>
    </row>
    <row r="610" customFormat="false" ht="15" hidden="false" customHeight="false" outlineLevel="0" collapsed="false">
      <c r="A610" s="39" t="s">
        <v>934</v>
      </c>
      <c r="B610" s="44" t="n">
        <v>46120</v>
      </c>
      <c r="C610" s="39" t="s">
        <v>177</v>
      </c>
      <c r="D610" s="39" t="s">
        <v>137</v>
      </c>
      <c r="E610" s="39" t="n">
        <v>25</v>
      </c>
      <c r="F610" s="39" t="str">
        <f aca="false">IF(COUNTIF(medicine_master!$A$2:$A$26,C610)&gt;0,"Valid","Invalid")</f>
        <v>Valid</v>
      </c>
      <c r="G610" s="39" t="str">
        <f aca="false">IFERROR(INDEX(medicine_master!$B$2:$B$26,MATCH($C610,medicine_master!$A$2:$A$26,0)),"Not found")</f>
        <v>Bandage Roll</v>
      </c>
      <c r="H610" s="39" t="str">
        <f aca="false">IFERROR(INDEX(medicine_master!$C$2:$C$26,MATCH($C610,medicine_master!$A$2:$A$26,0)),"Not found")</f>
        <v>First Aid</v>
      </c>
      <c r="I610" s="39" t="n">
        <f aca="false">YEAR(B610)</f>
        <v>2026</v>
      </c>
      <c r="J610" s="39" t="n">
        <f aca="false">MONTH(B610)</f>
        <v>4</v>
      </c>
      <c r="K610" s="39" t="str">
        <f aca="false">TEXT(B610,"mmm")</f>
        <v>Apr</v>
      </c>
      <c r="L610" s="45" t="n">
        <f aca="false">IFERROR(INDEX(medicine_master!$I$2:$I$26,MATCH($C610,medicine_master!$A$2:$A$26,0)),0)</f>
        <v>25</v>
      </c>
      <c r="M610" s="45" t="n">
        <f aca="false">IFERROR(INDEX(medicine_master!$G$2:$G$26,MATCH($C610,medicine_master!$A$2:$A$26,0)),0)</f>
        <v>15</v>
      </c>
      <c r="N610" s="45" t="n">
        <f aca="false">IF(D610="Sale",E610*L610,0)</f>
        <v>625</v>
      </c>
      <c r="O610" s="45" t="n">
        <f aca="false">IF(D610="Sale",E610*M610,0)</f>
        <v>375</v>
      </c>
      <c r="P610" s="45" t="n">
        <f aca="false">N610-O610</f>
        <v>250</v>
      </c>
      <c r="Q610" s="45" t="n">
        <f aca="false">IF(D610="Purchase",E610*M610,0)</f>
        <v>0</v>
      </c>
    </row>
    <row r="611" customFormat="false" ht="15" hidden="false" customHeight="false" outlineLevel="0" collapsed="false">
      <c r="A611" s="39" t="s">
        <v>935</v>
      </c>
      <c r="B611" s="44" t="n">
        <v>46108</v>
      </c>
      <c r="C611" s="39" t="s">
        <v>144</v>
      </c>
      <c r="D611" s="39" t="s">
        <v>138</v>
      </c>
      <c r="E611" s="39" t="n">
        <v>20</v>
      </c>
      <c r="F611" s="39" t="str">
        <f aca="false">IF(COUNTIF(medicine_master!$A$2:$A$26,C611)&gt;0,"Valid","Invalid")</f>
        <v>Valid</v>
      </c>
      <c r="G611" s="39" t="str">
        <f aca="false">IFERROR(INDEX(medicine_master!$B$2:$B$26,MATCH($C611,medicine_master!$A$2:$A$26,0)),"Not found")</f>
        <v>Glimepiride 2mg</v>
      </c>
      <c r="H611" s="39" t="str">
        <f aca="false">IFERROR(INDEX(medicine_master!$C$2:$C$26,MATCH($C611,medicine_master!$A$2:$A$26,0)),"Not found")</f>
        <v>Diabetes</v>
      </c>
      <c r="I611" s="39" t="n">
        <f aca="false">YEAR(B611)</f>
        <v>2026</v>
      </c>
      <c r="J611" s="39" t="n">
        <f aca="false">MONTH(B611)</f>
        <v>3</v>
      </c>
      <c r="K611" s="39" t="str">
        <f aca="false">TEXT(B611,"mmm")</f>
        <v>Mar</v>
      </c>
      <c r="L611" s="45" t="n">
        <f aca="false">IFERROR(INDEX(medicine_master!$I$2:$I$26,MATCH($C611,medicine_master!$A$2:$A$26,0)),0)</f>
        <v>52</v>
      </c>
      <c r="M611" s="45" t="n">
        <f aca="false">IFERROR(INDEX(medicine_master!$G$2:$G$26,MATCH($C611,medicine_master!$A$2:$A$26,0)),0)</f>
        <v>38</v>
      </c>
      <c r="N611" s="45" t="n">
        <f aca="false">IF(D611="Sale",E611*L611,0)</f>
        <v>0</v>
      </c>
      <c r="O611" s="45" t="n">
        <f aca="false">IF(D611="Sale",E611*M611,0)</f>
        <v>0</v>
      </c>
      <c r="P611" s="45" t="n">
        <f aca="false">N611-O611</f>
        <v>0</v>
      </c>
      <c r="Q611" s="45" t="n">
        <f aca="false">IF(D611="Purchase",E611*M611,0)</f>
        <v>760</v>
      </c>
    </row>
    <row r="612" customFormat="false" ht="15" hidden="false" customHeight="false" outlineLevel="0" collapsed="false">
      <c r="A612" s="39" t="s">
        <v>936</v>
      </c>
      <c r="B612" s="44" t="n">
        <v>46081</v>
      </c>
      <c r="C612" s="39" t="s">
        <v>150</v>
      </c>
      <c r="D612" s="39" t="s">
        <v>137</v>
      </c>
      <c r="E612" s="39" t="n">
        <v>30</v>
      </c>
      <c r="F612" s="39" t="str">
        <f aca="false">IF(COUNTIF(medicine_master!$A$2:$A$26,C612)&gt;0,"Valid","Invalid")</f>
        <v>Valid</v>
      </c>
      <c r="G612" s="39" t="str">
        <f aca="false">IFERROR(INDEX(medicine_master!$B$2:$B$26,MATCH($C612,medicine_master!$A$2:$A$26,0)),"Not found")</f>
        <v>Pantoprazole 40mg</v>
      </c>
      <c r="H612" s="39" t="str">
        <f aca="false">IFERROR(INDEX(medicine_master!$C$2:$C$26,MATCH($C612,medicine_master!$A$2:$A$26,0)),"Not found")</f>
        <v>Gastric</v>
      </c>
      <c r="I612" s="39" t="n">
        <f aca="false">YEAR(B612)</f>
        <v>2026</v>
      </c>
      <c r="J612" s="39" t="n">
        <f aca="false">MONTH(B612)</f>
        <v>2</v>
      </c>
      <c r="K612" s="39" t="str">
        <f aca="false">TEXT(B612,"mmm")</f>
        <v>Feb</v>
      </c>
      <c r="L612" s="45" t="n">
        <f aca="false">IFERROR(INDEX(medicine_master!$I$2:$I$26,MATCH($C612,medicine_master!$A$2:$A$26,0)),0)</f>
        <v>35</v>
      </c>
      <c r="M612" s="45" t="n">
        <f aca="false">IFERROR(INDEX(medicine_master!$G$2:$G$26,MATCH($C612,medicine_master!$A$2:$A$26,0)),0)</f>
        <v>24</v>
      </c>
      <c r="N612" s="45" t="n">
        <f aca="false">IF(D612="Sale",E612*L612,0)</f>
        <v>1050</v>
      </c>
      <c r="O612" s="45" t="n">
        <f aca="false">IF(D612="Sale",E612*M612,0)</f>
        <v>720</v>
      </c>
      <c r="P612" s="45" t="n">
        <f aca="false">N612-O612</f>
        <v>330</v>
      </c>
      <c r="Q612" s="45" t="n">
        <f aca="false">IF(D612="Purchase",E612*M612,0)</f>
        <v>0</v>
      </c>
    </row>
    <row r="613" customFormat="false" ht="15" hidden="false" customHeight="false" outlineLevel="0" collapsed="false">
      <c r="A613" s="39" t="s">
        <v>937</v>
      </c>
      <c r="B613" s="44" t="n">
        <v>46071</v>
      </c>
      <c r="C613" s="39" t="s">
        <v>180</v>
      </c>
      <c r="D613" s="39" t="s">
        <v>137</v>
      </c>
      <c r="E613" s="39" t="n">
        <v>25</v>
      </c>
      <c r="F613" s="39" t="str">
        <f aca="false">IF(COUNTIF(medicine_master!$A$2:$A$26,C613)&gt;0,"Valid","Invalid")</f>
        <v>Valid</v>
      </c>
      <c r="G613" s="39" t="str">
        <f aca="false">IFERROR(INDEX(medicine_master!$B$2:$B$26,MATCH($C613,medicine_master!$A$2:$A$26,0)),"Not found")</f>
        <v>Vitamin C 500mg</v>
      </c>
      <c r="H613" s="39" t="str">
        <f aca="false">IFERROR(INDEX(medicine_master!$C$2:$C$26,MATCH($C613,medicine_master!$A$2:$A$26,0)),"Not found")</f>
        <v>Vitamin</v>
      </c>
      <c r="I613" s="39" t="n">
        <f aca="false">YEAR(B613)</f>
        <v>2026</v>
      </c>
      <c r="J613" s="39" t="n">
        <f aca="false">MONTH(B613)</f>
        <v>2</v>
      </c>
      <c r="K613" s="39" t="str">
        <f aca="false">TEXT(B613,"mmm")</f>
        <v>Feb</v>
      </c>
      <c r="L613" s="45" t="n">
        <f aca="false">IFERROR(INDEX(medicine_master!$I$2:$I$26,MATCH($C613,medicine_master!$A$2:$A$26,0)),0)</f>
        <v>22</v>
      </c>
      <c r="M613" s="45" t="n">
        <f aca="false">IFERROR(INDEX(medicine_master!$G$2:$G$26,MATCH($C613,medicine_master!$A$2:$A$26,0)),0)</f>
        <v>14</v>
      </c>
      <c r="N613" s="45" t="n">
        <f aca="false">IF(D613="Sale",E613*L613,0)</f>
        <v>550</v>
      </c>
      <c r="O613" s="45" t="n">
        <f aca="false">IF(D613="Sale",E613*M613,0)</f>
        <v>350</v>
      </c>
      <c r="P613" s="45" t="n">
        <f aca="false">N613-O613</f>
        <v>200</v>
      </c>
      <c r="Q613" s="45" t="n">
        <f aca="false">IF(D613="Purchase",E613*M613,0)</f>
        <v>0</v>
      </c>
    </row>
    <row r="614" customFormat="false" ht="15" hidden="false" customHeight="false" outlineLevel="0" collapsed="false">
      <c r="A614" s="39" t="s">
        <v>938</v>
      </c>
      <c r="B614" s="44" t="n">
        <v>46090</v>
      </c>
      <c r="C614" s="39" t="s">
        <v>153</v>
      </c>
      <c r="D614" s="39" t="s">
        <v>137</v>
      </c>
      <c r="E614" s="39" t="n">
        <v>5</v>
      </c>
      <c r="F614" s="39" t="str">
        <f aca="false">IF(COUNTIF(medicine_master!$A$2:$A$26,C614)&gt;0,"Valid","Invalid")</f>
        <v>Valid</v>
      </c>
      <c r="G614" s="39" t="str">
        <f aca="false">IFERROR(INDEX(medicine_master!$B$2:$B$26,MATCH($C614,medicine_master!$A$2:$A$26,0)),"Not found")</f>
        <v>Atorvastatin 10mg</v>
      </c>
      <c r="H614" s="39" t="str">
        <f aca="false">IFERROR(INDEX(medicine_master!$C$2:$C$26,MATCH($C614,medicine_master!$A$2:$A$26,0)),"Not found")</f>
        <v>Cardiac</v>
      </c>
      <c r="I614" s="39" t="n">
        <f aca="false">YEAR(B614)</f>
        <v>2026</v>
      </c>
      <c r="J614" s="39" t="n">
        <f aca="false">MONTH(B614)</f>
        <v>3</v>
      </c>
      <c r="K614" s="39" t="str">
        <f aca="false">TEXT(B614,"mmm")</f>
        <v>Mar</v>
      </c>
      <c r="L614" s="45" t="n">
        <f aca="false">IFERROR(INDEX(medicine_master!$I$2:$I$26,MATCH($C614,medicine_master!$A$2:$A$26,0)),0)</f>
        <v>28</v>
      </c>
      <c r="M614" s="45" t="n">
        <f aca="false">IFERROR(INDEX(medicine_master!$G$2:$G$26,MATCH($C614,medicine_master!$A$2:$A$26,0)),0)</f>
        <v>19</v>
      </c>
      <c r="N614" s="45" t="n">
        <f aca="false">IF(D614="Sale",E614*L614,0)</f>
        <v>140</v>
      </c>
      <c r="O614" s="45" t="n">
        <f aca="false">IF(D614="Sale",E614*M614,0)</f>
        <v>95</v>
      </c>
      <c r="P614" s="45" t="n">
        <f aca="false">N614-O614</f>
        <v>45</v>
      </c>
      <c r="Q614" s="45" t="n">
        <f aca="false">IF(D614="Purchase",E614*M614,0)</f>
        <v>0</v>
      </c>
    </row>
    <row r="615" customFormat="false" ht="15" hidden="false" customHeight="false" outlineLevel="0" collapsed="false">
      <c r="A615" s="39" t="s">
        <v>939</v>
      </c>
      <c r="B615" s="44" t="n">
        <v>46254</v>
      </c>
      <c r="C615" s="39" t="s">
        <v>390</v>
      </c>
      <c r="D615" s="39" t="s">
        <v>137</v>
      </c>
      <c r="E615" s="39" t="n">
        <v>10</v>
      </c>
      <c r="F615" s="39" t="str">
        <f aca="false">IF(COUNTIF(medicine_master!$A$2:$A$26,C615)&gt;0,"Valid","Invalid")</f>
        <v>Valid</v>
      </c>
      <c r="G615" s="39" t="str">
        <f aca="false">IFERROR(INDEX(medicine_master!$B$2:$B$26,MATCH($C615,medicine_master!$A$2:$A$26,0)),"Not found")</f>
        <v>Montelukast 10mg</v>
      </c>
      <c r="H615" s="39" t="str">
        <f aca="false">IFERROR(INDEX(medicine_master!$C$2:$C$26,MATCH($C615,medicine_master!$A$2:$A$26,0)),"Not found")</f>
        <v>Allergy</v>
      </c>
      <c r="I615" s="39" t="n">
        <f aca="false">YEAR(B615)</f>
        <v>2026</v>
      </c>
      <c r="J615" s="39" t="n">
        <f aca="false">MONTH(B615)</f>
        <v>8</v>
      </c>
      <c r="K615" s="39" t="str">
        <f aca="false">TEXT(B615,"mmm")</f>
        <v>Aug</v>
      </c>
      <c r="L615" s="45" t="n">
        <f aca="false">IFERROR(INDEX(medicine_master!$I$2:$I$26,MATCH($C615,medicine_master!$A$2:$A$26,0)),0)</f>
        <v>39</v>
      </c>
      <c r="M615" s="45" t="n">
        <f aca="false">IFERROR(INDEX(medicine_master!$G$2:$G$26,MATCH($C615,medicine_master!$A$2:$A$26,0)),0)</f>
        <v>27</v>
      </c>
      <c r="N615" s="45" t="n">
        <f aca="false">IF(D615="Sale",E615*L615,0)</f>
        <v>390</v>
      </c>
      <c r="O615" s="45" t="n">
        <f aca="false">IF(D615="Sale",E615*M615,0)</f>
        <v>270</v>
      </c>
      <c r="P615" s="45" t="n">
        <f aca="false">N615-O615</f>
        <v>120</v>
      </c>
      <c r="Q615" s="45" t="n">
        <f aca="false">IF(D615="Purchase",E615*M615,0)</f>
        <v>0</v>
      </c>
    </row>
    <row r="616" customFormat="false" ht="15" hidden="false" customHeight="false" outlineLevel="0" collapsed="false">
      <c r="A616" s="39" t="s">
        <v>940</v>
      </c>
      <c r="B616" s="44" t="n">
        <v>46292</v>
      </c>
      <c r="C616" s="39" t="s">
        <v>326</v>
      </c>
      <c r="D616" s="39" t="s">
        <v>137</v>
      </c>
      <c r="E616" s="39" t="n">
        <v>30</v>
      </c>
      <c r="F616" s="39" t="str">
        <f aca="false">IF(COUNTIF(medicine_master!$A$2:$A$26,C616)&gt;0,"Valid","Invalid")</f>
        <v>Valid</v>
      </c>
      <c r="G616" s="39" t="str">
        <f aca="false">IFERROR(INDEX(medicine_master!$B$2:$B$26,MATCH($C616,medicine_master!$A$2:$A$26,0)),"Not found")</f>
        <v>Omeprazole 20mg</v>
      </c>
      <c r="H616" s="39" t="str">
        <f aca="false">IFERROR(INDEX(medicine_master!$C$2:$C$26,MATCH($C616,medicine_master!$A$2:$A$26,0)),"Not found")</f>
        <v>Gastric</v>
      </c>
      <c r="I616" s="39" t="n">
        <f aca="false">YEAR(B616)</f>
        <v>2026</v>
      </c>
      <c r="J616" s="39" t="n">
        <f aca="false">MONTH(B616)</f>
        <v>9</v>
      </c>
      <c r="K616" s="39" t="str">
        <f aca="false">TEXT(B616,"mmm")</f>
        <v>Sep</v>
      </c>
      <c r="L616" s="45" t="n">
        <f aca="false">IFERROR(INDEX(medicine_master!$I$2:$I$26,MATCH($C616,medicine_master!$A$2:$A$26,0)),0)</f>
        <v>26</v>
      </c>
      <c r="M616" s="45" t="n">
        <f aca="false">IFERROR(INDEX(medicine_master!$G$2:$G$26,MATCH($C616,medicine_master!$A$2:$A$26,0)),0)</f>
        <v>18</v>
      </c>
      <c r="N616" s="45" t="n">
        <f aca="false">IF(D616="Sale",E616*L616,0)</f>
        <v>780</v>
      </c>
      <c r="O616" s="45" t="n">
        <f aca="false">IF(D616="Sale",E616*M616,0)</f>
        <v>540</v>
      </c>
      <c r="P616" s="45" t="n">
        <f aca="false">N616-O616</f>
        <v>240</v>
      </c>
      <c r="Q616" s="45" t="n">
        <f aca="false">IF(D616="Purchase",E616*M616,0)</f>
        <v>0</v>
      </c>
    </row>
    <row r="617" customFormat="false" ht="15" hidden="false" customHeight="false" outlineLevel="0" collapsed="false">
      <c r="A617" s="39" t="s">
        <v>941</v>
      </c>
      <c r="B617" s="44" t="n">
        <v>46088</v>
      </c>
      <c r="C617" s="39" t="s">
        <v>178</v>
      </c>
      <c r="D617" s="39" t="s">
        <v>138</v>
      </c>
      <c r="E617" s="39" t="n">
        <v>15</v>
      </c>
      <c r="F617" s="39" t="str">
        <f aca="false">IF(COUNTIF(medicine_master!$A$2:$A$26,C617)&gt;0,"Valid","Invalid")</f>
        <v>Valid</v>
      </c>
      <c r="G617" s="39" t="str">
        <f aca="false">IFERROR(INDEX(medicine_master!$B$2:$B$26,MATCH($C617,medicine_master!$A$2:$A$26,0)),"Not found")</f>
        <v>Aspirin 75mg</v>
      </c>
      <c r="H617" s="39" t="str">
        <f aca="false">IFERROR(INDEX(medicine_master!$C$2:$C$26,MATCH($C617,medicine_master!$A$2:$A$26,0)),"Not found")</f>
        <v>Cardiac</v>
      </c>
      <c r="I617" s="39" t="n">
        <f aca="false">YEAR(B617)</f>
        <v>2026</v>
      </c>
      <c r="J617" s="39" t="n">
        <f aca="false">MONTH(B617)</f>
        <v>3</v>
      </c>
      <c r="K617" s="39" t="str">
        <f aca="false">TEXT(B617,"mmm")</f>
        <v>Mar</v>
      </c>
      <c r="L617" s="45" t="n">
        <f aca="false">IFERROR(INDEX(medicine_master!$I$2:$I$26,MATCH($C617,medicine_master!$A$2:$A$26,0)),0)</f>
        <v>15</v>
      </c>
      <c r="M617" s="45" t="n">
        <f aca="false">IFERROR(INDEX(medicine_master!$G$2:$G$26,MATCH($C617,medicine_master!$A$2:$A$26,0)),0)</f>
        <v>10</v>
      </c>
      <c r="N617" s="45" t="n">
        <f aca="false">IF(D617="Sale",E617*L617,0)</f>
        <v>0</v>
      </c>
      <c r="O617" s="45" t="n">
        <f aca="false">IF(D617="Sale",E617*M617,0)</f>
        <v>0</v>
      </c>
      <c r="P617" s="45" t="n">
        <f aca="false">N617-O617</f>
        <v>0</v>
      </c>
      <c r="Q617" s="45" t="n">
        <f aca="false">IF(D617="Purchase",E617*M617,0)</f>
        <v>150</v>
      </c>
    </row>
    <row r="618" customFormat="false" ht="15" hidden="false" customHeight="false" outlineLevel="0" collapsed="false">
      <c r="A618" s="39" t="s">
        <v>942</v>
      </c>
      <c r="B618" s="44" t="n">
        <v>46066</v>
      </c>
      <c r="C618" s="39" t="s">
        <v>345</v>
      </c>
      <c r="D618" s="39" t="s">
        <v>137</v>
      </c>
      <c r="E618" s="39" t="n">
        <v>30</v>
      </c>
      <c r="F618" s="39" t="str">
        <f aca="false">IF(COUNTIF(medicine_master!$A$2:$A$26,C618)&gt;0,"Valid","Invalid")</f>
        <v>Valid</v>
      </c>
      <c r="G618" s="39" t="str">
        <f aca="false">IFERROR(INDEX(medicine_master!$B$2:$B$26,MATCH($C618,medicine_master!$A$2:$A$26,0)),"Not found")</f>
        <v>Paracetamol 500mg</v>
      </c>
      <c r="H618" s="39" t="str">
        <f aca="false">IFERROR(INDEX(medicine_master!$C$2:$C$26,MATCH($C618,medicine_master!$A$2:$A$26,0)),"Not found")</f>
        <v>Pain Relief</v>
      </c>
      <c r="I618" s="39" t="n">
        <f aca="false">YEAR(B618)</f>
        <v>2026</v>
      </c>
      <c r="J618" s="39" t="n">
        <f aca="false">MONTH(B618)</f>
        <v>2</v>
      </c>
      <c r="K618" s="39" t="str">
        <f aca="false">TEXT(B618,"mmm")</f>
        <v>Feb</v>
      </c>
      <c r="L618" s="45" t="n">
        <f aca="false">IFERROR(INDEX(medicine_master!$I$2:$I$26,MATCH($C618,medicine_master!$A$2:$A$26,0)),0)</f>
        <v>18</v>
      </c>
      <c r="M618" s="45" t="n">
        <f aca="false">IFERROR(INDEX(medicine_master!$G$2:$G$26,MATCH($C618,medicine_master!$A$2:$A$26,0)),0)</f>
        <v>12</v>
      </c>
      <c r="N618" s="45" t="n">
        <f aca="false">IF(D618="Sale",E618*L618,0)</f>
        <v>540</v>
      </c>
      <c r="O618" s="45" t="n">
        <f aca="false">IF(D618="Sale",E618*M618,0)</f>
        <v>360</v>
      </c>
      <c r="P618" s="45" t="n">
        <f aca="false">N618-O618</f>
        <v>180</v>
      </c>
      <c r="Q618" s="45" t="n">
        <f aca="false">IF(D618="Purchase",E618*M618,0)</f>
        <v>0</v>
      </c>
    </row>
    <row r="619" customFormat="false" ht="15" hidden="false" customHeight="false" outlineLevel="0" collapsed="false">
      <c r="A619" s="39" t="s">
        <v>943</v>
      </c>
      <c r="B619" s="44" t="n">
        <v>46189</v>
      </c>
      <c r="C619" s="39" t="s">
        <v>146</v>
      </c>
      <c r="D619" s="39" t="s">
        <v>137</v>
      </c>
      <c r="E619" s="39" t="n">
        <v>20</v>
      </c>
      <c r="F619" s="39" t="str">
        <f aca="false">IF(COUNTIF(medicine_master!$A$2:$A$26,C619)&gt;0,"Valid","Invalid")</f>
        <v>Valid</v>
      </c>
      <c r="G619" s="39" t="str">
        <f aca="false">IFERROR(INDEX(medicine_master!$B$2:$B$26,MATCH($C619,medicine_master!$A$2:$A$26,0)),"Not found")</f>
        <v>Diclofenac Gel</v>
      </c>
      <c r="H619" s="39" t="str">
        <f aca="false">IFERROR(INDEX(medicine_master!$C$2:$C$26,MATCH($C619,medicine_master!$A$2:$A$26,0)),"Not found")</f>
        <v>Pain Relief</v>
      </c>
      <c r="I619" s="39" t="n">
        <f aca="false">YEAR(B619)</f>
        <v>2026</v>
      </c>
      <c r="J619" s="39" t="n">
        <f aca="false">MONTH(B619)</f>
        <v>6</v>
      </c>
      <c r="K619" s="39" t="str">
        <f aca="false">TEXT(B619,"mmm")</f>
        <v>Jun</v>
      </c>
      <c r="L619" s="45" t="n">
        <f aca="false">IFERROR(INDEX(medicine_master!$I$2:$I$26,MATCH($C619,medicine_master!$A$2:$A$26,0)),0)</f>
        <v>55</v>
      </c>
      <c r="M619" s="45" t="n">
        <f aca="false">IFERROR(INDEX(medicine_master!$G$2:$G$26,MATCH($C619,medicine_master!$A$2:$A$26,0)),0)</f>
        <v>38</v>
      </c>
      <c r="N619" s="45" t="n">
        <f aca="false">IF(D619="Sale",E619*L619,0)</f>
        <v>1100</v>
      </c>
      <c r="O619" s="45" t="n">
        <f aca="false">IF(D619="Sale",E619*M619,0)</f>
        <v>760</v>
      </c>
      <c r="P619" s="45" t="n">
        <f aca="false">N619-O619</f>
        <v>340</v>
      </c>
      <c r="Q619" s="45" t="n">
        <f aca="false">IF(D619="Purchase",E619*M619,0)</f>
        <v>0</v>
      </c>
    </row>
    <row r="620" customFormat="false" ht="15" hidden="false" customHeight="false" outlineLevel="0" collapsed="false">
      <c r="A620" s="39" t="s">
        <v>944</v>
      </c>
      <c r="B620" s="44" t="n">
        <v>46219</v>
      </c>
      <c r="C620" s="39" t="s">
        <v>404</v>
      </c>
      <c r="D620" s="39" t="s">
        <v>138</v>
      </c>
      <c r="E620" s="39" t="n">
        <v>10</v>
      </c>
      <c r="F620" s="39" t="str">
        <f aca="false">IF(COUNTIF(medicine_master!$A$2:$A$26,C620)&gt;0,"Valid","Invalid")</f>
        <v>Valid</v>
      </c>
      <c r="G620" s="39" t="str">
        <f aca="false">IFERROR(INDEX(medicine_master!$B$2:$B$26,MATCH($C620,medicine_master!$A$2:$A$26,0)),"Not found")</f>
        <v>ORS Sachet</v>
      </c>
      <c r="H620" s="39" t="str">
        <f aca="false">IFERROR(INDEX(medicine_master!$C$2:$C$26,MATCH($C620,medicine_master!$A$2:$A$26,0)),"Not found")</f>
        <v>First Aid</v>
      </c>
      <c r="I620" s="39" t="n">
        <f aca="false">YEAR(B620)</f>
        <v>2026</v>
      </c>
      <c r="J620" s="39" t="n">
        <f aca="false">MONTH(B620)</f>
        <v>7</v>
      </c>
      <c r="K620" s="39" t="str">
        <f aca="false">TEXT(B620,"mmm")</f>
        <v>Jul</v>
      </c>
      <c r="L620" s="45" t="n">
        <f aca="false">IFERROR(INDEX(medicine_master!$I$2:$I$26,MATCH($C620,medicine_master!$A$2:$A$26,0)),0)</f>
        <v>10</v>
      </c>
      <c r="M620" s="45" t="n">
        <f aca="false">IFERROR(INDEX(medicine_master!$G$2:$G$26,MATCH($C620,medicine_master!$A$2:$A$26,0)),0)</f>
        <v>6</v>
      </c>
      <c r="N620" s="45" t="n">
        <f aca="false">IF(D620="Sale",E620*L620,0)</f>
        <v>0</v>
      </c>
      <c r="O620" s="45" t="n">
        <f aca="false">IF(D620="Sale",E620*M620,0)</f>
        <v>0</v>
      </c>
      <c r="P620" s="45" t="n">
        <f aca="false">N620-O620</f>
        <v>0</v>
      </c>
      <c r="Q620" s="45" t="n">
        <f aca="false">IF(D620="Purchase",E620*M620,0)</f>
        <v>60</v>
      </c>
    </row>
    <row r="621" customFormat="false" ht="15" hidden="false" customHeight="false" outlineLevel="0" collapsed="false">
      <c r="A621" s="39" t="s">
        <v>945</v>
      </c>
      <c r="B621" s="44" t="n">
        <v>46030</v>
      </c>
      <c r="C621" s="39" t="s">
        <v>147</v>
      </c>
      <c r="D621" s="39" t="s">
        <v>138</v>
      </c>
      <c r="E621" s="39" t="n">
        <v>30</v>
      </c>
      <c r="F621" s="39" t="str">
        <f aca="false">IF(COUNTIF(medicine_master!$A$2:$A$26,C621)&gt;0,"Valid","Invalid")</f>
        <v>Valid</v>
      </c>
      <c r="G621" s="39" t="str">
        <f aca="false">IFERROR(INDEX(medicine_master!$B$2:$B$26,MATCH($C621,medicine_master!$A$2:$A$26,0)),"Not found")</f>
        <v>Insulin Injection</v>
      </c>
      <c r="H621" s="39" t="str">
        <f aca="false">IFERROR(INDEX(medicine_master!$C$2:$C$26,MATCH($C621,medicine_master!$A$2:$A$26,0)),"Not found")</f>
        <v>Diabetes</v>
      </c>
      <c r="I621" s="39" t="n">
        <f aca="false">YEAR(B621)</f>
        <v>2026</v>
      </c>
      <c r="J621" s="39" t="n">
        <f aca="false">MONTH(B621)</f>
        <v>1</v>
      </c>
      <c r="K621" s="39" t="str">
        <f aca="false">TEXT(B621,"mmm")</f>
        <v>Jan</v>
      </c>
      <c r="L621" s="45" t="n">
        <f aca="false">IFERROR(INDEX(medicine_master!$I$2:$I$26,MATCH($C621,medicine_master!$A$2:$A$26,0)),0)</f>
        <v>225</v>
      </c>
      <c r="M621" s="45" t="n">
        <f aca="false">IFERROR(INDEX(medicine_master!$G$2:$G$26,MATCH($C621,medicine_master!$A$2:$A$26,0)),0)</f>
        <v>165</v>
      </c>
      <c r="N621" s="45" t="n">
        <f aca="false">IF(D621="Sale",E621*L621,0)</f>
        <v>0</v>
      </c>
      <c r="O621" s="45" t="n">
        <f aca="false">IF(D621="Sale",E621*M621,0)</f>
        <v>0</v>
      </c>
      <c r="P621" s="45" t="n">
        <f aca="false">N621-O621</f>
        <v>0</v>
      </c>
      <c r="Q621" s="45" t="n">
        <f aca="false">IF(D621="Purchase",E621*M621,0)</f>
        <v>4950</v>
      </c>
    </row>
    <row r="622" customFormat="false" ht="15" hidden="false" customHeight="false" outlineLevel="0" collapsed="false">
      <c r="A622" s="39" t="s">
        <v>946</v>
      </c>
      <c r="B622" s="44" t="n">
        <v>46107</v>
      </c>
      <c r="C622" s="39" t="s">
        <v>157</v>
      </c>
      <c r="D622" s="39" t="s">
        <v>137</v>
      </c>
      <c r="E622" s="39" t="n">
        <v>20</v>
      </c>
      <c r="F622" s="39" t="str">
        <f aca="false">IF(COUNTIF(medicine_master!$A$2:$A$26,C622)&gt;0,"Valid","Invalid")</f>
        <v>Valid</v>
      </c>
      <c r="G622" s="39" t="str">
        <f aca="false">IFERROR(INDEX(medicine_master!$B$2:$B$26,MATCH($C622,medicine_master!$A$2:$A$26,0)),"Not found")</f>
        <v>Multivitamin Tablets</v>
      </c>
      <c r="H622" s="39" t="str">
        <f aca="false">IFERROR(INDEX(medicine_master!$C$2:$C$26,MATCH($C622,medicine_master!$A$2:$A$26,0)),"Not found")</f>
        <v>Vitamin</v>
      </c>
      <c r="I622" s="39" t="n">
        <f aca="false">YEAR(B622)</f>
        <v>2026</v>
      </c>
      <c r="J622" s="39" t="n">
        <f aca="false">MONTH(B622)</f>
        <v>3</v>
      </c>
      <c r="K622" s="39" t="str">
        <f aca="false">TEXT(B622,"mmm")</f>
        <v>Mar</v>
      </c>
      <c r="L622" s="45" t="n">
        <f aca="false">IFERROR(INDEX(medicine_master!$I$2:$I$26,MATCH($C622,medicine_master!$A$2:$A$26,0)),0)</f>
        <v>105</v>
      </c>
      <c r="M622" s="45" t="n">
        <f aca="false">IFERROR(INDEX(medicine_master!$G$2:$G$26,MATCH($C622,medicine_master!$A$2:$A$26,0)),0)</f>
        <v>72</v>
      </c>
      <c r="N622" s="45" t="n">
        <f aca="false">IF(D622="Sale",E622*L622,0)</f>
        <v>2100</v>
      </c>
      <c r="O622" s="45" t="n">
        <f aca="false">IF(D622="Sale",E622*M622,0)</f>
        <v>1440</v>
      </c>
      <c r="P622" s="45" t="n">
        <f aca="false">N622-O622</f>
        <v>660</v>
      </c>
      <c r="Q622" s="45" t="n">
        <f aca="false">IF(D622="Purchase",E622*M622,0)</f>
        <v>0</v>
      </c>
    </row>
    <row r="623" customFormat="false" ht="15" hidden="false" customHeight="false" outlineLevel="0" collapsed="false">
      <c r="A623" s="39" t="s">
        <v>947</v>
      </c>
      <c r="B623" s="44" t="n">
        <v>46260</v>
      </c>
      <c r="C623" s="39" t="s">
        <v>157</v>
      </c>
      <c r="D623" s="39" t="s">
        <v>137</v>
      </c>
      <c r="E623" s="39" t="n">
        <v>20</v>
      </c>
      <c r="F623" s="39" t="str">
        <f aca="false">IF(COUNTIF(medicine_master!$A$2:$A$26,C623)&gt;0,"Valid","Invalid")</f>
        <v>Valid</v>
      </c>
      <c r="G623" s="39" t="str">
        <f aca="false">IFERROR(INDEX(medicine_master!$B$2:$B$26,MATCH($C623,medicine_master!$A$2:$A$26,0)),"Not found")</f>
        <v>Multivitamin Tablets</v>
      </c>
      <c r="H623" s="39" t="str">
        <f aca="false">IFERROR(INDEX(medicine_master!$C$2:$C$26,MATCH($C623,medicine_master!$A$2:$A$26,0)),"Not found")</f>
        <v>Vitamin</v>
      </c>
      <c r="I623" s="39" t="n">
        <f aca="false">YEAR(B623)</f>
        <v>2026</v>
      </c>
      <c r="J623" s="39" t="n">
        <f aca="false">MONTH(B623)</f>
        <v>8</v>
      </c>
      <c r="K623" s="39" t="str">
        <f aca="false">TEXT(B623,"mmm")</f>
        <v>Aug</v>
      </c>
      <c r="L623" s="45" t="n">
        <f aca="false">IFERROR(INDEX(medicine_master!$I$2:$I$26,MATCH($C623,medicine_master!$A$2:$A$26,0)),0)</f>
        <v>105</v>
      </c>
      <c r="M623" s="45" t="n">
        <f aca="false">IFERROR(INDEX(medicine_master!$G$2:$G$26,MATCH($C623,medicine_master!$A$2:$A$26,0)),0)</f>
        <v>72</v>
      </c>
      <c r="N623" s="45" t="n">
        <f aca="false">IF(D623="Sale",E623*L623,0)</f>
        <v>2100</v>
      </c>
      <c r="O623" s="45" t="n">
        <f aca="false">IF(D623="Sale",E623*M623,0)</f>
        <v>1440</v>
      </c>
      <c r="P623" s="45" t="n">
        <f aca="false">N623-O623</f>
        <v>660</v>
      </c>
      <c r="Q623" s="45" t="n">
        <f aca="false">IF(D623="Purchase",E623*M623,0)</f>
        <v>0</v>
      </c>
    </row>
    <row r="624" customFormat="false" ht="15" hidden="false" customHeight="false" outlineLevel="0" collapsed="false">
      <c r="A624" s="39" t="s">
        <v>948</v>
      </c>
      <c r="B624" s="44" t="n">
        <v>46290</v>
      </c>
      <c r="C624" s="39" t="s">
        <v>179</v>
      </c>
      <c r="D624" s="39" t="s">
        <v>138</v>
      </c>
      <c r="E624" s="39" t="n">
        <v>40</v>
      </c>
      <c r="F624" s="39" t="str">
        <f aca="false">IF(COUNTIF(medicine_master!$A$2:$A$26,C624)&gt;0,"Valid","Invalid")</f>
        <v>Valid</v>
      </c>
      <c r="G624" s="39" t="str">
        <f aca="false">IFERROR(INDEX(medicine_master!$B$2:$B$26,MATCH($C624,medicine_master!$A$2:$A$26,0)),"Not found")</f>
        <v>Ibuprofen 400mg</v>
      </c>
      <c r="H624" s="39" t="str">
        <f aca="false">IFERROR(INDEX(medicine_master!$C$2:$C$26,MATCH($C624,medicine_master!$A$2:$A$26,0)),"Not found")</f>
        <v>Pain Relief</v>
      </c>
      <c r="I624" s="39" t="n">
        <f aca="false">YEAR(B624)</f>
        <v>2026</v>
      </c>
      <c r="J624" s="39" t="n">
        <f aca="false">MONTH(B624)</f>
        <v>9</v>
      </c>
      <c r="K624" s="39" t="str">
        <f aca="false">TEXT(B624,"mmm")</f>
        <v>Sep</v>
      </c>
      <c r="L624" s="45" t="n">
        <f aca="false">IFERROR(INDEX(medicine_master!$I$2:$I$26,MATCH($C624,medicine_master!$A$2:$A$26,0)),0)</f>
        <v>30</v>
      </c>
      <c r="M624" s="45" t="n">
        <f aca="false">IFERROR(INDEX(medicine_master!$G$2:$G$26,MATCH($C624,medicine_master!$A$2:$A$26,0)),0)</f>
        <v>22</v>
      </c>
      <c r="N624" s="45" t="n">
        <f aca="false">IF(D624="Sale",E624*L624,0)</f>
        <v>0</v>
      </c>
      <c r="O624" s="45" t="n">
        <f aca="false">IF(D624="Sale",E624*M624,0)</f>
        <v>0</v>
      </c>
      <c r="P624" s="45" t="n">
        <f aca="false">N624-O624</f>
        <v>0</v>
      </c>
      <c r="Q624" s="45" t="n">
        <f aca="false">IF(D624="Purchase",E624*M624,0)</f>
        <v>880</v>
      </c>
    </row>
    <row r="625" customFormat="false" ht="15" hidden="false" customHeight="false" outlineLevel="0" collapsed="false">
      <c r="A625" s="39" t="s">
        <v>949</v>
      </c>
      <c r="B625" s="44" t="n">
        <v>46281</v>
      </c>
      <c r="C625" s="39" t="s">
        <v>160</v>
      </c>
      <c r="D625" s="39" t="s">
        <v>138</v>
      </c>
      <c r="E625" s="39" t="n">
        <v>20</v>
      </c>
      <c r="F625" s="39" t="str">
        <f aca="false">IF(COUNTIF(medicine_master!$A$2:$A$26,C625)&gt;0,"Valid","Invalid")</f>
        <v>Valid</v>
      </c>
      <c r="G625" s="39" t="str">
        <f aca="false">IFERROR(INDEX(medicine_master!$B$2:$B$26,MATCH($C625,medicine_master!$A$2:$A$26,0)),"Not found")</f>
        <v>Calamine Lotion</v>
      </c>
      <c r="H625" s="39" t="str">
        <f aca="false">IFERROR(INDEX(medicine_master!$C$2:$C$26,MATCH($C625,medicine_master!$A$2:$A$26,0)),"Not found")</f>
        <v>Dermatology</v>
      </c>
      <c r="I625" s="39" t="n">
        <f aca="false">YEAR(B625)</f>
        <v>2026</v>
      </c>
      <c r="J625" s="39" t="n">
        <f aca="false">MONTH(B625)</f>
        <v>9</v>
      </c>
      <c r="K625" s="39" t="str">
        <f aca="false">TEXT(B625,"mmm")</f>
        <v>Sep</v>
      </c>
      <c r="L625" s="45" t="n">
        <f aca="false">IFERROR(INDEX(medicine_master!$I$2:$I$26,MATCH($C625,medicine_master!$A$2:$A$26,0)),0)</f>
        <v>60</v>
      </c>
      <c r="M625" s="45" t="n">
        <f aca="false">IFERROR(INDEX(medicine_master!$G$2:$G$26,MATCH($C625,medicine_master!$A$2:$A$26,0)),0)</f>
        <v>42</v>
      </c>
      <c r="N625" s="45" t="n">
        <f aca="false">IF(D625="Sale",E625*L625,0)</f>
        <v>0</v>
      </c>
      <c r="O625" s="45" t="n">
        <f aca="false">IF(D625="Sale",E625*M625,0)</f>
        <v>0</v>
      </c>
      <c r="P625" s="45" t="n">
        <f aca="false">N625-O625</f>
        <v>0</v>
      </c>
      <c r="Q625" s="45" t="n">
        <f aca="false">IF(D625="Purchase",E625*M625,0)</f>
        <v>840</v>
      </c>
    </row>
    <row r="626" customFormat="false" ht="15" hidden="false" customHeight="false" outlineLevel="0" collapsed="false">
      <c r="A626" s="39" t="s">
        <v>950</v>
      </c>
      <c r="B626" s="44" t="n">
        <v>46242</v>
      </c>
      <c r="C626" s="39" t="s">
        <v>345</v>
      </c>
      <c r="D626" s="39" t="s">
        <v>138</v>
      </c>
      <c r="E626" s="39" t="n">
        <v>20</v>
      </c>
      <c r="F626" s="39" t="str">
        <f aca="false">IF(COUNTIF(medicine_master!$A$2:$A$26,C626)&gt;0,"Valid","Invalid")</f>
        <v>Valid</v>
      </c>
      <c r="G626" s="39" t="str">
        <f aca="false">IFERROR(INDEX(medicine_master!$B$2:$B$26,MATCH($C626,medicine_master!$A$2:$A$26,0)),"Not found")</f>
        <v>Paracetamol 500mg</v>
      </c>
      <c r="H626" s="39" t="str">
        <f aca="false">IFERROR(INDEX(medicine_master!$C$2:$C$26,MATCH($C626,medicine_master!$A$2:$A$26,0)),"Not found")</f>
        <v>Pain Relief</v>
      </c>
      <c r="I626" s="39" t="n">
        <f aca="false">YEAR(B626)</f>
        <v>2026</v>
      </c>
      <c r="J626" s="39" t="n">
        <f aca="false">MONTH(B626)</f>
        <v>8</v>
      </c>
      <c r="K626" s="39" t="str">
        <f aca="false">TEXT(B626,"mmm")</f>
        <v>Aug</v>
      </c>
      <c r="L626" s="45" t="n">
        <f aca="false">IFERROR(INDEX(medicine_master!$I$2:$I$26,MATCH($C626,medicine_master!$A$2:$A$26,0)),0)</f>
        <v>18</v>
      </c>
      <c r="M626" s="45" t="n">
        <f aca="false">IFERROR(INDEX(medicine_master!$G$2:$G$26,MATCH($C626,medicine_master!$A$2:$A$26,0)),0)</f>
        <v>12</v>
      </c>
      <c r="N626" s="45" t="n">
        <f aca="false">IF(D626="Sale",E626*L626,0)</f>
        <v>0</v>
      </c>
      <c r="O626" s="45" t="n">
        <f aca="false">IF(D626="Sale",E626*M626,0)</f>
        <v>0</v>
      </c>
      <c r="P626" s="45" t="n">
        <f aca="false">N626-O626</f>
        <v>0</v>
      </c>
      <c r="Q626" s="45" t="n">
        <f aca="false">IF(D626="Purchase",E626*M626,0)</f>
        <v>240</v>
      </c>
    </row>
    <row r="627" customFormat="false" ht="15" hidden="false" customHeight="false" outlineLevel="0" collapsed="false">
      <c r="A627" s="39" t="s">
        <v>951</v>
      </c>
      <c r="B627" s="44" t="n">
        <v>46198</v>
      </c>
      <c r="C627" s="39" t="s">
        <v>495</v>
      </c>
      <c r="D627" s="39" t="s">
        <v>138</v>
      </c>
      <c r="E627" s="39" t="n">
        <v>30</v>
      </c>
      <c r="F627" s="39" t="str">
        <f aca="false">IF(COUNTIF(medicine_master!$A$2:$A$26,C627)&gt;0,"Valid","Invalid")</f>
        <v>Valid</v>
      </c>
      <c r="G627" s="39" t="str">
        <f aca="false">IFERROR(INDEX(medicine_master!$B$2:$B$26,MATCH($C627,medicine_master!$A$2:$A$26,0)),"Not found")</f>
        <v>Metformin 500mg</v>
      </c>
      <c r="H627" s="39" t="str">
        <f aca="false">IFERROR(INDEX(medicine_master!$C$2:$C$26,MATCH($C627,medicine_master!$A$2:$A$26,0)),"Not found")</f>
        <v>Diabetes</v>
      </c>
      <c r="I627" s="39" t="n">
        <f aca="false">YEAR(B627)</f>
        <v>2026</v>
      </c>
      <c r="J627" s="39" t="n">
        <f aca="false">MONTH(B627)</f>
        <v>6</v>
      </c>
      <c r="K627" s="39" t="str">
        <f aca="false">TEXT(B627,"mmm")</f>
        <v>Jun</v>
      </c>
      <c r="L627" s="45" t="n">
        <f aca="false">IFERROR(INDEX(medicine_master!$I$2:$I$26,MATCH($C627,medicine_master!$A$2:$A$26,0)),0)</f>
        <v>24</v>
      </c>
      <c r="M627" s="45" t="n">
        <f aca="false">IFERROR(INDEX(medicine_master!$G$2:$G$26,MATCH($C627,medicine_master!$A$2:$A$26,0)),0)</f>
        <v>16</v>
      </c>
      <c r="N627" s="45" t="n">
        <f aca="false">IF(D627="Sale",E627*L627,0)</f>
        <v>0</v>
      </c>
      <c r="O627" s="45" t="n">
        <f aca="false">IF(D627="Sale",E627*M627,0)</f>
        <v>0</v>
      </c>
      <c r="P627" s="45" t="n">
        <f aca="false">N627-O627</f>
        <v>0</v>
      </c>
      <c r="Q627" s="45" t="n">
        <f aca="false">IF(D627="Purchase",E627*M627,0)</f>
        <v>480</v>
      </c>
    </row>
    <row r="628" customFormat="false" ht="15" hidden="false" customHeight="false" outlineLevel="0" collapsed="false">
      <c r="A628" s="39" t="s">
        <v>952</v>
      </c>
      <c r="B628" s="44" t="n">
        <v>46268</v>
      </c>
      <c r="C628" s="39" t="s">
        <v>404</v>
      </c>
      <c r="D628" s="39" t="s">
        <v>137</v>
      </c>
      <c r="E628" s="39" t="n">
        <v>30</v>
      </c>
      <c r="F628" s="39" t="str">
        <f aca="false">IF(COUNTIF(medicine_master!$A$2:$A$26,C628)&gt;0,"Valid","Invalid")</f>
        <v>Valid</v>
      </c>
      <c r="G628" s="39" t="str">
        <f aca="false">IFERROR(INDEX(medicine_master!$B$2:$B$26,MATCH($C628,medicine_master!$A$2:$A$26,0)),"Not found")</f>
        <v>ORS Sachet</v>
      </c>
      <c r="H628" s="39" t="str">
        <f aca="false">IFERROR(INDEX(medicine_master!$C$2:$C$26,MATCH($C628,medicine_master!$A$2:$A$26,0)),"Not found")</f>
        <v>First Aid</v>
      </c>
      <c r="I628" s="39" t="n">
        <f aca="false">YEAR(B628)</f>
        <v>2026</v>
      </c>
      <c r="J628" s="39" t="n">
        <f aca="false">MONTH(B628)</f>
        <v>9</v>
      </c>
      <c r="K628" s="39" t="str">
        <f aca="false">TEXT(B628,"mmm")</f>
        <v>Sep</v>
      </c>
      <c r="L628" s="45" t="n">
        <f aca="false">IFERROR(INDEX(medicine_master!$I$2:$I$26,MATCH($C628,medicine_master!$A$2:$A$26,0)),0)</f>
        <v>10</v>
      </c>
      <c r="M628" s="45" t="n">
        <f aca="false">IFERROR(INDEX(medicine_master!$G$2:$G$26,MATCH($C628,medicine_master!$A$2:$A$26,0)),0)</f>
        <v>6</v>
      </c>
      <c r="N628" s="45" t="n">
        <f aca="false">IF(D628="Sale",E628*L628,0)</f>
        <v>300</v>
      </c>
      <c r="O628" s="45" t="n">
        <f aca="false">IF(D628="Sale",E628*M628,0)</f>
        <v>180</v>
      </c>
      <c r="P628" s="45" t="n">
        <f aca="false">N628-O628</f>
        <v>120</v>
      </c>
      <c r="Q628" s="45" t="n">
        <f aca="false">IF(D628="Purchase",E628*M628,0)</f>
        <v>0</v>
      </c>
    </row>
    <row r="629" customFormat="false" ht="15" hidden="false" customHeight="false" outlineLevel="0" collapsed="false">
      <c r="A629" s="39" t="s">
        <v>953</v>
      </c>
      <c r="B629" s="44" t="n">
        <v>46324</v>
      </c>
      <c r="C629" s="39" t="s">
        <v>148</v>
      </c>
      <c r="D629" s="39" t="s">
        <v>137</v>
      </c>
      <c r="E629" s="39" t="n">
        <v>20</v>
      </c>
      <c r="F629" s="39" t="str">
        <f aca="false">IF(COUNTIF(medicine_master!$A$2:$A$26,C629)&gt;0,"Valid","Invalid")</f>
        <v>Valid</v>
      </c>
      <c r="G629" s="39" t="str">
        <f aca="false">IFERROR(INDEX(medicine_master!$B$2:$B$26,MATCH($C629,medicine_master!$A$2:$A$26,0)),"Not found")</f>
        <v>Dextromethorphan Syrup</v>
      </c>
      <c r="H629" s="39" t="str">
        <f aca="false">IFERROR(INDEX(medicine_master!$C$2:$C$26,MATCH($C629,medicine_master!$A$2:$A$26,0)),"Not found")</f>
        <v>Cold &amp; Cough</v>
      </c>
      <c r="I629" s="39" t="n">
        <f aca="false">YEAR(B629)</f>
        <v>2026</v>
      </c>
      <c r="J629" s="39" t="n">
        <f aca="false">MONTH(B629)</f>
        <v>10</v>
      </c>
      <c r="K629" s="39" t="str">
        <f aca="false">TEXT(B629,"mmm")</f>
        <v>Oct</v>
      </c>
      <c r="L629" s="45" t="n">
        <f aca="false">IFERROR(INDEX(medicine_master!$I$2:$I$26,MATCH($C629,medicine_master!$A$2:$A$26,0)),0)</f>
        <v>80</v>
      </c>
      <c r="M629" s="45" t="n">
        <f aca="false">IFERROR(INDEX(medicine_master!$G$2:$G$26,MATCH($C629,medicine_master!$A$2:$A$26,0)),0)</f>
        <v>58</v>
      </c>
      <c r="N629" s="45" t="n">
        <f aca="false">IF(D629="Sale",E629*L629,0)</f>
        <v>1600</v>
      </c>
      <c r="O629" s="45" t="n">
        <f aca="false">IF(D629="Sale",E629*M629,0)</f>
        <v>1160</v>
      </c>
      <c r="P629" s="45" t="n">
        <f aca="false">N629-O629</f>
        <v>440</v>
      </c>
      <c r="Q629" s="45" t="n">
        <f aca="false">IF(D629="Purchase",E629*M629,0)</f>
        <v>0</v>
      </c>
    </row>
    <row r="630" customFormat="false" ht="15" hidden="false" customHeight="false" outlineLevel="0" collapsed="false">
      <c r="A630" s="39" t="s">
        <v>954</v>
      </c>
      <c r="B630" s="44" t="n">
        <v>46043</v>
      </c>
      <c r="C630" s="39" t="s">
        <v>167</v>
      </c>
      <c r="D630" s="39" t="s">
        <v>138</v>
      </c>
      <c r="E630" s="39" t="n">
        <v>50</v>
      </c>
      <c r="F630" s="39" t="str">
        <f aca="false">IF(COUNTIF(medicine_master!$A$2:$A$26,C630)&gt;0,"Valid","Invalid")</f>
        <v>Valid</v>
      </c>
      <c r="G630" s="39" t="str">
        <f aca="false">IFERROR(INDEX(medicine_master!$B$2:$B$26,MATCH($C630,medicine_master!$A$2:$A$26,0)),"Not found")</f>
        <v>Amlodipine 5mg</v>
      </c>
      <c r="H630" s="39" t="str">
        <f aca="false">IFERROR(INDEX(medicine_master!$C$2:$C$26,MATCH($C630,medicine_master!$A$2:$A$26,0)),"Not found")</f>
        <v>Cardiac</v>
      </c>
      <c r="I630" s="39" t="n">
        <f aca="false">YEAR(B630)</f>
        <v>2026</v>
      </c>
      <c r="J630" s="39" t="n">
        <f aca="false">MONTH(B630)</f>
        <v>1</v>
      </c>
      <c r="K630" s="39" t="str">
        <f aca="false">TEXT(B630,"mmm")</f>
        <v>Jan</v>
      </c>
      <c r="L630" s="45" t="n">
        <f aca="false">IFERROR(INDEX(medicine_master!$I$2:$I$26,MATCH($C630,medicine_master!$A$2:$A$26,0)),0)</f>
        <v>19</v>
      </c>
      <c r="M630" s="45" t="n">
        <f aca="false">IFERROR(INDEX(medicine_master!$G$2:$G$26,MATCH($C630,medicine_master!$A$2:$A$26,0)),0)</f>
        <v>13</v>
      </c>
      <c r="N630" s="45" t="n">
        <f aca="false">IF(D630="Sale",E630*L630,0)</f>
        <v>0</v>
      </c>
      <c r="O630" s="45" t="n">
        <f aca="false">IF(D630="Sale",E630*M630,0)</f>
        <v>0</v>
      </c>
      <c r="P630" s="45" t="n">
        <f aca="false">N630-O630</f>
        <v>0</v>
      </c>
      <c r="Q630" s="45" t="n">
        <f aca="false">IF(D630="Purchase",E630*M630,0)</f>
        <v>650</v>
      </c>
    </row>
    <row r="631" customFormat="false" ht="15" hidden="false" customHeight="false" outlineLevel="0" collapsed="false">
      <c r="A631" s="39" t="s">
        <v>955</v>
      </c>
      <c r="B631" s="44" t="n">
        <v>46245</v>
      </c>
      <c r="C631" s="39" t="s">
        <v>148</v>
      </c>
      <c r="D631" s="39" t="s">
        <v>138</v>
      </c>
      <c r="E631" s="39" t="n">
        <v>25</v>
      </c>
      <c r="F631" s="39" t="str">
        <f aca="false">IF(COUNTIF(medicine_master!$A$2:$A$26,C631)&gt;0,"Valid","Invalid")</f>
        <v>Valid</v>
      </c>
      <c r="G631" s="39" t="str">
        <f aca="false">IFERROR(INDEX(medicine_master!$B$2:$B$26,MATCH($C631,medicine_master!$A$2:$A$26,0)),"Not found")</f>
        <v>Dextromethorphan Syrup</v>
      </c>
      <c r="H631" s="39" t="str">
        <f aca="false">IFERROR(INDEX(medicine_master!$C$2:$C$26,MATCH($C631,medicine_master!$A$2:$A$26,0)),"Not found")</f>
        <v>Cold &amp; Cough</v>
      </c>
      <c r="I631" s="39" t="n">
        <f aca="false">YEAR(B631)</f>
        <v>2026</v>
      </c>
      <c r="J631" s="39" t="n">
        <f aca="false">MONTH(B631)</f>
        <v>8</v>
      </c>
      <c r="K631" s="39" t="str">
        <f aca="false">TEXT(B631,"mmm")</f>
        <v>Aug</v>
      </c>
      <c r="L631" s="45" t="n">
        <f aca="false">IFERROR(INDEX(medicine_master!$I$2:$I$26,MATCH($C631,medicine_master!$A$2:$A$26,0)),0)</f>
        <v>80</v>
      </c>
      <c r="M631" s="45" t="n">
        <f aca="false">IFERROR(INDEX(medicine_master!$G$2:$G$26,MATCH($C631,medicine_master!$A$2:$A$26,0)),0)</f>
        <v>58</v>
      </c>
      <c r="N631" s="45" t="n">
        <f aca="false">IF(D631="Sale",E631*L631,0)</f>
        <v>0</v>
      </c>
      <c r="O631" s="45" t="n">
        <f aca="false">IF(D631="Sale",E631*M631,0)</f>
        <v>0</v>
      </c>
      <c r="P631" s="45" t="n">
        <f aca="false">N631-O631</f>
        <v>0</v>
      </c>
      <c r="Q631" s="45" t="n">
        <f aca="false">IF(D631="Purchase",E631*M631,0)</f>
        <v>1450</v>
      </c>
    </row>
    <row r="632" customFormat="false" ht="15" hidden="false" customHeight="false" outlineLevel="0" collapsed="false">
      <c r="A632" s="39" t="s">
        <v>956</v>
      </c>
      <c r="B632" s="44" t="n">
        <v>46153</v>
      </c>
      <c r="C632" s="39" t="s">
        <v>345</v>
      </c>
      <c r="D632" s="39" t="s">
        <v>138</v>
      </c>
      <c r="E632" s="39" t="n">
        <v>30</v>
      </c>
      <c r="F632" s="39" t="str">
        <f aca="false">IF(COUNTIF(medicine_master!$A$2:$A$26,C632)&gt;0,"Valid","Invalid")</f>
        <v>Valid</v>
      </c>
      <c r="G632" s="39" t="str">
        <f aca="false">IFERROR(INDEX(medicine_master!$B$2:$B$26,MATCH($C632,medicine_master!$A$2:$A$26,0)),"Not found")</f>
        <v>Paracetamol 500mg</v>
      </c>
      <c r="H632" s="39" t="str">
        <f aca="false">IFERROR(INDEX(medicine_master!$C$2:$C$26,MATCH($C632,medicine_master!$A$2:$A$26,0)),"Not found")</f>
        <v>Pain Relief</v>
      </c>
      <c r="I632" s="39" t="n">
        <f aca="false">YEAR(B632)</f>
        <v>2026</v>
      </c>
      <c r="J632" s="39" t="n">
        <f aca="false">MONTH(B632)</f>
        <v>5</v>
      </c>
      <c r="K632" s="39" t="str">
        <f aca="false">TEXT(B632,"mmm")</f>
        <v>May</v>
      </c>
      <c r="L632" s="45" t="n">
        <f aca="false">IFERROR(INDEX(medicine_master!$I$2:$I$26,MATCH($C632,medicine_master!$A$2:$A$26,0)),0)</f>
        <v>18</v>
      </c>
      <c r="M632" s="45" t="n">
        <f aca="false">IFERROR(INDEX(medicine_master!$G$2:$G$26,MATCH($C632,medicine_master!$A$2:$A$26,0)),0)</f>
        <v>12</v>
      </c>
      <c r="N632" s="45" t="n">
        <f aca="false">IF(D632="Sale",E632*L632,0)</f>
        <v>0</v>
      </c>
      <c r="O632" s="45" t="n">
        <f aca="false">IF(D632="Sale",E632*M632,0)</f>
        <v>0</v>
      </c>
      <c r="P632" s="45" t="n">
        <f aca="false">N632-O632</f>
        <v>0</v>
      </c>
      <c r="Q632" s="45" t="n">
        <f aca="false">IF(D632="Purchase",E632*M632,0)</f>
        <v>360</v>
      </c>
    </row>
    <row r="633" customFormat="false" ht="15" hidden="false" customHeight="false" outlineLevel="0" collapsed="false">
      <c r="A633" s="39" t="s">
        <v>957</v>
      </c>
      <c r="B633" s="44" t="n">
        <v>46176</v>
      </c>
      <c r="C633" s="39" t="s">
        <v>152</v>
      </c>
      <c r="D633" s="39" t="s">
        <v>137</v>
      </c>
      <c r="E633" s="39" t="n">
        <v>15</v>
      </c>
      <c r="F633" s="39" t="str">
        <f aca="false">IF(COUNTIF(medicine_master!$A$2:$A$26,C633)&gt;0,"Valid","Invalid")</f>
        <v>Valid</v>
      </c>
      <c r="G633" s="39" t="str">
        <f aca="false">IFERROR(INDEX(medicine_master!$B$2:$B$26,MATCH($C633,medicine_master!$A$2:$A$26,0)),"Not found")</f>
        <v>Amoxicillin 500mg</v>
      </c>
      <c r="H633" s="39" t="str">
        <f aca="false">IFERROR(INDEX(medicine_master!$C$2:$C$26,MATCH($C633,medicine_master!$A$2:$A$26,0)),"Not found")</f>
        <v>Antibiotic</v>
      </c>
      <c r="I633" s="39" t="n">
        <f aca="false">YEAR(B633)</f>
        <v>2026</v>
      </c>
      <c r="J633" s="39" t="n">
        <f aca="false">MONTH(B633)</f>
        <v>6</v>
      </c>
      <c r="K633" s="39" t="str">
        <f aca="false">TEXT(B633,"mmm")</f>
        <v>Jun</v>
      </c>
      <c r="L633" s="45" t="n">
        <f aca="false">IFERROR(INDEX(medicine_master!$I$2:$I$26,MATCH($C633,medicine_master!$A$2:$A$26,0)),0)</f>
        <v>40</v>
      </c>
      <c r="M633" s="45" t="n">
        <f aca="false">IFERROR(INDEX(medicine_master!$G$2:$G$26,MATCH($C633,medicine_master!$A$2:$A$26,0)),0)</f>
        <v>28</v>
      </c>
      <c r="N633" s="45" t="n">
        <f aca="false">IF(D633="Sale",E633*L633,0)</f>
        <v>600</v>
      </c>
      <c r="O633" s="45" t="n">
        <f aca="false">IF(D633="Sale",E633*M633,0)</f>
        <v>420</v>
      </c>
      <c r="P633" s="45" t="n">
        <f aca="false">N633-O633</f>
        <v>180</v>
      </c>
      <c r="Q633" s="45" t="n">
        <f aca="false">IF(D633="Purchase",E633*M633,0)</f>
        <v>0</v>
      </c>
    </row>
    <row r="634" customFormat="false" ht="15" hidden="false" customHeight="false" outlineLevel="0" collapsed="false">
      <c r="A634" s="39" t="s">
        <v>958</v>
      </c>
      <c r="B634" s="44" t="n">
        <v>46287</v>
      </c>
      <c r="C634" s="39" t="s">
        <v>146</v>
      </c>
      <c r="D634" s="39" t="s">
        <v>137</v>
      </c>
      <c r="E634" s="39" t="n">
        <v>10</v>
      </c>
      <c r="F634" s="39" t="str">
        <f aca="false">IF(COUNTIF(medicine_master!$A$2:$A$26,C634)&gt;0,"Valid","Invalid")</f>
        <v>Valid</v>
      </c>
      <c r="G634" s="39" t="str">
        <f aca="false">IFERROR(INDEX(medicine_master!$B$2:$B$26,MATCH($C634,medicine_master!$A$2:$A$26,0)),"Not found")</f>
        <v>Diclofenac Gel</v>
      </c>
      <c r="H634" s="39" t="str">
        <f aca="false">IFERROR(INDEX(medicine_master!$C$2:$C$26,MATCH($C634,medicine_master!$A$2:$A$26,0)),"Not found")</f>
        <v>Pain Relief</v>
      </c>
      <c r="I634" s="39" t="n">
        <f aca="false">YEAR(B634)</f>
        <v>2026</v>
      </c>
      <c r="J634" s="39" t="n">
        <f aca="false">MONTH(B634)</f>
        <v>9</v>
      </c>
      <c r="K634" s="39" t="str">
        <f aca="false">TEXT(B634,"mmm")</f>
        <v>Sep</v>
      </c>
      <c r="L634" s="45" t="n">
        <f aca="false">IFERROR(INDEX(medicine_master!$I$2:$I$26,MATCH($C634,medicine_master!$A$2:$A$26,0)),0)</f>
        <v>55</v>
      </c>
      <c r="M634" s="45" t="n">
        <f aca="false">IFERROR(INDEX(medicine_master!$G$2:$G$26,MATCH($C634,medicine_master!$A$2:$A$26,0)),0)</f>
        <v>38</v>
      </c>
      <c r="N634" s="45" t="n">
        <f aca="false">IF(D634="Sale",E634*L634,0)</f>
        <v>550</v>
      </c>
      <c r="O634" s="45" t="n">
        <f aca="false">IF(D634="Sale",E634*M634,0)</f>
        <v>380</v>
      </c>
      <c r="P634" s="45" t="n">
        <f aca="false">N634-O634</f>
        <v>170</v>
      </c>
      <c r="Q634" s="45" t="n">
        <f aca="false">IF(D634="Purchase",E634*M634,0)</f>
        <v>0</v>
      </c>
    </row>
    <row r="635" customFormat="false" ht="15" hidden="false" customHeight="false" outlineLevel="0" collapsed="false">
      <c r="A635" s="39" t="s">
        <v>959</v>
      </c>
      <c r="B635" s="44" t="n">
        <v>46082</v>
      </c>
      <c r="C635" s="39" t="s">
        <v>144</v>
      </c>
      <c r="D635" s="39" t="s">
        <v>137</v>
      </c>
      <c r="E635" s="39" t="n">
        <v>40</v>
      </c>
      <c r="F635" s="39" t="str">
        <f aca="false">IF(COUNTIF(medicine_master!$A$2:$A$26,C635)&gt;0,"Valid","Invalid")</f>
        <v>Valid</v>
      </c>
      <c r="G635" s="39" t="str">
        <f aca="false">IFERROR(INDEX(medicine_master!$B$2:$B$26,MATCH($C635,medicine_master!$A$2:$A$26,0)),"Not found")</f>
        <v>Glimepiride 2mg</v>
      </c>
      <c r="H635" s="39" t="str">
        <f aca="false">IFERROR(INDEX(medicine_master!$C$2:$C$26,MATCH($C635,medicine_master!$A$2:$A$26,0)),"Not found")</f>
        <v>Diabetes</v>
      </c>
      <c r="I635" s="39" t="n">
        <f aca="false">YEAR(B635)</f>
        <v>2026</v>
      </c>
      <c r="J635" s="39" t="n">
        <f aca="false">MONTH(B635)</f>
        <v>3</v>
      </c>
      <c r="K635" s="39" t="str">
        <f aca="false">TEXT(B635,"mmm")</f>
        <v>Mar</v>
      </c>
      <c r="L635" s="45" t="n">
        <f aca="false">IFERROR(INDEX(medicine_master!$I$2:$I$26,MATCH($C635,medicine_master!$A$2:$A$26,0)),0)</f>
        <v>52</v>
      </c>
      <c r="M635" s="45" t="n">
        <f aca="false">IFERROR(INDEX(medicine_master!$G$2:$G$26,MATCH($C635,medicine_master!$A$2:$A$26,0)),0)</f>
        <v>38</v>
      </c>
      <c r="N635" s="45" t="n">
        <f aca="false">IF(D635="Sale",E635*L635,0)</f>
        <v>2080</v>
      </c>
      <c r="O635" s="45" t="n">
        <f aca="false">IF(D635="Sale",E635*M635,0)</f>
        <v>1520</v>
      </c>
      <c r="P635" s="45" t="n">
        <f aca="false">N635-O635</f>
        <v>560</v>
      </c>
      <c r="Q635" s="45" t="n">
        <f aca="false">IF(D635="Purchase",E635*M635,0)</f>
        <v>0</v>
      </c>
    </row>
    <row r="636" customFormat="false" ht="15" hidden="false" customHeight="false" outlineLevel="0" collapsed="false">
      <c r="A636" s="39" t="s">
        <v>960</v>
      </c>
      <c r="B636" s="44" t="n">
        <v>46386</v>
      </c>
      <c r="C636" s="39" t="s">
        <v>144</v>
      </c>
      <c r="D636" s="39" t="s">
        <v>138</v>
      </c>
      <c r="E636" s="39" t="n">
        <v>15</v>
      </c>
      <c r="F636" s="39" t="str">
        <f aca="false">IF(COUNTIF(medicine_master!$A$2:$A$26,C636)&gt;0,"Valid","Invalid")</f>
        <v>Valid</v>
      </c>
      <c r="G636" s="39" t="str">
        <f aca="false">IFERROR(INDEX(medicine_master!$B$2:$B$26,MATCH($C636,medicine_master!$A$2:$A$26,0)),"Not found")</f>
        <v>Glimepiride 2mg</v>
      </c>
      <c r="H636" s="39" t="str">
        <f aca="false">IFERROR(INDEX(medicine_master!$C$2:$C$26,MATCH($C636,medicine_master!$A$2:$A$26,0)),"Not found")</f>
        <v>Diabetes</v>
      </c>
      <c r="I636" s="39" t="n">
        <f aca="false">YEAR(B636)</f>
        <v>2026</v>
      </c>
      <c r="J636" s="39" t="n">
        <f aca="false">MONTH(B636)</f>
        <v>12</v>
      </c>
      <c r="K636" s="39" t="str">
        <f aca="false">TEXT(B636,"mmm")</f>
        <v>Dec</v>
      </c>
      <c r="L636" s="45" t="n">
        <f aca="false">IFERROR(INDEX(medicine_master!$I$2:$I$26,MATCH($C636,medicine_master!$A$2:$A$26,0)),0)</f>
        <v>52</v>
      </c>
      <c r="M636" s="45" t="n">
        <f aca="false">IFERROR(INDEX(medicine_master!$G$2:$G$26,MATCH($C636,medicine_master!$A$2:$A$26,0)),0)</f>
        <v>38</v>
      </c>
      <c r="N636" s="45" t="n">
        <f aca="false">IF(D636="Sale",E636*L636,0)</f>
        <v>0</v>
      </c>
      <c r="O636" s="45" t="n">
        <f aca="false">IF(D636="Sale",E636*M636,0)</f>
        <v>0</v>
      </c>
      <c r="P636" s="45" t="n">
        <f aca="false">N636-O636</f>
        <v>0</v>
      </c>
      <c r="Q636" s="45" t="n">
        <f aca="false">IF(D636="Purchase",E636*M636,0)</f>
        <v>570</v>
      </c>
    </row>
    <row r="637" customFormat="false" ht="15" hidden="false" customHeight="false" outlineLevel="0" collapsed="false">
      <c r="A637" s="39" t="s">
        <v>961</v>
      </c>
      <c r="B637" s="44" t="n">
        <v>46153</v>
      </c>
      <c r="C637" s="39" t="s">
        <v>144</v>
      </c>
      <c r="D637" s="39" t="s">
        <v>138</v>
      </c>
      <c r="E637" s="39" t="n">
        <v>10</v>
      </c>
      <c r="F637" s="39" t="str">
        <f aca="false">IF(COUNTIF(medicine_master!$A$2:$A$26,C637)&gt;0,"Valid","Invalid")</f>
        <v>Valid</v>
      </c>
      <c r="G637" s="39" t="str">
        <f aca="false">IFERROR(INDEX(medicine_master!$B$2:$B$26,MATCH($C637,medicine_master!$A$2:$A$26,0)),"Not found")</f>
        <v>Glimepiride 2mg</v>
      </c>
      <c r="H637" s="39" t="str">
        <f aca="false">IFERROR(INDEX(medicine_master!$C$2:$C$26,MATCH($C637,medicine_master!$A$2:$A$26,0)),"Not found")</f>
        <v>Diabetes</v>
      </c>
      <c r="I637" s="39" t="n">
        <f aca="false">YEAR(B637)</f>
        <v>2026</v>
      </c>
      <c r="J637" s="39" t="n">
        <f aca="false">MONTH(B637)</f>
        <v>5</v>
      </c>
      <c r="K637" s="39" t="str">
        <f aca="false">TEXT(B637,"mmm")</f>
        <v>May</v>
      </c>
      <c r="L637" s="45" t="n">
        <f aca="false">IFERROR(INDEX(medicine_master!$I$2:$I$26,MATCH($C637,medicine_master!$A$2:$A$26,0)),0)</f>
        <v>52</v>
      </c>
      <c r="M637" s="45" t="n">
        <f aca="false">IFERROR(INDEX(medicine_master!$G$2:$G$26,MATCH($C637,medicine_master!$A$2:$A$26,0)),0)</f>
        <v>38</v>
      </c>
      <c r="N637" s="45" t="n">
        <f aca="false">IF(D637="Sale",E637*L637,0)</f>
        <v>0</v>
      </c>
      <c r="O637" s="45" t="n">
        <f aca="false">IF(D637="Sale",E637*M637,0)</f>
        <v>0</v>
      </c>
      <c r="P637" s="45" t="n">
        <f aca="false">N637-O637</f>
        <v>0</v>
      </c>
      <c r="Q637" s="45" t="n">
        <f aca="false">IF(D637="Purchase",E637*M637,0)</f>
        <v>380</v>
      </c>
    </row>
    <row r="638" customFormat="false" ht="15" hidden="false" customHeight="false" outlineLevel="0" collapsed="false">
      <c r="A638" s="39" t="s">
        <v>962</v>
      </c>
      <c r="B638" s="44" t="n">
        <v>46299</v>
      </c>
      <c r="C638" s="39" t="s">
        <v>147</v>
      </c>
      <c r="D638" s="39" t="s">
        <v>138</v>
      </c>
      <c r="E638" s="39" t="n">
        <v>30</v>
      </c>
      <c r="F638" s="39" t="str">
        <f aca="false">IF(COUNTIF(medicine_master!$A$2:$A$26,C638)&gt;0,"Valid","Invalid")</f>
        <v>Valid</v>
      </c>
      <c r="G638" s="39" t="str">
        <f aca="false">IFERROR(INDEX(medicine_master!$B$2:$B$26,MATCH($C638,medicine_master!$A$2:$A$26,0)),"Not found")</f>
        <v>Insulin Injection</v>
      </c>
      <c r="H638" s="39" t="str">
        <f aca="false">IFERROR(INDEX(medicine_master!$C$2:$C$26,MATCH($C638,medicine_master!$A$2:$A$26,0)),"Not found")</f>
        <v>Diabetes</v>
      </c>
      <c r="I638" s="39" t="n">
        <f aca="false">YEAR(B638)</f>
        <v>2026</v>
      </c>
      <c r="J638" s="39" t="n">
        <f aca="false">MONTH(B638)</f>
        <v>10</v>
      </c>
      <c r="K638" s="39" t="str">
        <f aca="false">TEXT(B638,"mmm")</f>
        <v>Oct</v>
      </c>
      <c r="L638" s="45" t="n">
        <f aca="false">IFERROR(INDEX(medicine_master!$I$2:$I$26,MATCH($C638,medicine_master!$A$2:$A$26,0)),0)</f>
        <v>225</v>
      </c>
      <c r="M638" s="45" t="n">
        <f aca="false">IFERROR(INDEX(medicine_master!$G$2:$G$26,MATCH($C638,medicine_master!$A$2:$A$26,0)),0)</f>
        <v>165</v>
      </c>
      <c r="N638" s="45" t="n">
        <f aca="false">IF(D638="Sale",E638*L638,0)</f>
        <v>0</v>
      </c>
      <c r="O638" s="45" t="n">
        <f aca="false">IF(D638="Sale",E638*M638,0)</f>
        <v>0</v>
      </c>
      <c r="P638" s="45" t="n">
        <f aca="false">N638-O638</f>
        <v>0</v>
      </c>
      <c r="Q638" s="45" t="n">
        <f aca="false">IF(D638="Purchase",E638*M638,0)</f>
        <v>4950</v>
      </c>
    </row>
    <row r="639" customFormat="false" ht="15" hidden="false" customHeight="false" outlineLevel="0" collapsed="false">
      <c r="A639" s="39" t="s">
        <v>963</v>
      </c>
      <c r="B639" s="44" t="n">
        <v>46185</v>
      </c>
      <c r="C639" s="39" t="s">
        <v>146</v>
      </c>
      <c r="D639" s="39" t="s">
        <v>137</v>
      </c>
      <c r="E639" s="39" t="n">
        <v>30</v>
      </c>
      <c r="F639" s="39" t="str">
        <f aca="false">IF(COUNTIF(medicine_master!$A$2:$A$26,C639)&gt;0,"Valid","Invalid")</f>
        <v>Valid</v>
      </c>
      <c r="G639" s="39" t="str">
        <f aca="false">IFERROR(INDEX(medicine_master!$B$2:$B$26,MATCH($C639,medicine_master!$A$2:$A$26,0)),"Not found")</f>
        <v>Diclofenac Gel</v>
      </c>
      <c r="H639" s="39" t="str">
        <f aca="false">IFERROR(INDEX(medicine_master!$C$2:$C$26,MATCH($C639,medicine_master!$A$2:$A$26,0)),"Not found")</f>
        <v>Pain Relief</v>
      </c>
      <c r="I639" s="39" t="n">
        <f aca="false">YEAR(B639)</f>
        <v>2026</v>
      </c>
      <c r="J639" s="39" t="n">
        <f aca="false">MONTH(B639)</f>
        <v>6</v>
      </c>
      <c r="K639" s="39" t="str">
        <f aca="false">TEXT(B639,"mmm")</f>
        <v>Jun</v>
      </c>
      <c r="L639" s="45" t="n">
        <f aca="false">IFERROR(INDEX(medicine_master!$I$2:$I$26,MATCH($C639,medicine_master!$A$2:$A$26,0)),0)</f>
        <v>55</v>
      </c>
      <c r="M639" s="45" t="n">
        <f aca="false">IFERROR(INDEX(medicine_master!$G$2:$G$26,MATCH($C639,medicine_master!$A$2:$A$26,0)),0)</f>
        <v>38</v>
      </c>
      <c r="N639" s="45" t="n">
        <f aca="false">IF(D639="Sale",E639*L639,0)</f>
        <v>1650</v>
      </c>
      <c r="O639" s="45" t="n">
        <f aca="false">IF(D639="Sale",E639*M639,0)</f>
        <v>1140</v>
      </c>
      <c r="P639" s="45" t="n">
        <f aca="false">N639-O639</f>
        <v>510</v>
      </c>
      <c r="Q639" s="45" t="n">
        <f aca="false">IF(D639="Purchase",E639*M639,0)</f>
        <v>0</v>
      </c>
    </row>
    <row r="640" customFormat="false" ht="15" hidden="false" customHeight="false" outlineLevel="0" collapsed="false">
      <c r="A640" s="39" t="s">
        <v>964</v>
      </c>
      <c r="B640" s="44" t="n">
        <v>46360</v>
      </c>
      <c r="C640" s="39" t="s">
        <v>495</v>
      </c>
      <c r="D640" s="39" t="s">
        <v>137</v>
      </c>
      <c r="E640" s="39" t="n">
        <v>25</v>
      </c>
      <c r="F640" s="39" t="str">
        <f aca="false">IF(COUNTIF(medicine_master!$A$2:$A$26,C640)&gt;0,"Valid","Invalid")</f>
        <v>Valid</v>
      </c>
      <c r="G640" s="39" t="str">
        <f aca="false">IFERROR(INDEX(medicine_master!$B$2:$B$26,MATCH($C640,medicine_master!$A$2:$A$26,0)),"Not found")</f>
        <v>Metformin 500mg</v>
      </c>
      <c r="H640" s="39" t="str">
        <f aca="false">IFERROR(INDEX(medicine_master!$C$2:$C$26,MATCH($C640,medicine_master!$A$2:$A$26,0)),"Not found")</f>
        <v>Diabetes</v>
      </c>
      <c r="I640" s="39" t="n">
        <f aca="false">YEAR(B640)</f>
        <v>2026</v>
      </c>
      <c r="J640" s="39" t="n">
        <f aca="false">MONTH(B640)</f>
        <v>12</v>
      </c>
      <c r="K640" s="39" t="str">
        <f aca="false">TEXT(B640,"mmm")</f>
        <v>Dec</v>
      </c>
      <c r="L640" s="45" t="n">
        <f aca="false">IFERROR(INDEX(medicine_master!$I$2:$I$26,MATCH($C640,medicine_master!$A$2:$A$26,0)),0)</f>
        <v>24</v>
      </c>
      <c r="M640" s="45" t="n">
        <f aca="false">IFERROR(INDEX(medicine_master!$G$2:$G$26,MATCH($C640,medicine_master!$A$2:$A$26,0)),0)</f>
        <v>16</v>
      </c>
      <c r="N640" s="45" t="n">
        <f aca="false">IF(D640="Sale",E640*L640,0)</f>
        <v>600</v>
      </c>
      <c r="O640" s="45" t="n">
        <f aca="false">IF(D640="Sale",E640*M640,0)</f>
        <v>400</v>
      </c>
      <c r="P640" s="45" t="n">
        <f aca="false">N640-O640</f>
        <v>200</v>
      </c>
      <c r="Q640" s="45" t="n">
        <f aca="false">IF(D640="Purchase",E640*M640,0)</f>
        <v>0</v>
      </c>
    </row>
    <row r="641" customFormat="false" ht="15" hidden="false" customHeight="false" outlineLevel="0" collapsed="false">
      <c r="A641" s="39" t="s">
        <v>965</v>
      </c>
      <c r="B641" s="44" t="n">
        <v>46172</v>
      </c>
      <c r="C641" s="39" t="s">
        <v>145</v>
      </c>
      <c r="D641" s="39" t="s">
        <v>137</v>
      </c>
      <c r="E641" s="39" t="n">
        <v>20</v>
      </c>
      <c r="F641" s="39" t="str">
        <f aca="false">IF(COUNTIF(medicine_master!$A$2:$A$26,C641)&gt;0,"Valid","Invalid")</f>
        <v>Valid</v>
      </c>
      <c r="G641" s="39" t="str">
        <f aca="false">IFERROR(INDEX(medicine_master!$B$2:$B$26,MATCH($C641,medicine_master!$A$2:$A$26,0)),"Not found")</f>
        <v>Clotrimazole Cream</v>
      </c>
      <c r="H641" s="39" t="str">
        <f aca="false">IFERROR(INDEX(medicine_master!$C$2:$C$26,MATCH($C641,medicine_master!$A$2:$A$26,0)),"Not found")</f>
        <v>Dermatology</v>
      </c>
      <c r="I641" s="39" t="n">
        <f aca="false">YEAR(B641)</f>
        <v>2026</v>
      </c>
      <c r="J641" s="39" t="n">
        <f aca="false">MONTH(B641)</f>
        <v>5</v>
      </c>
      <c r="K641" s="39" t="str">
        <f aca="false">TEXT(B641,"mmm")</f>
        <v>May</v>
      </c>
      <c r="L641" s="45" t="n">
        <f aca="false">IFERROR(INDEX(medicine_master!$I$2:$I$26,MATCH($C641,medicine_master!$A$2:$A$26,0)),0)</f>
        <v>48</v>
      </c>
      <c r="M641" s="45" t="n">
        <f aca="false">IFERROR(INDEX(medicine_master!$G$2:$G$26,MATCH($C641,medicine_master!$A$2:$A$26,0)),0)</f>
        <v>32</v>
      </c>
      <c r="N641" s="45" t="n">
        <f aca="false">IF(D641="Sale",E641*L641,0)</f>
        <v>960</v>
      </c>
      <c r="O641" s="45" t="n">
        <f aca="false">IF(D641="Sale",E641*M641,0)</f>
        <v>640</v>
      </c>
      <c r="P641" s="45" t="n">
        <f aca="false">N641-O641</f>
        <v>320</v>
      </c>
      <c r="Q641" s="45" t="n">
        <f aca="false">IF(D641="Purchase",E641*M641,0)</f>
        <v>0</v>
      </c>
    </row>
    <row r="642" customFormat="false" ht="15" hidden="false" customHeight="false" outlineLevel="0" collapsed="false">
      <c r="A642" s="39" t="s">
        <v>966</v>
      </c>
      <c r="B642" s="44" t="n">
        <v>46293</v>
      </c>
      <c r="C642" s="39" t="s">
        <v>151</v>
      </c>
      <c r="D642" s="39" t="s">
        <v>138</v>
      </c>
      <c r="E642" s="39" t="n">
        <v>30</v>
      </c>
      <c r="F642" s="39" t="str">
        <f aca="false">IF(COUNTIF(medicine_master!$A$2:$A$26,C642)&gt;0,"Valid","Invalid")</f>
        <v>Valid</v>
      </c>
      <c r="G642" s="39" t="str">
        <f aca="false">IFERROR(INDEX(medicine_master!$B$2:$B$26,MATCH($C642,medicine_master!$A$2:$A$26,0)),"Not found")</f>
        <v>Cetirizine 10mg</v>
      </c>
      <c r="H642" s="39" t="str">
        <f aca="false">IFERROR(INDEX(medicine_master!$C$2:$C$26,MATCH($C642,medicine_master!$A$2:$A$26,0)),"Not found")</f>
        <v>Allergy</v>
      </c>
      <c r="I642" s="39" t="n">
        <f aca="false">YEAR(B642)</f>
        <v>2026</v>
      </c>
      <c r="J642" s="39" t="n">
        <f aca="false">MONTH(B642)</f>
        <v>9</v>
      </c>
      <c r="K642" s="39" t="str">
        <f aca="false">TEXT(B642,"mmm")</f>
        <v>Sep</v>
      </c>
      <c r="L642" s="45" t="n">
        <f aca="false">IFERROR(INDEX(medicine_master!$I$2:$I$26,MATCH($C642,medicine_master!$A$2:$A$26,0)),0)</f>
        <v>13</v>
      </c>
      <c r="M642" s="45" t="n">
        <f aca="false">IFERROR(INDEX(medicine_master!$G$2:$G$26,MATCH($C642,medicine_master!$A$2:$A$26,0)),0)</f>
        <v>8</v>
      </c>
      <c r="N642" s="45" t="n">
        <f aca="false">IF(D642="Sale",E642*L642,0)</f>
        <v>0</v>
      </c>
      <c r="O642" s="45" t="n">
        <f aca="false">IF(D642="Sale",E642*M642,0)</f>
        <v>0</v>
      </c>
      <c r="P642" s="45" t="n">
        <f aca="false">N642-O642</f>
        <v>0</v>
      </c>
      <c r="Q642" s="45" t="n">
        <f aca="false">IF(D642="Purchase",E642*M642,0)</f>
        <v>240</v>
      </c>
    </row>
    <row r="643" customFormat="false" ht="15" hidden="false" customHeight="false" outlineLevel="0" collapsed="false">
      <c r="A643" s="39" t="s">
        <v>967</v>
      </c>
      <c r="B643" s="44" t="n">
        <v>46088</v>
      </c>
      <c r="C643" s="39" t="s">
        <v>151</v>
      </c>
      <c r="D643" s="39" t="s">
        <v>137</v>
      </c>
      <c r="E643" s="39" t="n">
        <v>5</v>
      </c>
      <c r="F643" s="39" t="str">
        <f aca="false">IF(COUNTIF(medicine_master!$A$2:$A$26,C643)&gt;0,"Valid","Invalid")</f>
        <v>Valid</v>
      </c>
      <c r="G643" s="39" t="str">
        <f aca="false">IFERROR(INDEX(medicine_master!$B$2:$B$26,MATCH($C643,medicine_master!$A$2:$A$26,0)),"Not found")</f>
        <v>Cetirizine 10mg</v>
      </c>
      <c r="H643" s="39" t="str">
        <f aca="false">IFERROR(INDEX(medicine_master!$C$2:$C$26,MATCH($C643,medicine_master!$A$2:$A$26,0)),"Not found")</f>
        <v>Allergy</v>
      </c>
      <c r="I643" s="39" t="n">
        <f aca="false">YEAR(B643)</f>
        <v>2026</v>
      </c>
      <c r="J643" s="39" t="n">
        <f aca="false">MONTH(B643)</f>
        <v>3</v>
      </c>
      <c r="K643" s="39" t="str">
        <f aca="false">TEXT(B643,"mmm")</f>
        <v>Mar</v>
      </c>
      <c r="L643" s="45" t="n">
        <f aca="false">IFERROR(INDEX(medicine_master!$I$2:$I$26,MATCH($C643,medicine_master!$A$2:$A$26,0)),0)</f>
        <v>13</v>
      </c>
      <c r="M643" s="45" t="n">
        <f aca="false">IFERROR(INDEX(medicine_master!$G$2:$G$26,MATCH($C643,medicine_master!$A$2:$A$26,0)),0)</f>
        <v>8</v>
      </c>
      <c r="N643" s="45" t="n">
        <f aca="false">IF(D643="Sale",E643*L643,0)</f>
        <v>65</v>
      </c>
      <c r="O643" s="45" t="n">
        <f aca="false">IF(D643="Sale",E643*M643,0)</f>
        <v>40</v>
      </c>
      <c r="P643" s="45" t="n">
        <f aca="false">N643-O643</f>
        <v>25</v>
      </c>
      <c r="Q643" s="45" t="n">
        <f aca="false">IF(D643="Purchase",E643*M643,0)</f>
        <v>0</v>
      </c>
    </row>
    <row r="644" customFormat="false" ht="15" hidden="false" customHeight="false" outlineLevel="0" collapsed="false">
      <c r="A644" s="39" t="s">
        <v>968</v>
      </c>
      <c r="B644" s="44" t="n">
        <v>46223</v>
      </c>
      <c r="C644" s="39" t="s">
        <v>146</v>
      </c>
      <c r="D644" s="39" t="s">
        <v>138</v>
      </c>
      <c r="E644" s="39" t="n">
        <v>30</v>
      </c>
      <c r="F644" s="39" t="str">
        <f aca="false">IF(COUNTIF(medicine_master!$A$2:$A$26,C644)&gt;0,"Valid","Invalid")</f>
        <v>Valid</v>
      </c>
      <c r="G644" s="39" t="str">
        <f aca="false">IFERROR(INDEX(medicine_master!$B$2:$B$26,MATCH($C644,medicine_master!$A$2:$A$26,0)),"Not found")</f>
        <v>Diclofenac Gel</v>
      </c>
      <c r="H644" s="39" t="str">
        <f aca="false">IFERROR(INDEX(medicine_master!$C$2:$C$26,MATCH($C644,medicine_master!$A$2:$A$26,0)),"Not found")</f>
        <v>Pain Relief</v>
      </c>
      <c r="I644" s="39" t="n">
        <f aca="false">YEAR(B644)</f>
        <v>2026</v>
      </c>
      <c r="J644" s="39" t="n">
        <f aca="false">MONTH(B644)</f>
        <v>7</v>
      </c>
      <c r="K644" s="39" t="str">
        <f aca="false">TEXT(B644,"mmm")</f>
        <v>Jul</v>
      </c>
      <c r="L644" s="45" t="n">
        <f aca="false">IFERROR(INDEX(medicine_master!$I$2:$I$26,MATCH($C644,medicine_master!$A$2:$A$26,0)),0)</f>
        <v>55</v>
      </c>
      <c r="M644" s="45" t="n">
        <f aca="false">IFERROR(INDEX(medicine_master!$G$2:$G$26,MATCH($C644,medicine_master!$A$2:$A$26,0)),0)</f>
        <v>38</v>
      </c>
      <c r="N644" s="45" t="n">
        <f aca="false">IF(D644="Sale",E644*L644,0)</f>
        <v>0</v>
      </c>
      <c r="O644" s="45" t="n">
        <f aca="false">IF(D644="Sale",E644*M644,0)</f>
        <v>0</v>
      </c>
      <c r="P644" s="45" t="n">
        <f aca="false">N644-O644</f>
        <v>0</v>
      </c>
      <c r="Q644" s="45" t="n">
        <f aca="false">IF(D644="Purchase",E644*M644,0)</f>
        <v>1140</v>
      </c>
    </row>
    <row r="645" customFormat="false" ht="15" hidden="false" customHeight="false" outlineLevel="0" collapsed="false">
      <c r="A645" s="39" t="s">
        <v>969</v>
      </c>
      <c r="B645" s="44" t="n">
        <v>46365</v>
      </c>
      <c r="C645" s="39" t="s">
        <v>151</v>
      </c>
      <c r="D645" s="39" t="s">
        <v>137</v>
      </c>
      <c r="E645" s="39" t="n">
        <v>20</v>
      </c>
      <c r="F645" s="39" t="str">
        <f aca="false">IF(COUNTIF(medicine_master!$A$2:$A$26,C645)&gt;0,"Valid","Invalid")</f>
        <v>Valid</v>
      </c>
      <c r="G645" s="39" t="str">
        <f aca="false">IFERROR(INDEX(medicine_master!$B$2:$B$26,MATCH($C645,medicine_master!$A$2:$A$26,0)),"Not found")</f>
        <v>Cetirizine 10mg</v>
      </c>
      <c r="H645" s="39" t="str">
        <f aca="false">IFERROR(INDEX(medicine_master!$C$2:$C$26,MATCH($C645,medicine_master!$A$2:$A$26,0)),"Not found")</f>
        <v>Allergy</v>
      </c>
      <c r="I645" s="39" t="n">
        <f aca="false">YEAR(B645)</f>
        <v>2026</v>
      </c>
      <c r="J645" s="39" t="n">
        <f aca="false">MONTH(B645)</f>
        <v>12</v>
      </c>
      <c r="K645" s="39" t="str">
        <f aca="false">TEXT(B645,"mmm")</f>
        <v>Dec</v>
      </c>
      <c r="L645" s="45" t="n">
        <f aca="false">IFERROR(INDEX(medicine_master!$I$2:$I$26,MATCH($C645,medicine_master!$A$2:$A$26,0)),0)</f>
        <v>13</v>
      </c>
      <c r="M645" s="45" t="n">
        <f aca="false">IFERROR(INDEX(medicine_master!$G$2:$G$26,MATCH($C645,medicine_master!$A$2:$A$26,0)),0)</f>
        <v>8</v>
      </c>
      <c r="N645" s="45" t="n">
        <f aca="false">IF(D645="Sale",E645*L645,0)</f>
        <v>260</v>
      </c>
      <c r="O645" s="45" t="n">
        <f aca="false">IF(D645="Sale",E645*M645,0)</f>
        <v>160</v>
      </c>
      <c r="P645" s="45" t="n">
        <f aca="false">N645-O645</f>
        <v>100</v>
      </c>
      <c r="Q645" s="45" t="n">
        <f aca="false">IF(D645="Purchase",E645*M645,0)</f>
        <v>0</v>
      </c>
    </row>
    <row r="646" customFormat="false" ht="15" hidden="false" customHeight="false" outlineLevel="0" collapsed="false">
      <c r="A646" s="39" t="s">
        <v>970</v>
      </c>
      <c r="B646" s="44" t="n">
        <v>46316</v>
      </c>
      <c r="C646" s="39" t="s">
        <v>159</v>
      </c>
      <c r="D646" s="39" t="s">
        <v>138</v>
      </c>
      <c r="E646" s="39" t="n">
        <v>5</v>
      </c>
      <c r="F646" s="39" t="str">
        <f aca="false">IF(COUNTIF(medicine_master!$A$2:$A$26,C646)&gt;0,"Valid","Invalid")</f>
        <v>Valid</v>
      </c>
      <c r="G646" s="39" t="str">
        <f aca="false">IFERROR(INDEX(medicine_master!$B$2:$B$26,MATCH($C646,medicine_master!$A$2:$A$26,0)),"Not found")</f>
        <v>Antiseptic Liquid 100ml</v>
      </c>
      <c r="H646" s="39" t="str">
        <f aca="false">IFERROR(INDEX(medicine_master!$C$2:$C$26,MATCH($C646,medicine_master!$A$2:$A$26,0)),"Not found")</f>
        <v>First Aid</v>
      </c>
      <c r="I646" s="39" t="n">
        <f aca="false">YEAR(B646)</f>
        <v>2026</v>
      </c>
      <c r="J646" s="39" t="n">
        <f aca="false">MONTH(B646)</f>
        <v>10</v>
      </c>
      <c r="K646" s="39" t="str">
        <f aca="false">TEXT(B646,"mmm")</f>
        <v>Oct</v>
      </c>
      <c r="L646" s="45" t="n">
        <f aca="false">IFERROR(INDEX(medicine_master!$I$2:$I$26,MATCH($C646,medicine_master!$A$2:$A$26,0)),0)</f>
        <v>65</v>
      </c>
      <c r="M646" s="45" t="n">
        <f aca="false">IFERROR(INDEX(medicine_master!$G$2:$G$26,MATCH($C646,medicine_master!$A$2:$A$26,0)),0)</f>
        <v>48</v>
      </c>
      <c r="N646" s="45" t="n">
        <f aca="false">IF(D646="Sale",E646*L646,0)</f>
        <v>0</v>
      </c>
      <c r="O646" s="45" t="n">
        <f aca="false">IF(D646="Sale",E646*M646,0)</f>
        <v>0</v>
      </c>
      <c r="P646" s="45" t="n">
        <f aca="false">N646-O646</f>
        <v>0</v>
      </c>
      <c r="Q646" s="45" t="n">
        <f aca="false">IF(D646="Purchase",E646*M646,0)</f>
        <v>240</v>
      </c>
    </row>
    <row r="647" customFormat="false" ht="15" hidden="false" customHeight="false" outlineLevel="0" collapsed="false">
      <c r="A647" s="39" t="s">
        <v>971</v>
      </c>
      <c r="B647" s="44" t="n">
        <v>46139</v>
      </c>
      <c r="C647" s="39" t="s">
        <v>390</v>
      </c>
      <c r="D647" s="39" t="s">
        <v>137</v>
      </c>
      <c r="E647" s="39" t="n">
        <v>40</v>
      </c>
      <c r="F647" s="39" t="str">
        <f aca="false">IF(COUNTIF(medicine_master!$A$2:$A$26,C647)&gt;0,"Valid","Invalid")</f>
        <v>Valid</v>
      </c>
      <c r="G647" s="39" t="str">
        <f aca="false">IFERROR(INDEX(medicine_master!$B$2:$B$26,MATCH($C647,medicine_master!$A$2:$A$26,0)),"Not found")</f>
        <v>Montelukast 10mg</v>
      </c>
      <c r="H647" s="39" t="str">
        <f aca="false">IFERROR(INDEX(medicine_master!$C$2:$C$26,MATCH($C647,medicine_master!$A$2:$A$26,0)),"Not found")</f>
        <v>Allergy</v>
      </c>
      <c r="I647" s="39" t="n">
        <f aca="false">YEAR(B647)</f>
        <v>2026</v>
      </c>
      <c r="J647" s="39" t="n">
        <f aca="false">MONTH(B647)</f>
        <v>4</v>
      </c>
      <c r="K647" s="39" t="str">
        <f aca="false">TEXT(B647,"mmm")</f>
        <v>Apr</v>
      </c>
      <c r="L647" s="45" t="n">
        <f aca="false">IFERROR(INDEX(medicine_master!$I$2:$I$26,MATCH($C647,medicine_master!$A$2:$A$26,0)),0)</f>
        <v>39</v>
      </c>
      <c r="M647" s="45" t="n">
        <f aca="false">IFERROR(INDEX(medicine_master!$G$2:$G$26,MATCH($C647,medicine_master!$A$2:$A$26,0)),0)</f>
        <v>27</v>
      </c>
      <c r="N647" s="45" t="n">
        <f aca="false">IF(D647="Sale",E647*L647,0)</f>
        <v>1560</v>
      </c>
      <c r="O647" s="45" t="n">
        <f aca="false">IF(D647="Sale",E647*M647,0)</f>
        <v>1080</v>
      </c>
      <c r="P647" s="45" t="n">
        <f aca="false">N647-O647</f>
        <v>480</v>
      </c>
      <c r="Q647" s="45" t="n">
        <f aca="false">IF(D647="Purchase",E647*M647,0)</f>
        <v>0</v>
      </c>
    </row>
    <row r="648" customFormat="false" ht="15" hidden="false" customHeight="false" outlineLevel="0" collapsed="false">
      <c r="A648" s="39" t="s">
        <v>972</v>
      </c>
      <c r="B648" s="44" t="n">
        <v>46061</v>
      </c>
      <c r="C648" s="39" t="s">
        <v>326</v>
      </c>
      <c r="D648" s="39" t="s">
        <v>137</v>
      </c>
      <c r="E648" s="39" t="n">
        <v>25</v>
      </c>
      <c r="F648" s="39" t="str">
        <f aca="false">IF(COUNTIF(medicine_master!$A$2:$A$26,C648)&gt;0,"Valid","Invalid")</f>
        <v>Valid</v>
      </c>
      <c r="G648" s="39" t="str">
        <f aca="false">IFERROR(INDEX(medicine_master!$B$2:$B$26,MATCH($C648,medicine_master!$A$2:$A$26,0)),"Not found")</f>
        <v>Omeprazole 20mg</v>
      </c>
      <c r="H648" s="39" t="str">
        <f aca="false">IFERROR(INDEX(medicine_master!$C$2:$C$26,MATCH($C648,medicine_master!$A$2:$A$26,0)),"Not found")</f>
        <v>Gastric</v>
      </c>
      <c r="I648" s="39" t="n">
        <f aca="false">YEAR(B648)</f>
        <v>2026</v>
      </c>
      <c r="J648" s="39" t="n">
        <f aca="false">MONTH(B648)</f>
        <v>2</v>
      </c>
      <c r="K648" s="39" t="str">
        <f aca="false">TEXT(B648,"mmm")</f>
        <v>Feb</v>
      </c>
      <c r="L648" s="45" t="n">
        <f aca="false">IFERROR(INDEX(medicine_master!$I$2:$I$26,MATCH($C648,medicine_master!$A$2:$A$26,0)),0)</f>
        <v>26</v>
      </c>
      <c r="M648" s="45" t="n">
        <f aca="false">IFERROR(INDEX(medicine_master!$G$2:$G$26,MATCH($C648,medicine_master!$A$2:$A$26,0)),0)</f>
        <v>18</v>
      </c>
      <c r="N648" s="45" t="n">
        <f aca="false">IF(D648="Sale",E648*L648,0)</f>
        <v>650</v>
      </c>
      <c r="O648" s="45" t="n">
        <f aca="false">IF(D648="Sale",E648*M648,0)</f>
        <v>450</v>
      </c>
      <c r="P648" s="45" t="n">
        <f aca="false">N648-O648</f>
        <v>200</v>
      </c>
      <c r="Q648" s="45" t="n">
        <f aca="false">IF(D648="Purchase",E648*M648,0)</f>
        <v>0</v>
      </c>
    </row>
    <row r="649" customFormat="false" ht="15" hidden="false" customHeight="false" outlineLevel="0" collapsed="false">
      <c r="A649" s="39" t="s">
        <v>973</v>
      </c>
      <c r="B649" s="44" t="n">
        <v>46232</v>
      </c>
      <c r="C649" s="39" t="s">
        <v>404</v>
      </c>
      <c r="D649" s="39" t="s">
        <v>137</v>
      </c>
      <c r="E649" s="39" t="n">
        <v>25</v>
      </c>
      <c r="F649" s="39" t="str">
        <f aca="false">IF(COUNTIF(medicine_master!$A$2:$A$26,C649)&gt;0,"Valid","Invalid")</f>
        <v>Valid</v>
      </c>
      <c r="G649" s="39" t="str">
        <f aca="false">IFERROR(INDEX(medicine_master!$B$2:$B$26,MATCH($C649,medicine_master!$A$2:$A$26,0)),"Not found")</f>
        <v>ORS Sachet</v>
      </c>
      <c r="H649" s="39" t="str">
        <f aca="false">IFERROR(INDEX(medicine_master!$C$2:$C$26,MATCH($C649,medicine_master!$A$2:$A$26,0)),"Not found")</f>
        <v>First Aid</v>
      </c>
      <c r="I649" s="39" t="n">
        <f aca="false">YEAR(B649)</f>
        <v>2026</v>
      </c>
      <c r="J649" s="39" t="n">
        <f aca="false">MONTH(B649)</f>
        <v>7</v>
      </c>
      <c r="K649" s="39" t="str">
        <f aca="false">TEXT(B649,"mmm")</f>
        <v>Jul</v>
      </c>
      <c r="L649" s="45" t="n">
        <f aca="false">IFERROR(INDEX(medicine_master!$I$2:$I$26,MATCH($C649,medicine_master!$A$2:$A$26,0)),0)</f>
        <v>10</v>
      </c>
      <c r="M649" s="45" t="n">
        <f aca="false">IFERROR(INDEX(medicine_master!$G$2:$G$26,MATCH($C649,medicine_master!$A$2:$A$26,0)),0)</f>
        <v>6</v>
      </c>
      <c r="N649" s="45" t="n">
        <f aca="false">IF(D649="Sale",E649*L649,0)</f>
        <v>250</v>
      </c>
      <c r="O649" s="45" t="n">
        <f aca="false">IF(D649="Sale",E649*M649,0)</f>
        <v>150</v>
      </c>
      <c r="P649" s="45" t="n">
        <f aca="false">N649-O649</f>
        <v>100</v>
      </c>
      <c r="Q649" s="45" t="n">
        <f aca="false">IF(D649="Purchase",E649*M649,0)</f>
        <v>0</v>
      </c>
    </row>
    <row r="650" customFormat="false" ht="15" hidden="false" customHeight="false" outlineLevel="0" collapsed="false">
      <c r="A650" s="39" t="s">
        <v>974</v>
      </c>
      <c r="B650" s="44" t="n">
        <v>46113</v>
      </c>
      <c r="C650" s="39" t="s">
        <v>179</v>
      </c>
      <c r="D650" s="39" t="s">
        <v>137</v>
      </c>
      <c r="E650" s="39" t="n">
        <v>20</v>
      </c>
      <c r="F650" s="39" t="str">
        <f aca="false">IF(COUNTIF(medicine_master!$A$2:$A$26,C650)&gt;0,"Valid","Invalid")</f>
        <v>Valid</v>
      </c>
      <c r="G650" s="39" t="str">
        <f aca="false">IFERROR(INDEX(medicine_master!$B$2:$B$26,MATCH($C650,medicine_master!$A$2:$A$26,0)),"Not found")</f>
        <v>Ibuprofen 400mg</v>
      </c>
      <c r="H650" s="39" t="str">
        <f aca="false">IFERROR(INDEX(medicine_master!$C$2:$C$26,MATCH($C650,medicine_master!$A$2:$A$26,0)),"Not found")</f>
        <v>Pain Relief</v>
      </c>
      <c r="I650" s="39" t="n">
        <f aca="false">YEAR(B650)</f>
        <v>2026</v>
      </c>
      <c r="J650" s="39" t="n">
        <f aca="false">MONTH(B650)</f>
        <v>4</v>
      </c>
      <c r="K650" s="39" t="str">
        <f aca="false">TEXT(B650,"mmm")</f>
        <v>Apr</v>
      </c>
      <c r="L650" s="45" t="n">
        <f aca="false">IFERROR(INDEX(medicine_master!$I$2:$I$26,MATCH($C650,medicine_master!$A$2:$A$26,0)),0)</f>
        <v>30</v>
      </c>
      <c r="M650" s="45" t="n">
        <f aca="false">IFERROR(INDEX(medicine_master!$G$2:$G$26,MATCH($C650,medicine_master!$A$2:$A$26,0)),0)</f>
        <v>22</v>
      </c>
      <c r="N650" s="45" t="n">
        <f aca="false">IF(D650="Sale",E650*L650,0)</f>
        <v>600</v>
      </c>
      <c r="O650" s="45" t="n">
        <f aca="false">IF(D650="Sale",E650*M650,0)</f>
        <v>440</v>
      </c>
      <c r="P650" s="45" t="n">
        <f aca="false">N650-O650</f>
        <v>160</v>
      </c>
      <c r="Q650" s="45" t="n">
        <f aca="false">IF(D650="Purchase",E650*M650,0)</f>
        <v>0</v>
      </c>
    </row>
    <row r="651" customFormat="false" ht="15" hidden="false" customHeight="false" outlineLevel="0" collapsed="false">
      <c r="A651" s="39" t="s">
        <v>975</v>
      </c>
      <c r="B651" s="44" t="n">
        <v>46122</v>
      </c>
      <c r="C651" s="39" t="s">
        <v>390</v>
      </c>
      <c r="D651" s="39" t="s">
        <v>137</v>
      </c>
      <c r="E651" s="39" t="n">
        <v>20</v>
      </c>
      <c r="F651" s="39" t="str">
        <f aca="false">IF(COUNTIF(medicine_master!$A$2:$A$26,C651)&gt;0,"Valid","Invalid")</f>
        <v>Valid</v>
      </c>
      <c r="G651" s="39" t="str">
        <f aca="false">IFERROR(INDEX(medicine_master!$B$2:$B$26,MATCH($C651,medicine_master!$A$2:$A$26,0)),"Not found")</f>
        <v>Montelukast 10mg</v>
      </c>
      <c r="H651" s="39" t="str">
        <f aca="false">IFERROR(INDEX(medicine_master!$C$2:$C$26,MATCH($C651,medicine_master!$A$2:$A$26,0)),"Not found")</f>
        <v>Allergy</v>
      </c>
      <c r="I651" s="39" t="n">
        <f aca="false">YEAR(B651)</f>
        <v>2026</v>
      </c>
      <c r="J651" s="39" t="n">
        <f aca="false">MONTH(B651)</f>
        <v>4</v>
      </c>
      <c r="K651" s="39" t="str">
        <f aca="false">TEXT(B651,"mmm")</f>
        <v>Apr</v>
      </c>
      <c r="L651" s="45" t="n">
        <f aca="false">IFERROR(INDEX(medicine_master!$I$2:$I$26,MATCH($C651,medicine_master!$A$2:$A$26,0)),0)</f>
        <v>39</v>
      </c>
      <c r="M651" s="45" t="n">
        <f aca="false">IFERROR(INDEX(medicine_master!$G$2:$G$26,MATCH($C651,medicine_master!$A$2:$A$26,0)),0)</f>
        <v>27</v>
      </c>
      <c r="N651" s="45" t="n">
        <f aca="false">IF(D651="Sale",E651*L651,0)</f>
        <v>780</v>
      </c>
      <c r="O651" s="45" t="n">
        <f aca="false">IF(D651="Sale",E651*M651,0)</f>
        <v>540</v>
      </c>
      <c r="P651" s="45" t="n">
        <f aca="false">N651-O651</f>
        <v>240</v>
      </c>
      <c r="Q651" s="45" t="n">
        <f aca="false">IF(D651="Purchase",E651*M651,0)</f>
        <v>0</v>
      </c>
    </row>
    <row r="652" customFormat="false" ht="15" hidden="false" customHeight="false" outlineLevel="0" collapsed="false">
      <c r="A652" s="39" t="s">
        <v>976</v>
      </c>
      <c r="B652" s="44" t="n">
        <v>46052</v>
      </c>
      <c r="C652" s="39" t="s">
        <v>153</v>
      </c>
      <c r="D652" s="39" t="s">
        <v>137</v>
      </c>
      <c r="E652" s="39" t="n">
        <v>5</v>
      </c>
      <c r="F652" s="39" t="str">
        <f aca="false">IF(COUNTIF(medicine_master!$A$2:$A$26,C652)&gt;0,"Valid","Invalid")</f>
        <v>Valid</v>
      </c>
      <c r="G652" s="39" t="str">
        <f aca="false">IFERROR(INDEX(medicine_master!$B$2:$B$26,MATCH($C652,medicine_master!$A$2:$A$26,0)),"Not found")</f>
        <v>Atorvastatin 10mg</v>
      </c>
      <c r="H652" s="39" t="str">
        <f aca="false">IFERROR(INDEX(medicine_master!$C$2:$C$26,MATCH($C652,medicine_master!$A$2:$A$26,0)),"Not found")</f>
        <v>Cardiac</v>
      </c>
      <c r="I652" s="39" t="n">
        <f aca="false">YEAR(B652)</f>
        <v>2026</v>
      </c>
      <c r="J652" s="39" t="n">
        <f aca="false">MONTH(B652)</f>
        <v>1</v>
      </c>
      <c r="K652" s="39" t="str">
        <f aca="false">TEXT(B652,"mmm")</f>
        <v>Jan</v>
      </c>
      <c r="L652" s="45" t="n">
        <f aca="false">IFERROR(INDEX(medicine_master!$I$2:$I$26,MATCH($C652,medicine_master!$A$2:$A$26,0)),0)</f>
        <v>28</v>
      </c>
      <c r="M652" s="45" t="n">
        <f aca="false">IFERROR(INDEX(medicine_master!$G$2:$G$26,MATCH($C652,medicine_master!$A$2:$A$26,0)),0)</f>
        <v>19</v>
      </c>
      <c r="N652" s="45" t="n">
        <f aca="false">IF(D652="Sale",E652*L652,0)</f>
        <v>140</v>
      </c>
      <c r="O652" s="45" t="n">
        <f aca="false">IF(D652="Sale",E652*M652,0)</f>
        <v>95</v>
      </c>
      <c r="P652" s="45" t="n">
        <f aca="false">N652-O652</f>
        <v>45</v>
      </c>
      <c r="Q652" s="45" t="n">
        <f aca="false">IF(D652="Purchase",E652*M652,0)</f>
        <v>0</v>
      </c>
    </row>
    <row r="653" customFormat="false" ht="15" hidden="false" customHeight="false" outlineLevel="0" collapsed="false">
      <c r="A653" s="39" t="s">
        <v>977</v>
      </c>
      <c r="B653" s="44" t="n">
        <v>46366</v>
      </c>
      <c r="C653" s="39" t="s">
        <v>153</v>
      </c>
      <c r="D653" s="39" t="s">
        <v>137</v>
      </c>
      <c r="E653" s="39" t="n">
        <v>15</v>
      </c>
      <c r="F653" s="39" t="str">
        <f aca="false">IF(COUNTIF(medicine_master!$A$2:$A$26,C653)&gt;0,"Valid","Invalid")</f>
        <v>Valid</v>
      </c>
      <c r="G653" s="39" t="str">
        <f aca="false">IFERROR(INDEX(medicine_master!$B$2:$B$26,MATCH($C653,medicine_master!$A$2:$A$26,0)),"Not found")</f>
        <v>Atorvastatin 10mg</v>
      </c>
      <c r="H653" s="39" t="str">
        <f aca="false">IFERROR(INDEX(medicine_master!$C$2:$C$26,MATCH($C653,medicine_master!$A$2:$A$26,0)),"Not found")</f>
        <v>Cardiac</v>
      </c>
      <c r="I653" s="39" t="n">
        <f aca="false">YEAR(B653)</f>
        <v>2026</v>
      </c>
      <c r="J653" s="39" t="n">
        <f aca="false">MONTH(B653)</f>
        <v>12</v>
      </c>
      <c r="K653" s="39" t="str">
        <f aca="false">TEXT(B653,"mmm")</f>
        <v>Dec</v>
      </c>
      <c r="L653" s="45" t="n">
        <f aca="false">IFERROR(INDEX(medicine_master!$I$2:$I$26,MATCH($C653,medicine_master!$A$2:$A$26,0)),0)</f>
        <v>28</v>
      </c>
      <c r="M653" s="45" t="n">
        <f aca="false">IFERROR(INDEX(medicine_master!$G$2:$G$26,MATCH($C653,medicine_master!$A$2:$A$26,0)),0)</f>
        <v>19</v>
      </c>
      <c r="N653" s="45" t="n">
        <f aca="false">IF(D653="Sale",E653*L653,0)</f>
        <v>420</v>
      </c>
      <c r="O653" s="45" t="n">
        <f aca="false">IF(D653="Sale",E653*M653,0)</f>
        <v>285</v>
      </c>
      <c r="P653" s="45" t="n">
        <f aca="false">N653-O653</f>
        <v>135</v>
      </c>
      <c r="Q653" s="45" t="n">
        <f aca="false">IF(D653="Purchase",E653*M653,0)</f>
        <v>0</v>
      </c>
    </row>
    <row r="654" customFormat="false" ht="15" hidden="false" customHeight="false" outlineLevel="0" collapsed="false">
      <c r="A654" s="39" t="s">
        <v>978</v>
      </c>
      <c r="B654" s="44" t="n">
        <v>46105</v>
      </c>
      <c r="C654" s="39" t="s">
        <v>153</v>
      </c>
      <c r="D654" s="39" t="s">
        <v>137</v>
      </c>
      <c r="E654" s="39" t="n">
        <v>30</v>
      </c>
      <c r="F654" s="39" t="str">
        <f aca="false">IF(COUNTIF(medicine_master!$A$2:$A$26,C654)&gt;0,"Valid","Invalid")</f>
        <v>Valid</v>
      </c>
      <c r="G654" s="39" t="str">
        <f aca="false">IFERROR(INDEX(medicine_master!$B$2:$B$26,MATCH($C654,medicine_master!$A$2:$A$26,0)),"Not found")</f>
        <v>Atorvastatin 10mg</v>
      </c>
      <c r="H654" s="39" t="str">
        <f aca="false">IFERROR(INDEX(medicine_master!$C$2:$C$26,MATCH($C654,medicine_master!$A$2:$A$26,0)),"Not found")</f>
        <v>Cardiac</v>
      </c>
      <c r="I654" s="39" t="n">
        <f aca="false">YEAR(B654)</f>
        <v>2026</v>
      </c>
      <c r="J654" s="39" t="n">
        <f aca="false">MONTH(B654)</f>
        <v>3</v>
      </c>
      <c r="K654" s="39" t="str">
        <f aca="false">TEXT(B654,"mmm")</f>
        <v>Mar</v>
      </c>
      <c r="L654" s="45" t="n">
        <f aca="false">IFERROR(INDEX(medicine_master!$I$2:$I$26,MATCH($C654,medicine_master!$A$2:$A$26,0)),0)</f>
        <v>28</v>
      </c>
      <c r="M654" s="45" t="n">
        <f aca="false">IFERROR(INDEX(medicine_master!$G$2:$G$26,MATCH($C654,medicine_master!$A$2:$A$26,0)),0)</f>
        <v>19</v>
      </c>
      <c r="N654" s="45" t="n">
        <f aca="false">IF(D654="Sale",E654*L654,0)</f>
        <v>840</v>
      </c>
      <c r="O654" s="45" t="n">
        <f aca="false">IF(D654="Sale",E654*M654,0)</f>
        <v>570</v>
      </c>
      <c r="P654" s="45" t="n">
        <f aca="false">N654-O654</f>
        <v>270</v>
      </c>
      <c r="Q654" s="45" t="n">
        <f aca="false">IF(D654="Purchase",E654*M654,0)</f>
        <v>0</v>
      </c>
    </row>
    <row r="655" customFormat="false" ht="15" hidden="false" customHeight="false" outlineLevel="0" collapsed="false">
      <c r="A655" s="39" t="s">
        <v>979</v>
      </c>
      <c r="B655" s="44" t="n">
        <v>46223</v>
      </c>
      <c r="C655" s="39" t="s">
        <v>146</v>
      </c>
      <c r="D655" s="39" t="s">
        <v>137</v>
      </c>
      <c r="E655" s="39" t="n">
        <v>25</v>
      </c>
      <c r="F655" s="39" t="str">
        <f aca="false">IF(COUNTIF(medicine_master!$A$2:$A$26,C655)&gt;0,"Valid","Invalid")</f>
        <v>Valid</v>
      </c>
      <c r="G655" s="39" t="str">
        <f aca="false">IFERROR(INDEX(medicine_master!$B$2:$B$26,MATCH($C655,medicine_master!$A$2:$A$26,0)),"Not found")</f>
        <v>Diclofenac Gel</v>
      </c>
      <c r="H655" s="39" t="str">
        <f aca="false">IFERROR(INDEX(medicine_master!$C$2:$C$26,MATCH($C655,medicine_master!$A$2:$A$26,0)),"Not found")</f>
        <v>Pain Relief</v>
      </c>
      <c r="I655" s="39" t="n">
        <f aca="false">YEAR(B655)</f>
        <v>2026</v>
      </c>
      <c r="J655" s="39" t="n">
        <f aca="false">MONTH(B655)</f>
        <v>7</v>
      </c>
      <c r="K655" s="39" t="str">
        <f aca="false">TEXT(B655,"mmm")</f>
        <v>Jul</v>
      </c>
      <c r="L655" s="45" t="n">
        <f aca="false">IFERROR(INDEX(medicine_master!$I$2:$I$26,MATCH($C655,medicine_master!$A$2:$A$26,0)),0)</f>
        <v>55</v>
      </c>
      <c r="M655" s="45" t="n">
        <f aca="false">IFERROR(INDEX(medicine_master!$G$2:$G$26,MATCH($C655,medicine_master!$A$2:$A$26,0)),0)</f>
        <v>38</v>
      </c>
      <c r="N655" s="45" t="n">
        <f aca="false">IF(D655="Sale",E655*L655,0)</f>
        <v>1375</v>
      </c>
      <c r="O655" s="45" t="n">
        <f aca="false">IF(D655="Sale",E655*M655,0)</f>
        <v>950</v>
      </c>
      <c r="P655" s="45" t="n">
        <f aca="false">N655-O655</f>
        <v>425</v>
      </c>
      <c r="Q655" s="45" t="n">
        <f aca="false">IF(D655="Purchase",E655*M655,0)</f>
        <v>0</v>
      </c>
    </row>
    <row r="656" customFormat="false" ht="15" hidden="false" customHeight="false" outlineLevel="0" collapsed="false">
      <c r="A656" s="39" t="s">
        <v>980</v>
      </c>
      <c r="B656" s="44" t="n">
        <v>46095</v>
      </c>
      <c r="C656" s="39" t="s">
        <v>148</v>
      </c>
      <c r="D656" s="39" t="s">
        <v>137</v>
      </c>
      <c r="E656" s="39" t="n">
        <v>25</v>
      </c>
      <c r="F656" s="39" t="str">
        <f aca="false">IF(COUNTIF(medicine_master!$A$2:$A$26,C656)&gt;0,"Valid","Invalid")</f>
        <v>Valid</v>
      </c>
      <c r="G656" s="39" t="str">
        <f aca="false">IFERROR(INDEX(medicine_master!$B$2:$B$26,MATCH($C656,medicine_master!$A$2:$A$26,0)),"Not found")</f>
        <v>Dextromethorphan Syrup</v>
      </c>
      <c r="H656" s="39" t="str">
        <f aca="false">IFERROR(INDEX(medicine_master!$C$2:$C$26,MATCH($C656,medicine_master!$A$2:$A$26,0)),"Not found")</f>
        <v>Cold &amp; Cough</v>
      </c>
      <c r="I656" s="39" t="n">
        <f aca="false">YEAR(B656)</f>
        <v>2026</v>
      </c>
      <c r="J656" s="39" t="n">
        <f aca="false">MONTH(B656)</f>
        <v>3</v>
      </c>
      <c r="K656" s="39" t="str">
        <f aca="false">TEXT(B656,"mmm")</f>
        <v>Mar</v>
      </c>
      <c r="L656" s="45" t="n">
        <f aca="false">IFERROR(INDEX(medicine_master!$I$2:$I$26,MATCH($C656,medicine_master!$A$2:$A$26,0)),0)</f>
        <v>80</v>
      </c>
      <c r="M656" s="45" t="n">
        <f aca="false">IFERROR(INDEX(medicine_master!$G$2:$G$26,MATCH($C656,medicine_master!$A$2:$A$26,0)),0)</f>
        <v>58</v>
      </c>
      <c r="N656" s="45" t="n">
        <f aca="false">IF(D656="Sale",E656*L656,0)</f>
        <v>2000</v>
      </c>
      <c r="O656" s="45" t="n">
        <f aca="false">IF(D656="Sale",E656*M656,0)</f>
        <v>1450</v>
      </c>
      <c r="P656" s="45" t="n">
        <f aca="false">N656-O656</f>
        <v>550</v>
      </c>
      <c r="Q656" s="45" t="n">
        <f aca="false">IF(D656="Purchase",E656*M656,0)</f>
        <v>0</v>
      </c>
    </row>
    <row r="657" customFormat="false" ht="15" hidden="false" customHeight="false" outlineLevel="0" collapsed="false">
      <c r="A657" s="39" t="s">
        <v>981</v>
      </c>
      <c r="B657" s="44" t="n">
        <v>46142</v>
      </c>
      <c r="C657" s="39" t="s">
        <v>158</v>
      </c>
      <c r="D657" s="39" t="s">
        <v>138</v>
      </c>
      <c r="E657" s="39" t="n">
        <v>5</v>
      </c>
      <c r="F657" s="39" t="str">
        <f aca="false">IF(COUNTIF(medicine_master!$A$2:$A$26,C657)&gt;0,"Valid","Invalid")</f>
        <v>Valid</v>
      </c>
      <c r="G657" s="39" t="str">
        <f aca="false">IFERROR(INDEX(medicine_master!$B$2:$B$26,MATCH($C657,medicine_master!$A$2:$A$26,0)),"Not found")</f>
        <v>Cough Syrup 100ml</v>
      </c>
      <c r="H657" s="39" t="str">
        <f aca="false">IFERROR(INDEX(medicine_master!$C$2:$C$26,MATCH($C657,medicine_master!$A$2:$A$26,0)),"Not found")</f>
        <v>Cold &amp; Cough</v>
      </c>
      <c r="I657" s="39" t="n">
        <f aca="false">YEAR(B657)</f>
        <v>2026</v>
      </c>
      <c r="J657" s="39" t="n">
        <f aca="false">MONTH(B657)</f>
        <v>4</v>
      </c>
      <c r="K657" s="39" t="str">
        <f aca="false">TEXT(B657,"mmm")</f>
        <v>Apr</v>
      </c>
      <c r="L657" s="45" t="n">
        <f aca="false">IFERROR(INDEX(medicine_master!$I$2:$I$26,MATCH($C657,medicine_master!$A$2:$A$26,0)),0)</f>
        <v>72</v>
      </c>
      <c r="M657" s="45" t="n">
        <f aca="false">IFERROR(INDEX(medicine_master!$G$2:$G$26,MATCH($C657,medicine_master!$A$2:$A$26,0)),0)</f>
        <v>52</v>
      </c>
      <c r="N657" s="45" t="n">
        <f aca="false">IF(D657="Sale",E657*L657,0)</f>
        <v>0</v>
      </c>
      <c r="O657" s="45" t="n">
        <f aca="false">IF(D657="Sale",E657*M657,0)</f>
        <v>0</v>
      </c>
      <c r="P657" s="45" t="n">
        <f aca="false">N657-O657</f>
        <v>0</v>
      </c>
      <c r="Q657" s="45" t="n">
        <f aca="false">IF(D657="Purchase",E657*M657,0)</f>
        <v>260</v>
      </c>
    </row>
    <row r="658" customFormat="false" ht="15" hidden="false" customHeight="false" outlineLevel="0" collapsed="false">
      <c r="A658" s="39" t="s">
        <v>982</v>
      </c>
      <c r="B658" s="44" t="n">
        <v>46308</v>
      </c>
      <c r="C658" s="39" t="s">
        <v>326</v>
      </c>
      <c r="D658" s="39" t="s">
        <v>138</v>
      </c>
      <c r="E658" s="39" t="n">
        <v>20</v>
      </c>
      <c r="F658" s="39" t="str">
        <f aca="false">IF(COUNTIF(medicine_master!$A$2:$A$26,C658)&gt;0,"Valid","Invalid")</f>
        <v>Valid</v>
      </c>
      <c r="G658" s="39" t="str">
        <f aca="false">IFERROR(INDEX(medicine_master!$B$2:$B$26,MATCH($C658,medicine_master!$A$2:$A$26,0)),"Not found")</f>
        <v>Omeprazole 20mg</v>
      </c>
      <c r="H658" s="39" t="str">
        <f aca="false">IFERROR(INDEX(medicine_master!$C$2:$C$26,MATCH($C658,medicine_master!$A$2:$A$26,0)),"Not found")</f>
        <v>Gastric</v>
      </c>
      <c r="I658" s="39" t="n">
        <f aca="false">YEAR(B658)</f>
        <v>2026</v>
      </c>
      <c r="J658" s="39" t="n">
        <f aca="false">MONTH(B658)</f>
        <v>10</v>
      </c>
      <c r="K658" s="39" t="str">
        <f aca="false">TEXT(B658,"mmm")</f>
        <v>Oct</v>
      </c>
      <c r="L658" s="45" t="n">
        <f aca="false">IFERROR(INDEX(medicine_master!$I$2:$I$26,MATCH($C658,medicine_master!$A$2:$A$26,0)),0)</f>
        <v>26</v>
      </c>
      <c r="M658" s="45" t="n">
        <f aca="false">IFERROR(INDEX(medicine_master!$G$2:$G$26,MATCH($C658,medicine_master!$A$2:$A$26,0)),0)</f>
        <v>18</v>
      </c>
      <c r="N658" s="45" t="n">
        <f aca="false">IF(D658="Sale",E658*L658,0)</f>
        <v>0</v>
      </c>
      <c r="O658" s="45" t="n">
        <f aca="false">IF(D658="Sale",E658*M658,0)</f>
        <v>0</v>
      </c>
      <c r="P658" s="45" t="n">
        <f aca="false">N658-O658</f>
        <v>0</v>
      </c>
      <c r="Q658" s="45" t="n">
        <f aca="false">IF(D658="Purchase",E658*M658,0)</f>
        <v>360</v>
      </c>
    </row>
    <row r="659" customFormat="false" ht="15" hidden="false" customHeight="false" outlineLevel="0" collapsed="false">
      <c r="A659" s="39" t="s">
        <v>983</v>
      </c>
      <c r="B659" s="44" t="n">
        <v>46111</v>
      </c>
      <c r="C659" s="39" t="s">
        <v>153</v>
      </c>
      <c r="D659" s="39" t="s">
        <v>137</v>
      </c>
      <c r="E659" s="39" t="n">
        <v>15</v>
      </c>
      <c r="F659" s="39" t="str">
        <f aca="false">IF(COUNTIF(medicine_master!$A$2:$A$26,C659)&gt;0,"Valid","Invalid")</f>
        <v>Valid</v>
      </c>
      <c r="G659" s="39" t="str">
        <f aca="false">IFERROR(INDEX(medicine_master!$B$2:$B$26,MATCH($C659,medicine_master!$A$2:$A$26,0)),"Not found")</f>
        <v>Atorvastatin 10mg</v>
      </c>
      <c r="H659" s="39" t="str">
        <f aca="false">IFERROR(INDEX(medicine_master!$C$2:$C$26,MATCH($C659,medicine_master!$A$2:$A$26,0)),"Not found")</f>
        <v>Cardiac</v>
      </c>
      <c r="I659" s="39" t="n">
        <f aca="false">YEAR(B659)</f>
        <v>2026</v>
      </c>
      <c r="J659" s="39" t="n">
        <f aca="false">MONTH(B659)</f>
        <v>3</v>
      </c>
      <c r="K659" s="39" t="str">
        <f aca="false">TEXT(B659,"mmm")</f>
        <v>Mar</v>
      </c>
      <c r="L659" s="45" t="n">
        <f aca="false">IFERROR(INDEX(medicine_master!$I$2:$I$26,MATCH($C659,medicine_master!$A$2:$A$26,0)),0)</f>
        <v>28</v>
      </c>
      <c r="M659" s="45" t="n">
        <f aca="false">IFERROR(INDEX(medicine_master!$G$2:$G$26,MATCH($C659,medicine_master!$A$2:$A$26,0)),0)</f>
        <v>19</v>
      </c>
      <c r="N659" s="45" t="n">
        <f aca="false">IF(D659="Sale",E659*L659,0)</f>
        <v>420</v>
      </c>
      <c r="O659" s="45" t="n">
        <f aca="false">IF(D659="Sale",E659*M659,0)</f>
        <v>285</v>
      </c>
      <c r="P659" s="45" t="n">
        <f aca="false">N659-O659</f>
        <v>135</v>
      </c>
      <c r="Q659" s="45" t="n">
        <f aca="false">IF(D659="Purchase",E659*M659,0)</f>
        <v>0</v>
      </c>
    </row>
    <row r="660" customFormat="false" ht="15" hidden="false" customHeight="false" outlineLevel="0" collapsed="false">
      <c r="A660" s="39" t="s">
        <v>984</v>
      </c>
      <c r="B660" s="44" t="n">
        <v>46356</v>
      </c>
      <c r="C660" s="39" t="s">
        <v>326</v>
      </c>
      <c r="D660" s="39" t="s">
        <v>138</v>
      </c>
      <c r="E660" s="39" t="n">
        <v>40</v>
      </c>
      <c r="F660" s="39" t="str">
        <f aca="false">IF(COUNTIF(medicine_master!$A$2:$A$26,C660)&gt;0,"Valid","Invalid")</f>
        <v>Valid</v>
      </c>
      <c r="G660" s="39" t="str">
        <f aca="false">IFERROR(INDEX(medicine_master!$B$2:$B$26,MATCH($C660,medicine_master!$A$2:$A$26,0)),"Not found")</f>
        <v>Omeprazole 20mg</v>
      </c>
      <c r="H660" s="39" t="str">
        <f aca="false">IFERROR(INDEX(medicine_master!$C$2:$C$26,MATCH($C660,medicine_master!$A$2:$A$26,0)),"Not found")</f>
        <v>Gastric</v>
      </c>
      <c r="I660" s="39" t="n">
        <f aca="false">YEAR(B660)</f>
        <v>2026</v>
      </c>
      <c r="J660" s="39" t="n">
        <f aca="false">MONTH(B660)</f>
        <v>11</v>
      </c>
      <c r="K660" s="39" t="str">
        <f aca="false">TEXT(B660,"mmm")</f>
        <v>Nov</v>
      </c>
      <c r="L660" s="45" t="n">
        <f aca="false">IFERROR(INDEX(medicine_master!$I$2:$I$26,MATCH($C660,medicine_master!$A$2:$A$26,0)),0)</f>
        <v>26</v>
      </c>
      <c r="M660" s="45" t="n">
        <f aca="false">IFERROR(INDEX(medicine_master!$G$2:$G$26,MATCH($C660,medicine_master!$A$2:$A$26,0)),0)</f>
        <v>18</v>
      </c>
      <c r="N660" s="45" t="n">
        <f aca="false">IF(D660="Sale",E660*L660,0)</f>
        <v>0</v>
      </c>
      <c r="O660" s="45" t="n">
        <f aca="false">IF(D660="Sale",E660*M660,0)</f>
        <v>0</v>
      </c>
      <c r="P660" s="45" t="n">
        <f aca="false">N660-O660</f>
        <v>0</v>
      </c>
      <c r="Q660" s="45" t="n">
        <f aca="false">IF(D660="Purchase",E660*M660,0)</f>
        <v>720</v>
      </c>
    </row>
    <row r="661" customFormat="false" ht="15" hidden="false" customHeight="false" outlineLevel="0" collapsed="false">
      <c r="A661" s="39" t="s">
        <v>985</v>
      </c>
      <c r="B661" s="44" t="n">
        <v>46286</v>
      </c>
      <c r="C661" s="39" t="s">
        <v>179</v>
      </c>
      <c r="D661" s="39" t="s">
        <v>137</v>
      </c>
      <c r="E661" s="39" t="n">
        <v>25</v>
      </c>
      <c r="F661" s="39" t="str">
        <f aca="false">IF(COUNTIF(medicine_master!$A$2:$A$26,C661)&gt;0,"Valid","Invalid")</f>
        <v>Valid</v>
      </c>
      <c r="G661" s="39" t="str">
        <f aca="false">IFERROR(INDEX(medicine_master!$B$2:$B$26,MATCH($C661,medicine_master!$A$2:$A$26,0)),"Not found")</f>
        <v>Ibuprofen 400mg</v>
      </c>
      <c r="H661" s="39" t="str">
        <f aca="false">IFERROR(INDEX(medicine_master!$C$2:$C$26,MATCH($C661,medicine_master!$A$2:$A$26,0)),"Not found")</f>
        <v>Pain Relief</v>
      </c>
      <c r="I661" s="39" t="n">
        <f aca="false">YEAR(B661)</f>
        <v>2026</v>
      </c>
      <c r="J661" s="39" t="n">
        <f aca="false">MONTH(B661)</f>
        <v>9</v>
      </c>
      <c r="K661" s="39" t="str">
        <f aca="false">TEXT(B661,"mmm")</f>
        <v>Sep</v>
      </c>
      <c r="L661" s="45" t="n">
        <f aca="false">IFERROR(INDEX(medicine_master!$I$2:$I$26,MATCH($C661,medicine_master!$A$2:$A$26,0)),0)</f>
        <v>30</v>
      </c>
      <c r="M661" s="45" t="n">
        <f aca="false">IFERROR(INDEX(medicine_master!$G$2:$G$26,MATCH($C661,medicine_master!$A$2:$A$26,0)),0)</f>
        <v>22</v>
      </c>
      <c r="N661" s="45" t="n">
        <f aca="false">IF(D661="Sale",E661*L661,0)</f>
        <v>750</v>
      </c>
      <c r="O661" s="45" t="n">
        <f aca="false">IF(D661="Sale",E661*M661,0)</f>
        <v>550</v>
      </c>
      <c r="P661" s="45" t="n">
        <f aca="false">N661-O661</f>
        <v>200</v>
      </c>
      <c r="Q661" s="45" t="n">
        <f aca="false">IF(D661="Purchase",E661*M661,0)</f>
        <v>0</v>
      </c>
    </row>
    <row r="662" customFormat="false" ht="15" hidden="false" customHeight="false" outlineLevel="0" collapsed="false">
      <c r="A662" s="39" t="s">
        <v>986</v>
      </c>
      <c r="B662" s="44" t="n">
        <v>46142</v>
      </c>
      <c r="C662" s="39" t="s">
        <v>148</v>
      </c>
      <c r="D662" s="39" t="s">
        <v>137</v>
      </c>
      <c r="E662" s="39" t="n">
        <v>30</v>
      </c>
      <c r="F662" s="39" t="str">
        <f aca="false">IF(COUNTIF(medicine_master!$A$2:$A$26,C662)&gt;0,"Valid","Invalid")</f>
        <v>Valid</v>
      </c>
      <c r="G662" s="39" t="str">
        <f aca="false">IFERROR(INDEX(medicine_master!$B$2:$B$26,MATCH($C662,medicine_master!$A$2:$A$26,0)),"Not found")</f>
        <v>Dextromethorphan Syrup</v>
      </c>
      <c r="H662" s="39" t="str">
        <f aca="false">IFERROR(INDEX(medicine_master!$C$2:$C$26,MATCH($C662,medicine_master!$A$2:$A$26,0)),"Not found")</f>
        <v>Cold &amp; Cough</v>
      </c>
      <c r="I662" s="39" t="n">
        <f aca="false">YEAR(B662)</f>
        <v>2026</v>
      </c>
      <c r="J662" s="39" t="n">
        <f aca="false">MONTH(B662)</f>
        <v>4</v>
      </c>
      <c r="K662" s="39" t="str">
        <f aca="false">TEXT(B662,"mmm")</f>
        <v>Apr</v>
      </c>
      <c r="L662" s="45" t="n">
        <f aca="false">IFERROR(INDEX(medicine_master!$I$2:$I$26,MATCH($C662,medicine_master!$A$2:$A$26,0)),0)</f>
        <v>80</v>
      </c>
      <c r="M662" s="45" t="n">
        <f aca="false">IFERROR(INDEX(medicine_master!$G$2:$G$26,MATCH($C662,medicine_master!$A$2:$A$26,0)),0)</f>
        <v>58</v>
      </c>
      <c r="N662" s="45" t="n">
        <f aca="false">IF(D662="Sale",E662*L662,0)</f>
        <v>2400</v>
      </c>
      <c r="O662" s="45" t="n">
        <f aca="false">IF(D662="Sale",E662*M662,0)</f>
        <v>1740</v>
      </c>
      <c r="P662" s="45" t="n">
        <f aca="false">N662-O662</f>
        <v>660</v>
      </c>
      <c r="Q662" s="45" t="n">
        <f aca="false">IF(D662="Purchase",E662*M662,0)</f>
        <v>0</v>
      </c>
    </row>
    <row r="663" customFormat="false" ht="15" hidden="false" customHeight="false" outlineLevel="0" collapsed="false">
      <c r="A663" s="39" t="s">
        <v>987</v>
      </c>
      <c r="B663" s="44" t="n">
        <v>46180</v>
      </c>
      <c r="C663" s="39" t="s">
        <v>144</v>
      </c>
      <c r="D663" s="39" t="s">
        <v>137</v>
      </c>
      <c r="E663" s="39" t="n">
        <v>50</v>
      </c>
      <c r="F663" s="39" t="str">
        <f aca="false">IF(COUNTIF(medicine_master!$A$2:$A$26,C663)&gt;0,"Valid","Invalid")</f>
        <v>Valid</v>
      </c>
      <c r="G663" s="39" t="str">
        <f aca="false">IFERROR(INDEX(medicine_master!$B$2:$B$26,MATCH($C663,medicine_master!$A$2:$A$26,0)),"Not found")</f>
        <v>Glimepiride 2mg</v>
      </c>
      <c r="H663" s="39" t="str">
        <f aca="false">IFERROR(INDEX(medicine_master!$C$2:$C$26,MATCH($C663,medicine_master!$A$2:$A$26,0)),"Not found")</f>
        <v>Diabetes</v>
      </c>
      <c r="I663" s="39" t="n">
        <f aca="false">YEAR(B663)</f>
        <v>2026</v>
      </c>
      <c r="J663" s="39" t="n">
        <f aca="false">MONTH(B663)</f>
        <v>6</v>
      </c>
      <c r="K663" s="39" t="str">
        <f aca="false">TEXT(B663,"mmm")</f>
        <v>Jun</v>
      </c>
      <c r="L663" s="45" t="n">
        <f aca="false">IFERROR(INDEX(medicine_master!$I$2:$I$26,MATCH($C663,medicine_master!$A$2:$A$26,0)),0)</f>
        <v>52</v>
      </c>
      <c r="M663" s="45" t="n">
        <f aca="false">IFERROR(INDEX(medicine_master!$G$2:$G$26,MATCH($C663,medicine_master!$A$2:$A$26,0)),0)</f>
        <v>38</v>
      </c>
      <c r="N663" s="45" t="n">
        <f aca="false">IF(D663="Sale",E663*L663,0)</f>
        <v>2600</v>
      </c>
      <c r="O663" s="45" t="n">
        <f aca="false">IF(D663="Sale",E663*M663,0)</f>
        <v>1900</v>
      </c>
      <c r="P663" s="45" t="n">
        <f aca="false">N663-O663</f>
        <v>700</v>
      </c>
      <c r="Q663" s="45" t="n">
        <f aca="false">IF(D663="Purchase",E663*M663,0)</f>
        <v>0</v>
      </c>
    </row>
    <row r="664" customFormat="false" ht="15" hidden="false" customHeight="false" outlineLevel="0" collapsed="false">
      <c r="A664" s="39" t="s">
        <v>988</v>
      </c>
      <c r="B664" s="44" t="n">
        <v>46072</v>
      </c>
      <c r="C664" s="39" t="s">
        <v>390</v>
      </c>
      <c r="D664" s="39" t="s">
        <v>137</v>
      </c>
      <c r="E664" s="39" t="n">
        <v>5</v>
      </c>
      <c r="F664" s="39" t="str">
        <f aca="false">IF(COUNTIF(medicine_master!$A$2:$A$26,C664)&gt;0,"Valid","Invalid")</f>
        <v>Valid</v>
      </c>
      <c r="G664" s="39" t="str">
        <f aca="false">IFERROR(INDEX(medicine_master!$B$2:$B$26,MATCH($C664,medicine_master!$A$2:$A$26,0)),"Not found")</f>
        <v>Montelukast 10mg</v>
      </c>
      <c r="H664" s="39" t="str">
        <f aca="false">IFERROR(INDEX(medicine_master!$C$2:$C$26,MATCH($C664,medicine_master!$A$2:$A$26,0)),"Not found")</f>
        <v>Allergy</v>
      </c>
      <c r="I664" s="39" t="n">
        <f aca="false">YEAR(B664)</f>
        <v>2026</v>
      </c>
      <c r="J664" s="39" t="n">
        <f aca="false">MONTH(B664)</f>
        <v>2</v>
      </c>
      <c r="K664" s="39" t="str">
        <f aca="false">TEXT(B664,"mmm")</f>
        <v>Feb</v>
      </c>
      <c r="L664" s="45" t="n">
        <f aca="false">IFERROR(INDEX(medicine_master!$I$2:$I$26,MATCH($C664,medicine_master!$A$2:$A$26,0)),0)</f>
        <v>39</v>
      </c>
      <c r="M664" s="45" t="n">
        <f aca="false">IFERROR(INDEX(medicine_master!$G$2:$G$26,MATCH($C664,medicine_master!$A$2:$A$26,0)),0)</f>
        <v>27</v>
      </c>
      <c r="N664" s="45" t="n">
        <f aca="false">IF(D664="Sale",E664*L664,0)</f>
        <v>195</v>
      </c>
      <c r="O664" s="45" t="n">
        <f aca="false">IF(D664="Sale",E664*M664,0)</f>
        <v>135</v>
      </c>
      <c r="P664" s="45" t="n">
        <f aca="false">N664-O664</f>
        <v>60</v>
      </c>
      <c r="Q664" s="45" t="n">
        <f aca="false">IF(D664="Purchase",E664*M664,0)</f>
        <v>0</v>
      </c>
    </row>
    <row r="665" customFormat="false" ht="15" hidden="false" customHeight="false" outlineLevel="0" collapsed="false">
      <c r="A665" s="39" t="s">
        <v>989</v>
      </c>
      <c r="B665" s="44" t="n">
        <v>46298</v>
      </c>
      <c r="C665" s="39" t="s">
        <v>152</v>
      </c>
      <c r="D665" s="39" t="s">
        <v>137</v>
      </c>
      <c r="E665" s="39" t="n">
        <v>10</v>
      </c>
      <c r="F665" s="39" t="str">
        <f aca="false">IF(COUNTIF(medicine_master!$A$2:$A$26,C665)&gt;0,"Valid","Invalid")</f>
        <v>Valid</v>
      </c>
      <c r="G665" s="39" t="str">
        <f aca="false">IFERROR(INDEX(medicine_master!$B$2:$B$26,MATCH($C665,medicine_master!$A$2:$A$26,0)),"Not found")</f>
        <v>Amoxicillin 500mg</v>
      </c>
      <c r="H665" s="39" t="str">
        <f aca="false">IFERROR(INDEX(medicine_master!$C$2:$C$26,MATCH($C665,medicine_master!$A$2:$A$26,0)),"Not found")</f>
        <v>Antibiotic</v>
      </c>
      <c r="I665" s="39" t="n">
        <f aca="false">YEAR(B665)</f>
        <v>2026</v>
      </c>
      <c r="J665" s="39" t="n">
        <f aca="false">MONTH(B665)</f>
        <v>10</v>
      </c>
      <c r="K665" s="39" t="str">
        <f aca="false">TEXT(B665,"mmm")</f>
        <v>Oct</v>
      </c>
      <c r="L665" s="45" t="n">
        <f aca="false">IFERROR(INDEX(medicine_master!$I$2:$I$26,MATCH($C665,medicine_master!$A$2:$A$26,0)),0)</f>
        <v>40</v>
      </c>
      <c r="M665" s="45" t="n">
        <f aca="false">IFERROR(INDEX(medicine_master!$G$2:$G$26,MATCH($C665,medicine_master!$A$2:$A$26,0)),0)</f>
        <v>28</v>
      </c>
      <c r="N665" s="45" t="n">
        <f aca="false">IF(D665="Sale",E665*L665,0)</f>
        <v>400</v>
      </c>
      <c r="O665" s="45" t="n">
        <f aca="false">IF(D665="Sale",E665*M665,0)</f>
        <v>280</v>
      </c>
      <c r="P665" s="45" t="n">
        <f aca="false">N665-O665</f>
        <v>120</v>
      </c>
      <c r="Q665" s="45" t="n">
        <f aca="false">IF(D665="Purchase",E665*M665,0)</f>
        <v>0</v>
      </c>
    </row>
    <row r="666" customFormat="false" ht="15" hidden="false" customHeight="false" outlineLevel="0" collapsed="false">
      <c r="A666" s="39" t="s">
        <v>990</v>
      </c>
      <c r="B666" s="44" t="n">
        <v>46223</v>
      </c>
      <c r="C666" s="39" t="s">
        <v>326</v>
      </c>
      <c r="D666" s="39" t="s">
        <v>137</v>
      </c>
      <c r="E666" s="39" t="n">
        <v>30</v>
      </c>
      <c r="F666" s="39" t="str">
        <f aca="false">IF(COUNTIF(medicine_master!$A$2:$A$26,C666)&gt;0,"Valid","Invalid")</f>
        <v>Valid</v>
      </c>
      <c r="G666" s="39" t="str">
        <f aca="false">IFERROR(INDEX(medicine_master!$B$2:$B$26,MATCH($C666,medicine_master!$A$2:$A$26,0)),"Not found")</f>
        <v>Omeprazole 20mg</v>
      </c>
      <c r="H666" s="39" t="str">
        <f aca="false">IFERROR(INDEX(medicine_master!$C$2:$C$26,MATCH($C666,medicine_master!$A$2:$A$26,0)),"Not found")</f>
        <v>Gastric</v>
      </c>
      <c r="I666" s="39" t="n">
        <f aca="false">YEAR(B666)</f>
        <v>2026</v>
      </c>
      <c r="J666" s="39" t="n">
        <f aca="false">MONTH(B666)</f>
        <v>7</v>
      </c>
      <c r="K666" s="39" t="str">
        <f aca="false">TEXT(B666,"mmm")</f>
        <v>Jul</v>
      </c>
      <c r="L666" s="45" t="n">
        <f aca="false">IFERROR(INDEX(medicine_master!$I$2:$I$26,MATCH($C666,medicine_master!$A$2:$A$26,0)),0)</f>
        <v>26</v>
      </c>
      <c r="M666" s="45" t="n">
        <f aca="false">IFERROR(INDEX(medicine_master!$G$2:$G$26,MATCH($C666,medicine_master!$A$2:$A$26,0)),0)</f>
        <v>18</v>
      </c>
      <c r="N666" s="45" t="n">
        <f aca="false">IF(D666="Sale",E666*L666,0)</f>
        <v>780</v>
      </c>
      <c r="O666" s="45" t="n">
        <f aca="false">IF(D666="Sale",E666*M666,0)</f>
        <v>540</v>
      </c>
      <c r="P666" s="45" t="n">
        <f aca="false">N666-O666</f>
        <v>240</v>
      </c>
      <c r="Q666" s="45" t="n">
        <f aca="false">IF(D666="Purchase",E666*M666,0)</f>
        <v>0</v>
      </c>
    </row>
    <row r="667" customFormat="false" ht="15" hidden="false" customHeight="false" outlineLevel="0" collapsed="false">
      <c r="A667" s="39" t="s">
        <v>991</v>
      </c>
      <c r="B667" s="44" t="n">
        <v>46238</v>
      </c>
      <c r="C667" s="39" t="s">
        <v>345</v>
      </c>
      <c r="D667" s="39" t="s">
        <v>138</v>
      </c>
      <c r="E667" s="39" t="n">
        <v>25</v>
      </c>
      <c r="F667" s="39" t="str">
        <f aca="false">IF(COUNTIF(medicine_master!$A$2:$A$26,C667)&gt;0,"Valid","Invalid")</f>
        <v>Valid</v>
      </c>
      <c r="G667" s="39" t="str">
        <f aca="false">IFERROR(INDEX(medicine_master!$B$2:$B$26,MATCH($C667,medicine_master!$A$2:$A$26,0)),"Not found")</f>
        <v>Paracetamol 500mg</v>
      </c>
      <c r="H667" s="39" t="str">
        <f aca="false">IFERROR(INDEX(medicine_master!$C$2:$C$26,MATCH($C667,medicine_master!$A$2:$A$26,0)),"Not found")</f>
        <v>Pain Relief</v>
      </c>
      <c r="I667" s="39" t="n">
        <f aca="false">YEAR(B667)</f>
        <v>2026</v>
      </c>
      <c r="J667" s="39" t="n">
        <f aca="false">MONTH(B667)</f>
        <v>8</v>
      </c>
      <c r="K667" s="39" t="str">
        <f aca="false">TEXT(B667,"mmm")</f>
        <v>Aug</v>
      </c>
      <c r="L667" s="45" t="n">
        <f aca="false">IFERROR(INDEX(medicine_master!$I$2:$I$26,MATCH($C667,medicine_master!$A$2:$A$26,0)),0)</f>
        <v>18</v>
      </c>
      <c r="M667" s="45" t="n">
        <f aca="false">IFERROR(INDEX(medicine_master!$G$2:$G$26,MATCH($C667,medicine_master!$A$2:$A$26,0)),0)</f>
        <v>12</v>
      </c>
      <c r="N667" s="45" t="n">
        <f aca="false">IF(D667="Sale",E667*L667,0)</f>
        <v>0</v>
      </c>
      <c r="O667" s="45" t="n">
        <f aca="false">IF(D667="Sale",E667*M667,0)</f>
        <v>0</v>
      </c>
      <c r="P667" s="45" t="n">
        <f aca="false">N667-O667</f>
        <v>0</v>
      </c>
      <c r="Q667" s="45" t="n">
        <f aca="false">IF(D667="Purchase",E667*M667,0)</f>
        <v>300</v>
      </c>
    </row>
    <row r="668" customFormat="false" ht="15" hidden="false" customHeight="false" outlineLevel="0" collapsed="false">
      <c r="A668" s="39" t="s">
        <v>992</v>
      </c>
      <c r="B668" s="44" t="n">
        <v>46354</v>
      </c>
      <c r="C668" s="39" t="s">
        <v>321</v>
      </c>
      <c r="D668" s="39" t="s">
        <v>137</v>
      </c>
      <c r="E668" s="39" t="n">
        <v>30</v>
      </c>
      <c r="F668" s="39" t="str">
        <f aca="false">IF(COUNTIF(medicine_master!$A$2:$A$26,C668)&gt;0,"Valid","Invalid")</f>
        <v>Valid</v>
      </c>
      <c r="G668" s="39" t="str">
        <f aca="false">IFERROR(INDEX(medicine_master!$B$2:$B$26,MATCH($C668,medicine_master!$A$2:$A$26,0)),"Not found")</f>
        <v>Levocetirizine 5mg</v>
      </c>
      <c r="H668" s="39" t="str">
        <f aca="false">IFERROR(INDEX(medicine_master!$C$2:$C$26,MATCH($C668,medicine_master!$A$2:$A$26,0)),"Not found")</f>
        <v>Allergy</v>
      </c>
      <c r="I668" s="39" t="n">
        <f aca="false">YEAR(B668)</f>
        <v>2026</v>
      </c>
      <c r="J668" s="39" t="n">
        <f aca="false">MONTH(B668)</f>
        <v>11</v>
      </c>
      <c r="K668" s="39" t="str">
        <f aca="false">TEXT(B668,"mmm")</f>
        <v>Nov</v>
      </c>
      <c r="L668" s="45" t="n">
        <f aca="false">IFERROR(INDEX(medicine_master!$I$2:$I$26,MATCH($C668,medicine_master!$A$2:$A$26,0)),0)</f>
        <v>22</v>
      </c>
      <c r="M668" s="45" t="n">
        <f aca="false">IFERROR(INDEX(medicine_master!$G$2:$G$26,MATCH($C668,medicine_master!$A$2:$A$26,0)),0)</f>
        <v>14</v>
      </c>
      <c r="N668" s="45" t="n">
        <f aca="false">IF(D668="Sale",E668*L668,0)</f>
        <v>660</v>
      </c>
      <c r="O668" s="45" t="n">
        <f aca="false">IF(D668="Sale",E668*M668,0)</f>
        <v>420</v>
      </c>
      <c r="P668" s="45" t="n">
        <f aca="false">N668-O668</f>
        <v>240</v>
      </c>
      <c r="Q668" s="45" t="n">
        <f aca="false">IF(D668="Purchase",E668*M668,0)</f>
        <v>0</v>
      </c>
    </row>
    <row r="669" customFormat="false" ht="15" hidden="false" customHeight="false" outlineLevel="0" collapsed="false">
      <c r="A669" s="39" t="s">
        <v>993</v>
      </c>
      <c r="B669" s="44" t="n">
        <v>46383</v>
      </c>
      <c r="C669" s="39" t="s">
        <v>404</v>
      </c>
      <c r="D669" s="39" t="s">
        <v>137</v>
      </c>
      <c r="E669" s="39" t="n">
        <v>20</v>
      </c>
      <c r="F669" s="39" t="str">
        <f aca="false">IF(COUNTIF(medicine_master!$A$2:$A$26,C669)&gt;0,"Valid","Invalid")</f>
        <v>Valid</v>
      </c>
      <c r="G669" s="39" t="str">
        <f aca="false">IFERROR(INDEX(medicine_master!$B$2:$B$26,MATCH($C669,medicine_master!$A$2:$A$26,0)),"Not found")</f>
        <v>ORS Sachet</v>
      </c>
      <c r="H669" s="39" t="str">
        <f aca="false">IFERROR(INDEX(medicine_master!$C$2:$C$26,MATCH($C669,medicine_master!$A$2:$A$26,0)),"Not found")</f>
        <v>First Aid</v>
      </c>
      <c r="I669" s="39" t="n">
        <f aca="false">YEAR(B669)</f>
        <v>2026</v>
      </c>
      <c r="J669" s="39" t="n">
        <f aca="false">MONTH(B669)</f>
        <v>12</v>
      </c>
      <c r="K669" s="39" t="str">
        <f aca="false">TEXT(B669,"mmm")</f>
        <v>Dec</v>
      </c>
      <c r="L669" s="45" t="n">
        <f aca="false">IFERROR(INDEX(medicine_master!$I$2:$I$26,MATCH($C669,medicine_master!$A$2:$A$26,0)),0)</f>
        <v>10</v>
      </c>
      <c r="M669" s="45" t="n">
        <f aca="false">IFERROR(INDEX(medicine_master!$G$2:$G$26,MATCH($C669,medicine_master!$A$2:$A$26,0)),0)</f>
        <v>6</v>
      </c>
      <c r="N669" s="45" t="n">
        <f aca="false">IF(D669="Sale",E669*L669,0)</f>
        <v>200</v>
      </c>
      <c r="O669" s="45" t="n">
        <f aca="false">IF(D669="Sale",E669*M669,0)</f>
        <v>120</v>
      </c>
      <c r="P669" s="45" t="n">
        <f aca="false">N669-O669</f>
        <v>80</v>
      </c>
      <c r="Q669" s="45" t="n">
        <f aca="false">IF(D669="Purchase",E669*M669,0)</f>
        <v>0</v>
      </c>
    </row>
    <row r="670" customFormat="false" ht="15" hidden="false" customHeight="false" outlineLevel="0" collapsed="false">
      <c r="A670" s="39" t="s">
        <v>994</v>
      </c>
      <c r="B670" s="44" t="n">
        <v>46254</v>
      </c>
      <c r="C670" s="39" t="s">
        <v>390</v>
      </c>
      <c r="D670" s="39" t="s">
        <v>137</v>
      </c>
      <c r="E670" s="39" t="n">
        <v>25</v>
      </c>
      <c r="F670" s="39" t="str">
        <f aca="false">IF(COUNTIF(medicine_master!$A$2:$A$26,C670)&gt;0,"Valid","Invalid")</f>
        <v>Valid</v>
      </c>
      <c r="G670" s="39" t="str">
        <f aca="false">IFERROR(INDEX(medicine_master!$B$2:$B$26,MATCH($C670,medicine_master!$A$2:$A$26,0)),"Not found")</f>
        <v>Montelukast 10mg</v>
      </c>
      <c r="H670" s="39" t="str">
        <f aca="false">IFERROR(INDEX(medicine_master!$C$2:$C$26,MATCH($C670,medicine_master!$A$2:$A$26,0)),"Not found")</f>
        <v>Allergy</v>
      </c>
      <c r="I670" s="39" t="n">
        <f aca="false">YEAR(B670)</f>
        <v>2026</v>
      </c>
      <c r="J670" s="39" t="n">
        <f aca="false">MONTH(B670)</f>
        <v>8</v>
      </c>
      <c r="K670" s="39" t="str">
        <f aca="false">TEXT(B670,"mmm")</f>
        <v>Aug</v>
      </c>
      <c r="L670" s="45" t="n">
        <f aca="false">IFERROR(INDEX(medicine_master!$I$2:$I$26,MATCH($C670,medicine_master!$A$2:$A$26,0)),0)</f>
        <v>39</v>
      </c>
      <c r="M670" s="45" t="n">
        <f aca="false">IFERROR(INDEX(medicine_master!$G$2:$G$26,MATCH($C670,medicine_master!$A$2:$A$26,0)),0)</f>
        <v>27</v>
      </c>
      <c r="N670" s="45" t="n">
        <f aca="false">IF(D670="Sale",E670*L670,0)</f>
        <v>975</v>
      </c>
      <c r="O670" s="45" t="n">
        <f aca="false">IF(D670="Sale",E670*M670,0)</f>
        <v>675</v>
      </c>
      <c r="P670" s="45" t="n">
        <f aca="false">N670-O670</f>
        <v>300</v>
      </c>
      <c r="Q670" s="45" t="n">
        <f aca="false">IF(D670="Purchase",E670*M670,0)</f>
        <v>0</v>
      </c>
    </row>
    <row r="671" customFormat="false" ht="15" hidden="false" customHeight="false" outlineLevel="0" collapsed="false">
      <c r="A671" s="39" t="s">
        <v>995</v>
      </c>
      <c r="B671" s="44" t="n">
        <v>46179</v>
      </c>
      <c r="C671" s="39" t="s">
        <v>404</v>
      </c>
      <c r="D671" s="39" t="s">
        <v>138</v>
      </c>
      <c r="E671" s="39" t="n">
        <v>20</v>
      </c>
      <c r="F671" s="39" t="str">
        <f aca="false">IF(COUNTIF(medicine_master!$A$2:$A$26,C671)&gt;0,"Valid","Invalid")</f>
        <v>Valid</v>
      </c>
      <c r="G671" s="39" t="str">
        <f aca="false">IFERROR(INDEX(medicine_master!$B$2:$B$26,MATCH($C671,medicine_master!$A$2:$A$26,0)),"Not found")</f>
        <v>ORS Sachet</v>
      </c>
      <c r="H671" s="39" t="str">
        <f aca="false">IFERROR(INDEX(medicine_master!$C$2:$C$26,MATCH($C671,medicine_master!$A$2:$A$26,0)),"Not found")</f>
        <v>First Aid</v>
      </c>
      <c r="I671" s="39" t="n">
        <f aca="false">YEAR(B671)</f>
        <v>2026</v>
      </c>
      <c r="J671" s="39" t="n">
        <f aca="false">MONTH(B671)</f>
        <v>6</v>
      </c>
      <c r="K671" s="39" t="str">
        <f aca="false">TEXT(B671,"mmm")</f>
        <v>Jun</v>
      </c>
      <c r="L671" s="45" t="n">
        <f aca="false">IFERROR(INDEX(medicine_master!$I$2:$I$26,MATCH($C671,medicine_master!$A$2:$A$26,0)),0)</f>
        <v>10</v>
      </c>
      <c r="M671" s="45" t="n">
        <f aca="false">IFERROR(INDEX(medicine_master!$G$2:$G$26,MATCH($C671,medicine_master!$A$2:$A$26,0)),0)</f>
        <v>6</v>
      </c>
      <c r="N671" s="45" t="n">
        <f aca="false">IF(D671="Sale",E671*L671,0)</f>
        <v>0</v>
      </c>
      <c r="O671" s="45" t="n">
        <f aca="false">IF(D671="Sale",E671*M671,0)</f>
        <v>0</v>
      </c>
      <c r="P671" s="45" t="n">
        <f aca="false">N671-O671</f>
        <v>0</v>
      </c>
      <c r="Q671" s="45" t="n">
        <f aca="false">IF(D671="Purchase",E671*M671,0)</f>
        <v>120</v>
      </c>
    </row>
    <row r="672" customFormat="false" ht="15" hidden="false" customHeight="false" outlineLevel="0" collapsed="false">
      <c r="A672" s="39" t="s">
        <v>996</v>
      </c>
      <c r="B672" s="44" t="n">
        <v>46050</v>
      </c>
      <c r="C672" s="39" t="s">
        <v>149</v>
      </c>
      <c r="D672" s="39" t="s">
        <v>137</v>
      </c>
      <c r="E672" s="39" t="n">
        <v>20</v>
      </c>
      <c r="F672" s="39" t="str">
        <f aca="false">IF(COUNTIF(medicine_master!$A$2:$A$26,C672)&gt;0,"Valid","Invalid")</f>
        <v>Valid</v>
      </c>
      <c r="G672" s="39" t="str">
        <f aca="false">IFERROR(INDEX(medicine_master!$B$2:$B$26,MATCH($C672,medicine_master!$A$2:$A$26,0)),"Not found")</f>
        <v>Azithromycin 500mg</v>
      </c>
      <c r="H672" s="39" t="str">
        <f aca="false">IFERROR(INDEX(medicine_master!$C$2:$C$26,MATCH($C672,medicine_master!$A$2:$A$26,0)),"Not found")</f>
        <v>Antibiotic</v>
      </c>
      <c r="I672" s="39" t="n">
        <f aca="false">YEAR(B672)</f>
        <v>2026</v>
      </c>
      <c r="J672" s="39" t="n">
        <f aca="false">MONTH(B672)</f>
        <v>1</v>
      </c>
      <c r="K672" s="39" t="str">
        <f aca="false">TEXT(B672,"mmm")</f>
        <v>Jan</v>
      </c>
      <c r="L672" s="45" t="n">
        <f aca="false">IFERROR(INDEX(medicine_master!$I$2:$I$26,MATCH($C672,medicine_master!$A$2:$A$26,0)),0)</f>
        <v>50</v>
      </c>
      <c r="M672" s="45" t="n">
        <f aca="false">IFERROR(INDEX(medicine_master!$G$2:$G$26,MATCH($C672,medicine_master!$A$2:$A$26,0)),0)</f>
        <v>35</v>
      </c>
      <c r="N672" s="45" t="n">
        <f aca="false">IF(D672="Sale",E672*L672,0)</f>
        <v>1000</v>
      </c>
      <c r="O672" s="45" t="n">
        <f aca="false">IF(D672="Sale",E672*M672,0)</f>
        <v>700</v>
      </c>
      <c r="P672" s="45" t="n">
        <f aca="false">N672-O672</f>
        <v>300</v>
      </c>
      <c r="Q672" s="45" t="n">
        <f aca="false">IF(D672="Purchase",E672*M672,0)</f>
        <v>0</v>
      </c>
    </row>
    <row r="673" customFormat="false" ht="15" hidden="false" customHeight="false" outlineLevel="0" collapsed="false">
      <c r="A673" s="39" t="s">
        <v>997</v>
      </c>
      <c r="B673" s="44" t="n">
        <v>46364</v>
      </c>
      <c r="C673" s="39" t="s">
        <v>144</v>
      </c>
      <c r="D673" s="39" t="s">
        <v>137</v>
      </c>
      <c r="E673" s="39" t="n">
        <v>25</v>
      </c>
      <c r="F673" s="39" t="str">
        <f aca="false">IF(COUNTIF(medicine_master!$A$2:$A$26,C673)&gt;0,"Valid","Invalid")</f>
        <v>Valid</v>
      </c>
      <c r="G673" s="39" t="str">
        <f aca="false">IFERROR(INDEX(medicine_master!$B$2:$B$26,MATCH($C673,medicine_master!$A$2:$A$26,0)),"Not found")</f>
        <v>Glimepiride 2mg</v>
      </c>
      <c r="H673" s="39" t="str">
        <f aca="false">IFERROR(INDEX(medicine_master!$C$2:$C$26,MATCH($C673,medicine_master!$A$2:$A$26,0)),"Not found")</f>
        <v>Diabetes</v>
      </c>
      <c r="I673" s="39" t="n">
        <f aca="false">YEAR(B673)</f>
        <v>2026</v>
      </c>
      <c r="J673" s="39" t="n">
        <f aca="false">MONTH(B673)</f>
        <v>12</v>
      </c>
      <c r="K673" s="39" t="str">
        <f aca="false">TEXT(B673,"mmm")</f>
        <v>Dec</v>
      </c>
      <c r="L673" s="45" t="n">
        <f aca="false">IFERROR(INDEX(medicine_master!$I$2:$I$26,MATCH($C673,medicine_master!$A$2:$A$26,0)),0)</f>
        <v>52</v>
      </c>
      <c r="M673" s="45" t="n">
        <f aca="false">IFERROR(INDEX(medicine_master!$G$2:$G$26,MATCH($C673,medicine_master!$A$2:$A$26,0)),0)</f>
        <v>38</v>
      </c>
      <c r="N673" s="45" t="n">
        <f aca="false">IF(D673="Sale",E673*L673,0)</f>
        <v>1300</v>
      </c>
      <c r="O673" s="45" t="n">
        <f aca="false">IF(D673="Sale",E673*M673,0)</f>
        <v>950</v>
      </c>
      <c r="P673" s="45" t="n">
        <f aca="false">N673-O673</f>
        <v>350</v>
      </c>
      <c r="Q673" s="45" t="n">
        <f aca="false">IF(D673="Purchase",E673*M673,0)</f>
        <v>0</v>
      </c>
    </row>
    <row r="674" customFormat="false" ht="15" hidden="false" customHeight="false" outlineLevel="0" collapsed="false">
      <c r="A674" s="39" t="s">
        <v>998</v>
      </c>
      <c r="B674" s="44" t="n">
        <v>46383</v>
      </c>
      <c r="C674" s="39" t="s">
        <v>345</v>
      </c>
      <c r="D674" s="39" t="s">
        <v>138</v>
      </c>
      <c r="E674" s="39" t="n">
        <v>20</v>
      </c>
      <c r="F674" s="39" t="str">
        <f aca="false">IF(COUNTIF(medicine_master!$A$2:$A$26,C674)&gt;0,"Valid","Invalid")</f>
        <v>Valid</v>
      </c>
      <c r="G674" s="39" t="str">
        <f aca="false">IFERROR(INDEX(medicine_master!$B$2:$B$26,MATCH($C674,medicine_master!$A$2:$A$26,0)),"Not found")</f>
        <v>Paracetamol 500mg</v>
      </c>
      <c r="H674" s="39" t="str">
        <f aca="false">IFERROR(INDEX(medicine_master!$C$2:$C$26,MATCH($C674,medicine_master!$A$2:$A$26,0)),"Not found")</f>
        <v>Pain Relief</v>
      </c>
      <c r="I674" s="39" t="n">
        <f aca="false">YEAR(B674)</f>
        <v>2026</v>
      </c>
      <c r="J674" s="39" t="n">
        <f aca="false">MONTH(B674)</f>
        <v>12</v>
      </c>
      <c r="K674" s="39" t="str">
        <f aca="false">TEXT(B674,"mmm")</f>
        <v>Dec</v>
      </c>
      <c r="L674" s="45" t="n">
        <f aca="false">IFERROR(INDEX(medicine_master!$I$2:$I$26,MATCH($C674,medicine_master!$A$2:$A$26,0)),0)</f>
        <v>18</v>
      </c>
      <c r="M674" s="45" t="n">
        <f aca="false">IFERROR(INDEX(medicine_master!$G$2:$G$26,MATCH($C674,medicine_master!$A$2:$A$26,0)),0)</f>
        <v>12</v>
      </c>
      <c r="N674" s="45" t="n">
        <f aca="false">IF(D674="Sale",E674*L674,0)</f>
        <v>0</v>
      </c>
      <c r="O674" s="45" t="n">
        <f aca="false">IF(D674="Sale",E674*M674,0)</f>
        <v>0</v>
      </c>
      <c r="P674" s="45" t="n">
        <f aca="false">N674-O674</f>
        <v>0</v>
      </c>
      <c r="Q674" s="45" t="n">
        <f aca="false">IF(D674="Purchase",E674*M674,0)</f>
        <v>240</v>
      </c>
    </row>
    <row r="675" customFormat="false" ht="15" hidden="false" customHeight="false" outlineLevel="0" collapsed="false">
      <c r="A675" s="39" t="s">
        <v>999</v>
      </c>
      <c r="B675" s="44" t="n">
        <v>46236</v>
      </c>
      <c r="C675" s="39" t="s">
        <v>178</v>
      </c>
      <c r="D675" s="39" t="s">
        <v>138</v>
      </c>
      <c r="E675" s="39" t="n">
        <v>5</v>
      </c>
      <c r="F675" s="39" t="str">
        <f aca="false">IF(COUNTIF(medicine_master!$A$2:$A$26,C675)&gt;0,"Valid","Invalid")</f>
        <v>Valid</v>
      </c>
      <c r="G675" s="39" t="str">
        <f aca="false">IFERROR(INDEX(medicine_master!$B$2:$B$26,MATCH($C675,medicine_master!$A$2:$A$26,0)),"Not found")</f>
        <v>Aspirin 75mg</v>
      </c>
      <c r="H675" s="39" t="str">
        <f aca="false">IFERROR(INDEX(medicine_master!$C$2:$C$26,MATCH($C675,medicine_master!$A$2:$A$26,0)),"Not found")</f>
        <v>Cardiac</v>
      </c>
      <c r="I675" s="39" t="n">
        <f aca="false">YEAR(B675)</f>
        <v>2026</v>
      </c>
      <c r="J675" s="39" t="n">
        <f aca="false">MONTH(B675)</f>
        <v>8</v>
      </c>
      <c r="K675" s="39" t="str">
        <f aca="false">TEXT(B675,"mmm")</f>
        <v>Aug</v>
      </c>
      <c r="L675" s="45" t="n">
        <f aca="false">IFERROR(INDEX(medicine_master!$I$2:$I$26,MATCH($C675,medicine_master!$A$2:$A$26,0)),0)</f>
        <v>15</v>
      </c>
      <c r="M675" s="45" t="n">
        <f aca="false">IFERROR(INDEX(medicine_master!$G$2:$G$26,MATCH($C675,medicine_master!$A$2:$A$26,0)),0)</f>
        <v>10</v>
      </c>
      <c r="N675" s="45" t="n">
        <f aca="false">IF(D675="Sale",E675*L675,0)</f>
        <v>0</v>
      </c>
      <c r="O675" s="45" t="n">
        <f aca="false">IF(D675="Sale",E675*M675,0)</f>
        <v>0</v>
      </c>
      <c r="P675" s="45" t="n">
        <f aca="false">N675-O675</f>
        <v>0</v>
      </c>
      <c r="Q675" s="45" t="n">
        <f aca="false">IF(D675="Purchase",E675*M675,0)</f>
        <v>50</v>
      </c>
    </row>
    <row r="676" customFormat="false" ht="15" hidden="false" customHeight="false" outlineLevel="0" collapsed="false">
      <c r="A676" s="39" t="s">
        <v>1000</v>
      </c>
      <c r="B676" s="44" t="n">
        <v>46284</v>
      </c>
      <c r="C676" s="39" t="s">
        <v>157</v>
      </c>
      <c r="D676" s="39" t="s">
        <v>138</v>
      </c>
      <c r="E676" s="39" t="n">
        <v>20</v>
      </c>
      <c r="F676" s="39" t="str">
        <f aca="false">IF(COUNTIF(medicine_master!$A$2:$A$26,C676)&gt;0,"Valid","Invalid")</f>
        <v>Valid</v>
      </c>
      <c r="G676" s="39" t="str">
        <f aca="false">IFERROR(INDEX(medicine_master!$B$2:$B$26,MATCH($C676,medicine_master!$A$2:$A$26,0)),"Not found")</f>
        <v>Multivitamin Tablets</v>
      </c>
      <c r="H676" s="39" t="str">
        <f aca="false">IFERROR(INDEX(medicine_master!$C$2:$C$26,MATCH($C676,medicine_master!$A$2:$A$26,0)),"Not found")</f>
        <v>Vitamin</v>
      </c>
      <c r="I676" s="39" t="n">
        <f aca="false">YEAR(B676)</f>
        <v>2026</v>
      </c>
      <c r="J676" s="39" t="n">
        <f aca="false">MONTH(B676)</f>
        <v>9</v>
      </c>
      <c r="K676" s="39" t="str">
        <f aca="false">TEXT(B676,"mmm")</f>
        <v>Sep</v>
      </c>
      <c r="L676" s="45" t="n">
        <f aca="false">IFERROR(INDEX(medicine_master!$I$2:$I$26,MATCH($C676,medicine_master!$A$2:$A$26,0)),0)</f>
        <v>105</v>
      </c>
      <c r="M676" s="45" t="n">
        <f aca="false">IFERROR(INDEX(medicine_master!$G$2:$G$26,MATCH($C676,medicine_master!$A$2:$A$26,0)),0)</f>
        <v>72</v>
      </c>
      <c r="N676" s="45" t="n">
        <f aca="false">IF(D676="Sale",E676*L676,0)</f>
        <v>0</v>
      </c>
      <c r="O676" s="45" t="n">
        <f aca="false">IF(D676="Sale",E676*M676,0)</f>
        <v>0</v>
      </c>
      <c r="P676" s="45" t="n">
        <f aca="false">N676-O676</f>
        <v>0</v>
      </c>
      <c r="Q676" s="45" t="n">
        <f aca="false">IF(D676="Purchase",E676*M676,0)</f>
        <v>1440</v>
      </c>
    </row>
    <row r="677" customFormat="false" ht="15" hidden="false" customHeight="false" outlineLevel="0" collapsed="false">
      <c r="A677" s="39" t="s">
        <v>1001</v>
      </c>
      <c r="B677" s="44" t="n">
        <v>46115</v>
      </c>
      <c r="C677" s="39" t="s">
        <v>167</v>
      </c>
      <c r="D677" s="39" t="s">
        <v>137</v>
      </c>
      <c r="E677" s="39" t="n">
        <v>10</v>
      </c>
      <c r="F677" s="39" t="str">
        <f aca="false">IF(COUNTIF(medicine_master!$A$2:$A$26,C677)&gt;0,"Valid","Invalid")</f>
        <v>Valid</v>
      </c>
      <c r="G677" s="39" t="str">
        <f aca="false">IFERROR(INDEX(medicine_master!$B$2:$B$26,MATCH($C677,medicine_master!$A$2:$A$26,0)),"Not found")</f>
        <v>Amlodipine 5mg</v>
      </c>
      <c r="H677" s="39" t="str">
        <f aca="false">IFERROR(INDEX(medicine_master!$C$2:$C$26,MATCH($C677,medicine_master!$A$2:$A$26,0)),"Not found")</f>
        <v>Cardiac</v>
      </c>
      <c r="I677" s="39" t="n">
        <f aca="false">YEAR(B677)</f>
        <v>2026</v>
      </c>
      <c r="J677" s="39" t="n">
        <f aca="false">MONTH(B677)</f>
        <v>4</v>
      </c>
      <c r="K677" s="39" t="str">
        <f aca="false">TEXT(B677,"mmm")</f>
        <v>Apr</v>
      </c>
      <c r="L677" s="45" t="n">
        <f aca="false">IFERROR(INDEX(medicine_master!$I$2:$I$26,MATCH($C677,medicine_master!$A$2:$A$26,0)),0)</f>
        <v>19</v>
      </c>
      <c r="M677" s="45" t="n">
        <f aca="false">IFERROR(INDEX(medicine_master!$G$2:$G$26,MATCH($C677,medicine_master!$A$2:$A$26,0)),0)</f>
        <v>13</v>
      </c>
      <c r="N677" s="45" t="n">
        <f aca="false">IF(D677="Sale",E677*L677,0)</f>
        <v>190</v>
      </c>
      <c r="O677" s="45" t="n">
        <f aca="false">IF(D677="Sale",E677*M677,0)</f>
        <v>130</v>
      </c>
      <c r="P677" s="45" t="n">
        <f aca="false">N677-O677</f>
        <v>60</v>
      </c>
      <c r="Q677" s="45" t="n">
        <f aca="false">IF(D677="Purchase",E677*M677,0)</f>
        <v>0</v>
      </c>
    </row>
    <row r="678" customFormat="false" ht="15" hidden="false" customHeight="false" outlineLevel="0" collapsed="false">
      <c r="A678" s="39" t="s">
        <v>1002</v>
      </c>
      <c r="B678" s="44" t="n">
        <v>46313</v>
      </c>
      <c r="C678" s="39" t="s">
        <v>177</v>
      </c>
      <c r="D678" s="39" t="s">
        <v>138</v>
      </c>
      <c r="E678" s="39" t="n">
        <v>15</v>
      </c>
      <c r="F678" s="39" t="str">
        <f aca="false">IF(COUNTIF(medicine_master!$A$2:$A$26,C678)&gt;0,"Valid","Invalid")</f>
        <v>Valid</v>
      </c>
      <c r="G678" s="39" t="str">
        <f aca="false">IFERROR(INDEX(medicine_master!$B$2:$B$26,MATCH($C678,medicine_master!$A$2:$A$26,0)),"Not found")</f>
        <v>Bandage Roll</v>
      </c>
      <c r="H678" s="39" t="str">
        <f aca="false">IFERROR(INDEX(medicine_master!$C$2:$C$26,MATCH($C678,medicine_master!$A$2:$A$26,0)),"Not found")</f>
        <v>First Aid</v>
      </c>
      <c r="I678" s="39" t="n">
        <f aca="false">YEAR(B678)</f>
        <v>2026</v>
      </c>
      <c r="J678" s="39" t="n">
        <f aca="false">MONTH(B678)</f>
        <v>10</v>
      </c>
      <c r="K678" s="39" t="str">
        <f aca="false">TEXT(B678,"mmm")</f>
        <v>Oct</v>
      </c>
      <c r="L678" s="45" t="n">
        <f aca="false">IFERROR(INDEX(medicine_master!$I$2:$I$26,MATCH($C678,medicine_master!$A$2:$A$26,0)),0)</f>
        <v>25</v>
      </c>
      <c r="M678" s="45" t="n">
        <f aca="false">IFERROR(INDEX(medicine_master!$G$2:$G$26,MATCH($C678,medicine_master!$A$2:$A$26,0)),0)</f>
        <v>15</v>
      </c>
      <c r="N678" s="45" t="n">
        <f aca="false">IF(D678="Sale",E678*L678,0)</f>
        <v>0</v>
      </c>
      <c r="O678" s="45" t="n">
        <f aca="false">IF(D678="Sale",E678*M678,0)</f>
        <v>0</v>
      </c>
      <c r="P678" s="45" t="n">
        <f aca="false">N678-O678</f>
        <v>0</v>
      </c>
      <c r="Q678" s="45" t="n">
        <f aca="false">IF(D678="Purchase",E678*M678,0)</f>
        <v>225</v>
      </c>
    </row>
    <row r="679" customFormat="false" ht="15" hidden="false" customHeight="false" outlineLevel="0" collapsed="false">
      <c r="A679" s="39" t="s">
        <v>1003</v>
      </c>
      <c r="B679" s="44" t="n">
        <v>46163</v>
      </c>
      <c r="C679" s="39" t="s">
        <v>158</v>
      </c>
      <c r="D679" s="39" t="s">
        <v>137</v>
      </c>
      <c r="E679" s="39" t="n">
        <v>5</v>
      </c>
      <c r="F679" s="39" t="str">
        <f aca="false">IF(COUNTIF(medicine_master!$A$2:$A$26,C679)&gt;0,"Valid","Invalid")</f>
        <v>Valid</v>
      </c>
      <c r="G679" s="39" t="str">
        <f aca="false">IFERROR(INDEX(medicine_master!$B$2:$B$26,MATCH($C679,medicine_master!$A$2:$A$26,0)),"Not found")</f>
        <v>Cough Syrup 100ml</v>
      </c>
      <c r="H679" s="39" t="str">
        <f aca="false">IFERROR(INDEX(medicine_master!$C$2:$C$26,MATCH($C679,medicine_master!$A$2:$A$26,0)),"Not found")</f>
        <v>Cold &amp; Cough</v>
      </c>
      <c r="I679" s="39" t="n">
        <f aca="false">YEAR(B679)</f>
        <v>2026</v>
      </c>
      <c r="J679" s="39" t="n">
        <f aca="false">MONTH(B679)</f>
        <v>5</v>
      </c>
      <c r="K679" s="39" t="str">
        <f aca="false">TEXT(B679,"mmm")</f>
        <v>May</v>
      </c>
      <c r="L679" s="45" t="n">
        <f aca="false">IFERROR(INDEX(medicine_master!$I$2:$I$26,MATCH($C679,medicine_master!$A$2:$A$26,0)),0)</f>
        <v>72</v>
      </c>
      <c r="M679" s="45" t="n">
        <f aca="false">IFERROR(INDEX(medicine_master!$G$2:$G$26,MATCH($C679,medicine_master!$A$2:$A$26,0)),0)</f>
        <v>52</v>
      </c>
      <c r="N679" s="45" t="n">
        <f aca="false">IF(D679="Sale",E679*L679,0)</f>
        <v>360</v>
      </c>
      <c r="O679" s="45" t="n">
        <f aca="false">IF(D679="Sale",E679*M679,0)</f>
        <v>260</v>
      </c>
      <c r="P679" s="45" t="n">
        <f aca="false">N679-O679</f>
        <v>100</v>
      </c>
      <c r="Q679" s="45" t="n">
        <f aca="false">IF(D679="Purchase",E679*M679,0)</f>
        <v>0</v>
      </c>
    </row>
    <row r="680" customFormat="false" ht="15" hidden="false" customHeight="false" outlineLevel="0" collapsed="false">
      <c r="A680" s="39" t="s">
        <v>1004</v>
      </c>
      <c r="B680" s="44" t="n">
        <v>46158</v>
      </c>
      <c r="C680" s="39" t="s">
        <v>495</v>
      </c>
      <c r="D680" s="39" t="s">
        <v>137</v>
      </c>
      <c r="E680" s="39" t="n">
        <v>15</v>
      </c>
      <c r="F680" s="39" t="str">
        <f aca="false">IF(COUNTIF(medicine_master!$A$2:$A$26,C680)&gt;0,"Valid","Invalid")</f>
        <v>Valid</v>
      </c>
      <c r="G680" s="39" t="str">
        <f aca="false">IFERROR(INDEX(medicine_master!$B$2:$B$26,MATCH($C680,medicine_master!$A$2:$A$26,0)),"Not found")</f>
        <v>Metformin 500mg</v>
      </c>
      <c r="H680" s="39" t="str">
        <f aca="false">IFERROR(INDEX(medicine_master!$C$2:$C$26,MATCH($C680,medicine_master!$A$2:$A$26,0)),"Not found")</f>
        <v>Diabetes</v>
      </c>
      <c r="I680" s="39" t="n">
        <f aca="false">YEAR(B680)</f>
        <v>2026</v>
      </c>
      <c r="J680" s="39" t="n">
        <f aca="false">MONTH(B680)</f>
        <v>5</v>
      </c>
      <c r="K680" s="39" t="str">
        <f aca="false">TEXT(B680,"mmm")</f>
        <v>May</v>
      </c>
      <c r="L680" s="45" t="n">
        <f aca="false">IFERROR(INDEX(medicine_master!$I$2:$I$26,MATCH($C680,medicine_master!$A$2:$A$26,0)),0)</f>
        <v>24</v>
      </c>
      <c r="M680" s="45" t="n">
        <f aca="false">IFERROR(INDEX(medicine_master!$G$2:$G$26,MATCH($C680,medicine_master!$A$2:$A$26,0)),0)</f>
        <v>16</v>
      </c>
      <c r="N680" s="45" t="n">
        <f aca="false">IF(D680="Sale",E680*L680,0)</f>
        <v>360</v>
      </c>
      <c r="O680" s="45" t="n">
        <f aca="false">IF(D680="Sale",E680*M680,0)</f>
        <v>240</v>
      </c>
      <c r="P680" s="45" t="n">
        <f aca="false">N680-O680</f>
        <v>120</v>
      </c>
      <c r="Q680" s="45" t="n">
        <f aca="false">IF(D680="Purchase",E680*M680,0)</f>
        <v>0</v>
      </c>
    </row>
    <row r="681" customFormat="false" ht="15" hidden="false" customHeight="false" outlineLevel="0" collapsed="false">
      <c r="A681" s="39" t="s">
        <v>1005</v>
      </c>
      <c r="B681" s="44" t="n">
        <v>46317</v>
      </c>
      <c r="C681" s="39" t="s">
        <v>390</v>
      </c>
      <c r="D681" s="39" t="s">
        <v>137</v>
      </c>
      <c r="E681" s="39" t="n">
        <v>15</v>
      </c>
      <c r="F681" s="39" t="str">
        <f aca="false">IF(COUNTIF(medicine_master!$A$2:$A$26,C681)&gt;0,"Valid","Invalid")</f>
        <v>Valid</v>
      </c>
      <c r="G681" s="39" t="str">
        <f aca="false">IFERROR(INDEX(medicine_master!$B$2:$B$26,MATCH($C681,medicine_master!$A$2:$A$26,0)),"Not found")</f>
        <v>Montelukast 10mg</v>
      </c>
      <c r="H681" s="39" t="str">
        <f aca="false">IFERROR(INDEX(medicine_master!$C$2:$C$26,MATCH($C681,medicine_master!$A$2:$A$26,0)),"Not found")</f>
        <v>Allergy</v>
      </c>
      <c r="I681" s="39" t="n">
        <f aca="false">YEAR(B681)</f>
        <v>2026</v>
      </c>
      <c r="J681" s="39" t="n">
        <f aca="false">MONTH(B681)</f>
        <v>10</v>
      </c>
      <c r="K681" s="39" t="str">
        <f aca="false">TEXT(B681,"mmm")</f>
        <v>Oct</v>
      </c>
      <c r="L681" s="45" t="n">
        <f aca="false">IFERROR(INDEX(medicine_master!$I$2:$I$26,MATCH($C681,medicine_master!$A$2:$A$26,0)),0)</f>
        <v>39</v>
      </c>
      <c r="M681" s="45" t="n">
        <f aca="false">IFERROR(INDEX(medicine_master!$G$2:$G$26,MATCH($C681,medicine_master!$A$2:$A$26,0)),0)</f>
        <v>27</v>
      </c>
      <c r="N681" s="45" t="n">
        <f aca="false">IF(D681="Sale",E681*L681,0)</f>
        <v>585</v>
      </c>
      <c r="O681" s="45" t="n">
        <f aca="false">IF(D681="Sale",E681*M681,0)</f>
        <v>405</v>
      </c>
      <c r="P681" s="45" t="n">
        <f aca="false">N681-O681</f>
        <v>180</v>
      </c>
      <c r="Q681" s="45" t="n">
        <f aca="false">IF(D681="Purchase",E681*M681,0)</f>
        <v>0</v>
      </c>
    </row>
    <row r="682" customFormat="false" ht="15" hidden="false" customHeight="false" outlineLevel="0" collapsed="false">
      <c r="A682" s="39" t="s">
        <v>1006</v>
      </c>
      <c r="B682" s="44" t="n">
        <v>46128</v>
      </c>
      <c r="C682" s="39" t="s">
        <v>495</v>
      </c>
      <c r="D682" s="39" t="s">
        <v>138</v>
      </c>
      <c r="E682" s="39" t="n">
        <v>15</v>
      </c>
      <c r="F682" s="39" t="str">
        <f aca="false">IF(COUNTIF(medicine_master!$A$2:$A$26,C682)&gt;0,"Valid","Invalid")</f>
        <v>Valid</v>
      </c>
      <c r="G682" s="39" t="str">
        <f aca="false">IFERROR(INDEX(medicine_master!$B$2:$B$26,MATCH($C682,medicine_master!$A$2:$A$26,0)),"Not found")</f>
        <v>Metformin 500mg</v>
      </c>
      <c r="H682" s="39" t="str">
        <f aca="false">IFERROR(INDEX(medicine_master!$C$2:$C$26,MATCH($C682,medicine_master!$A$2:$A$26,0)),"Not found")</f>
        <v>Diabetes</v>
      </c>
      <c r="I682" s="39" t="n">
        <f aca="false">YEAR(B682)</f>
        <v>2026</v>
      </c>
      <c r="J682" s="39" t="n">
        <f aca="false">MONTH(B682)</f>
        <v>4</v>
      </c>
      <c r="K682" s="39" t="str">
        <f aca="false">TEXT(B682,"mmm")</f>
        <v>Apr</v>
      </c>
      <c r="L682" s="45" t="n">
        <f aca="false">IFERROR(INDEX(medicine_master!$I$2:$I$26,MATCH($C682,medicine_master!$A$2:$A$26,0)),0)</f>
        <v>24</v>
      </c>
      <c r="M682" s="45" t="n">
        <f aca="false">IFERROR(INDEX(medicine_master!$G$2:$G$26,MATCH($C682,medicine_master!$A$2:$A$26,0)),0)</f>
        <v>16</v>
      </c>
      <c r="N682" s="45" t="n">
        <f aca="false">IF(D682="Sale",E682*L682,0)</f>
        <v>0</v>
      </c>
      <c r="O682" s="45" t="n">
        <f aca="false">IF(D682="Sale",E682*M682,0)</f>
        <v>0</v>
      </c>
      <c r="P682" s="45" t="n">
        <f aca="false">N682-O682</f>
        <v>0</v>
      </c>
      <c r="Q682" s="45" t="n">
        <f aca="false">IF(D682="Purchase",E682*M682,0)</f>
        <v>240</v>
      </c>
    </row>
    <row r="683" customFormat="false" ht="15" hidden="false" customHeight="false" outlineLevel="0" collapsed="false">
      <c r="A683" s="39" t="s">
        <v>1007</v>
      </c>
      <c r="B683" s="44" t="n">
        <v>46366</v>
      </c>
      <c r="C683" s="39" t="s">
        <v>152</v>
      </c>
      <c r="D683" s="39" t="s">
        <v>138</v>
      </c>
      <c r="E683" s="39" t="n">
        <v>30</v>
      </c>
      <c r="F683" s="39" t="str">
        <f aca="false">IF(COUNTIF(medicine_master!$A$2:$A$26,C683)&gt;0,"Valid","Invalid")</f>
        <v>Valid</v>
      </c>
      <c r="G683" s="39" t="str">
        <f aca="false">IFERROR(INDEX(medicine_master!$B$2:$B$26,MATCH($C683,medicine_master!$A$2:$A$26,0)),"Not found")</f>
        <v>Amoxicillin 500mg</v>
      </c>
      <c r="H683" s="39" t="str">
        <f aca="false">IFERROR(INDEX(medicine_master!$C$2:$C$26,MATCH($C683,medicine_master!$A$2:$A$26,0)),"Not found")</f>
        <v>Antibiotic</v>
      </c>
      <c r="I683" s="39" t="n">
        <f aca="false">YEAR(B683)</f>
        <v>2026</v>
      </c>
      <c r="J683" s="39" t="n">
        <f aca="false">MONTH(B683)</f>
        <v>12</v>
      </c>
      <c r="K683" s="39" t="str">
        <f aca="false">TEXT(B683,"mmm")</f>
        <v>Dec</v>
      </c>
      <c r="L683" s="45" t="n">
        <f aca="false">IFERROR(INDEX(medicine_master!$I$2:$I$26,MATCH($C683,medicine_master!$A$2:$A$26,0)),0)</f>
        <v>40</v>
      </c>
      <c r="M683" s="45" t="n">
        <f aca="false">IFERROR(INDEX(medicine_master!$G$2:$G$26,MATCH($C683,medicine_master!$A$2:$A$26,0)),0)</f>
        <v>28</v>
      </c>
      <c r="N683" s="45" t="n">
        <f aca="false">IF(D683="Sale",E683*L683,0)</f>
        <v>0</v>
      </c>
      <c r="O683" s="45" t="n">
        <f aca="false">IF(D683="Sale",E683*M683,0)</f>
        <v>0</v>
      </c>
      <c r="P683" s="45" t="n">
        <f aca="false">N683-O683</f>
        <v>0</v>
      </c>
      <c r="Q683" s="45" t="n">
        <f aca="false">IF(D683="Purchase",E683*M683,0)</f>
        <v>840</v>
      </c>
    </row>
    <row r="684" customFormat="false" ht="15" hidden="false" customHeight="false" outlineLevel="0" collapsed="false">
      <c r="A684" s="39" t="s">
        <v>1008</v>
      </c>
      <c r="B684" s="44" t="n">
        <v>46299</v>
      </c>
      <c r="C684" s="39" t="s">
        <v>404</v>
      </c>
      <c r="D684" s="39" t="s">
        <v>137</v>
      </c>
      <c r="E684" s="39" t="n">
        <v>25</v>
      </c>
      <c r="F684" s="39" t="str">
        <f aca="false">IF(COUNTIF(medicine_master!$A$2:$A$26,C684)&gt;0,"Valid","Invalid")</f>
        <v>Valid</v>
      </c>
      <c r="G684" s="39" t="str">
        <f aca="false">IFERROR(INDEX(medicine_master!$B$2:$B$26,MATCH($C684,medicine_master!$A$2:$A$26,0)),"Not found")</f>
        <v>ORS Sachet</v>
      </c>
      <c r="H684" s="39" t="str">
        <f aca="false">IFERROR(INDEX(medicine_master!$C$2:$C$26,MATCH($C684,medicine_master!$A$2:$A$26,0)),"Not found")</f>
        <v>First Aid</v>
      </c>
      <c r="I684" s="39" t="n">
        <f aca="false">YEAR(B684)</f>
        <v>2026</v>
      </c>
      <c r="J684" s="39" t="n">
        <f aca="false">MONTH(B684)</f>
        <v>10</v>
      </c>
      <c r="K684" s="39" t="str">
        <f aca="false">TEXT(B684,"mmm")</f>
        <v>Oct</v>
      </c>
      <c r="L684" s="45" t="n">
        <f aca="false">IFERROR(INDEX(medicine_master!$I$2:$I$26,MATCH($C684,medicine_master!$A$2:$A$26,0)),0)</f>
        <v>10</v>
      </c>
      <c r="M684" s="45" t="n">
        <f aca="false">IFERROR(INDEX(medicine_master!$G$2:$G$26,MATCH($C684,medicine_master!$A$2:$A$26,0)),0)</f>
        <v>6</v>
      </c>
      <c r="N684" s="45" t="n">
        <f aca="false">IF(D684="Sale",E684*L684,0)</f>
        <v>250</v>
      </c>
      <c r="O684" s="45" t="n">
        <f aca="false">IF(D684="Sale",E684*M684,0)</f>
        <v>150</v>
      </c>
      <c r="P684" s="45" t="n">
        <f aca="false">N684-O684</f>
        <v>100</v>
      </c>
      <c r="Q684" s="45" t="n">
        <f aca="false">IF(D684="Purchase",E684*M684,0)</f>
        <v>0</v>
      </c>
    </row>
    <row r="685" customFormat="false" ht="15" hidden="false" customHeight="false" outlineLevel="0" collapsed="false">
      <c r="A685" s="39" t="s">
        <v>1009</v>
      </c>
      <c r="B685" s="44" t="n">
        <v>46061</v>
      </c>
      <c r="C685" s="39" t="s">
        <v>167</v>
      </c>
      <c r="D685" s="39" t="s">
        <v>137</v>
      </c>
      <c r="E685" s="39" t="n">
        <v>5</v>
      </c>
      <c r="F685" s="39" t="str">
        <f aca="false">IF(COUNTIF(medicine_master!$A$2:$A$26,C685)&gt;0,"Valid","Invalid")</f>
        <v>Valid</v>
      </c>
      <c r="G685" s="39" t="str">
        <f aca="false">IFERROR(INDEX(medicine_master!$B$2:$B$26,MATCH($C685,medicine_master!$A$2:$A$26,0)),"Not found")</f>
        <v>Amlodipine 5mg</v>
      </c>
      <c r="H685" s="39" t="str">
        <f aca="false">IFERROR(INDEX(medicine_master!$C$2:$C$26,MATCH($C685,medicine_master!$A$2:$A$26,0)),"Not found")</f>
        <v>Cardiac</v>
      </c>
      <c r="I685" s="39" t="n">
        <f aca="false">YEAR(B685)</f>
        <v>2026</v>
      </c>
      <c r="J685" s="39" t="n">
        <f aca="false">MONTH(B685)</f>
        <v>2</v>
      </c>
      <c r="K685" s="39" t="str">
        <f aca="false">TEXT(B685,"mmm")</f>
        <v>Feb</v>
      </c>
      <c r="L685" s="45" t="n">
        <f aca="false">IFERROR(INDEX(medicine_master!$I$2:$I$26,MATCH($C685,medicine_master!$A$2:$A$26,0)),0)</f>
        <v>19</v>
      </c>
      <c r="M685" s="45" t="n">
        <f aca="false">IFERROR(INDEX(medicine_master!$G$2:$G$26,MATCH($C685,medicine_master!$A$2:$A$26,0)),0)</f>
        <v>13</v>
      </c>
      <c r="N685" s="45" t="n">
        <f aca="false">IF(D685="Sale",E685*L685,0)</f>
        <v>95</v>
      </c>
      <c r="O685" s="45" t="n">
        <f aca="false">IF(D685="Sale",E685*M685,0)</f>
        <v>65</v>
      </c>
      <c r="P685" s="45" t="n">
        <f aca="false">N685-O685</f>
        <v>30</v>
      </c>
      <c r="Q685" s="45" t="n">
        <f aca="false">IF(D685="Purchase",E685*M685,0)</f>
        <v>0</v>
      </c>
    </row>
    <row r="686" customFormat="false" ht="15" hidden="false" customHeight="false" outlineLevel="0" collapsed="false">
      <c r="A686" s="39" t="s">
        <v>1010</v>
      </c>
      <c r="B686" s="44" t="n">
        <v>46355</v>
      </c>
      <c r="C686" s="39" t="s">
        <v>153</v>
      </c>
      <c r="D686" s="39" t="s">
        <v>138</v>
      </c>
      <c r="E686" s="39" t="n">
        <v>20</v>
      </c>
      <c r="F686" s="39" t="str">
        <f aca="false">IF(COUNTIF(medicine_master!$A$2:$A$26,C686)&gt;0,"Valid","Invalid")</f>
        <v>Valid</v>
      </c>
      <c r="G686" s="39" t="str">
        <f aca="false">IFERROR(INDEX(medicine_master!$B$2:$B$26,MATCH($C686,medicine_master!$A$2:$A$26,0)),"Not found")</f>
        <v>Atorvastatin 10mg</v>
      </c>
      <c r="H686" s="39" t="str">
        <f aca="false">IFERROR(INDEX(medicine_master!$C$2:$C$26,MATCH($C686,medicine_master!$A$2:$A$26,0)),"Not found")</f>
        <v>Cardiac</v>
      </c>
      <c r="I686" s="39" t="n">
        <f aca="false">YEAR(B686)</f>
        <v>2026</v>
      </c>
      <c r="J686" s="39" t="n">
        <f aca="false">MONTH(B686)</f>
        <v>11</v>
      </c>
      <c r="K686" s="39" t="str">
        <f aca="false">TEXT(B686,"mmm")</f>
        <v>Nov</v>
      </c>
      <c r="L686" s="45" t="n">
        <f aca="false">IFERROR(INDEX(medicine_master!$I$2:$I$26,MATCH($C686,medicine_master!$A$2:$A$26,0)),0)</f>
        <v>28</v>
      </c>
      <c r="M686" s="45" t="n">
        <f aca="false">IFERROR(INDEX(medicine_master!$G$2:$G$26,MATCH($C686,medicine_master!$A$2:$A$26,0)),0)</f>
        <v>19</v>
      </c>
      <c r="N686" s="45" t="n">
        <f aca="false">IF(D686="Sale",E686*L686,0)</f>
        <v>0</v>
      </c>
      <c r="O686" s="45" t="n">
        <f aca="false">IF(D686="Sale",E686*M686,0)</f>
        <v>0</v>
      </c>
      <c r="P686" s="45" t="n">
        <f aca="false">N686-O686</f>
        <v>0</v>
      </c>
      <c r="Q686" s="45" t="n">
        <f aca="false">IF(D686="Purchase",E686*M686,0)</f>
        <v>380</v>
      </c>
    </row>
    <row r="687" customFormat="false" ht="15" hidden="false" customHeight="false" outlineLevel="0" collapsed="false">
      <c r="A687" s="39" t="s">
        <v>1011</v>
      </c>
      <c r="B687" s="44" t="n">
        <v>46041</v>
      </c>
      <c r="C687" s="39" t="s">
        <v>144</v>
      </c>
      <c r="D687" s="39" t="s">
        <v>137</v>
      </c>
      <c r="E687" s="39" t="n">
        <v>25</v>
      </c>
      <c r="F687" s="39" t="str">
        <f aca="false">IF(COUNTIF(medicine_master!$A$2:$A$26,C687)&gt;0,"Valid","Invalid")</f>
        <v>Valid</v>
      </c>
      <c r="G687" s="39" t="str">
        <f aca="false">IFERROR(INDEX(medicine_master!$B$2:$B$26,MATCH($C687,medicine_master!$A$2:$A$26,0)),"Not found")</f>
        <v>Glimepiride 2mg</v>
      </c>
      <c r="H687" s="39" t="str">
        <f aca="false">IFERROR(INDEX(medicine_master!$C$2:$C$26,MATCH($C687,medicine_master!$A$2:$A$26,0)),"Not found")</f>
        <v>Diabetes</v>
      </c>
      <c r="I687" s="39" t="n">
        <f aca="false">YEAR(B687)</f>
        <v>2026</v>
      </c>
      <c r="J687" s="39" t="n">
        <f aca="false">MONTH(B687)</f>
        <v>1</v>
      </c>
      <c r="K687" s="39" t="str">
        <f aca="false">TEXT(B687,"mmm")</f>
        <v>Jan</v>
      </c>
      <c r="L687" s="45" t="n">
        <f aca="false">IFERROR(INDEX(medicine_master!$I$2:$I$26,MATCH($C687,medicine_master!$A$2:$A$26,0)),0)</f>
        <v>52</v>
      </c>
      <c r="M687" s="45" t="n">
        <f aca="false">IFERROR(INDEX(medicine_master!$G$2:$G$26,MATCH($C687,medicine_master!$A$2:$A$26,0)),0)</f>
        <v>38</v>
      </c>
      <c r="N687" s="45" t="n">
        <f aca="false">IF(D687="Sale",E687*L687,0)</f>
        <v>1300</v>
      </c>
      <c r="O687" s="45" t="n">
        <f aca="false">IF(D687="Sale",E687*M687,0)</f>
        <v>950</v>
      </c>
      <c r="P687" s="45" t="n">
        <f aca="false">N687-O687</f>
        <v>350</v>
      </c>
      <c r="Q687" s="45" t="n">
        <f aca="false">IF(D687="Purchase",E687*M687,0)</f>
        <v>0</v>
      </c>
    </row>
    <row r="688" customFormat="false" ht="15" hidden="false" customHeight="false" outlineLevel="0" collapsed="false">
      <c r="A688" s="39" t="s">
        <v>1012</v>
      </c>
      <c r="B688" s="44" t="n">
        <v>46131</v>
      </c>
      <c r="C688" s="39" t="s">
        <v>144</v>
      </c>
      <c r="D688" s="39" t="s">
        <v>137</v>
      </c>
      <c r="E688" s="39" t="n">
        <v>15</v>
      </c>
      <c r="F688" s="39" t="str">
        <f aca="false">IF(COUNTIF(medicine_master!$A$2:$A$26,C688)&gt;0,"Valid","Invalid")</f>
        <v>Valid</v>
      </c>
      <c r="G688" s="39" t="str">
        <f aca="false">IFERROR(INDEX(medicine_master!$B$2:$B$26,MATCH($C688,medicine_master!$A$2:$A$26,0)),"Not found")</f>
        <v>Glimepiride 2mg</v>
      </c>
      <c r="H688" s="39" t="str">
        <f aca="false">IFERROR(INDEX(medicine_master!$C$2:$C$26,MATCH($C688,medicine_master!$A$2:$A$26,0)),"Not found")</f>
        <v>Diabetes</v>
      </c>
      <c r="I688" s="39" t="n">
        <f aca="false">YEAR(B688)</f>
        <v>2026</v>
      </c>
      <c r="J688" s="39" t="n">
        <f aca="false">MONTH(B688)</f>
        <v>4</v>
      </c>
      <c r="K688" s="39" t="str">
        <f aca="false">TEXT(B688,"mmm")</f>
        <v>Apr</v>
      </c>
      <c r="L688" s="45" t="n">
        <f aca="false">IFERROR(INDEX(medicine_master!$I$2:$I$26,MATCH($C688,medicine_master!$A$2:$A$26,0)),0)</f>
        <v>52</v>
      </c>
      <c r="M688" s="45" t="n">
        <f aca="false">IFERROR(INDEX(medicine_master!$G$2:$G$26,MATCH($C688,medicine_master!$A$2:$A$26,0)),0)</f>
        <v>38</v>
      </c>
      <c r="N688" s="45" t="n">
        <f aca="false">IF(D688="Sale",E688*L688,0)</f>
        <v>780</v>
      </c>
      <c r="O688" s="45" t="n">
        <f aca="false">IF(D688="Sale",E688*M688,0)</f>
        <v>570</v>
      </c>
      <c r="P688" s="45" t="n">
        <f aca="false">N688-O688</f>
        <v>210</v>
      </c>
      <c r="Q688" s="45" t="n">
        <f aca="false">IF(D688="Purchase",E688*M688,0)</f>
        <v>0</v>
      </c>
    </row>
    <row r="689" customFormat="false" ht="15" hidden="false" customHeight="false" outlineLevel="0" collapsed="false">
      <c r="A689" s="39" t="s">
        <v>1013</v>
      </c>
      <c r="B689" s="44" t="n">
        <v>46112</v>
      </c>
      <c r="C689" s="39" t="s">
        <v>180</v>
      </c>
      <c r="D689" s="39" t="s">
        <v>137</v>
      </c>
      <c r="E689" s="39" t="n">
        <v>30</v>
      </c>
      <c r="F689" s="39" t="str">
        <f aca="false">IF(COUNTIF(medicine_master!$A$2:$A$26,C689)&gt;0,"Valid","Invalid")</f>
        <v>Valid</v>
      </c>
      <c r="G689" s="39" t="str">
        <f aca="false">IFERROR(INDEX(medicine_master!$B$2:$B$26,MATCH($C689,medicine_master!$A$2:$A$26,0)),"Not found")</f>
        <v>Vitamin C 500mg</v>
      </c>
      <c r="H689" s="39" t="str">
        <f aca="false">IFERROR(INDEX(medicine_master!$C$2:$C$26,MATCH($C689,medicine_master!$A$2:$A$26,0)),"Not found")</f>
        <v>Vitamin</v>
      </c>
      <c r="I689" s="39" t="n">
        <f aca="false">YEAR(B689)</f>
        <v>2026</v>
      </c>
      <c r="J689" s="39" t="n">
        <f aca="false">MONTH(B689)</f>
        <v>3</v>
      </c>
      <c r="K689" s="39" t="str">
        <f aca="false">TEXT(B689,"mmm")</f>
        <v>Mar</v>
      </c>
      <c r="L689" s="45" t="n">
        <f aca="false">IFERROR(INDEX(medicine_master!$I$2:$I$26,MATCH($C689,medicine_master!$A$2:$A$26,0)),0)</f>
        <v>22</v>
      </c>
      <c r="M689" s="45" t="n">
        <f aca="false">IFERROR(INDEX(medicine_master!$G$2:$G$26,MATCH($C689,medicine_master!$A$2:$A$26,0)),0)</f>
        <v>14</v>
      </c>
      <c r="N689" s="45" t="n">
        <f aca="false">IF(D689="Sale",E689*L689,0)</f>
        <v>660</v>
      </c>
      <c r="O689" s="45" t="n">
        <f aca="false">IF(D689="Sale",E689*M689,0)</f>
        <v>420</v>
      </c>
      <c r="P689" s="45" t="n">
        <f aca="false">N689-O689</f>
        <v>240</v>
      </c>
      <c r="Q689" s="45" t="n">
        <f aca="false">IF(D689="Purchase",E689*M689,0)</f>
        <v>0</v>
      </c>
    </row>
    <row r="690" customFormat="false" ht="15" hidden="false" customHeight="false" outlineLevel="0" collapsed="false">
      <c r="A690" s="39" t="s">
        <v>1014</v>
      </c>
      <c r="B690" s="44" t="n">
        <v>46175</v>
      </c>
      <c r="C690" s="39" t="s">
        <v>153</v>
      </c>
      <c r="D690" s="39" t="s">
        <v>138</v>
      </c>
      <c r="E690" s="39" t="n">
        <v>15</v>
      </c>
      <c r="F690" s="39" t="str">
        <f aca="false">IF(COUNTIF(medicine_master!$A$2:$A$26,C690)&gt;0,"Valid","Invalid")</f>
        <v>Valid</v>
      </c>
      <c r="G690" s="39" t="str">
        <f aca="false">IFERROR(INDEX(medicine_master!$B$2:$B$26,MATCH($C690,medicine_master!$A$2:$A$26,0)),"Not found")</f>
        <v>Atorvastatin 10mg</v>
      </c>
      <c r="H690" s="39" t="str">
        <f aca="false">IFERROR(INDEX(medicine_master!$C$2:$C$26,MATCH($C690,medicine_master!$A$2:$A$26,0)),"Not found")</f>
        <v>Cardiac</v>
      </c>
      <c r="I690" s="39" t="n">
        <f aca="false">YEAR(B690)</f>
        <v>2026</v>
      </c>
      <c r="J690" s="39" t="n">
        <f aca="false">MONTH(B690)</f>
        <v>6</v>
      </c>
      <c r="K690" s="39" t="str">
        <f aca="false">TEXT(B690,"mmm")</f>
        <v>Jun</v>
      </c>
      <c r="L690" s="45" t="n">
        <f aca="false">IFERROR(INDEX(medicine_master!$I$2:$I$26,MATCH($C690,medicine_master!$A$2:$A$26,0)),0)</f>
        <v>28</v>
      </c>
      <c r="M690" s="45" t="n">
        <f aca="false">IFERROR(INDEX(medicine_master!$G$2:$G$26,MATCH($C690,medicine_master!$A$2:$A$26,0)),0)</f>
        <v>19</v>
      </c>
      <c r="N690" s="45" t="n">
        <f aca="false">IF(D690="Sale",E690*L690,0)</f>
        <v>0</v>
      </c>
      <c r="O690" s="45" t="n">
        <f aca="false">IF(D690="Sale",E690*M690,0)</f>
        <v>0</v>
      </c>
      <c r="P690" s="45" t="n">
        <f aca="false">N690-O690</f>
        <v>0</v>
      </c>
      <c r="Q690" s="45" t="n">
        <f aca="false">IF(D690="Purchase",E690*M690,0)</f>
        <v>285</v>
      </c>
    </row>
    <row r="691" customFormat="false" ht="15" hidden="false" customHeight="false" outlineLevel="0" collapsed="false">
      <c r="A691" s="39" t="s">
        <v>1015</v>
      </c>
      <c r="B691" s="44" t="n">
        <v>46237</v>
      </c>
      <c r="C691" s="39" t="s">
        <v>145</v>
      </c>
      <c r="D691" s="39" t="s">
        <v>137</v>
      </c>
      <c r="E691" s="39" t="n">
        <v>25</v>
      </c>
      <c r="F691" s="39" t="str">
        <f aca="false">IF(COUNTIF(medicine_master!$A$2:$A$26,C691)&gt;0,"Valid","Invalid")</f>
        <v>Valid</v>
      </c>
      <c r="G691" s="39" t="str">
        <f aca="false">IFERROR(INDEX(medicine_master!$B$2:$B$26,MATCH($C691,medicine_master!$A$2:$A$26,0)),"Not found")</f>
        <v>Clotrimazole Cream</v>
      </c>
      <c r="H691" s="39" t="str">
        <f aca="false">IFERROR(INDEX(medicine_master!$C$2:$C$26,MATCH($C691,medicine_master!$A$2:$A$26,0)),"Not found")</f>
        <v>Dermatology</v>
      </c>
      <c r="I691" s="39" t="n">
        <f aca="false">YEAR(B691)</f>
        <v>2026</v>
      </c>
      <c r="J691" s="39" t="n">
        <f aca="false">MONTH(B691)</f>
        <v>8</v>
      </c>
      <c r="K691" s="39" t="str">
        <f aca="false">TEXT(B691,"mmm")</f>
        <v>Aug</v>
      </c>
      <c r="L691" s="45" t="n">
        <f aca="false">IFERROR(INDEX(medicine_master!$I$2:$I$26,MATCH($C691,medicine_master!$A$2:$A$26,0)),0)</f>
        <v>48</v>
      </c>
      <c r="M691" s="45" t="n">
        <f aca="false">IFERROR(INDEX(medicine_master!$G$2:$G$26,MATCH($C691,medicine_master!$A$2:$A$26,0)),0)</f>
        <v>32</v>
      </c>
      <c r="N691" s="45" t="n">
        <f aca="false">IF(D691="Sale",E691*L691,0)</f>
        <v>1200</v>
      </c>
      <c r="O691" s="45" t="n">
        <f aca="false">IF(D691="Sale",E691*M691,0)</f>
        <v>800</v>
      </c>
      <c r="P691" s="45" t="n">
        <f aca="false">N691-O691</f>
        <v>400</v>
      </c>
      <c r="Q691" s="45" t="n">
        <f aca="false">IF(D691="Purchase",E691*M691,0)</f>
        <v>0</v>
      </c>
    </row>
    <row r="692" customFormat="false" ht="15" hidden="false" customHeight="false" outlineLevel="0" collapsed="false">
      <c r="A692" s="39" t="s">
        <v>1016</v>
      </c>
      <c r="B692" s="44" t="n">
        <v>46346</v>
      </c>
      <c r="C692" s="39" t="s">
        <v>345</v>
      </c>
      <c r="D692" s="39" t="s">
        <v>137</v>
      </c>
      <c r="E692" s="39" t="n">
        <v>20</v>
      </c>
      <c r="F692" s="39" t="str">
        <f aca="false">IF(COUNTIF(medicine_master!$A$2:$A$26,C692)&gt;0,"Valid","Invalid")</f>
        <v>Valid</v>
      </c>
      <c r="G692" s="39" t="str">
        <f aca="false">IFERROR(INDEX(medicine_master!$B$2:$B$26,MATCH($C692,medicine_master!$A$2:$A$26,0)),"Not found")</f>
        <v>Paracetamol 500mg</v>
      </c>
      <c r="H692" s="39" t="str">
        <f aca="false">IFERROR(INDEX(medicine_master!$C$2:$C$26,MATCH($C692,medicine_master!$A$2:$A$26,0)),"Not found")</f>
        <v>Pain Relief</v>
      </c>
      <c r="I692" s="39" t="n">
        <f aca="false">YEAR(B692)</f>
        <v>2026</v>
      </c>
      <c r="J692" s="39" t="n">
        <f aca="false">MONTH(B692)</f>
        <v>11</v>
      </c>
      <c r="K692" s="39" t="str">
        <f aca="false">TEXT(B692,"mmm")</f>
        <v>Nov</v>
      </c>
      <c r="L692" s="45" t="n">
        <f aca="false">IFERROR(INDEX(medicine_master!$I$2:$I$26,MATCH($C692,medicine_master!$A$2:$A$26,0)),0)</f>
        <v>18</v>
      </c>
      <c r="M692" s="45" t="n">
        <f aca="false">IFERROR(INDEX(medicine_master!$G$2:$G$26,MATCH($C692,medicine_master!$A$2:$A$26,0)),0)</f>
        <v>12</v>
      </c>
      <c r="N692" s="45" t="n">
        <f aca="false">IF(D692="Sale",E692*L692,0)</f>
        <v>360</v>
      </c>
      <c r="O692" s="45" t="n">
        <f aca="false">IF(D692="Sale",E692*M692,0)</f>
        <v>240</v>
      </c>
      <c r="P692" s="45" t="n">
        <f aca="false">N692-O692</f>
        <v>120</v>
      </c>
      <c r="Q692" s="45" t="n">
        <f aca="false">IF(D692="Purchase",E692*M692,0)</f>
        <v>0</v>
      </c>
    </row>
    <row r="693" customFormat="false" ht="15" hidden="false" customHeight="false" outlineLevel="0" collapsed="false">
      <c r="A693" s="39" t="s">
        <v>1017</v>
      </c>
      <c r="B693" s="44" t="n">
        <v>46169</v>
      </c>
      <c r="C693" s="39" t="s">
        <v>159</v>
      </c>
      <c r="D693" s="39" t="s">
        <v>137</v>
      </c>
      <c r="E693" s="39" t="n">
        <v>30</v>
      </c>
      <c r="F693" s="39" t="str">
        <f aca="false">IF(COUNTIF(medicine_master!$A$2:$A$26,C693)&gt;0,"Valid","Invalid")</f>
        <v>Valid</v>
      </c>
      <c r="G693" s="39" t="str">
        <f aca="false">IFERROR(INDEX(medicine_master!$B$2:$B$26,MATCH($C693,medicine_master!$A$2:$A$26,0)),"Not found")</f>
        <v>Antiseptic Liquid 100ml</v>
      </c>
      <c r="H693" s="39" t="str">
        <f aca="false">IFERROR(INDEX(medicine_master!$C$2:$C$26,MATCH($C693,medicine_master!$A$2:$A$26,0)),"Not found")</f>
        <v>First Aid</v>
      </c>
      <c r="I693" s="39" t="n">
        <f aca="false">YEAR(B693)</f>
        <v>2026</v>
      </c>
      <c r="J693" s="39" t="n">
        <f aca="false">MONTH(B693)</f>
        <v>5</v>
      </c>
      <c r="K693" s="39" t="str">
        <f aca="false">TEXT(B693,"mmm")</f>
        <v>May</v>
      </c>
      <c r="L693" s="45" t="n">
        <f aca="false">IFERROR(INDEX(medicine_master!$I$2:$I$26,MATCH($C693,medicine_master!$A$2:$A$26,0)),0)</f>
        <v>65</v>
      </c>
      <c r="M693" s="45" t="n">
        <f aca="false">IFERROR(INDEX(medicine_master!$G$2:$G$26,MATCH($C693,medicine_master!$A$2:$A$26,0)),0)</f>
        <v>48</v>
      </c>
      <c r="N693" s="45" t="n">
        <f aca="false">IF(D693="Sale",E693*L693,0)</f>
        <v>1950</v>
      </c>
      <c r="O693" s="45" t="n">
        <f aca="false">IF(D693="Sale",E693*M693,0)</f>
        <v>1440</v>
      </c>
      <c r="P693" s="45" t="n">
        <f aca="false">N693-O693</f>
        <v>510</v>
      </c>
      <c r="Q693" s="45" t="n">
        <f aca="false">IF(D693="Purchase",E693*M693,0)</f>
        <v>0</v>
      </c>
    </row>
    <row r="694" customFormat="false" ht="15" hidden="false" customHeight="false" outlineLevel="0" collapsed="false">
      <c r="A694" s="39" t="s">
        <v>1018</v>
      </c>
      <c r="B694" s="44" t="n">
        <v>46247</v>
      </c>
      <c r="C694" s="39" t="s">
        <v>144</v>
      </c>
      <c r="D694" s="39" t="s">
        <v>138</v>
      </c>
      <c r="E694" s="39" t="n">
        <v>15</v>
      </c>
      <c r="F694" s="39" t="str">
        <f aca="false">IF(COUNTIF(medicine_master!$A$2:$A$26,C694)&gt;0,"Valid","Invalid")</f>
        <v>Valid</v>
      </c>
      <c r="G694" s="39" t="str">
        <f aca="false">IFERROR(INDEX(medicine_master!$B$2:$B$26,MATCH($C694,medicine_master!$A$2:$A$26,0)),"Not found")</f>
        <v>Glimepiride 2mg</v>
      </c>
      <c r="H694" s="39" t="str">
        <f aca="false">IFERROR(INDEX(medicine_master!$C$2:$C$26,MATCH($C694,medicine_master!$A$2:$A$26,0)),"Not found")</f>
        <v>Diabetes</v>
      </c>
      <c r="I694" s="39" t="n">
        <f aca="false">YEAR(B694)</f>
        <v>2026</v>
      </c>
      <c r="J694" s="39" t="n">
        <f aca="false">MONTH(B694)</f>
        <v>8</v>
      </c>
      <c r="K694" s="39" t="str">
        <f aca="false">TEXT(B694,"mmm")</f>
        <v>Aug</v>
      </c>
      <c r="L694" s="45" t="n">
        <f aca="false">IFERROR(INDEX(medicine_master!$I$2:$I$26,MATCH($C694,medicine_master!$A$2:$A$26,0)),0)</f>
        <v>52</v>
      </c>
      <c r="M694" s="45" t="n">
        <f aca="false">IFERROR(INDEX(medicine_master!$G$2:$G$26,MATCH($C694,medicine_master!$A$2:$A$26,0)),0)</f>
        <v>38</v>
      </c>
      <c r="N694" s="45" t="n">
        <f aca="false">IF(D694="Sale",E694*L694,0)</f>
        <v>0</v>
      </c>
      <c r="O694" s="45" t="n">
        <f aca="false">IF(D694="Sale",E694*M694,0)</f>
        <v>0</v>
      </c>
      <c r="P694" s="45" t="n">
        <f aca="false">N694-O694</f>
        <v>0</v>
      </c>
      <c r="Q694" s="45" t="n">
        <f aca="false">IF(D694="Purchase",E694*M694,0)</f>
        <v>570</v>
      </c>
    </row>
    <row r="695" customFormat="false" ht="15" hidden="false" customHeight="false" outlineLevel="0" collapsed="false">
      <c r="A695" s="39" t="s">
        <v>1019</v>
      </c>
      <c r="B695" s="44" t="n">
        <v>46280</v>
      </c>
      <c r="C695" s="39" t="s">
        <v>326</v>
      </c>
      <c r="D695" s="39" t="s">
        <v>137</v>
      </c>
      <c r="E695" s="39" t="n">
        <v>40</v>
      </c>
      <c r="F695" s="39" t="str">
        <f aca="false">IF(COUNTIF(medicine_master!$A$2:$A$26,C695)&gt;0,"Valid","Invalid")</f>
        <v>Valid</v>
      </c>
      <c r="G695" s="39" t="str">
        <f aca="false">IFERROR(INDEX(medicine_master!$B$2:$B$26,MATCH($C695,medicine_master!$A$2:$A$26,0)),"Not found")</f>
        <v>Omeprazole 20mg</v>
      </c>
      <c r="H695" s="39" t="str">
        <f aca="false">IFERROR(INDEX(medicine_master!$C$2:$C$26,MATCH($C695,medicine_master!$A$2:$A$26,0)),"Not found")</f>
        <v>Gastric</v>
      </c>
      <c r="I695" s="39" t="n">
        <f aca="false">YEAR(B695)</f>
        <v>2026</v>
      </c>
      <c r="J695" s="39" t="n">
        <f aca="false">MONTH(B695)</f>
        <v>9</v>
      </c>
      <c r="K695" s="39" t="str">
        <f aca="false">TEXT(B695,"mmm")</f>
        <v>Sep</v>
      </c>
      <c r="L695" s="45" t="n">
        <f aca="false">IFERROR(INDEX(medicine_master!$I$2:$I$26,MATCH($C695,medicine_master!$A$2:$A$26,0)),0)</f>
        <v>26</v>
      </c>
      <c r="M695" s="45" t="n">
        <f aca="false">IFERROR(INDEX(medicine_master!$G$2:$G$26,MATCH($C695,medicine_master!$A$2:$A$26,0)),0)</f>
        <v>18</v>
      </c>
      <c r="N695" s="45" t="n">
        <f aca="false">IF(D695="Sale",E695*L695,0)</f>
        <v>1040</v>
      </c>
      <c r="O695" s="45" t="n">
        <f aca="false">IF(D695="Sale",E695*M695,0)</f>
        <v>720</v>
      </c>
      <c r="P695" s="45" t="n">
        <f aca="false">N695-O695</f>
        <v>320</v>
      </c>
      <c r="Q695" s="45" t="n">
        <f aca="false">IF(D695="Purchase",E695*M695,0)</f>
        <v>0</v>
      </c>
    </row>
    <row r="696" customFormat="false" ht="15" hidden="false" customHeight="false" outlineLevel="0" collapsed="false">
      <c r="A696" s="39" t="s">
        <v>1020</v>
      </c>
      <c r="B696" s="44" t="n">
        <v>46288</v>
      </c>
      <c r="C696" s="39" t="s">
        <v>153</v>
      </c>
      <c r="D696" s="39" t="s">
        <v>137</v>
      </c>
      <c r="E696" s="39" t="n">
        <v>40</v>
      </c>
      <c r="F696" s="39" t="str">
        <f aca="false">IF(COUNTIF(medicine_master!$A$2:$A$26,C696)&gt;0,"Valid","Invalid")</f>
        <v>Valid</v>
      </c>
      <c r="G696" s="39" t="str">
        <f aca="false">IFERROR(INDEX(medicine_master!$B$2:$B$26,MATCH($C696,medicine_master!$A$2:$A$26,0)),"Not found")</f>
        <v>Atorvastatin 10mg</v>
      </c>
      <c r="H696" s="39" t="str">
        <f aca="false">IFERROR(INDEX(medicine_master!$C$2:$C$26,MATCH($C696,medicine_master!$A$2:$A$26,0)),"Not found")</f>
        <v>Cardiac</v>
      </c>
      <c r="I696" s="39" t="n">
        <f aca="false">YEAR(B696)</f>
        <v>2026</v>
      </c>
      <c r="J696" s="39" t="n">
        <f aca="false">MONTH(B696)</f>
        <v>9</v>
      </c>
      <c r="K696" s="39" t="str">
        <f aca="false">TEXT(B696,"mmm")</f>
        <v>Sep</v>
      </c>
      <c r="L696" s="45" t="n">
        <f aca="false">IFERROR(INDEX(medicine_master!$I$2:$I$26,MATCH($C696,medicine_master!$A$2:$A$26,0)),0)</f>
        <v>28</v>
      </c>
      <c r="M696" s="45" t="n">
        <f aca="false">IFERROR(INDEX(medicine_master!$G$2:$G$26,MATCH($C696,medicine_master!$A$2:$A$26,0)),0)</f>
        <v>19</v>
      </c>
      <c r="N696" s="45" t="n">
        <f aca="false">IF(D696="Sale",E696*L696,0)</f>
        <v>1120</v>
      </c>
      <c r="O696" s="45" t="n">
        <f aca="false">IF(D696="Sale",E696*M696,0)</f>
        <v>760</v>
      </c>
      <c r="P696" s="45" t="n">
        <f aca="false">N696-O696</f>
        <v>360</v>
      </c>
      <c r="Q696" s="45" t="n">
        <f aca="false">IF(D696="Purchase",E696*M696,0)</f>
        <v>0</v>
      </c>
    </row>
    <row r="697" customFormat="false" ht="15" hidden="false" customHeight="false" outlineLevel="0" collapsed="false">
      <c r="A697" s="39" t="s">
        <v>1021</v>
      </c>
      <c r="B697" s="44" t="n">
        <v>46061</v>
      </c>
      <c r="C697" s="39" t="s">
        <v>151</v>
      </c>
      <c r="D697" s="39" t="s">
        <v>137</v>
      </c>
      <c r="E697" s="39" t="n">
        <v>10</v>
      </c>
      <c r="F697" s="39" t="str">
        <f aca="false">IF(COUNTIF(medicine_master!$A$2:$A$26,C697)&gt;0,"Valid","Invalid")</f>
        <v>Valid</v>
      </c>
      <c r="G697" s="39" t="str">
        <f aca="false">IFERROR(INDEX(medicine_master!$B$2:$B$26,MATCH($C697,medicine_master!$A$2:$A$26,0)),"Not found")</f>
        <v>Cetirizine 10mg</v>
      </c>
      <c r="H697" s="39" t="str">
        <f aca="false">IFERROR(INDEX(medicine_master!$C$2:$C$26,MATCH($C697,medicine_master!$A$2:$A$26,0)),"Not found")</f>
        <v>Allergy</v>
      </c>
      <c r="I697" s="39" t="n">
        <f aca="false">YEAR(B697)</f>
        <v>2026</v>
      </c>
      <c r="J697" s="39" t="n">
        <f aca="false">MONTH(B697)</f>
        <v>2</v>
      </c>
      <c r="K697" s="39" t="str">
        <f aca="false">TEXT(B697,"mmm")</f>
        <v>Feb</v>
      </c>
      <c r="L697" s="45" t="n">
        <f aca="false">IFERROR(INDEX(medicine_master!$I$2:$I$26,MATCH($C697,medicine_master!$A$2:$A$26,0)),0)</f>
        <v>13</v>
      </c>
      <c r="M697" s="45" t="n">
        <f aca="false">IFERROR(INDEX(medicine_master!$G$2:$G$26,MATCH($C697,medicine_master!$A$2:$A$26,0)),0)</f>
        <v>8</v>
      </c>
      <c r="N697" s="45" t="n">
        <f aca="false">IF(D697="Sale",E697*L697,0)</f>
        <v>130</v>
      </c>
      <c r="O697" s="45" t="n">
        <f aca="false">IF(D697="Sale",E697*M697,0)</f>
        <v>80</v>
      </c>
      <c r="P697" s="45" t="n">
        <f aca="false">N697-O697</f>
        <v>50</v>
      </c>
      <c r="Q697" s="45" t="n">
        <f aca="false">IF(D697="Purchase",E697*M697,0)</f>
        <v>0</v>
      </c>
    </row>
    <row r="698" customFormat="false" ht="15" hidden="false" customHeight="false" outlineLevel="0" collapsed="false">
      <c r="A698" s="39" t="s">
        <v>1022</v>
      </c>
      <c r="B698" s="44" t="n">
        <v>46024</v>
      </c>
      <c r="C698" s="39" t="s">
        <v>158</v>
      </c>
      <c r="D698" s="39" t="s">
        <v>137</v>
      </c>
      <c r="E698" s="39" t="n">
        <v>50</v>
      </c>
      <c r="F698" s="39" t="str">
        <f aca="false">IF(COUNTIF(medicine_master!$A$2:$A$26,C698)&gt;0,"Valid","Invalid")</f>
        <v>Valid</v>
      </c>
      <c r="G698" s="39" t="str">
        <f aca="false">IFERROR(INDEX(medicine_master!$B$2:$B$26,MATCH($C698,medicine_master!$A$2:$A$26,0)),"Not found")</f>
        <v>Cough Syrup 100ml</v>
      </c>
      <c r="H698" s="39" t="str">
        <f aca="false">IFERROR(INDEX(medicine_master!$C$2:$C$26,MATCH($C698,medicine_master!$A$2:$A$26,0)),"Not found")</f>
        <v>Cold &amp; Cough</v>
      </c>
      <c r="I698" s="39" t="n">
        <f aca="false">YEAR(B698)</f>
        <v>2026</v>
      </c>
      <c r="J698" s="39" t="n">
        <f aca="false">MONTH(B698)</f>
        <v>1</v>
      </c>
      <c r="K698" s="39" t="str">
        <f aca="false">TEXT(B698,"mmm")</f>
        <v>Jan</v>
      </c>
      <c r="L698" s="45" t="n">
        <f aca="false">IFERROR(INDEX(medicine_master!$I$2:$I$26,MATCH($C698,medicine_master!$A$2:$A$26,0)),0)</f>
        <v>72</v>
      </c>
      <c r="M698" s="45" t="n">
        <f aca="false">IFERROR(INDEX(medicine_master!$G$2:$G$26,MATCH($C698,medicine_master!$A$2:$A$26,0)),0)</f>
        <v>52</v>
      </c>
      <c r="N698" s="45" t="n">
        <f aca="false">IF(D698="Sale",E698*L698,0)</f>
        <v>3600</v>
      </c>
      <c r="O698" s="45" t="n">
        <f aca="false">IF(D698="Sale",E698*M698,0)</f>
        <v>2600</v>
      </c>
      <c r="P698" s="45" t="n">
        <f aca="false">N698-O698</f>
        <v>1000</v>
      </c>
      <c r="Q698" s="45" t="n">
        <f aca="false">IF(D698="Purchase",E698*M698,0)</f>
        <v>0</v>
      </c>
    </row>
    <row r="699" customFormat="false" ht="15" hidden="false" customHeight="false" outlineLevel="0" collapsed="false">
      <c r="A699" s="39" t="s">
        <v>1023</v>
      </c>
      <c r="B699" s="44" t="n">
        <v>46280</v>
      </c>
      <c r="C699" s="39" t="s">
        <v>145</v>
      </c>
      <c r="D699" s="39" t="s">
        <v>137</v>
      </c>
      <c r="E699" s="39" t="n">
        <v>20</v>
      </c>
      <c r="F699" s="39" t="str">
        <f aca="false">IF(COUNTIF(medicine_master!$A$2:$A$26,C699)&gt;0,"Valid","Invalid")</f>
        <v>Valid</v>
      </c>
      <c r="G699" s="39" t="str">
        <f aca="false">IFERROR(INDEX(medicine_master!$B$2:$B$26,MATCH($C699,medicine_master!$A$2:$A$26,0)),"Not found")</f>
        <v>Clotrimazole Cream</v>
      </c>
      <c r="H699" s="39" t="str">
        <f aca="false">IFERROR(INDEX(medicine_master!$C$2:$C$26,MATCH($C699,medicine_master!$A$2:$A$26,0)),"Not found")</f>
        <v>Dermatology</v>
      </c>
      <c r="I699" s="39" t="n">
        <f aca="false">YEAR(B699)</f>
        <v>2026</v>
      </c>
      <c r="J699" s="39" t="n">
        <f aca="false">MONTH(B699)</f>
        <v>9</v>
      </c>
      <c r="K699" s="39" t="str">
        <f aca="false">TEXT(B699,"mmm")</f>
        <v>Sep</v>
      </c>
      <c r="L699" s="45" t="n">
        <f aca="false">IFERROR(INDEX(medicine_master!$I$2:$I$26,MATCH($C699,medicine_master!$A$2:$A$26,0)),0)</f>
        <v>48</v>
      </c>
      <c r="M699" s="45" t="n">
        <f aca="false">IFERROR(INDEX(medicine_master!$G$2:$G$26,MATCH($C699,medicine_master!$A$2:$A$26,0)),0)</f>
        <v>32</v>
      </c>
      <c r="N699" s="45" t="n">
        <f aca="false">IF(D699="Sale",E699*L699,0)</f>
        <v>960</v>
      </c>
      <c r="O699" s="45" t="n">
        <f aca="false">IF(D699="Sale",E699*M699,0)</f>
        <v>640</v>
      </c>
      <c r="P699" s="45" t="n">
        <f aca="false">N699-O699</f>
        <v>320</v>
      </c>
      <c r="Q699" s="45" t="n">
        <f aca="false">IF(D699="Purchase",E699*M699,0)</f>
        <v>0</v>
      </c>
    </row>
    <row r="700" customFormat="false" ht="15" hidden="false" customHeight="false" outlineLevel="0" collapsed="false">
      <c r="A700" s="39" t="s">
        <v>1024</v>
      </c>
      <c r="B700" s="44" t="n">
        <v>46257</v>
      </c>
      <c r="C700" s="39" t="s">
        <v>345</v>
      </c>
      <c r="D700" s="39" t="s">
        <v>138</v>
      </c>
      <c r="E700" s="39" t="n">
        <v>20</v>
      </c>
      <c r="F700" s="39" t="str">
        <f aca="false">IF(COUNTIF(medicine_master!$A$2:$A$26,C700)&gt;0,"Valid","Invalid")</f>
        <v>Valid</v>
      </c>
      <c r="G700" s="39" t="str">
        <f aca="false">IFERROR(INDEX(medicine_master!$B$2:$B$26,MATCH($C700,medicine_master!$A$2:$A$26,0)),"Not found")</f>
        <v>Paracetamol 500mg</v>
      </c>
      <c r="H700" s="39" t="str">
        <f aca="false">IFERROR(INDEX(medicine_master!$C$2:$C$26,MATCH($C700,medicine_master!$A$2:$A$26,0)),"Not found")</f>
        <v>Pain Relief</v>
      </c>
      <c r="I700" s="39" t="n">
        <f aca="false">YEAR(B700)</f>
        <v>2026</v>
      </c>
      <c r="J700" s="39" t="n">
        <f aca="false">MONTH(B700)</f>
        <v>8</v>
      </c>
      <c r="K700" s="39" t="str">
        <f aca="false">TEXT(B700,"mmm")</f>
        <v>Aug</v>
      </c>
      <c r="L700" s="45" t="n">
        <f aca="false">IFERROR(INDEX(medicine_master!$I$2:$I$26,MATCH($C700,medicine_master!$A$2:$A$26,0)),0)</f>
        <v>18</v>
      </c>
      <c r="M700" s="45" t="n">
        <f aca="false">IFERROR(INDEX(medicine_master!$G$2:$G$26,MATCH($C700,medicine_master!$A$2:$A$26,0)),0)</f>
        <v>12</v>
      </c>
      <c r="N700" s="45" t="n">
        <f aca="false">IF(D700="Sale",E700*L700,0)</f>
        <v>0</v>
      </c>
      <c r="O700" s="45" t="n">
        <f aca="false">IF(D700="Sale",E700*M700,0)</f>
        <v>0</v>
      </c>
      <c r="P700" s="45" t="n">
        <f aca="false">N700-O700</f>
        <v>0</v>
      </c>
      <c r="Q700" s="45" t="n">
        <f aca="false">IF(D700="Purchase",E700*M700,0)</f>
        <v>240</v>
      </c>
    </row>
    <row r="701" customFormat="false" ht="15" hidden="false" customHeight="false" outlineLevel="0" collapsed="false">
      <c r="A701" s="39" t="s">
        <v>1025</v>
      </c>
      <c r="B701" s="44" t="n">
        <v>46379</v>
      </c>
      <c r="C701" s="39" t="s">
        <v>390</v>
      </c>
      <c r="D701" s="39" t="s">
        <v>137</v>
      </c>
      <c r="E701" s="39" t="n">
        <v>15</v>
      </c>
      <c r="F701" s="39" t="str">
        <f aca="false">IF(COUNTIF(medicine_master!$A$2:$A$26,C701)&gt;0,"Valid","Invalid")</f>
        <v>Valid</v>
      </c>
      <c r="G701" s="39" t="str">
        <f aca="false">IFERROR(INDEX(medicine_master!$B$2:$B$26,MATCH($C701,medicine_master!$A$2:$A$26,0)),"Not found")</f>
        <v>Montelukast 10mg</v>
      </c>
      <c r="H701" s="39" t="str">
        <f aca="false">IFERROR(INDEX(medicine_master!$C$2:$C$26,MATCH($C701,medicine_master!$A$2:$A$26,0)),"Not found")</f>
        <v>Allergy</v>
      </c>
      <c r="I701" s="39" t="n">
        <f aca="false">YEAR(B701)</f>
        <v>2026</v>
      </c>
      <c r="J701" s="39" t="n">
        <f aca="false">MONTH(B701)</f>
        <v>12</v>
      </c>
      <c r="K701" s="39" t="str">
        <f aca="false">TEXT(B701,"mmm")</f>
        <v>Dec</v>
      </c>
      <c r="L701" s="45" t="n">
        <f aca="false">IFERROR(INDEX(medicine_master!$I$2:$I$26,MATCH($C701,medicine_master!$A$2:$A$26,0)),0)</f>
        <v>39</v>
      </c>
      <c r="M701" s="45" t="n">
        <f aca="false">IFERROR(INDEX(medicine_master!$G$2:$G$26,MATCH($C701,medicine_master!$A$2:$A$26,0)),0)</f>
        <v>27</v>
      </c>
      <c r="N701" s="45" t="n">
        <f aca="false">IF(D701="Sale",E701*L701,0)</f>
        <v>585</v>
      </c>
      <c r="O701" s="45" t="n">
        <f aca="false">IF(D701="Sale",E701*M701,0)</f>
        <v>405</v>
      </c>
      <c r="P701" s="45" t="n">
        <f aca="false">N701-O701</f>
        <v>180</v>
      </c>
      <c r="Q701" s="45" t="n">
        <f aca="false">IF(D701="Purchase",E701*M701,0)</f>
        <v>0</v>
      </c>
    </row>
    <row r="702" customFormat="false" ht="15" hidden="false" customHeight="false" outlineLevel="0" collapsed="false">
      <c r="A702" s="39" t="s">
        <v>1026</v>
      </c>
      <c r="B702" s="44" t="n">
        <v>46301</v>
      </c>
      <c r="C702" s="39" t="s">
        <v>147</v>
      </c>
      <c r="D702" s="39" t="s">
        <v>137</v>
      </c>
      <c r="E702" s="39" t="n">
        <v>40</v>
      </c>
      <c r="F702" s="39" t="str">
        <f aca="false">IF(COUNTIF(medicine_master!$A$2:$A$26,C702)&gt;0,"Valid","Invalid")</f>
        <v>Valid</v>
      </c>
      <c r="G702" s="39" t="str">
        <f aca="false">IFERROR(INDEX(medicine_master!$B$2:$B$26,MATCH($C702,medicine_master!$A$2:$A$26,0)),"Not found")</f>
        <v>Insulin Injection</v>
      </c>
      <c r="H702" s="39" t="str">
        <f aca="false">IFERROR(INDEX(medicine_master!$C$2:$C$26,MATCH($C702,medicine_master!$A$2:$A$26,0)),"Not found")</f>
        <v>Diabetes</v>
      </c>
      <c r="I702" s="39" t="n">
        <f aca="false">YEAR(B702)</f>
        <v>2026</v>
      </c>
      <c r="J702" s="39" t="n">
        <f aca="false">MONTH(B702)</f>
        <v>10</v>
      </c>
      <c r="K702" s="39" t="str">
        <f aca="false">TEXT(B702,"mmm")</f>
        <v>Oct</v>
      </c>
      <c r="L702" s="45" t="n">
        <f aca="false">IFERROR(INDEX(medicine_master!$I$2:$I$26,MATCH($C702,medicine_master!$A$2:$A$26,0)),0)</f>
        <v>225</v>
      </c>
      <c r="M702" s="45" t="n">
        <f aca="false">IFERROR(INDEX(medicine_master!$G$2:$G$26,MATCH($C702,medicine_master!$A$2:$A$26,0)),0)</f>
        <v>165</v>
      </c>
      <c r="N702" s="45" t="n">
        <f aca="false">IF(D702="Sale",E702*L702,0)</f>
        <v>9000</v>
      </c>
      <c r="O702" s="45" t="n">
        <f aca="false">IF(D702="Sale",E702*M702,0)</f>
        <v>6600</v>
      </c>
      <c r="P702" s="45" t="n">
        <f aca="false">N702-O702</f>
        <v>2400</v>
      </c>
      <c r="Q702" s="45" t="n">
        <f aca="false">IF(D702="Purchase",E702*M702,0)</f>
        <v>0</v>
      </c>
    </row>
    <row r="703" customFormat="false" ht="15" hidden="false" customHeight="false" outlineLevel="0" collapsed="false">
      <c r="A703" s="39" t="s">
        <v>1027</v>
      </c>
      <c r="B703" s="44" t="n">
        <v>46129</v>
      </c>
      <c r="C703" s="39" t="s">
        <v>160</v>
      </c>
      <c r="D703" s="39" t="s">
        <v>137</v>
      </c>
      <c r="E703" s="39" t="n">
        <v>5</v>
      </c>
      <c r="F703" s="39" t="str">
        <f aca="false">IF(COUNTIF(medicine_master!$A$2:$A$26,C703)&gt;0,"Valid","Invalid")</f>
        <v>Valid</v>
      </c>
      <c r="G703" s="39" t="str">
        <f aca="false">IFERROR(INDEX(medicine_master!$B$2:$B$26,MATCH($C703,medicine_master!$A$2:$A$26,0)),"Not found")</f>
        <v>Calamine Lotion</v>
      </c>
      <c r="H703" s="39" t="str">
        <f aca="false">IFERROR(INDEX(medicine_master!$C$2:$C$26,MATCH($C703,medicine_master!$A$2:$A$26,0)),"Not found")</f>
        <v>Dermatology</v>
      </c>
      <c r="I703" s="39" t="n">
        <f aca="false">YEAR(B703)</f>
        <v>2026</v>
      </c>
      <c r="J703" s="39" t="n">
        <f aca="false">MONTH(B703)</f>
        <v>4</v>
      </c>
      <c r="K703" s="39" t="str">
        <f aca="false">TEXT(B703,"mmm")</f>
        <v>Apr</v>
      </c>
      <c r="L703" s="45" t="n">
        <f aca="false">IFERROR(INDEX(medicine_master!$I$2:$I$26,MATCH($C703,medicine_master!$A$2:$A$26,0)),0)</f>
        <v>60</v>
      </c>
      <c r="M703" s="45" t="n">
        <f aca="false">IFERROR(INDEX(medicine_master!$G$2:$G$26,MATCH($C703,medicine_master!$A$2:$A$26,0)),0)</f>
        <v>42</v>
      </c>
      <c r="N703" s="45" t="n">
        <f aca="false">IF(D703="Sale",E703*L703,0)</f>
        <v>300</v>
      </c>
      <c r="O703" s="45" t="n">
        <f aca="false">IF(D703="Sale",E703*M703,0)</f>
        <v>210</v>
      </c>
      <c r="P703" s="45" t="n">
        <f aca="false">N703-O703</f>
        <v>90</v>
      </c>
      <c r="Q703" s="45" t="n">
        <f aca="false">IF(D703="Purchase",E703*M703,0)</f>
        <v>0</v>
      </c>
    </row>
    <row r="704" customFormat="false" ht="15" hidden="false" customHeight="false" outlineLevel="0" collapsed="false">
      <c r="A704" s="39" t="s">
        <v>1028</v>
      </c>
      <c r="B704" s="44" t="n">
        <v>46095</v>
      </c>
      <c r="C704" s="39" t="s">
        <v>390</v>
      </c>
      <c r="D704" s="39" t="s">
        <v>137</v>
      </c>
      <c r="E704" s="39" t="n">
        <v>25</v>
      </c>
      <c r="F704" s="39" t="str">
        <f aca="false">IF(COUNTIF(medicine_master!$A$2:$A$26,C704)&gt;0,"Valid","Invalid")</f>
        <v>Valid</v>
      </c>
      <c r="G704" s="39" t="str">
        <f aca="false">IFERROR(INDEX(medicine_master!$B$2:$B$26,MATCH($C704,medicine_master!$A$2:$A$26,0)),"Not found")</f>
        <v>Montelukast 10mg</v>
      </c>
      <c r="H704" s="39" t="str">
        <f aca="false">IFERROR(INDEX(medicine_master!$C$2:$C$26,MATCH($C704,medicine_master!$A$2:$A$26,0)),"Not found")</f>
        <v>Allergy</v>
      </c>
      <c r="I704" s="39" t="n">
        <f aca="false">YEAR(B704)</f>
        <v>2026</v>
      </c>
      <c r="J704" s="39" t="n">
        <f aca="false">MONTH(B704)</f>
        <v>3</v>
      </c>
      <c r="K704" s="39" t="str">
        <f aca="false">TEXT(B704,"mmm")</f>
        <v>Mar</v>
      </c>
      <c r="L704" s="45" t="n">
        <f aca="false">IFERROR(INDEX(medicine_master!$I$2:$I$26,MATCH($C704,medicine_master!$A$2:$A$26,0)),0)</f>
        <v>39</v>
      </c>
      <c r="M704" s="45" t="n">
        <f aca="false">IFERROR(INDEX(medicine_master!$G$2:$G$26,MATCH($C704,medicine_master!$A$2:$A$26,0)),0)</f>
        <v>27</v>
      </c>
      <c r="N704" s="45" t="n">
        <f aca="false">IF(D704="Sale",E704*L704,0)</f>
        <v>975</v>
      </c>
      <c r="O704" s="45" t="n">
        <f aca="false">IF(D704="Sale",E704*M704,0)</f>
        <v>675</v>
      </c>
      <c r="P704" s="45" t="n">
        <f aca="false">N704-O704</f>
        <v>300</v>
      </c>
      <c r="Q704" s="45" t="n">
        <f aca="false">IF(D704="Purchase",E704*M704,0)</f>
        <v>0</v>
      </c>
    </row>
    <row r="705" customFormat="false" ht="15" hidden="false" customHeight="false" outlineLevel="0" collapsed="false">
      <c r="A705" s="39" t="s">
        <v>1029</v>
      </c>
      <c r="B705" s="44" t="n">
        <v>46386</v>
      </c>
      <c r="C705" s="39" t="s">
        <v>179</v>
      </c>
      <c r="D705" s="39" t="s">
        <v>137</v>
      </c>
      <c r="E705" s="39" t="n">
        <v>20</v>
      </c>
      <c r="F705" s="39" t="str">
        <f aca="false">IF(COUNTIF(medicine_master!$A$2:$A$26,C705)&gt;0,"Valid","Invalid")</f>
        <v>Valid</v>
      </c>
      <c r="G705" s="39" t="str">
        <f aca="false">IFERROR(INDEX(medicine_master!$B$2:$B$26,MATCH($C705,medicine_master!$A$2:$A$26,0)),"Not found")</f>
        <v>Ibuprofen 400mg</v>
      </c>
      <c r="H705" s="39" t="str">
        <f aca="false">IFERROR(INDEX(medicine_master!$C$2:$C$26,MATCH($C705,medicine_master!$A$2:$A$26,0)),"Not found")</f>
        <v>Pain Relief</v>
      </c>
      <c r="I705" s="39" t="n">
        <f aca="false">YEAR(B705)</f>
        <v>2026</v>
      </c>
      <c r="J705" s="39" t="n">
        <f aca="false">MONTH(B705)</f>
        <v>12</v>
      </c>
      <c r="K705" s="39" t="str">
        <f aca="false">TEXT(B705,"mmm")</f>
        <v>Dec</v>
      </c>
      <c r="L705" s="45" t="n">
        <f aca="false">IFERROR(INDEX(medicine_master!$I$2:$I$26,MATCH($C705,medicine_master!$A$2:$A$26,0)),0)</f>
        <v>30</v>
      </c>
      <c r="M705" s="45" t="n">
        <f aca="false">IFERROR(INDEX(medicine_master!$G$2:$G$26,MATCH($C705,medicine_master!$A$2:$A$26,0)),0)</f>
        <v>22</v>
      </c>
      <c r="N705" s="45" t="n">
        <f aca="false">IF(D705="Sale",E705*L705,0)</f>
        <v>600</v>
      </c>
      <c r="O705" s="45" t="n">
        <f aca="false">IF(D705="Sale",E705*M705,0)</f>
        <v>440</v>
      </c>
      <c r="P705" s="45" t="n">
        <f aca="false">N705-O705</f>
        <v>160</v>
      </c>
      <c r="Q705" s="45" t="n">
        <f aca="false">IF(D705="Purchase",E705*M705,0)</f>
        <v>0</v>
      </c>
    </row>
    <row r="706" customFormat="false" ht="15" hidden="false" customHeight="false" outlineLevel="0" collapsed="false">
      <c r="A706" s="39" t="s">
        <v>1030</v>
      </c>
      <c r="B706" s="44" t="n">
        <v>46194</v>
      </c>
      <c r="C706" s="39" t="s">
        <v>159</v>
      </c>
      <c r="D706" s="39" t="s">
        <v>137</v>
      </c>
      <c r="E706" s="39" t="n">
        <v>10</v>
      </c>
      <c r="F706" s="39" t="str">
        <f aca="false">IF(COUNTIF(medicine_master!$A$2:$A$26,C706)&gt;0,"Valid","Invalid")</f>
        <v>Valid</v>
      </c>
      <c r="G706" s="39" t="str">
        <f aca="false">IFERROR(INDEX(medicine_master!$B$2:$B$26,MATCH($C706,medicine_master!$A$2:$A$26,0)),"Not found")</f>
        <v>Antiseptic Liquid 100ml</v>
      </c>
      <c r="H706" s="39" t="str">
        <f aca="false">IFERROR(INDEX(medicine_master!$C$2:$C$26,MATCH($C706,medicine_master!$A$2:$A$26,0)),"Not found")</f>
        <v>First Aid</v>
      </c>
      <c r="I706" s="39" t="n">
        <f aca="false">YEAR(B706)</f>
        <v>2026</v>
      </c>
      <c r="J706" s="39" t="n">
        <f aca="false">MONTH(B706)</f>
        <v>6</v>
      </c>
      <c r="K706" s="39" t="str">
        <f aca="false">TEXT(B706,"mmm")</f>
        <v>Jun</v>
      </c>
      <c r="L706" s="45" t="n">
        <f aca="false">IFERROR(INDEX(medicine_master!$I$2:$I$26,MATCH($C706,medicine_master!$A$2:$A$26,0)),0)</f>
        <v>65</v>
      </c>
      <c r="M706" s="45" t="n">
        <f aca="false">IFERROR(INDEX(medicine_master!$G$2:$G$26,MATCH($C706,medicine_master!$A$2:$A$26,0)),0)</f>
        <v>48</v>
      </c>
      <c r="N706" s="45" t="n">
        <f aca="false">IF(D706="Sale",E706*L706,0)</f>
        <v>650</v>
      </c>
      <c r="O706" s="45" t="n">
        <f aca="false">IF(D706="Sale",E706*M706,0)</f>
        <v>480</v>
      </c>
      <c r="P706" s="45" t="n">
        <f aca="false">N706-O706</f>
        <v>170</v>
      </c>
      <c r="Q706" s="45" t="n">
        <f aca="false">IF(D706="Purchase",E706*M706,0)</f>
        <v>0</v>
      </c>
    </row>
    <row r="707" customFormat="false" ht="15" hidden="false" customHeight="false" outlineLevel="0" collapsed="false">
      <c r="A707" s="39" t="s">
        <v>1031</v>
      </c>
      <c r="B707" s="44" t="n">
        <v>46097</v>
      </c>
      <c r="C707" s="39" t="s">
        <v>177</v>
      </c>
      <c r="D707" s="39" t="s">
        <v>138</v>
      </c>
      <c r="E707" s="39" t="n">
        <v>20</v>
      </c>
      <c r="F707" s="39" t="str">
        <f aca="false">IF(COUNTIF(medicine_master!$A$2:$A$26,C707)&gt;0,"Valid","Invalid")</f>
        <v>Valid</v>
      </c>
      <c r="G707" s="39" t="str">
        <f aca="false">IFERROR(INDEX(medicine_master!$B$2:$B$26,MATCH($C707,medicine_master!$A$2:$A$26,0)),"Not found")</f>
        <v>Bandage Roll</v>
      </c>
      <c r="H707" s="39" t="str">
        <f aca="false">IFERROR(INDEX(medicine_master!$C$2:$C$26,MATCH($C707,medicine_master!$A$2:$A$26,0)),"Not found")</f>
        <v>First Aid</v>
      </c>
      <c r="I707" s="39" t="n">
        <f aca="false">YEAR(B707)</f>
        <v>2026</v>
      </c>
      <c r="J707" s="39" t="n">
        <f aca="false">MONTH(B707)</f>
        <v>3</v>
      </c>
      <c r="K707" s="39" t="str">
        <f aca="false">TEXT(B707,"mmm")</f>
        <v>Mar</v>
      </c>
      <c r="L707" s="45" t="n">
        <f aca="false">IFERROR(INDEX(medicine_master!$I$2:$I$26,MATCH($C707,medicine_master!$A$2:$A$26,0)),0)</f>
        <v>25</v>
      </c>
      <c r="M707" s="45" t="n">
        <f aca="false">IFERROR(INDEX(medicine_master!$G$2:$G$26,MATCH($C707,medicine_master!$A$2:$A$26,0)),0)</f>
        <v>15</v>
      </c>
      <c r="N707" s="45" t="n">
        <f aca="false">IF(D707="Sale",E707*L707,0)</f>
        <v>0</v>
      </c>
      <c r="O707" s="45" t="n">
        <f aca="false">IF(D707="Sale",E707*M707,0)</f>
        <v>0</v>
      </c>
      <c r="P707" s="45" t="n">
        <f aca="false">N707-O707</f>
        <v>0</v>
      </c>
      <c r="Q707" s="45" t="n">
        <f aca="false">IF(D707="Purchase",E707*M707,0)</f>
        <v>300</v>
      </c>
    </row>
    <row r="708" customFormat="false" ht="15" hidden="false" customHeight="false" outlineLevel="0" collapsed="false">
      <c r="A708" s="39" t="s">
        <v>1032</v>
      </c>
      <c r="B708" s="44" t="n">
        <v>46140</v>
      </c>
      <c r="C708" s="39" t="s">
        <v>149</v>
      </c>
      <c r="D708" s="39" t="s">
        <v>137</v>
      </c>
      <c r="E708" s="39" t="n">
        <v>20</v>
      </c>
      <c r="F708" s="39" t="str">
        <f aca="false">IF(COUNTIF(medicine_master!$A$2:$A$26,C708)&gt;0,"Valid","Invalid")</f>
        <v>Valid</v>
      </c>
      <c r="G708" s="39" t="str">
        <f aca="false">IFERROR(INDEX(medicine_master!$B$2:$B$26,MATCH($C708,medicine_master!$A$2:$A$26,0)),"Not found")</f>
        <v>Azithromycin 500mg</v>
      </c>
      <c r="H708" s="39" t="str">
        <f aca="false">IFERROR(INDEX(medicine_master!$C$2:$C$26,MATCH($C708,medicine_master!$A$2:$A$26,0)),"Not found")</f>
        <v>Antibiotic</v>
      </c>
      <c r="I708" s="39" t="n">
        <f aca="false">YEAR(B708)</f>
        <v>2026</v>
      </c>
      <c r="J708" s="39" t="n">
        <f aca="false">MONTH(B708)</f>
        <v>4</v>
      </c>
      <c r="K708" s="39" t="str">
        <f aca="false">TEXT(B708,"mmm")</f>
        <v>Apr</v>
      </c>
      <c r="L708" s="45" t="n">
        <f aca="false">IFERROR(INDEX(medicine_master!$I$2:$I$26,MATCH($C708,medicine_master!$A$2:$A$26,0)),0)</f>
        <v>50</v>
      </c>
      <c r="M708" s="45" t="n">
        <f aca="false">IFERROR(INDEX(medicine_master!$G$2:$G$26,MATCH($C708,medicine_master!$A$2:$A$26,0)),0)</f>
        <v>35</v>
      </c>
      <c r="N708" s="45" t="n">
        <f aca="false">IF(D708="Sale",E708*L708,0)</f>
        <v>1000</v>
      </c>
      <c r="O708" s="45" t="n">
        <f aca="false">IF(D708="Sale",E708*M708,0)</f>
        <v>700</v>
      </c>
      <c r="P708" s="45" t="n">
        <f aca="false">N708-O708</f>
        <v>300</v>
      </c>
      <c r="Q708" s="45" t="n">
        <f aca="false">IF(D708="Purchase",E708*M708,0)</f>
        <v>0</v>
      </c>
    </row>
    <row r="709" customFormat="false" ht="15" hidden="false" customHeight="false" outlineLevel="0" collapsed="false">
      <c r="A709" s="39" t="s">
        <v>1033</v>
      </c>
      <c r="B709" s="44" t="n">
        <v>46312</v>
      </c>
      <c r="C709" s="39" t="s">
        <v>147</v>
      </c>
      <c r="D709" s="39" t="s">
        <v>138</v>
      </c>
      <c r="E709" s="39" t="n">
        <v>25</v>
      </c>
      <c r="F709" s="39" t="str">
        <f aca="false">IF(COUNTIF(medicine_master!$A$2:$A$26,C709)&gt;0,"Valid","Invalid")</f>
        <v>Valid</v>
      </c>
      <c r="G709" s="39" t="str">
        <f aca="false">IFERROR(INDEX(medicine_master!$B$2:$B$26,MATCH($C709,medicine_master!$A$2:$A$26,0)),"Not found")</f>
        <v>Insulin Injection</v>
      </c>
      <c r="H709" s="39" t="str">
        <f aca="false">IFERROR(INDEX(medicine_master!$C$2:$C$26,MATCH($C709,medicine_master!$A$2:$A$26,0)),"Not found")</f>
        <v>Diabetes</v>
      </c>
      <c r="I709" s="39" t="n">
        <f aca="false">YEAR(B709)</f>
        <v>2026</v>
      </c>
      <c r="J709" s="39" t="n">
        <f aca="false">MONTH(B709)</f>
        <v>10</v>
      </c>
      <c r="K709" s="39" t="str">
        <f aca="false">TEXT(B709,"mmm")</f>
        <v>Oct</v>
      </c>
      <c r="L709" s="45" t="n">
        <f aca="false">IFERROR(INDEX(medicine_master!$I$2:$I$26,MATCH($C709,medicine_master!$A$2:$A$26,0)),0)</f>
        <v>225</v>
      </c>
      <c r="M709" s="45" t="n">
        <f aca="false">IFERROR(INDEX(medicine_master!$G$2:$G$26,MATCH($C709,medicine_master!$A$2:$A$26,0)),0)</f>
        <v>165</v>
      </c>
      <c r="N709" s="45" t="n">
        <f aca="false">IF(D709="Sale",E709*L709,0)</f>
        <v>0</v>
      </c>
      <c r="O709" s="45" t="n">
        <f aca="false">IF(D709="Sale",E709*M709,0)</f>
        <v>0</v>
      </c>
      <c r="P709" s="45" t="n">
        <f aca="false">N709-O709</f>
        <v>0</v>
      </c>
      <c r="Q709" s="45" t="n">
        <f aca="false">IF(D709="Purchase",E709*M709,0)</f>
        <v>4125</v>
      </c>
    </row>
    <row r="710" customFormat="false" ht="15" hidden="false" customHeight="false" outlineLevel="0" collapsed="false">
      <c r="A710" s="39" t="s">
        <v>1034</v>
      </c>
      <c r="B710" s="44" t="n">
        <v>46078</v>
      </c>
      <c r="C710" s="39" t="s">
        <v>345</v>
      </c>
      <c r="D710" s="39" t="s">
        <v>138</v>
      </c>
      <c r="E710" s="39" t="n">
        <v>10</v>
      </c>
      <c r="F710" s="39" t="str">
        <f aca="false">IF(COUNTIF(medicine_master!$A$2:$A$26,C710)&gt;0,"Valid","Invalid")</f>
        <v>Valid</v>
      </c>
      <c r="G710" s="39" t="str">
        <f aca="false">IFERROR(INDEX(medicine_master!$B$2:$B$26,MATCH($C710,medicine_master!$A$2:$A$26,0)),"Not found")</f>
        <v>Paracetamol 500mg</v>
      </c>
      <c r="H710" s="39" t="str">
        <f aca="false">IFERROR(INDEX(medicine_master!$C$2:$C$26,MATCH($C710,medicine_master!$A$2:$A$26,0)),"Not found")</f>
        <v>Pain Relief</v>
      </c>
      <c r="I710" s="39" t="n">
        <f aca="false">YEAR(B710)</f>
        <v>2026</v>
      </c>
      <c r="J710" s="39" t="n">
        <f aca="false">MONTH(B710)</f>
        <v>2</v>
      </c>
      <c r="K710" s="39" t="str">
        <f aca="false">TEXT(B710,"mmm")</f>
        <v>Feb</v>
      </c>
      <c r="L710" s="45" t="n">
        <f aca="false">IFERROR(INDEX(medicine_master!$I$2:$I$26,MATCH($C710,medicine_master!$A$2:$A$26,0)),0)</f>
        <v>18</v>
      </c>
      <c r="M710" s="45" t="n">
        <f aca="false">IFERROR(INDEX(medicine_master!$G$2:$G$26,MATCH($C710,medicine_master!$A$2:$A$26,0)),0)</f>
        <v>12</v>
      </c>
      <c r="N710" s="45" t="n">
        <f aca="false">IF(D710="Sale",E710*L710,0)</f>
        <v>0</v>
      </c>
      <c r="O710" s="45" t="n">
        <f aca="false">IF(D710="Sale",E710*M710,0)</f>
        <v>0</v>
      </c>
      <c r="P710" s="45" t="n">
        <f aca="false">N710-O710</f>
        <v>0</v>
      </c>
      <c r="Q710" s="45" t="n">
        <f aca="false">IF(D710="Purchase",E710*M710,0)</f>
        <v>120</v>
      </c>
    </row>
    <row r="711" customFormat="false" ht="15" hidden="false" customHeight="false" outlineLevel="0" collapsed="false">
      <c r="A711" s="39" t="s">
        <v>1035</v>
      </c>
      <c r="B711" s="44" t="n">
        <v>46179</v>
      </c>
      <c r="C711" s="39" t="s">
        <v>150</v>
      </c>
      <c r="D711" s="39" t="s">
        <v>137</v>
      </c>
      <c r="E711" s="39" t="n">
        <v>25</v>
      </c>
      <c r="F711" s="39" t="str">
        <f aca="false">IF(COUNTIF(medicine_master!$A$2:$A$26,C711)&gt;0,"Valid","Invalid")</f>
        <v>Valid</v>
      </c>
      <c r="G711" s="39" t="str">
        <f aca="false">IFERROR(INDEX(medicine_master!$B$2:$B$26,MATCH($C711,medicine_master!$A$2:$A$26,0)),"Not found")</f>
        <v>Pantoprazole 40mg</v>
      </c>
      <c r="H711" s="39" t="str">
        <f aca="false">IFERROR(INDEX(medicine_master!$C$2:$C$26,MATCH($C711,medicine_master!$A$2:$A$26,0)),"Not found")</f>
        <v>Gastric</v>
      </c>
      <c r="I711" s="39" t="n">
        <f aca="false">YEAR(B711)</f>
        <v>2026</v>
      </c>
      <c r="J711" s="39" t="n">
        <f aca="false">MONTH(B711)</f>
        <v>6</v>
      </c>
      <c r="K711" s="39" t="str">
        <f aca="false">TEXT(B711,"mmm")</f>
        <v>Jun</v>
      </c>
      <c r="L711" s="45" t="n">
        <f aca="false">IFERROR(INDEX(medicine_master!$I$2:$I$26,MATCH($C711,medicine_master!$A$2:$A$26,0)),0)</f>
        <v>35</v>
      </c>
      <c r="M711" s="45" t="n">
        <f aca="false">IFERROR(INDEX(medicine_master!$G$2:$G$26,MATCH($C711,medicine_master!$A$2:$A$26,0)),0)</f>
        <v>24</v>
      </c>
      <c r="N711" s="45" t="n">
        <f aca="false">IF(D711="Sale",E711*L711,0)</f>
        <v>875</v>
      </c>
      <c r="O711" s="45" t="n">
        <f aca="false">IF(D711="Sale",E711*M711,0)</f>
        <v>600</v>
      </c>
      <c r="P711" s="45" t="n">
        <f aca="false">N711-O711</f>
        <v>275</v>
      </c>
      <c r="Q711" s="45" t="n">
        <f aca="false">IF(D711="Purchase",E711*M711,0)</f>
        <v>0</v>
      </c>
    </row>
    <row r="712" customFormat="false" ht="15" hidden="false" customHeight="false" outlineLevel="0" collapsed="false">
      <c r="A712" s="39" t="s">
        <v>1036</v>
      </c>
      <c r="B712" s="44" t="n">
        <v>46148</v>
      </c>
      <c r="C712" s="39" t="s">
        <v>495</v>
      </c>
      <c r="D712" s="39" t="s">
        <v>138</v>
      </c>
      <c r="E712" s="39" t="n">
        <v>25</v>
      </c>
      <c r="F712" s="39" t="str">
        <f aca="false">IF(COUNTIF(medicine_master!$A$2:$A$26,C712)&gt;0,"Valid","Invalid")</f>
        <v>Valid</v>
      </c>
      <c r="G712" s="39" t="str">
        <f aca="false">IFERROR(INDEX(medicine_master!$B$2:$B$26,MATCH($C712,medicine_master!$A$2:$A$26,0)),"Not found")</f>
        <v>Metformin 500mg</v>
      </c>
      <c r="H712" s="39" t="str">
        <f aca="false">IFERROR(INDEX(medicine_master!$C$2:$C$26,MATCH($C712,medicine_master!$A$2:$A$26,0)),"Not found")</f>
        <v>Diabetes</v>
      </c>
      <c r="I712" s="39" t="n">
        <f aca="false">YEAR(B712)</f>
        <v>2026</v>
      </c>
      <c r="J712" s="39" t="n">
        <f aca="false">MONTH(B712)</f>
        <v>5</v>
      </c>
      <c r="K712" s="39" t="str">
        <f aca="false">TEXT(B712,"mmm")</f>
        <v>May</v>
      </c>
      <c r="L712" s="45" t="n">
        <f aca="false">IFERROR(INDEX(medicine_master!$I$2:$I$26,MATCH($C712,medicine_master!$A$2:$A$26,0)),0)</f>
        <v>24</v>
      </c>
      <c r="M712" s="45" t="n">
        <f aca="false">IFERROR(INDEX(medicine_master!$G$2:$G$26,MATCH($C712,medicine_master!$A$2:$A$26,0)),0)</f>
        <v>16</v>
      </c>
      <c r="N712" s="45" t="n">
        <f aca="false">IF(D712="Sale",E712*L712,0)</f>
        <v>0</v>
      </c>
      <c r="O712" s="45" t="n">
        <f aca="false">IF(D712="Sale",E712*M712,0)</f>
        <v>0</v>
      </c>
      <c r="P712" s="45" t="n">
        <f aca="false">N712-O712</f>
        <v>0</v>
      </c>
      <c r="Q712" s="45" t="n">
        <f aca="false">IF(D712="Purchase",E712*M712,0)</f>
        <v>400</v>
      </c>
    </row>
    <row r="713" customFormat="false" ht="15" hidden="false" customHeight="false" outlineLevel="0" collapsed="false">
      <c r="A713" s="39" t="s">
        <v>1037</v>
      </c>
      <c r="B713" s="44" t="n">
        <v>46347</v>
      </c>
      <c r="C713" s="39" t="s">
        <v>157</v>
      </c>
      <c r="D713" s="39" t="s">
        <v>138</v>
      </c>
      <c r="E713" s="39" t="n">
        <v>15</v>
      </c>
      <c r="F713" s="39" t="str">
        <f aca="false">IF(COUNTIF(medicine_master!$A$2:$A$26,C713)&gt;0,"Valid","Invalid")</f>
        <v>Valid</v>
      </c>
      <c r="G713" s="39" t="str">
        <f aca="false">IFERROR(INDEX(medicine_master!$B$2:$B$26,MATCH($C713,medicine_master!$A$2:$A$26,0)),"Not found")</f>
        <v>Multivitamin Tablets</v>
      </c>
      <c r="H713" s="39" t="str">
        <f aca="false">IFERROR(INDEX(medicine_master!$C$2:$C$26,MATCH($C713,medicine_master!$A$2:$A$26,0)),"Not found")</f>
        <v>Vitamin</v>
      </c>
      <c r="I713" s="39" t="n">
        <f aca="false">YEAR(B713)</f>
        <v>2026</v>
      </c>
      <c r="J713" s="39" t="n">
        <f aca="false">MONTH(B713)</f>
        <v>11</v>
      </c>
      <c r="K713" s="39" t="str">
        <f aca="false">TEXT(B713,"mmm")</f>
        <v>Nov</v>
      </c>
      <c r="L713" s="45" t="n">
        <f aca="false">IFERROR(INDEX(medicine_master!$I$2:$I$26,MATCH($C713,medicine_master!$A$2:$A$26,0)),0)</f>
        <v>105</v>
      </c>
      <c r="M713" s="45" t="n">
        <f aca="false">IFERROR(INDEX(medicine_master!$G$2:$G$26,MATCH($C713,medicine_master!$A$2:$A$26,0)),0)</f>
        <v>72</v>
      </c>
      <c r="N713" s="45" t="n">
        <f aca="false">IF(D713="Sale",E713*L713,0)</f>
        <v>0</v>
      </c>
      <c r="O713" s="45" t="n">
        <f aca="false">IF(D713="Sale",E713*M713,0)</f>
        <v>0</v>
      </c>
      <c r="P713" s="45" t="n">
        <f aca="false">N713-O713</f>
        <v>0</v>
      </c>
      <c r="Q713" s="45" t="n">
        <f aca="false">IF(D713="Purchase",E713*M713,0)</f>
        <v>1080</v>
      </c>
    </row>
    <row r="714" customFormat="false" ht="15" hidden="false" customHeight="false" outlineLevel="0" collapsed="false">
      <c r="A714" s="39" t="s">
        <v>1038</v>
      </c>
      <c r="B714" s="44" t="n">
        <v>46226</v>
      </c>
      <c r="C714" s="39" t="s">
        <v>158</v>
      </c>
      <c r="D714" s="39" t="s">
        <v>137</v>
      </c>
      <c r="E714" s="39" t="n">
        <v>25</v>
      </c>
      <c r="F714" s="39" t="str">
        <f aca="false">IF(COUNTIF(medicine_master!$A$2:$A$26,C714)&gt;0,"Valid","Invalid")</f>
        <v>Valid</v>
      </c>
      <c r="G714" s="39" t="str">
        <f aca="false">IFERROR(INDEX(medicine_master!$B$2:$B$26,MATCH($C714,medicine_master!$A$2:$A$26,0)),"Not found")</f>
        <v>Cough Syrup 100ml</v>
      </c>
      <c r="H714" s="39" t="str">
        <f aca="false">IFERROR(INDEX(medicine_master!$C$2:$C$26,MATCH($C714,medicine_master!$A$2:$A$26,0)),"Not found")</f>
        <v>Cold &amp; Cough</v>
      </c>
      <c r="I714" s="39" t="n">
        <f aca="false">YEAR(B714)</f>
        <v>2026</v>
      </c>
      <c r="J714" s="39" t="n">
        <f aca="false">MONTH(B714)</f>
        <v>7</v>
      </c>
      <c r="K714" s="39" t="str">
        <f aca="false">TEXT(B714,"mmm")</f>
        <v>Jul</v>
      </c>
      <c r="L714" s="45" t="n">
        <f aca="false">IFERROR(INDEX(medicine_master!$I$2:$I$26,MATCH($C714,medicine_master!$A$2:$A$26,0)),0)</f>
        <v>72</v>
      </c>
      <c r="M714" s="45" t="n">
        <f aca="false">IFERROR(INDEX(medicine_master!$G$2:$G$26,MATCH($C714,medicine_master!$A$2:$A$26,0)),0)</f>
        <v>52</v>
      </c>
      <c r="N714" s="45" t="n">
        <f aca="false">IF(D714="Sale",E714*L714,0)</f>
        <v>1800</v>
      </c>
      <c r="O714" s="45" t="n">
        <f aca="false">IF(D714="Sale",E714*M714,0)</f>
        <v>1300</v>
      </c>
      <c r="P714" s="45" t="n">
        <f aca="false">N714-O714</f>
        <v>500</v>
      </c>
      <c r="Q714" s="45" t="n">
        <f aca="false">IF(D714="Purchase",E714*M714,0)</f>
        <v>0</v>
      </c>
    </row>
    <row r="715" customFormat="false" ht="15" hidden="false" customHeight="false" outlineLevel="0" collapsed="false">
      <c r="A715" s="39" t="s">
        <v>1039</v>
      </c>
      <c r="B715" s="44" t="n">
        <v>46387</v>
      </c>
      <c r="C715" s="39" t="s">
        <v>160</v>
      </c>
      <c r="D715" s="39" t="s">
        <v>137</v>
      </c>
      <c r="E715" s="39" t="n">
        <v>5</v>
      </c>
      <c r="F715" s="39" t="str">
        <f aca="false">IF(COUNTIF(medicine_master!$A$2:$A$26,C715)&gt;0,"Valid","Invalid")</f>
        <v>Valid</v>
      </c>
      <c r="G715" s="39" t="str">
        <f aca="false">IFERROR(INDEX(medicine_master!$B$2:$B$26,MATCH($C715,medicine_master!$A$2:$A$26,0)),"Not found")</f>
        <v>Calamine Lotion</v>
      </c>
      <c r="H715" s="39" t="str">
        <f aca="false">IFERROR(INDEX(medicine_master!$C$2:$C$26,MATCH($C715,medicine_master!$A$2:$A$26,0)),"Not found")</f>
        <v>Dermatology</v>
      </c>
      <c r="I715" s="39" t="n">
        <f aca="false">YEAR(B715)</f>
        <v>2026</v>
      </c>
      <c r="J715" s="39" t="n">
        <f aca="false">MONTH(B715)</f>
        <v>12</v>
      </c>
      <c r="K715" s="39" t="str">
        <f aca="false">TEXT(B715,"mmm")</f>
        <v>Dec</v>
      </c>
      <c r="L715" s="45" t="n">
        <f aca="false">IFERROR(INDEX(medicine_master!$I$2:$I$26,MATCH($C715,medicine_master!$A$2:$A$26,0)),0)</f>
        <v>60</v>
      </c>
      <c r="M715" s="45" t="n">
        <f aca="false">IFERROR(INDEX(medicine_master!$G$2:$G$26,MATCH($C715,medicine_master!$A$2:$A$26,0)),0)</f>
        <v>42</v>
      </c>
      <c r="N715" s="45" t="n">
        <f aca="false">IF(D715="Sale",E715*L715,0)</f>
        <v>300</v>
      </c>
      <c r="O715" s="45" t="n">
        <f aca="false">IF(D715="Sale",E715*M715,0)</f>
        <v>210</v>
      </c>
      <c r="P715" s="45" t="n">
        <f aca="false">N715-O715</f>
        <v>90</v>
      </c>
      <c r="Q715" s="45" t="n">
        <f aca="false">IF(D715="Purchase",E715*M715,0)</f>
        <v>0</v>
      </c>
    </row>
    <row r="716" customFormat="false" ht="15" hidden="false" customHeight="false" outlineLevel="0" collapsed="false">
      <c r="A716" s="39" t="s">
        <v>1040</v>
      </c>
      <c r="B716" s="44" t="n">
        <v>46089</v>
      </c>
      <c r="C716" s="39" t="s">
        <v>495</v>
      </c>
      <c r="D716" s="39" t="s">
        <v>138</v>
      </c>
      <c r="E716" s="39" t="n">
        <v>10</v>
      </c>
      <c r="F716" s="39" t="str">
        <f aca="false">IF(COUNTIF(medicine_master!$A$2:$A$26,C716)&gt;0,"Valid","Invalid")</f>
        <v>Valid</v>
      </c>
      <c r="G716" s="39" t="str">
        <f aca="false">IFERROR(INDEX(medicine_master!$B$2:$B$26,MATCH($C716,medicine_master!$A$2:$A$26,0)),"Not found")</f>
        <v>Metformin 500mg</v>
      </c>
      <c r="H716" s="39" t="str">
        <f aca="false">IFERROR(INDEX(medicine_master!$C$2:$C$26,MATCH($C716,medicine_master!$A$2:$A$26,0)),"Not found")</f>
        <v>Diabetes</v>
      </c>
      <c r="I716" s="39" t="n">
        <f aca="false">YEAR(B716)</f>
        <v>2026</v>
      </c>
      <c r="J716" s="39" t="n">
        <f aca="false">MONTH(B716)</f>
        <v>3</v>
      </c>
      <c r="K716" s="39" t="str">
        <f aca="false">TEXT(B716,"mmm")</f>
        <v>Mar</v>
      </c>
      <c r="L716" s="45" t="n">
        <f aca="false">IFERROR(INDEX(medicine_master!$I$2:$I$26,MATCH($C716,medicine_master!$A$2:$A$26,0)),0)</f>
        <v>24</v>
      </c>
      <c r="M716" s="45" t="n">
        <f aca="false">IFERROR(INDEX(medicine_master!$G$2:$G$26,MATCH($C716,medicine_master!$A$2:$A$26,0)),0)</f>
        <v>16</v>
      </c>
      <c r="N716" s="45" t="n">
        <f aca="false">IF(D716="Sale",E716*L716,0)</f>
        <v>0</v>
      </c>
      <c r="O716" s="45" t="n">
        <f aca="false">IF(D716="Sale",E716*M716,0)</f>
        <v>0</v>
      </c>
      <c r="P716" s="45" t="n">
        <f aca="false">N716-O716</f>
        <v>0</v>
      </c>
      <c r="Q716" s="45" t="n">
        <f aca="false">IF(D716="Purchase",E716*M716,0)</f>
        <v>160</v>
      </c>
    </row>
    <row r="717" customFormat="false" ht="15" hidden="false" customHeight="false" outlineLevel="0" collapsed="false">
      <c r="A717" s="39" t="s">
        <v>1041</v>
      </c>
      <c r="B717" s="44" t="n">
        <v>46385</v>
      </c>
      <c r="C717" s="39" t="s">
        <v>150</v>
      </c>
      <c r="D717" s="39" t="s">
        <v>137</v>
      </c>
      <c r="E717" s="39" t="n">
        <v>15</v>
      </c>
      <c r="F717" s="39" t="str">
        <f aca="false">IF(COUNTIF(medicine_master!$A$2:$A$26,C717)&gt;0,"Valid","Invalid")</f>
        <v>Valid</v>
      </c>
      <c r="G717" s="39" t="str">
        <f aca="false">IFERROR(INDEX(medicine_master!$B$2:$B$26,MATCH($C717,medicine_master!$A$2:$A$26,0)),"Not found")</f>
        <v>Pantoprazole 40mg</v>
      </c>
      <c r="H717" s="39" t="str">
        <f aca="false">IFERROR(INDEX(medicine_master!$C$2:$C$26,MATCH($C717,medicine_master!$A$2:$A$26,0)),"Not found")</f>
        <v>Gastric</v>
      </c>
      <c r="I717" s="39" t="n">
        <f aca="false">YEAR(B717)</f>
        <v>2026</v>
      </c>
      <c r="J717" s="39" t="n">
        <f aca="false">MONTH(B717)</f>
        <v>12</v>
      </c>
      <c r="K717" s="39" t="str">
        <f aca="false">TEXT(B717,"mmm")</f>
        <v>Dec</v>
      </c>
      <c r="L717" s="45" t="n">
        <f aca="false">IFERROR(INDEX(medicine_master!$I$2:$I$26,MATCH($C717,medicine_master!$A$2:$A$26,0)),0)</f>
        <v>35</v>
      </c>
      <c r="M717" s="45" t="n">
        <f aca="false">IFERROR(INDEX(medicine_master!$G$2:$G$26,MATCH($C717,medicine_master!$A$2:$A$26,0)),0)</f>
        <v>24</v>
      </c>
      <c r="N717" s="45" t="n">
        <f aca="false">IF(D717="Sale",E717*L717,0)</f>
        <v>525</v>
      </c>
      <c r="O717" s="45" t="n">
        <f aca="false">IF(D717="Sale",E717*M717,0)</f>
        <v>360</v>
      </c>
      <c r="P717" s="45" t="n">
        <f aca="false">N717-O717</f>
        <v>165</v>
      </c>
      <c r="Q717" s="45" t="n">
        <f aca="false">IF(D717="Purchase",E717*M717,0)</f>
        <v>0</v>
      </c>
    </row>
    <row r="718" customFormat="false" ht="15" hidden="false" customHeight="false" outlineLevel="0" collapsed="false">
      <c r="A718" s="39" t="s">
        <v>1042</v>
      </c>
      <c r="B718" s="44" t="n">
        <v>46147</v>
      </c>
      <c r="C718" s="39" t="s">
        <v>159</v>
      </c>
      <c r="D718" s="39" t="s">
        <v>137</v>
      </c>
      <c r="E718" s="39" t="n">
        <v>10</v>
      </c>
      <c r="F718" s="39" t="str">
        <f aca="false">IF(COUNTIF(medicine_master!$A$2:$A$26,C718)&gt;0,"Valid","Invalid")</f>
        <v>Valid</v>
      </c>
      <c r="G718" s="39" t="str">
        <f aca="false">IFERROR(INDEX(medicine_master!$B$2:$B$26,MATCH($C718,medicine_master!$A$2:$A$26,0)),"Not found")</f>
        <v>Antiseptic Liquid 100ml</v>
      </c>
      <c r="H718" s="39" t="str">
        <f aca="false">IFERROR(INDEX(medicine_master!$C$2:$C$26,MATCH($C718,medicine_master!$A$2:$A$26,0)),"Not found")</f>
        <v>First Aid</v>
      </c>
      <c r="I718" s="39" t="n">
        <f aca="false">YEAR(B718)</f>
        <v>2026</v>
      </c>
      <c r="J718" s="39" t="n">
        <f aca="false">MONTH(B718)</f>
        <v>5</v>
      </c>
      <c r="K718" s="39" t="str">
        <f aca="false">TEXT(B718,"mmm")</f>
        <v>May</v>
      </c>
      <c r="L718" s="45" t="n">
        <f aca="false">IFERROR(INDEX(medicine_master!$I$2:$I$26,MATCH($C718,medicine_master!$A$2:$A$26,0)),0)</f>
        <v>65</v>
      </c>
      <c r="M718" s="45" t="n">
        <f aca="false">IFERROR(INDEX(medicine_master!$G$2:$G$26,MATCH($C718,medicine_master!$A$2:$A$26,0)),0)</f>
        <v>48</v>
      </c>
      <c r="N718" s="45" t="n">
        <f aca="false">IF(D718="Sale",E718*L718,0)</f>
        <v>650</v>
      </c>
      <c r="O718" s="45" t="n">
        <f aca="false">IF(D718="Sale",E718*M718,0)</f>
        <v>480</v>
      </c>
      <c r="P718" s="45" t="n">
        <f aca="false">N718-O718</f>
        <v>170</v>
      </c>
      <c r="Q718" s="45" t="n">
        <f aca="false">IF(D718="Purchase",E718*M718,0)</f>
        <v>0</v>
      </c>
    </row>
    <row r="719" customFormat="false" ht="15" hidden="false" customHeight="false" outlineLevel="0" collapsed="false">
      <c r="A719" s="39" t="s">
        <v>1043</v>
      </c>
      <c r="B719" s="44" t="n">
        <v>46144</v>
      </c>
      <c r="C719" s="39" t="s">
        <v>152</v>
      </c>
      <c r="D719" s="39" t="s">
        <v>137</v>
      </c>
      <c r="E719" s="39" t="n">
        <v>15</v>
      </c>
      <c r="F719" s="39" t="str">
        <f aca="false">IF(COUNTIF(medicine_master!$A$2:$A$26,C719)&gt;0,"Valid","Invalid")</f>
        <v>Valid</v>
      </c>
      <c r="G719" s="39" t="str">
        <f aca="false">IFERROR(INDEX(medicine_master!$B$2:$B$26,MATCH($C719,medicine_master!$A$2:$A$26,0)),"Not found")</f>
        <v>Amoxicillin 500mg</v>
      </c>
      <c r="H719" s="39" t="str">
        <f aca="false">IFERROR(INDEX(medicine_master!$C$2:$C$26,MATCH($C719,medicine_master!$A$2:$A$26,0)),"Not found")</f>
        <v>Antibiotic</v>
      </c>
      <c r="I719" s="39" t="n">
        <f aca="false">YEAR(B719)</f>
        <v>2026</v>
      </c>
      <c r="J719" s="39" t="n">
        <f aca="false">MONTH(B719)</f>
        <v>5</v>
      </c>
      <c r="K719" s="39" t="str">
        <f aca="false">TEXT(B719,"mmm")</f>
        <v>May</v>
      </c>
      <c r="L719" s="45" t="n">
        <f aca="false">IFERROR(INDEX(medicine_master!$I$2:$I$26,MATCH($C719,medicine_master!$A$2:$A$26,0)),0)</f>
        <v>40</v>
      </c>
      <c r="M719" s="45" t="n">
        <f aca="false">IFERROR(INDEX(medicine_master!$G$2:$G$26,MATCH($C719,medicine_master!$A$2:$A$26,0)),0)</f>
        <v>28</v>
      </c>
      <c r="N719" s="45" t="n">
        <f aca="false">IF(D719="Sale",E719*L719,0)</f>
        <v>600</v>
      </c>
      <c r="O719" s="45" t="n">
        <f aca="false">IF(D719="Sale",E719*M719,0)</f>
        <v>420</v>
      </c>
      <c r="P719" s="45" t="n">
        <f aca="false">N719-O719</f>
        <v>180</v>
      </c>
      <c r="Q719" s="45" t="n">
        <f aca="false">IF(D719="Purchase",E719*M719,0)</f>
        <v>0</v>
      </c>
    </row>
    <row r="720" customFormat="false" ht="15" hidden="false" customHeight="false" outlineLevel="0" collapsed="false">
      <c r="A720" s="39" t="s">
        <v>1044</v>
      </c>
      <c r="B720" s="44" t="n">
        <v>46109</v>
      </c>
      <c r="C720" s="39" t="s">
        <v>158</v>
      </c>
      <c r="D720" s="39" t="s">
        <v>137</v>
      </c>
      <c r="E720" s="39" t="n">
        <v>30</v>
      </c>
      <c r="F720" s="39" t="str">
        <f aca="false">IF(COUNTIF(medicine_master!$A$2:$A$26,C720)&gt;0,"Valid","Invalid")</f>
        <v>Valid</v>
      </c>
      <c r="G720" s="39" t="str">
        <f aca="false">IFERROR(INDEX(medicine_master!$B$2:$B$26,MATCH($C720,medicine_master!$A$2:$A$26,0)),"Not found")</f>
        <v>Cough Syrup 100ml</v>
      </c>
      <c r="H720" s="39" t="str">
        <f aca="false">IFERROR(INDEX(medicine_master!$C$2:$C$26,MATCH($C720,medicine_master!$A$2:$A$26,0)),"Not found")</f>
        <v>Cold &amp; Cough</v>
      </c>
      <c r="I720" s="39" t="n">
        <f aca="false">YEAR(B720)</f>
        <v>2026</v>
      </c>
      <c r="J720" s="39" t="n">
        <f aca="false">MONTH(B720)</f>
        <v>3</v>
      </c>
      <c r="K720" s="39" t="str">
        <f aca="false">TEXT(B720,"mmm")</f>
        <v>Mar</v>
      </c>
      <c r="L720" s="45" t="n">
        <f aca="false">IFERROR(INDEX(medicine_master!$I$2:$I$26,MATCH($C720,medicine_master!$A$2:$A$26,0)),0)</f>
        <v>72</v>
      </c>
      <c r="M720" s="45" t="n">
        <f aca="false">IFERROR(INDEX(medicine_master!$G$2:$G$26,MATCH($C720,medicine_master!$A$2:$A$26,0)),0)</f>
        <v>52</v>
      </c>
      <c r="N720" s="45" t="n">
        <f aca="false">IF(D720="Sale",E720*L720,0)</f>
        <v>2160</v>
      </c>
      <c r="O720" s="45" t="n">
        <f aca="false">IF(D720="Sale",E720*M720,0)</f>
        <v>1560</v>
      </c>
      <c r="P720" s="45" t="n">
        <f aca="false">N720-O720</f>
        <v>600</v>
      </c>
      <c r="Q720" s="45" t="n">
        <f aca="false">IF(D720="Purchase",E720*M720,0)</f>
        <v>0</v>
      </c>
    </row>
    <row r="721" customFormat="false" ht="15" hidden="false" customHeight="false" outlineLevel="0" collapsed="false">
      <c r="A721" s="39" t="s">
        <v>1045</v>
      </c>
      <c r="B721" s="44" t="n">
        <v>46307</v>
      </c>
      <c r="C721" s="39" t="s">
        <v>167</v>
      </c>
      <c r="D721" s="39" t="s">
        <v>137</v>
      </c>
      <c r="E721" s="39" t="n">
        <v>10</v>
      </c>
      <c r="F721" s="39" t="str">
        <f aca="false">IF(COUNTIF(medicine_master!$A$2:$A$26,C721)&gt;0,"Valid","Invalid")</f>
        <v>Valid</v>
      </c>
      <c r="G721" s="39" t="str">
        <f aca="false">IFERROR(INDEX(medicine_master!$B$2:$B$26,MATCH($C721,medicine_master!$A$2:$A$26,0)),"Not found")</f>
        <v>Amlodipine 5mg</v>
      </c>
      <c r="H721" s="39" t="str">
        <f aca="false">IFERROR(INDEX(medicine_master!$C$2:$C$26,MATCH($C721,medicine_master!$A$2:$A$26,0)),"Not found")</f>
        <v>Cardiac</v>
      </c>
      <c r="I721" s="39" t="n">
        <f aca="false">YEAR(B721)</f>
        <v>2026</v>
      </c>
      <c r="J721" s="39" t="n">
        <f aca="false">MONTH(B721)</f>
        <v>10</v>
      </c>
      <c r="K721" s="39" t="str">
        <f aca="false">TEXT(B721,"mmm")</f>
        <v>Oct</v>
      </c>
      <c r="L721" s="45" t="n">
        <f aca="false">IFERROR(INDEX(medicine_master!$I$2:$I$26,MATCH($C721,medicine_master!$A$2:$A$26,0)),0)</f>
        <v>19</v>
      </c>
      <c r="M721" s="45" t="n">
        <f aca="false">IFERROR(INDEX(medicine_master!$G$2:$G$26,MATCH($C721,medicine_master!$A$2:$A$26,0)),0)</f>
        <v>13</v>
      </c>
      <c r="N721" s="45" t="n">
        <f aca="false">IF(D721="Sale",E721*L721,0)</f>
        <v>190</v>
      </c>
      <c r="O721" s="45" t="n">
        <f aca="false">IF(D721="Sale",E721*M721,0)</f>
        <v>130</v>
      </c>
      <c r="P721" s="45" t="n">
        <f aca="false">N721-O721</f>
        <v>60</v>
      </c>
      <c r="Q721" s="45" t="n">
        <f aca="false">IF(D721="Purchase",E721*M721,0)</f>
        <v>0</v>
      </c>
    </row>
    <row r="722" customFormat="false" ht="15" hidden="false" customHeight="false" outlineLevel="0" collapsed="false">
      <c r="A722" s="39" t="s">
        <v>1046</v>
      </c>
      <c r="B722" s="44" t="n">
        <v>46131</v>
      </c>
      <c r="C722" s="39" t="s">
        <v>177</v>
      </c>
      <c r="D722" s="39" t="s">
        <v>137</v>
      </c>
      <c r="E722" s="39" t="n">
        <v>50</v>
      </c>
      <c r="F722" s="39" t="str">
        <f aca="false">IF(COUNTIF(medicine_master!$A$2:$A$26,C722)&gt;0,"Valid","Invalid")</f>
        <v>Valid</v>
      </c>
      <c r="G722" s="39" t="str">
        <f aca="false">IFERROR(INDEX(medicine_master!$B$2:$B$26,MATCH($C722,medicine_master!$A$2:$A$26,0)),"Not found")</f>
        <v>Bandage Roll</v>
      </c>
      <c r="H722" s="39" t="str">
        <f aca="false">IFERROR(INDEX(medicine_master!$C$2:$C$26,MATCH($C722,medicine_master!$A$2:$A$26,0)),"Not found")</f>
        <v>First Aid</v>
      </c>
      <c r="I722" s="39" t="n">
        <f aca="false">YEAR(B722)</f>
        <v>2026</v>
      </c>
      <c r="J722" s="39" t="n">
        <f aca="false">MONTH(B722)</f>
        <v>4</v>
      </c>
      <c r="K722" s="39" t="str">
        <f aca="false">TEXT(B722,"mmm")</f>
        <v>Apr</v>
      </c>
      <c r="L722" s="45" t="n">
        <f aca="false">IFERROR(INDEX(medicine_master!$I$2:$I$26,MATCH($C722,medicine_master!$A$2:$A$26,0)),0)</f>
        <v>25</v>
      </c>
      <c r="M722" s="45" t="n">
        <f aca="false">IFERROR(INDEX(medicine_master!$G$2:$G$26,MATCH($C722,medicine_master!$A$2:$A$26,0)),0)</f>
        <v>15</v>
      </c>
      <c r="N722" s="45" t="n">
        <f aca="false">IF(D722="Sale",E722*L722,0)</f>
        <v>1250</v>
      </c>
      <c r="O722" s="45" t="n">
        <f aca="false">IF(D722="Sale",E722*M722,0)</f>
        <v>750</v>
      </c>
      <c r="P722" s="45" t="n">
        <f aca="false">N722-O722</f>
        <v>500</v>
      </c>
      <c r="Q722" s="45" t="n">
        <f aca="false">IF(D722="Purchase",E722*M722,0)</f>
        <v>0</v>
      </c>
    </row>
    <row r="723" customFormat="false" ht="15" hidden="false" customHeight="false" outlineLevel="0" collapsed="false">
      <c r="A723" s="39" t="s">
        <v>1047</v>
      </c>
      <c r="B723" s="44" t="n">
        <v>46327</v>
      </c>
      <c r="C723" s="39" t="s">
        <v>167</v>
      </c>
      <c r="D723" s="39" t="s">
        <v>137</v>
      </c>
      <c r="E723" s="39" t="n">
        <v>30</v>
      </c>
      <c r="F723" s="39" t="str">
        <f aca="false">IF(COUNTIF(medicine_master!$A$2:$A$26,C723)&gt;0,"Valid","Invalid")</f>
        <v>Valid</v>
      </c>
      <c r="G723" s="39" t="str">
        <f aca="false">IFERROR(INDEX(medicine_master!$B$2:$B$26,MATCH($C723,medicine_master!$A$2:$A$26,0)),"Not found")</f>
        <v>Amlodipine 5mg</v>
      </c>
      <c r="H723" s="39" t="str">
        <f aca="false">IFERROR(INDEX(medicine_master!$C$2:$C$26,MATCH($C723,medicine_master!$A$2:$A$26,0)),"Not found")</f>
        <v>Cardiac</v>
      </c>
      <c r="I723" s="39" t="n">
        <f aca="false">YEAR(B723)</f>
        <v>2026</v>
      </c>
      <c r="J723" s="39" t="n">
        <f aca="false">MONTH(B723)</f>
        <v>11</v>
      </c>
      <c r="K723" s="39" t="str">
        <f aca="false">TEXT(B723,"mmm")</f>
        <v>Nov</v>
      </c>
      <c r="L723" s="45" t="n">
        <f aca="false">IFERROR(INDEX(medicine_master!$I$2:$I$26,MATCH($C723,medicine_master!$A$2:$A$26,0)),0)</f>
        <v>19</v>
      </c>
      <c r="M723" s="45" t="n">
        <f aca="false">IFERROR(INDEX(medicine_master!$G$2:$G$26,MATCH($C723,medicine_master!$A$2:$A$26,0)),0)</f>
        <v>13</v>
      </c>
      <c r="N723" s="45" t="n">
        <f aca="false">IF(D723="Sale",E723*L723,0)</f>
        <v>570</v>
      </c>
      <c r="O723" s="45" t="n">
        <f aca="false">IF(D723="Sale",E723*M723,0)</f>
        <v>390</v>
      </c>
      <c r="P723" s="45" t="n">
        <f aca="false">N723-O723</f>
        <v>180</v>
      </c>
      <c r="Q723" s="45" t="n">
        <f aca="false">IF(D723="Purchase",E723*M723,0)</f>
        <v>0</v>
      </c>
    </row>
    <row r="724" customFormat="false" ht="15" hidden="false" customHeight="false" outlineLevel="0" collapsed="false">
      <c r="A724" s="39" t="s">
        <v>1048</v>
      </c>
      <c r="B724" s="44" t="n">
        <v>46365</v>
      </c>
      <c r="C724" s="39" t="s">
        <v>404</v>
      </c>
      <c r="D724" s="39" t="s">
        <v>138</v>
      </c>
      <c r="E724" s="39" t="n">
        <v>30</v>
      </c>
      <c r="F724" s="39" t="str">
        <f aca="false">IF(COUNTIF(medicine_master!$A$2:$A$26,C724)&gt;0,"Valid","Invalid")</f>
        <v>Valid</v>
      </c>
      <c r="G724" s="39" t="str">
        <f aca="false">IFERROR(INDEX(medicine_master!$B$2:$B$26,MATCH($C724,medicine_master!$A$2:$A$26,0)),"Not found")</f>
        <v>ORS Sachet</v>
      </c>
      <c r="H724" s="39" t="str">
        <f aca="false">IFERROR(INDEX(medicine_master!$C$2:$C$26,MATCH($C724,medicine_master!$A$2:$A$26,0)),"Not found")</f>
        <v>First Aid</v>
      </c>
      <c r="I724" s="39" t="n">
        <f aca="false">YEAR(B724)</f>
        <v>2026</v>
      </c>
      <c r="J724" s="39" t="n">
        <f aca="false">MONTH(B724)</f>
        <v>12</v>
      </c>
      <c r="K724" s="39" t="str">
        <f aca="false">TEXT(B724,"mmm")</f>
        <v>Dec</v>
      </c>
      <c r="L724" s="45" t="n">
        <f aca="false">IFERROR(INDEX(medicine_master!$I$2:$I$26,MATCH($C724,medicine_master!$A$2:$A$26,0)),0)</f>
        <v>10</v>
      </c>
      <c r="M724" s="45" t="n">
        <f aca="false">IFERROR(INDEX(medicine_master!$G$2:$G$26,MATCH($C724,medicine_master!$A$2:$A$26,0)),0)</f>
        <v>6</v>
      </c>
      <c r="N724" s="45" t="n">
        <f aca="false">IF(D724="Sale",E724*L724,0)</f>
        <v>0</v>
      </c>
      <c r="O724" s="45" t="n">
        <f aca="false">IF(D724="Sale",E724*M724,0)</f>
        <v>0</v>
      </c>
      <c r="P724" s="45" t="n">
        <f aca="false">N724-O724</f>
        <v>0</v>
      </c>
      <c r="Q724" s="45" t="n">
        <f aca="false">IF(D724="Purchase",E724*M724,0)</f>
        <v>180</v>
      </c>
    </row>
    <row r="725" customFormat="false" ht="15" hidden="false" customHeight="false" outlineLevel="0" collapsed="false">
      <c r="A725" s="39" t="s">
        <v>1049</v>
      </c>
      <c r="B725" s="44" t="n">
        <v>46131</v>
      </c>
      <c r="C725" s="39" t="s">
        <v>404</v>
      </c>
      <c r="D725" s="39" t="s">
        <v>138</v>
      </c>
      <c r="E725" s="39" t="n">
        <v>20</v>
      </c>
      <c r="F725" s="39" t="str">
        <f aca="false">IF(COUNTIF(medicine_master!$A$2:$A$26,C725)&gt;0,"Valid","Invalid")</f>
        <v>Valid</v>
      </c>
      <c r="G725" s="39" t="str">
        <f aca="false">IFERROR(INDEX(medicine_master!$B$2:$B$26,MATCH($C725,medicine_master!$A$2:$A$26,0)),"Not found")</f>
        <v>ORS Sachet</v>
      </c>
      <c r="H725" s="39" t="str">
        <f aca="false">IFERROR(INDEX(medicine_master!$C$2:$C$26,MATCH($C725,medicine_master!$A$2:$A$26,0)),"Not found")</f>
        <v>First Aid</v>
      </c>
      <c r="I725" s="39" t="n">
        <f aca="false">YEAR(B725)</f>
        <v>2026</v>
      </c>
      <c r="J725" s="39" t="n">
        <f aca="false">MONTH(B725)</f>
        <v>4</v>
      </c>
      <c r="K725" s="39" t="str">
        <f aca="false">TEXT(B725,"mmm")</f>
        <v>Apr</v>
      </c>
      <c r="L725" s="45" t="n">
        <f aca="false">IFERROR(INDEX(medicine_master!$I$2:$I$26,MATCH($C725,medicine_master!$A$2:$A$26,0)),0)</f>
        <v>10</v>
      </c>
      <c r="M725" s="45" t="n">
        <f aca="false">IFERROR(INDEX(medicine_master!$G$2:$G$26,MATCH($C725,medicine_master!$A$2:$A$26,0)),0)</f>
        <v>6</v>
      </c>
      <c r="N725" s="45" t="n">
        <f aca="false">IF(D725="Sale",E725*L725,0)</f>
        <v>0</v>
      </c>
      <c r="O725" s="45" t="n">
        <f aca="false">IF(D725="Sale",E725*M725,0)</f>
        <v>0</v>
      </c>
      <c r="P725" s="45" t="n">
        <f aca="false">N725-O725</f>
        <v>0</v>
      </c>
      <c r="Q725" s="45" t="n">
        <f aca="false">IF(D725="Purchase",E725*M725,0)</f>
        <v>120</v>
      </c>
    </row>
    <row r="726" customFormat="false" ht="15" hidden="false" customHeight="false" outlineLevel="0" collapsed="false">
      <c r="A726" s="39" t="s">
        <v>1050</v>
      </c>
      <c r="B726" s="44" t="n">
        <v>46043</v>
      </c>
      <c r="C726" s="39" t="s">
        <v>144</v>
      </c>
      <c r="D726" s="39" t="s">
        <v>137</v>
      </c>
      <c r="E726" s="39" t="n">
        <v>25</v>
      </c>
      <c r="F726" s="39" t="str">
        <f aca="false">IF(COUNTIF(medicine_master!$A$2:$A$26,C726)&gt;0,"Valid","Invalid")</f>
        <v>Valid</v>
      </c>
      <c r="G726" s="39" t="str">
        <f aca="false">IFERROR(INDEX(medicine_master!$B$2:$B$26,MATCH($C726,medicine_master!$A$2:$A$26,0)),"Not found")</f>
        <v>Glimepiride 2mg</v>
      </c>
      <c r="H726" s="39" t="str">
        <f aca="false">IFERROR(INDEX(medicine_master!$C$2:$C$26,MATCH($C726,medicine_master!$A$2:$A$26,0)),"Not found")</f>
        <v>Diabetes</v>
      </c>
      <c r="I726" s="39" t="n">
        <f aca="false">YEAR(B726)</f>
        <v>2026</v>
      </c>
      <c r="J726" s="39" t="n">
        <f aca="false">MONTH(B726)</f>
        <v>1</v>
      </c>
      <c r="K726" s="39" t="str">
        <f aca="false">TEXT(B726,"mmm")</f>
        <v>Jan</v>
      </c>
      <c r="L726" s="45" t="n">
        <f aca="false">IFERROR(INDEX(medicine_master!$I$2:$I$26,MATCH($C726,medicine_master!$A$2:$A$26,0)),0)</f>
        <v>52</v>
      </c>
      <c r="M726" s="45" t="n">
        <f aca="false">IFERROR(INDEX(medicine_master!$G$2:$G$26,MATCH($C726,medicine_master!$A$2:$A$26,0)),0)</f>
        <v>38</v>
      </c>
      <c r="N726" s="45" t="n">
        <f aca="false">IF(D726="Sale",E726*L726,0)</f>
        <v>1300</v>
      </c>
      <c r="O726" s="45" t="n">
        <f aca="false">IF(D726="Sale",E726*M726,0)</f>
        <v>950</v>
      </c>
      <c r="P726" s="45" t="n">
        <f aca="false">N726-O726</f>
        <v>350</v>
      </c>
      <c r="Q726" s="45" t="n">
        <f aca="false">IF(D726="Purchase",E726*M726,0)</f>
        <v>0</v>
      </c>
    </row>
    <row r="727" customFormat="false" ht="15" hidden="false" customHeight="false" outlineLevel="0" collapsed="false">
      <c r="A727" s="39" t="s">
        <v>1051</v>
      </c>
      <c r="B727" s="44" t="n">
        <v>46114</v>
      </c>
      <c r="C727" s="39" t="s">
        <v>147</v>
      </c>
      <c r="D727" s="39" t="s">
        <v>137</v>
      </c>
      <c r="E727" s="39" t="n">
        <v>10</v>
      </c>
      <c r="F727" s="39" t="str">
        <f aca="false">IF(COUNTIF(medicine_master!$A$2:$A$26,C727)&gt;0,"Valid","Invalid")</f>
        <v>Valid</v>
      </c>
      <c r="G727" s="39" t="str">
        <f aca="false">IFERROR(INDEX(medicine_master!$B$2:$B$26,MATCH($C727,medicine_master!$A$2:$A$26,0)),"Not found")</f>
        <v>Insulin Injection</v>
      </c>
      <c r="H727" s="39" t="str">
        <f aca="false">IFERROR(INDEX(medicine_master!$C$2:$C$26,MATCH($C727,medicine_master!$A$2:$A$26,0)),"Not found")</f>
        <v>Diabetes</v>
      </c>
      <c r="I727" s="39" t="n">
        <f aca="false">YEAR(B727)</f>
        <v>2026</v>
      </c>
      <c r="J727" s="39" t="n">
        <f aca="false">MONTH(B727)</f>
        <v>4</v>
      </c>
      <c r="K727" s="39" t="str">
        <f aca="false">TEXT(B727,"mmm")</f>
        <v>Apr</v>
      </c>
      <c r="L727" s="45" t="n">
        <f aca="false">IFERROR(INDEX(medicine_master!$I$2:$I$26,MATCH($C727,medicine_master!$A$2:$A$26,0)),0)</f>
        <v>225</v>
      </c>
      <c r="M727" s="45" t="n">
        <f aca="false">IFERROR(INDEX(medicine_master!$G$2:$G$26,MATCH($C727,medicine_master!$A$2:$A$26,0)),0)</f>
        <v>165</v>
      </c>
      <c r="N727" s="45" t="n">
        <f aca="false">IF(D727="Sale",E727*L727,0)</f>
        <v>2250</v>
      </c>
      <c r="O727" s="45" t="n">
        <f aca="false">IF(D727="Sale",E727*M727,0)</f>
        <v>1650</v>
      </c>
      <c r="P727" s="45" t="n">
        <f aca="false">N727-O727</f>
        <v>600</v>
      </c>
      <c r="Q727" s="45" t="n">
        <f aca="false">IF(D727="Purchase",E727*M727,0)</f>
        <v>0</v>
      </c>
    </row>
    <row r="728" customFormat="false" ht="15" hidden="false" customHeight="false" outlineLevel="0" collapsed="false">
      <c r="A728" s="39" t="s">
        <v>1052</v>
      </c>
      <c r="B728" s="44" t="n">
        <v>46376</v>
      </c>
      <c r="C728" s="39" t="s">
        <v>495</v>
      </c>
      <c r="D728" s="39" t="s">
        <v>138</v>
      </c>
      <c r="E728" s="39" t="n">
        <v>30</v>
      </c>
      <c r="F728" s="39" t="str">
        <f aca="false">IF(COUNTIF(medicine_master!$A$2:$A$26,C728)&gt;0,"Valid","Invalid")</f>
        <v>Valid</v>
      </c>
      <c r="G728" s="39" t="str">
        <f aca="false">IFERROR(INDEX(medicine_master!$B$2:$B$26,MATCH($C728,medicine_master!$A$2:$A$26,0)),"Not found")</f>
        <v>Metformin 500mg</v>
      </c>
      <c r="H728" s="39" t="str">
        <f aca="false">IFERROR(INDEX(medicine_master!$C$2:$C$26,MATCH($C728,medicine_master!$A$2:$A$26,0)),"Not found")</f>
        <v>Diabetes</v>
      </c>
      <c r="I728" s="39" t="n">
        <f aca="false">YEAR(B728)</f>
        <v>2026</v>
      </c>
      <c r="J728" s="39" t="n">
        <f aca="false">MONTH(B728)</f>
        <v>12</v>
      </c>
      <c r="K728" s="39" t="str">
        <f aca="false">TEXT(B728,"mmm")</f>
        <v>Dec</v>
      </c>
      <c r="L728" s="45" t="n">
        <f aca="false">IFERROR(INDEX(medicine_master!$I$2:$I$26,MATCH($C728,medicine_master!$A$2:$A$26,0)),0)</f>
        <v>24</v>
      </c>
      <c r="M728" s="45" t="n">
        <f aca="false">IFERROR(INDEX(medicine_master!$G$2:$G$26,MATCH($C728,medicine_master!$A$2:$A$26,0)),0)</f>
        <v>16</v>
      </c>
      <c r="N728" s="45" t="n">
        <f aca="false">IF(D728="Sale",E728*L728,0)</f>
        <v>0</v>
      </c>
      <c r="O728" s="45" t="n">
        <f aca="false">IF(D728="Sale",E728*M728,0)</f>
        <v>0</v>
      </c>
      <c r="P728" s="45" t="n">
        <f aca="false">N728-O728</f>
        <v>0</v>
      </c>
      <c r="Q728" s="45" t="n">
        <f aca="false">IF(D728="Purchase",E728*M728,0)</f>
        <v>480</v>
      </c>
    </row>
    <row r="729" customFormat="false" ht="15" hidden="false" customHeight="false" outlineLevel="0" collapsed="false">
      <c r="A729" s="39" t="s">
        <v>1053</v>
      </c>
      <c r="B729" s="44" t="n">
        <v>46121</v>
      </c>
      <c r="C729" s="39" t="s">
        <v>160</v>
      </c>
      <c r="D729" s="39" t="s">
        <v>137</v>
      </c>
      <c r="E729" s="39" t="n">
        <v>25</v>
      </c>
      <c r="F729" s="39" t="str">
        <f aca="false">IF(COUNTIF(medicine_master!$A$2:$A$26,C729)&gt;0,"Valid","Invalid")</f>
        <v>Valid</v>
      </c>
      <c r="G729" s="39" t="str">
        <f aca="false">IFERROR(INDEX(medicine_master!$B$2:$B$26,MATCH($C729,medicine_master!$A$2:$A$26,0)),"Not found")</f>
        <v>Calamine Lotion</v>
      </c>
      <c r="H729" s="39" t="str">
        <f aca="false">IFERROR(INDEX(medicine_master!$C$2:$C$26,MATCH($C729,medicine_master!$A$2:$A$26,0)),"Not found")</f>
        <v>Dermatology</v>
      </c>
      <c r="I729" s="39" t="n">
        <f aca="false">YEAR(B729)</f>
        <v>2026</v>
      </c>
      <c r="J729" s="39" t="n">
        <f aca="false">MONTH(B729)</f>
        <v>4</v>
      </c>
      <c r="K729" s="39" t="str">
        <f aca="false">TEXT(B729,"mmm")</f>
        <v>Apr</v>
      </c>
      <c r="L729" s="45" t="n">
        <f aca="false">IFERROR(INDEX(medicine_master!$I$2:$I$26,MATCH($C729,medicine_master!$A$2:$A$26,0)),0)</f>
        <v>60</v>
      </c>
      <c r="M729" s="45" t="n">
        <f aca="false">IFERROR(INDEX(medicine_master!$G$2:$G$26,MATCH($C729,medicine_master!$A$2:$A$26,0)),0)</f>
        <v>42</v>
      </c>
      <c r="N729" s="45" t="n">
        <f aca="false">IF(D729="Sale",E729*L729,0)</f>
        <v>1500</v>
      </c>
      <c r="O729" s="45" t="n">
        <f aca="false">IF(D729="Sale",E729*M729,0)</f>
        <v>1050</v>
      </c>
      <c r="P729" s="45" t="n">
        <f aca="false">N729-O729</f>
        <v>450</v>
      </c>
      <c r="Q729" s="45" t="n">
        <f aca="false">IF(D729="Purchase",E729*M729,0)</f>
        <v>0</v>
      </c>
    </row>
    <row r="730" customFormat="false" ht="15" hidden="false" customHeight="false" outlineLevel="0" collapsed="false">
      <c r="A730" s="39" t="s">
        <v>1054</v>
      </c>
      <c r="B730" s="44" t="n">
        <v>46272</v>
      </c>
      <c r="C730" s="39" t="s">
        <v>404</v>
      </c>
      <c r="D730" s="39" t="s">
        <v>138</v>
      </c>
      <c r="E730" s="39" t="n">
        <v>20</v>
      </c>
      <c r="F730" s="39" t="str">
        <f aca="false">IF(COUNTIF(medicine_master!$A$2:$A$26,C730)&gt;0,"Valid","Invalid")</f>
        <v>Valid</v>
      </c>
      <c r="G730" s="39" t="str">
        <f aca="false">IFERROR(INDEX(medicine_master!$B$2:$B$26,MATCH($C730,medicine_master!$A$2:$A$26,0)),"Not found")</f>
        <v>ORS Sachet</v>
      </c>
      <c r="H730" s="39" t="str">
        <f aca="false">IFERROR(INDEX(medicine_master!$C$2:$C$26,MATCH($C730,medicine_master!$A$2:$A$26,0)),"Not found")</f>
        <v>First Aid</v>
      </c>
      <c r="I730" s="39" t="n">
        <f aca="false">YEAR(B730)</f>
        <v>2026</v>
      </c>
      <c r="J730" s="39" t="n">
        <f aca="false">MONTH(B730)</f>
        <v>9</v>
      </c>
      <c r="K730" s="39" t="str">
        <f aca="false">TEXT(B730,"mmm")</f>
        <v>Sep</v>
      </c>
      <c r="L730" s="45" t="n">
        <f aca="false">IFERROR(INDEX(medicine_master!$I$2:$I$26,MATCH($C730,medicine_master!$A$2:$A$26,0)),0)</f>
        <v>10</v>
      </c>
      <c r="M730" s="45" t="n">
        <f aca="false">IFERROR(INDEX(medicine_master!$G$2:$G$26,MATCH($C730,medicine_master!$A$2:$A$26,0)),0)</f>
        <v>6</v>
      </c>
      <c r="N730" s="45" t="n">
        <f aca="false">IF(D730="Sale",E730*L730,0)</f>
        <v>0</v>
      </c>
      <c r="O730" s="45" t="n">
        <f aca="false">IF(D730="Sale",E730*M730,0)</f>
        <v>0</v>
      </c>
      <c r="P730" s="45" t="n">
        <f aca="false">N730-O730</f>
        <v>0</v>
      </c>
      <c r="Q730" s="45" t="n">
        <f aca="false">IF(D730="Purchase",E730*M730,0)</f>
        <v>120</v>
      </c>
    </row>
    <row r="731" customFormat="false" ht="15" hidden="false" customHeight="false" outlineLevel="0" collapsed="false">
      <c r="A731" s="39" t="s">
        <v>1055</v>
      </c>
      <c r="B731" s="44" t="n">
        <v>46306</v>
      </c>
      <c r="C731" s="39" t="s">
        <v>152</v>
      </c>
      <c r="D731" s="39" t="s">
        <v>137</v>
      </c>
      <c r="E731" s="39" t="n">
        <v>25</v>
      </c>
      <c r="F731" s="39" t="str">
        <f aca="false">IF(COUNTIF(medicine_master!$A$2:$A$26,C731)&gt;0,"Valid","Invalid")</f>
        <v>Valid</v>
      </c>
      <c r="G731" s="39" t="str">
        <f aca="false">IFERROR(INDEX(medicine_master!$B$2:$B$26,MATCH($C731,medicine_master!$A$2:$A$26,0)),"Not found")</f>
        <v>Amoxicillin 500mg</v>
      </c>
      <c r="H731" s="39" t="str">
        <f aca="false">IFERROR(INDEX(medicine_master!$C$2:$C$26,MATCH($C731,medicine_master!$A$2:$A$26,0)),"Not found")</f>
        <v>Antibiotic</v>
      </c>
      <c r="I731" s="39" t="n">
        <f aca="false">YEAR(B731)</f>
        <v>2026</v>
      </c>
      <c r="J731" s="39" t="n">
        <f aca="false">MONTH(B731)</f>
        <v>10</v>
      </c>
      <c r="K731" s="39" t="str">
        <f aca="false">TEXT(B731,"mmm")</f>
        <v>Oct</v>
      </c>
      <c r="L731" s="45" t="n">
        <f aca="false">IFERROR(INDEX(medicine_master!$I$2:$I$26,MATCH($C731,medicine_master!$A$2:$A$26,0)),0)</f>
        <v>40</v>
      </c>
      <c r="M731" s="45" t="n">
        <f aca="false">IFERROR(INDEX(medicine_master!$G$2:$G$26,MATCH($C731,medicine_master!$A$2:$A$26,0)),0)</f>
        <v>28</v>
      </c>
      <c r="N731" s="45" t="n">
        <f aca="false">IF(D731="Sale",E731*L731,0)</f>
        <v>1000</v>
      </c>
      <c r="O731" s="45" t="n">
        <f aca="false">IF(D731="Sale",E731*M731,0)</f>
        <v>700</v>
      </c>
      <c r="P731" s="45" t="n">
        <f aca="false">N731-O731</f>
        <v>300</v>
      </c>
      <c r="Q731" s="45" t="n">
        <f aca="false">IF(D731="Purchase",E731*M731,0)</f>
        <v>0</v>
      </c>
    </row>
    <row r="732" customFormat="false" ht="15" hidden="false" customHeight="false" outlineLevel="0" collapsed="false">
      <c r="A732" s="39" t="s">
        <v>1056</v>
      </c>
      <c r="B732" s="44" t="n">
        <v>46169</v>
      </c>
      <c r="C732" s="39" t="s">
        <v>390</v>
      </c>
      <c r="D732" s="39" t="s">
        <v>137</v>
      </c>
      <c r="E732" s="39" t="n">
        <v>15</v>
      </c>
      <c r="F732" s="39" t="str">
        <f aca="false">IF(COUNTIF(medicine_master!$A$2:$A$26,C732)&gt;0,"Valid","Invalid")</f>
        <v>Valid</v>
      </c>
      <c r="G732" s="39" t="str">
        <f aca="false">IFERROR(INDEX(medicine_master!$B$2:$B$26,MATCH($C732,medicine_master!$A$2:$A$26,0)),"Not found")</f>
        <v>Montelukast 10mg</v>
      </c>
      <c r="H732" s="39" t="str">
        <f aca="false">IFERROR(INDEX(medicine_master!$C$2:$C$26,MATCH($C732,medicine_master!$A$2:$A$26,0)),"Not found")</f>
        <v>Allergy</v>
      </c>
      <c r="I732" s="39" t="n">
        <f aca="false">YEAR(B732)</f>
        <v>2026</v>
      </c>
      <c r="J732" s="39" t="n">
        <f aca="false">MONTH(B732)</f>
        <v>5</v>
      </c>
      <c r="K732" s="39" t="str">
        <f aca="false">TEXT(B732,"mmm")</f>
        <v>May</v>
      </c>
      <c r="L732" s="45" t="n">
        <f aca="false">IFERROR(INDEX(medicine_master!$I$2:$I$26,MATCH($C732,medicine_master!$A$2:$A$26,0)),0)</f>
        <v>39</v>
      </c>
      <c r="M732" s="45" t="n">
        <f aca="false">IFERROR(INDEX(medicine_master!$G$2:$G$26,MATCH($C732,medicine_master!$A$2:$A$26,0)),0)</f>
        <v>27</v>
      </c>
      <c r="N732" s="45" t="n">
        <f aca="false">IF(D732="Sale",E732*L732,0)</f>
        <v>585</v>
      </c>
      <c r="O732" s="45" t="n">
        <f aca="false">IF(D732="Sale",E732*M732,0)</f>
        <v>405</v>
      </c>
      <c r="P732" s="45" t="n">
        <f aca="false">N732-O732</f>
        <v>180</v>
      </c>
      <c r="Q732" s="45" t="n">
        <f aca="false">IF(D732="Purchase",E732*M732,0)</f>
        <v>0</v>
      </c>
    </row>
    <row r="733" customFormat="false" ht="15" hidden="false" customHeight="false" outlineLevel="0" collapsed="false">
      <c r="A733" s="39" t="s">
        <v>1057</v>
      </c>
      <c r="B733" s="44" t="n">
        <v>46069</v>
      </c>
      <c r="C733" s="39" t="s">
        <v>144</v>
      </c>
      <c r="D733" s="39" t="s">
        <v>138</v>
      </c>
      <c r="E733" s="39" t="n">
        <v>30</v>
      </c>
      <c r="F733" s="39" t="str">
        <f aca="false">IF(COUNTIF(medicine_master!$A$2:$A$26,C733)&gt;0,"Valid","Invalid")</f>
        <v>Valid</v>
      </c>
      <c r="G733" s="39" t="str">
        <f aca="false">IFERROR(INDEX(medicine_master!$B$2:$B$26,MATCH($C733,medicine_master!$A$2:$A$26,0)),"Not found")</f>
        <v>Glimepiride 2mg</v>
      </c>
      <c r="H733" s="39" t="str">
        <f aca="false">IFERROR(INDEX(medicine_master!$C$2:$C$26,MATCH($C733,medicine_master!$A$2:$A$26,0)),"Not found")</f>
        <v>Diabetes</v>
      </c>
      <c r="I733" s="39" t="n">
        <f aca="false">YEAR(B733)</f>
        <v>2026</v>
      </c>
      <c r="J733" s="39" t="n">
        <f aca="false">MONTH(B733)</f>
        <v>2</v>
      </c>
      <c r="K733" s="39" t="str">
        <f aca="false">TEXT(B733,"mmm")</f>
        <v>Feb</v>
      </c>
      <c r="L733" s="45" t="n">
        <f aca="false">IFERROR(INDEX(medicine_master!$I$2:$I$26,MATCH($C733,medicine_master!$A$2:$A$26,0)),0)</f>
        <v>52</v>
      </c>
      <c r="M733" s="45" t="n">
        <f aca="false">IFERROR(INDEX(medicine_master!$G$2:$G$26,MATCH($C733,medicine_master!$A$2:$A$26,0)),0)</f>
        <v>38</v>
      </c>
      <c r="N733" s="45" t="n">
        <f aca="false">IF(D733="Sale",E733*L733,0)</f>
        <v>0</v>
      </c>
      <c r="O733" s="45" t="n">
        <f aca="false">IF(D733="Sale",E733*M733,0)</f>
        <v>0</v>
      </c>
      <c r="P733" s="45" t="n">
        <f aca="false">N733-O733</f>
        <v>0</v>
      </c>
      <c r="Q733" s="45" t="n">
        <f aca="false">IF(D733="Purchase",E733*M733,0)</f>
        <v>1140</v>
      </c>
    </row>
    <row r="734" customFormat="false" ht="15" hidden="false" customHeight="false" outlineLevel="0" collapsed="false">
      <c r="A734" s="39" t="s">
        <v>1058</v>
      </c>
      <c r="B734" s="44" t="n">
        <v>46027</v>
      </c>
      <c r="C734" s="39" t="s">
        <v>145</v>
      </c>
      <c r="D734" s="39" t="s">
        <v>137</v>
      </c>
      <c r="E734" s="39" t="n">
        <v>20</v>
      </c>
      <c r="F734" s="39" t="str">
        <f aca="false">IF(COUNTIF(medicine_master!$A$2:$A$26,C734)&gt;0,"Valid","Invalid")</f>
        <v>Valid</v>
      </c>
      <c r="G734" s="39" t="str">
        <f aca="false">IFERROR(INDEX(medicine_master!$B$2:$B$26,MATCH($C734,medicine_master!$A$2:$A$26,0)),"Not found")</f>
        <v>Clotrimazole Cream</v>
      </c>
      <c r="H734" s="39" t="str">
        <f aca="false">IFERROR(INDEX(medicine_master!$C$2:$C$26,MATCH($C734,medicine_master!$A$2:$A$26,0)),"Not found")</f>
        <v>Dermatology</v>
      </c>
      <c r="I734" s="39" t="n">
        <f aca="false">YEAR(B734)</f>
        <v>2026</v>
      </c>
      <c r="J734" s="39" t="n">
        <f aca="false">MONTH(B734)</f>
        <v>1</v>
      </c>
      <c r="K734" s="39" t="str">
        <f aca="false">TEXT(B734,"mmm")</f>
        <v>Jan</v>
      </c>
      <c r="L734" s="45" t="n">
        <f aca="false">IFERROR(INDEX(medicine_master!$I$2:$I$26,MATCH($C734,medicine_master!$A$2:$A$26,0)),0)</f>
        <v>48</v>
      </c>
      <c r="M734" s="45" t="n">
        <f aca="false">IFERROR(INDEX(medicine_master!$G$2:$G$26,MATCH($C734,medicine_master!$A$2:$A$26,0)),0)</f>
        <v>32</v>
      </c>
      <c r="N734" s="45" t="n">
        <f aca="false">IF(D734="Sale",E734*L734,0)</f>
        <v>960</v>
      </c>
      <c r="O734" s="45" t="n">
        <f aca="false">IF(D734="Sale",E734*M734,0)</f>
        <v>640</v>
      </c>
      <c r="P734" s="45" t="n">
        <f aca="false">N734-O734</f>
        <v>320</v>
      </c>
      <c r="Q734" s="45" t="n">
        <f aca="false">IF(D734="Purchase",E734*M734,0)</f>
        <v>0</v>
      </c>
    </row>
    <row r="735" customFormat="false" ht="15" hidden="false" customHeight="false" outlineLevel="0" collapsed="false">
      <c r="A735" s="39" t="s">
        <v>1059</v>
      </c>
      <c r="B735" s="44" t="n">
        <v>46034</v>
      </c>
      <c r="C735" s="39" t="s">
        <v>158</v>
      </c>
      <c r="D735" s="39" t="s">
        <v>138</v>
      </c>
      <c r="E735" s="39" t="n">
        <v>20</v>
      </c>
      <c r="F735" s="39" t="str">
        <f aca="false">IF(COUNTIF(medicine_master!$A$2:$A$26,C735)&gt;0,"Valid","Invalid")</f>
        <v>Valid</v>
      </c>
      <c r="G735" s="39" t="str">
        <f aca="false">IFERROR(INDEX(medicine_master!$B$2:$B$26,MATCH($C735,medicine_master!$A$2:$A$26,0)),"Not found")</f>
        <v>Cough Syrup 100ml</v>
      </c>
      <c r="H735" s="39" t="str">
        <f aca="false">IFERROR(INDEX(medicine_master!$C$2:$C$26,MATCH($C735,medicine_master!$A$2:$A$26,0)),"Not found")</f>
        <v>Cold &amp; Cough</v>
      </c>
      <c r="I735" s="39" t="n">
        <f aca="false">YEAR(B735)</f>
        <v>2026</v>
      </c>
      <c r="J735" s="39" t="n">
        <f aca="false">MONTH(B735)</f>
        <v>1</v>
      </c>
      <c r="K735" s="39" t="str">
        <f aca="false">TEXT(B735,"mmm")</f>
        <v>Jan</v>
      </c>
      <c r="L735" s="45" t="n">
        <f aca="false">IFERROR(INDEX(medicine_master!$I$2:$I$26,MATCH($C735,medicine_master!$A$2:$A$26,0)),0)</f>
        <v>72</v>
      </c>
      <c r="M735" s="45" t="n">
        <f aca="false">IFERROR(INDEX(medicine_master!$G$2:$G$26,MATCH($C735,medicine_master!$A$2:$A$26,0)),0)</f>
        <v>52</v>
      </c>
      <c r="N735" s="45" t="n">
        <f aca="false">IF(D735="Sale",E735*L735,0)</f>
        <v>0</v>
      </c>
      <c r="O735" s="45" t="n">
        <f aca="false">IF(D735="Sale",E735*M735,0)</f>
        <v>0</v>
      </c>
      <c r="P735" s="45" t="n">
        <f aca="false">N735-O735</f>
        <v>0</v>
      </c>
      <c r="Q735" s="45" t="n">
        <f aca="false">IF(D735="Purchase",E735*M735,0)</f>
        <v>1040</v>
      </c>
    </row>
    <row r="736" customFormat="false" ht="15" hidden="false" customHeight="false" outlineLevel="0" collapsed="false">
      <c r="A736" s="39" t="s">
        <v>1060</v>
      </c>
      <c r="B736" s="44" t="n">
        <v>46326</v>
      </c>
      <c r="C736" s="39" t="s">
        <v>144</v>
      </c>
      <c r="D736" s="39" t="s">
        <v>137</v>
      </c>
      <c r="E736" s="39" t="n">
        <v>40</v>
      </c>
      <c r="F736" s="39" t="str">
        <f aca="false">IF(COUNTIF(medicine_master!$A$2:$A$26,C736)&gt;0,"Valid","Invalid")</f>
        <v>Valid</v>
      </c>
      <c r="G736" s="39" t="str">
        <f aca="false">IFERROR(INDEX(medicine_master!$B$2:$B$26,MATCH($C736,medicine_master!$A$2:$A$26,0)),"Not found")</f>
        <v>Glimepiride 2mg</v>
      </c>
      <c r="H736" s="39" t="str">
        <f aca="false">IFERROR(INDEX(medicine_master!$C$2:$C$26,MATCH($C736,medicine_master!$A$2:$A$26,0)),"Not found")</f>
        <v>Diabetes</v>
      </c>
      <c r="I736" s="39" t="n">
        <f aca="false">YEAR(B736)</f>
        <v>2026</v>
      </c>
      <c r="J736" s="39" t="n">
        <f aca="false">MONTH(B736)</f>
        <v>10</v>
      </c>
      <c r="K736" s="39" t="str">
        <f aca="false">TEXT(B736,"mmm")</f>
        <v>Oct</v>
      </c>
      <c r="L736" s="45" t="n">
        <f aca="false">IFERROR(INDEX(medicine_master!$I$2:$I$26,MATCH($C736,medicine_master!$A$2:$A$26,0)),0)</f>
        <v>52</v>
      </c>
      <c r="M736" s="45" t="n">
        <f aca="false">IFERROR(INDEX(medicine_master!$G$2:$G$26,MATCH($C736,medicine_master!$A$2:$A$26,0)),0)</f>
        <v>38</v>
      </c>
      <c r="N736" s="45" t="n">
        <f aca="false">IF(D736="Sale",E736*L736,0)</f>
        <v>2080</v>
      </c>
      <c r="O736" s="45" t="n">
        <f aca="false">IF(D736="Sale",E736*M736,0)</f>
        <v>1520</v>
      </c>
      <c r="P736" s="45" t="n">
        <f aca="false">N736-O736</f>
        <v>560</v>
      </c>
      <c r="Q736" s="45" t="n">
        <f aca="false">IF(D736="Purchase",E736*M736,0)</f>
        <v>0</v>
      </c>
    </row>
    <row r="737" customFormat="false" ht="15" hidden="false" customHeight="false" outlineLevel="0" collapsed="false">
      <c r="A737" s="39" t="s">
        <v>1061</v>
      </c>
      <c r="B737" s="44" t="n">
        <v>46205</v>
      </c>
      <c r="C737" s="39" t="s">
        <v>149</v>
      </c>
      <c r="D737" s="39" t="s">
        <v>138</v>
      </c>
      <c r="E737" s="39" t="n">
        <v>15</v>
      </c>
      <c r="F737" s="39" t="str">
        <f aca="false">IF(COUNTIF(medicine_master!$A$2:$A$26,C737)&gt;0,"Valid","Invalid")</f>
        <v>Valid</v>
      </c>
      <c r="G737" s="39" t="str">
        <f aca="false">IFERROR(INDEX(medicine_master!$B$2:$B$26,MATCH($C737,medicine_master!$A$2:$A$26,0)),"Not found")</f>
        <v>Azithromycin 500mg</v>
      </c>
      <c r="H737" s="39" t="str">
        <f aca="false">IFERROR(INDEX(medicine_master!$C$2:$C$26,MATCH($C737,medicine_master!$A$2:$A$26,0)),"Not found")</f>
        <v>Antibiotic</v>
      </c>
      <c r="I737" s="39" t="n">
        <f aca="false">YEAR(B737)</f>
        <v>2026</v>
      </c>
      <c r="J737" s="39" t="n">
        <f aca="false">MONTH(B737)</f>
        <v>7</v>
      </c>
      <c r="K737" s="39" t="str">
        <f aca="false">TEXT(B737,"mmm")</f>
        <v>Jul</v>
      </c>
      <c r="L737" s="45" t="n">
        <f aca="false">IFERROR(INDEX(medicine_master!$I$2:$I$26,MATCH($C737,medicine_master!$A$2:$A$26,0)),0)</f>
        <v>50</v>
      </c>
      <c r="M737" s="45" t="n">
        <f aca="false">IFERROR(INDEX(medicine_master!$G$2:$G$26,MATCH($C737,medicine_master!$A$2:$A$26,0)),0)</f>
        <v>35</v>
      </c>
      <c r="N737" s="45" t="n">
        <f aca="false">IF(D737="Sale",E737*L737,0)</f>
        <v>0</v>
      </c>
      <c r="O737" s="45" t="n">
        <f aca="false">IF(D737="Sale",E737*M737,0)</f>
        <v>0</v>
      </c>
      <c r="P737" s="45" t="n">
        <f aca="false">N737-O737</f>
        <v>0</v>
      </c>
      <c r="Q737" s="45" t="n">
        <f aca="false">IF(D737="Purchase",E737*M737,0)</f>
        <v>525</v>
      </c>
    </row>
    <row r="738" customFormat="false" ht="15" hidden="false" customHeight="false" outlineLevel="0" collapsed="false">
      <c r="A738" s="39" t="s">
        <v>1062</v>
      </c>
      <c r="B738" s="44" t="n">
        <v>46238</v>
      </c>
      <c r="C738" s="39" t="s">
        <v>148</v>
      </c>
      <c r="D738" s="39" t="s">
        <v>137</v>
      </c>
      <c r="E738" s="39" t="n">
        <v>20</v>
      </c>
      <c r="F738" s="39" t="str">
        <f aca="false">IF(COUNTIF(medicine_master!$A$2:$A$26,C738)&gt;0,"Valid","Invalid")</f>
        <v>Valid</v>
      </c>
      <c r="G738" s="39" t="str">
        <f aca="false">IFERROR(INDEX(medicine_master!$B$2:$B$26,MATCH($C738,medicine_master!$A$2:$A$26,0)),"Not found")</f>
        <v>Dextromethorphan Syrup</v>
      </c>
      <c r="H738" s="39" t="str">
        <f aca="false">IFERROR(INDEX(medicine_master!$C$2:$C$26,MATCH($C738,medicine_master!$A$2:$A$26,0)),"Not found")</f>
        <v>Cold &amp; Cough</v>
      </c>
      <c r="I738" s="39" t="n">
        <f aca="false">YEAR(B738)</f>
        <v>2026</v>
      </c>
      <c r="J738" s="39" t="n">
        <f aca="false">MONTH(B738)</f>
        <v>8</v>
      </c>
      <c r="K738" s="39" t="str">
        <f aca="false">TEXT(B738,"mmm")</f>
        <v>Aug</v>
      </c>
      <c r="L738" s="45" t="n">
        <f aca="false">IFERROR(INDEX(medicine_master!$I$2:$I$26,MATCH($C738,medicine_master!$A$2:$A$26,0)),0)</f>
        <v>80</v>
      </c>
      <c r="M738" s="45" t="n">
        <f aca="false">IFERROR(INDEX(medicine_master!$G$2:$G$26,MATCH($C738,medicine_master!$A$2:$A$26,0)),0)</f>
        <v>58</v>
      </c>
      <c r="N738" s="45" t="n">
        <f aca="false">IF(D738="Sale",E738*L738,0)</f>
        <v>1600</v>
      </c>
      <c r="O738" s="45" t="n">
        <f aca="false">IF(D738="Sale",E738*M738,0)</f>
        <v>1160</v>
      </c>
      <c r="P738" s="45" t="n">
        <f aca="false">N738-O738</f>
        <v>440</v>
      </c>
      <c r="Q738" s="45" t="n">
        <f aca="false">IF(D738="Purchase",E738*M738,0)</f>
        <v>0</v>
      </c>
    </row>
    <row r="739" customFormat="false" ht="15" hidden="false" customHeight="false" outlineLevel="0" collapsed="false">
      <c r="A739" s="39" t="s">
        <v>1063</v>
      </c>
      <c r="B739" s="44" t="n">
        <v>46271</v>
      </c>
      <c r="C739" s="39" t="s">
        <v>404</v>
      </c>
      <c r="D739" s="39" t="s">
        <v>137</v>
      </c>
      <c r="E739" s="39" t="n">
        <v>40</v>
      </c>
      <c r="F739" s="39" t="str">
        <f aca="false">IF(COUNTIF(medicine_master!$A$2:$A$26,C739)&gt;0,"Valid","Invalid")</f>
        <v>Valid</v>
      </c>
      <c r="G739" s="39" t="str">
        <f aca="false">IFERROR(INDEX(medicine_master!$B$2:$B$26,MATCH($C739,medicine_master!$A$2:$A$26,0)),"Not found")</f>
        <v>ORS Sachet</v>
      </c>
      <c r="H739" s="39" t="str">
        <f aca="false">IFERROR(INDEX(medicine_master!$C$2:$C$26,MATCH($C739,medicine_master!$A$2:$A$26,0)),"Not found")</f>
        <v>First Aid</v>
      </c>
      <c r="I739" s="39" t="n">
        <f aca="false">YEAR(B739)</f>
        <v>2026</v>
      </c>
      <c r="J739" s="39" t="n">
        <f aca="false">MONTH(B739)</f>
        <v>9</v>
      </c>
      <c r="K739" s="39" t="str">
        <f aca="false">TEXT(B739,"mmm")</f>
        <v>Sep</v>
      </c>
      <c r="L739" s="45" t="n">
        <f aca="false">IFERROR(INDEX(medicine_master!$I$2:$I$26,MATCH($C739,medicine_master!$A$2:$A$26,0)),0)</f>
        <v>10</v>
      </c>
      <c r="M739" s="45" t="n">
        <f aca="false">IFERROR(INDEX(medicine_master!$G$2:$G$26,MATCH($C739,medicine_master!$A$2:$A$26,0)),0)</f>
        <v>6</v>
      </c>
      <c r="N739" s="45" t="n">
        <f aca="false">IF(D739="Sale",E739*L739,0)</f>
        <v>400</v>
      </c>
      <c r="O739" s="45" t="n">
        <f aca="false">IF(D739="Sale",E739*M739,0)</f>
        <v>240</v>
      </c>
      <c r="P739" s="45" t="n">
        <f aca="false">N739-O739</f>
        <v>160</v>
      </c>
      <c r="Q739" s="45" t="n">
        <f aca="false">IF(D739="Purchase",E739*M739,0)</f>
        <v>0</v>
      </c>
    </row>
    <row r="740" customFormat="false" ht="15" hidden="false" customHeight="false" outlineLevel="0" collapsed="false">
      <c r="A740" s="39" t="s">
        <v>1064</v>
      </c>
      <c r="B740" s="44" t="n">
        <v>46241</v>
      </c>
      <c r="C740" s="39" t="s">
        <v>160</v>
      </c>
      <c r="D740" s="39" t="s">
        <v>137</v>
      </c>
      <c r="E740" s="39" t="n">
        <v>25</v>
      </c>
      <c r="F740" s="39" t="str">
        <f aca="false">IF(COUNTIF(medicine_master!$A$2:$A$26,C740)&gt;0,"Valid","Invalid")</f>
        <v>Valid</v>
      </c>
      <c r="G740" s="39" t="str">
        <f aca="false">IFERROR(INDEX(medicine_master!$B$2:$B$26,MATCH($C740,medicine_master!$A$2:$A$26,0)),"Not found")</f>
        <v>Calamine Lotion</v>
      </c>
      <c r="H740" s="39" t="str">
        <f aca="false">IFERROR(INDEX(medicine_master!$C$2:$C$26,MATCH($C740,medicine_master!$A$2:$A$26,0)),"Not found")</f>
        <v>Dermatology</v>
      </c>
      <c r="I740" s="39" t="n">
        <f aca="false">YEAR(B740)</f>
        <v>2026</v>
      </c>
      <c r="J740" s="39" t="n">
        <f aca="false">MONTH(B740)</f>
        <v>8</v>
      </c>
      <c r="K740" s="39" t="str">
        <f aca="false">TEXT(B740,"mmm")</f>
        <v>Aug</v>
      </c>
      <c r="L740" s="45" t="n">
        <f aca="false">IFERROR(INDEX(medicine_master!$I$2:$I$26,MATCH($C740,medicine_master!$A$2:$A$26,0)),0)</f>
        <v>60</v>
      </c>
      <c r="M740" s="45" t="n">
        <f aca="false">IFERROR(INDEX(medicine_master!$G$2:$G$26,MATCH($C740,medicine_master!$A$2:$A$26,0)),0)</f>
        <v>42</v>
      </c>
      <c r="N740" s="45" t="n">
        <f aca="false">IF(D740="Sale",E740*L740,0)</f>
        <v>1500</v>
      </c>
      <c r="O740" s="45" t="n">
        <f aca="false">IF(D740="Sale",E740*M740,0)</f>
        <v>1050</v>
      </c>
      <c r="P740" s="45" t="n">
        <f aca="false">N740-O740</f>
        <v>450</v>
      </c>
      <c r="Q740" s="45" t="n">
        <f aca="false">IF(D740="Purchase",E740*M740,0)</f>
        <v>0</v>
      </c>
    </row>
    <row r="741" customFormat="false" ht="15" hidden="false" customHeight="false" outlineLevel="0" collapsed="false">
      <c r="A741" s="39" t="s">
        <v>1065</v>
      </c>
      <c r="B741" s="44" t="n">
        <v>46261</v>
      </c>
      <c r="C741" s="39" t="s">
        <v>149</v>
      </c>
      <c r="D741" s="39" t="s">
        <v>137</v>
      </c>
      <c r="E741" s="39" t="n">
        <v>20</v>
      </c>
      <c r="F741" s="39" t="str">
        <f aca="false">IF(COUNTIF(medicine_master!$A$2:$A$26,C741)&gt;0,"Valid","Invalid")</f>
        <v>Valid</v>
      </c>
      <c r="G741" s="39" t="str">
        <f aca="false">IFERROR(INDEX(medicine_master!$B$2:$B$26,MATCH($C741,medicine_master!$A$2:$A$26,0)),"Not found")</f>
        <v>Azithromycin 500mg</v>
      </c>
      <c r="H741" s="39" t="str">
        <f aca="false">IFERROR(INDEX(medicine_master!$C$2:$C$26,MATCH($C741,medicine_master!$A$2:$A$26,0)),"Not found")</f>
        <v>Antibiotic</v>
      </c>
      <c r="I741" s="39" t="n">
        <f aca="false">YEAR(B741)</f>
        <v>2026</v>
      </c>
      <c r="J741" s="39" t="n">
        <f aca="false">MONTH(B741)</f>
        <v>8</v>
      </c>
      <c r="K741" s="39" t="str">
        <f aca="false">TEXT(B741,"mmm")</f>
        <v>Aug</v>
      </c>
      <c r="L741" s="45" t="n">
        <f aca="false">IFERROR(INDEX(medicine_master!$I$2:$I$26,MATCH($C741,medicine_master!$A$2:$A$26,0)),0)</f>
        <v>50</v>
      </c>
      <c r="M741" s="45" t="n">
        <f aca="false">IFERROR(INDEX(medicine_master!$G$2:$G$26,MATCH($C741,medicine_master!$A$2:$A$26,0)),0)</f>
        <v>35</v>
      </c>
      <c r="N741" s="45" t="n">
        <f aca="false">IF(D741="Sale",E741*L741,0)</f>
        <v>1000</v>
      </c>
      <c r="O741" s="45" t="n">
        <f aca="false">IF(D741="Sale",E741*M741,0)</f>
        <v>700</v>
      </c>
      <c r="P741" s="45" t="n">
        <f aca="false">N741-O741</f>
        <v>300</v>
      </c>
      <c r="Q741" s="45" t="n">
        <f aca="false">IF(D741="Purchase",E741*M741,0)</f>
        <v>0</v>
      </c>
    </row>
    <row r="742" customFormat="false" ht="15" hidden="false" customHeight="false" outlineLevel="0" collapsed="false">
      <c r="A742" s="39" t="s">
        <v>1066</v>
      </c>
      <c r="B742" s="44" t="n">
        <v>46351</v>
      </c>
      <c r="C742" s="39" t="s">
        <v>157</v>
      </c>
      <c r="D742" s="39" t="s">
        <v>137</v>
      </c>
      <c r="E742" s="39" t="n">
        <v>20</v>
      </c>
      <c r="F742" s="39" t="str">
        <f aca="false">IF(COUNTIF(medicine_master!$A$2:$A$26,C742)&gt;0,"Valid","Invalid")</f>
        <v>Valid</v>
      </c>
      <c r="G742" s="39" t="str">
        <f aca="false">IFERROR(INDEX(medicine_master!$B$2:$B$26,MATCH($C742,medicine_master!$A$2:$A$26,0)),"Not found")</f>
        <v>Multivitamin Tablets</v>
      </c>
      <c r="H742" s="39" t="str">
        <f aca="false">IFERROR(INDEX(medicine_master!$C$2:$C$26,MATCH($C742,medicine_master!$A$2:$A$26,0)),"Not found")</f>
        <v>Vitamin</v>
      </c>
      <c r="I742" s="39" t="n">
        <f aca="false">YEAR(B742)</f>
        <v>2026</v>
      </c>
      <c r="J742" s="39" t="n">
        <f aca="false">MONTH(B742)</f>
        <v>11</v>
      </c>
      <c r="K742" s="39" t="str">
        <f aca="false">TEXT(B742,"mmm")</f>
        <v>Nov</v>
      </c>
      <c r="L742" s="45" t="n">
        <f aca="false">IFERROR(INDEX(medicine_master!$I$2:$I$26,MATCH($C742,medicine_master!$A$2:$A$26,0)),0)</f>
        <v>105</v>
      </c>
      <c r="M742" s="45" t="n">
        <f aca="false">IFERROR(INDEX(medicine_master!$G$2:$G$26,MATCH($C742,medicine_master!$A$2:$A$26,0)),0)</f>
        <v>72</v>
      </c>
      <c r="N742" s="45" t="n">
        <f aca="false">IF(D742="Sale",E742*L742,0)</f>
        <v>2100</v>
      </c>
      <c r="O742" s="45" t="n">
        <f aca="false">IF(D742="Sale",E742*M742,0)</f>
        <v>1440</v>
      </c>
      <c r="P742" s="45" t="n">
        <f aca="false">N742-O742</f>
        <v>660</v>
      </c>
      <c r="Q742" s="45" t="n">
        <f aca="false">IF(D742="Purchase",E742*M742,0)</f>
        <v>0</v>
      </c>
    </row>
    <row r="743" customFormat="false" ht="15" hidden="false" customHeight="false" outlineLevel="0" collapsed="false">
      <c r="A743" s="39" t="s">
        <v>1067</v>
      </c>
      <c r="B743" s="44" t="n">
        <v>46247</v>
      </c>
      <c r="C743" s="39" t="s">
        <v>157</v>
      </c>
      <c r="D743" s="39" t="s">
        <v>138</v>
      </c>
      <c r="E743" s="39" t="n">
        <v>40</v>
      </c>
      <c r="F743" s="39" t="str">
        <f aca="false">IF(COUNTIF(medicine_master!$A$2:$A$26,C743)&gt;0,"Valid","Invalid")</f>
        <v>Valid</v>
      </c>
      <c r="G743" s="39" t="str">
        <f aca="false">IFERROR(INDEX(medicine_master!$B$2:$B$26,MATCH($C743,medicine_master!$A$2:$A$26,0)),"Not found")</f>
        <v>Multivitamin Tablets</v>
      </c>
      <c r="H743" s="39" t="str">
        <f aca="false">IFERROR(INDEX(medicine_master!$C$2:$C$26,MATCH($C743,medicine_master!$A$2:$A$26,0)),"Not found")</f>
        <v>Vitamin</v>
      </c>
      <c r="I743" s="39" t="n">
        <f aca="false">YEAR(B743)</f>
        <v>2026</v>
      </c>
      <c r="J743" s="39" t="n">
        <f aca="false">MONTH(B743)</f>
        <v>8</v>
      </c>
      <c r="K743" s="39" t="str">
        <f aca="false">TEXT(B743,"mmm")</f>
        <v>Aug</v>
      </c>
      <c r="L743" s="45" t="n">
        <f aca="false">IFERROR(INDEX(medicine_master!$I$2:$I$26,MATCH($C743,medicine_master!$A$2:$A$26,0)),0)</f>
        <v>105</v>
      </c>
      <c r="M743" s="45" t="n">
        <f aca="false">IFERROR(INDEX(medicine_master!$G$2:$G$26,MATCH($C743,medicine_master!$A$2:$A$26,0)),0)</f>
        <v>72</v>
      </c>
      <c r="N743" s="45" t="n">
        <f aca="false">IF(D743="Sale",E743*L743,0)</f>
        <v>0</v>
      </c>
      <c r="O743" s="45" t="n">
        <f aca="false">IF(D743="Sale",E743*M743,0)</f>
        <v>0</v>
      </c>
      <c r="P743" s="45" t="n">
        <f aca="false">N743-O743</f>
        <v>0</v>
      </c>
      <c r="Q743" s="45" t="n">
        <f aca="false">IF(D743="Purchase",E743*M743,0)</f>
        <v>2880</v>
      </c>
    </row>
    <row r="744" customFormat="false" ht="15" hidden="false" customHeight="false" outlineLevel="0" collapsed="false">
      <c r="A744" s="39" t="s">
        <v>1068</v>
      </c>
      <c r="B744" s="44" t="n">
        <v>46347</v>
      </c>
      <c r="C744" s="39" t="s">
        <v>167</v>
      </c>
      <c r="D744" s="39" t="s">
        <v>137</v>
      </c>
      <c r="E744" s="39" t="n">
        <v>15</v>
      </c>
      <c r="F744" s="39" t="str">
        <f aca="false">IF(COUNTIF(medicine_master!$A$2:$A$26,C744)&gt;0,"Valid","Invalid")</f>
        <v>Valid</v>
      </c>
      <c r="G744" s="39" t="str">
        <f aca="false">IFERROR(INDEX(medicine_master!$B$2:$B$26,MATCH($C744,medicine_master!$A$2:$A$26,0)),"Not found")</f>
        <v>Amlodipine 5mg</v>
      </c>
      <c r="H744" s="39" t="str">
        <f aca="false">IFERROR(INDEX(medicine_master!$C$2:$C$26,MATCH($C744,medicine_master!$A$2:$A$26,0)),"Not found")</f>
        <v>Cardiac</v>
      </c>
      <c r="I744" s="39" t="n">
        <f aca="false">YEAR(B744)</f>
        <v>2026</v>
      </c>
      <c r="J744" s="39" t="n">
        <f aca="false">MONTH(B744)</f>
        <v>11</v>
      </c>
      <c r="K744" s="39" t="str">
        <f aca="false">TEXT(B744,"mmm")</f>
        <v>Nov</v>
      </c>
      <c r="L744" s="45" t="n">
        <f aca="false">IFERROR(INDEX(medicine_master!$I$2:$I$26,MATCH($C744,medicine_master!$A$2:$A$26,0)),0)</f>
        <v>19</v>
      </c>
      <c r="M744" s="45" t="n">
        <f aca="false">IFERROR(INDEX(medicine_master!$G$2:$G$26,MATCH($C744,medicine_master!$A$2:$A$26,0)),0)</f>
        <v>13</v>
      </c>
      <c r="N744" s="45" t="n">
        <f aca="false">IF(D744="Sale",E744*L744,0)</f>
        <v>285</v>
      </c>
      <c r="O744" s="45" t="n">
        <f aca="false">IF(D744="Sale",E744*M744,0)</f>
        <v>195</v>
      </c>
      <c r="P744" s="45" t="n">
        <f aca="false">N744-O744</f>
        <v>90</v>
      </c>
      <c r="Q744" s="45" t="n">
        <f aca="false">IF(D744="Purchase",E744*M744,0)</f>
        <v>0</v>
      </c>
    </row>
    <row r="745" customFormat="false" ht="15" hidden="false" customHeight="false" outlineLevel="0" collapsed="false">
      <c r="A745" s="39" t="s">
        <v>1069</v>
      </c>
      <c r="B745" s="44" t="n">
        <v>46230</v>
      </c>
      <c r="C745" s="39" t="s">
        <v>160</v>
      </c>
      <c r="D745" s="39" t="s">
        <v>137</v>
      </c>
      <c r="E745" s="39" t="n">
        <v>25</v>
      </c>
      <c r="F745" s="39" t="str">
        <f aca="false">IF(COUNTIF(medicine_master!$A$2:$A$26,C745)&gt;0,"Valid","Invalid")</f>
        <v>Valid</v>
      </c>
      <c r="G745" s="39" t="str">
        <f aca="false">IFERROR(INDEX(medicine_master!$B$2:$B$26,MATCH($C745,medicine_master!$A$2:$A$26,0)),"Not found")</f>
        <v>Calamine Lotion</v>
      </c>
      <c r="H745" s="39" t="str">
        <f aca="false">IFERROR(INDEX(medicine_master!$C$2:$C$26,MATCH($C745,medicine_master!$A$2:$A$26,0)),"Not found")</f>
        <v>Dermatology</v>
      </c>
      <c r="I745" s="39" t="n">
        <f aca="false">YEAR(B745)</f>
        <v>2026</v>
      </c>
      <c r="J745" s="39" t="n">
        <f aca="false">MONTH(B745)</f>
        <v>7</v>
      </c>
      <c r="K745" s="39" t="str">
        <f aca="false">TEXT(B745,"mmm")</f>
        <v>Jul</v>
      </c>
      <c r="L745" s="45" t="n">
        <f aca="false">IFERROR(INDEX(medicine_master!$I$2:$I$26,MATCH($C745,medicine_master!$A$2:$A$26,0)),0)</f>
        <v>60</v>
      </c>
      <c r="M745" s="45" t="n">
        <f aca="false">IFERROR(INDEX(medicine_master!$G$2:$G$26,MATCH($C745,medicine_master!$A$2:$A$26,0)),0)</f>
        <v>42</v>
      </c>
      <c r="N745" s="45" t="n">
        <f aca="false">IF(D745="Sale",E745*L745,0)</f>
        <v>1500</v>
      </c>
      <c r="O745" s="45" t="n">
        <f aca="false">IF(D745="Sale",E745*M745,0)</f>
        <v>1050</v>
      </c>
      <c r="P745" s="45" t="n">
        <f aca="false">N745-O745</f>
        <v>450</v>
      </c>
      <c r="Q745" s="45" t="n">
        <f aca="false">IF(D745="Purchase",E745*M745,0)</f>
        <v>0</v>
      </c>
    </row>
    <row r="746" customFormat="false" ht="15" hidden="false" customHeight="false" outlineLevel="0" collapsed="false">
      <c r="A746" s="39" t="s">
        <v>1070</v>
      </c>
      <c r="B746" s="44" t="n">
        <v>46193</v>
      </c>
      <c r="C746" s="39" t="s">
        <v>151</v>
      </c>
      <c r="D746" s="39" t="s">
        <v>137</v>
      </c>
      <c r="E746" s="39" t="n">
        <v>10</v>
      </c>
      <c r="F746" s="39" t="str">
        <f aca="false">IF(COUNTIF(medicine_master!$A$2:$A$26,C746)&gt;0,"Valid","Invalid")</f>
        <v>Valid</v>
      </c>
      <c r="G746" s="39" t="str">
        <f aca="false">IFERROR(INDEX(medicine_master!$B$2:$B$26,MATCH($C746,medicine_master!$A$2:$A$26,0)),"Not found")</f>
        <v>Cetirizine 10mg</v>
      </c>
      <c r="H746" s="39" t="str">
        <f aca="false">IFERROR(INDEX(medicine_master!$C$2:$C$26,MATCH($C746,medicine_master!$A$2:$A$26,0)),"Not found")</f>
        <v>Allergy</v>
      </c>
      <c r="I746" s="39" t="n">
        <f aca="false">YEAR(B746)</f>
        <v>2026</v>
      </c>
      <c r="J746" s="39" t="n">
        <f aca="false">MONTH(B746)</f>
        <v>6</v>
      </c>
      <c r="K746" s="39" t="str">
        <f aca="false">TEXT(B746,"mmm")</f>
        <v>Jun</v>
      </c>
      <c r="L746" s="45" t="n">
        <f aca="false">IFERROR(INDEX(medicine_master!$I$2:$I$26,MATCH($C746,medicine_master!$A$2:$A$26,0)),0)</f>
        <v>13</v>
      </c>
      <c r="M746" s="45" t="n">
        <f aca="false">IFERROR(INDEX(medicine_master!$G$2:$G$26,MATCH($C746,medicine_master!$A$2:$A$26,0)),0)</f>
        <v>8</v>
      </c>
      <c r="N746" s="45" t="n">
        <f aca="false">IF(D746="Sale",E746*L746,0)</f>
        <v>130</v>
      </c>
      <c r="O746" s="45" t="n">
        <f aca="false">IF(D746="Sale",E746*M746,0)</f>
        <v>80</v>
      </c>
      <c r="P746" s="45" t="n">
        <f aca="false">N746-O746</f>
        <v>50</v>
      </c>
      <c r="Q746" s="45" t="n">
        <f aca="false">IF(D746="Purchase",E746*M746,0)</f>
        <v>0</v>
      </c>
    </row>
    <row r="747" customFormat="false" ht="15" hidden="false" customHeight="false" outlineLevel="0" collapsed="false">
      <c r="A747" s="39" t="s">
        <v>1071</v>
      </c>
      <c r="B747" s="44" t="n">
        <v>46148</v>
      </c>
      <c r="C747" s="39" t="s">
        <v>390</v>
      </c>
      <c r="D747" s="39" t="s">
        <v>138</v>
      </c>
      <c r="E747" s="39" t="n">
        <v>30</v>
      </c>
      <c r="F747" s="39" t="str">
        <f aca="false">IF(COUNTIF(medicine_master!$A$2:$A$26,C747)&gt;0,"Valid","Invalid")</f>
        <v>Valid</v>
      </c>
      <c r="G747" s="39" t="str">
        <f aca="false">IFERROR(INDEX(medicine_master!$B$2:$B$26,MATCH($C747,medicine_master!$A$2:$A$26,0)),"Not found")</f>
        <v>Montelukast 10mg</v>
      </c>
      <c r="H747" s="39" t="str">
        <f aca="false">IFERROR(INDEX(medicine_master!$C$2:$C$26,MATCH($C747,medicine_master!$A$2:$A$26,0)),"Not found")</f>
        <v>Allergy</v>
      </c>
      <c r="I747" s="39" t="n">
        <f aca="false">YEAR(B747)</f>
        <v>2026</v>
      </c>
      <c r="J747" s="39" t="n">
        <f aca="false">MONTH(B747)</f>
        <v>5</v>
      </c>
      <c r="K747" s="39" t="str">
        <f aca="false">TEXT(B747,"mmm")</f>
        <v>May</v>
      </c>
      <c r="L747" s="45" t="n">
        <f aca="false">IFERROR(INDEX(medicine_master!$I$2:$I$26,MATCH($C747,medicine_master!$A$2:$A$26,0)),0)</f>
        <v>39</v>
      </c>
      <c r="M747" s="45" t="n">
        <f aca="false">IFERROR(INDEX(medicine_master!$G$2:$G$26,MATCH($C747,medicine_master!$A$2:$A$26,0)),0)</f>
        <v>27</v>
      </c>
      <c r="N747" s="45" t="n">
        <f aca="false">IF(D747="Sale",E747*L747,0)</f>
        <v>0</v>
      </c>
      <c r="O747" s="45" t="n">
        <f aca="false">IF(D747="Sale",E747*M747,0)</f>
        <v>0</v>
      </c>
      <c r="P747" s="45" t="n">
        <f aca="false">N747-O747</f>
        <v>0</v>
      </c>
      <c r="Q747" s="45" t="n">
        <f aca="false">IF(D747="Purchase",E747*M747,0)</f>
        <v>810</v>
      </c>
    </row>
    <row r="748" customFormat="false" ht="15" hidden="false" customHeight="false" outlineLevel="0" collapsed="false">
      <c r="A748" s="39" t="s">
        <v>1072</v>
      </c>
      <c r="B748" s="44" t="n">
        <v>46174</v>
      </c>
      <c r="C748" s="39" t="s">
        <v>151</v>
      </c>
      <c r="D748" s="39" t="s">
        <v>138</v>
      </c>
      <c r="E748" s="39" t="n">
        <v>50</v>
      </c>
      <c r="F748" s="39" t="str">
        <f aca="false">IF(COUNTIF(medicine_master!$A$2:$A$26,C748)&gt;0,"Valid","Invalid")</f>
        <v>Valid</v>
      </c>
      <c r="G748" s="39" t="str">
        <f aca="false">IFERROR(INDEX(medicine_master!$B$2:$B$26,MATCH($C748,medicine_master!$A$2:$A$26,0)),"Not found")</f>
        <v>Cetirizine 10mg</v>
      </c>
      <c r="H748" s="39" t="str">
        <f aca="false">IFERROR(INDEX(medicine_master!$C$2:$C$26,MATCH($C748,medicine_master!$A$2:$A$26,0)),"Not found")</f>
        <v>Allergy</v>
      </c>
      <c r="I748" s="39" t="n">
        <f aca="false">YEAR(B748)</f>
        <v>2026</v>
      </c>
      <c r="J748" s="39" t="n">
        <f aca="false">MONTH(B748)</f>
        <v>6</v>
      </c>
      <c r="K748" s="39" t="str">
        <f aca="false">TEXT(B748,"mmm")</f>
        <v>Jun</v>
      </c>
      <c r="L748" s="45" t="n">
        <f aca="false">IFERROR(INDEX(medicine_master!$I$2:$I$26,MATCH($C748,medicine_master!$A$2:$A$26,0)),0)</f>
        <v>13</v>
      </c>
      <c r="M748" s="45" t="n">
        <f aca="false">IFERROR(INDEX(medicine_master!$G$2:$G$26,MATCH($C748,medicine_master!$A$2:$A$26,0)),0)</f>
        <v>8</v>
      </c>
      <c r="N748" s="45" t="n">
        <f aca="false">IF(D748="Sale",E748*L748,0)</f>
        <v>0</v>
      </c>
      <c r="O748" s="45" t="n">
        <f aca="false">IF(D748="Sale",E748*M748,0)</f>
        <v>0</v>
      </c>
      <c r="P748" s="45" t="n">
        <f aca="false">N748-O748</f>
        <v>0</v>
      </c>
      <c r="Q748" s="45" t="n">
        <f aca="false">IF(D748="Purchase",E748*M748,0)</f>
        <v>400</v>
      </c>
    </row>
    <row r="749" customFormat="false" ht="15" hidden="false" customHeight="false" outlineLevel="0" collapsed="false">
      <c r="A749" s="39" t="s">
        <v>1073</v>
      </c>
      <c r="B749" s="44" t="n">
        <v>46325</v>
      </c>
      <c r="C749" s="39" t="s">
        <v>151</v>
      </c>
      <c r="D749" s="39" t="s">
        <v>137</v>
      </c>
      <c r="E749" s="39" t="n">
        <v>25</v>
      </c>
      <c r="F749" s="39" t="str">
        <f aca="false">IF(COUNTIF(medicine_master!$A$2:$A$26,C749)&gt;0,"Valid","Invalid")</f>
        <v>Valid</v>
      </c>
      <c r="G749" s="39" t="str">
        <f aca="false">IFERROR(INDEX(medicine_master!$B$2:$B$26,MATCH($C749,medicine_master!$A$2:$A$26,0)),"Not found")</f>
        <v>Cetirizine 10mg</v>
      </c>
      <c r="H749" s="39" t="str">
        <f aca="false">IFERROR(INDEX(medicine_master!$C$2:$C$26,MATCH($C749,medicine_master!$A$2:$A$26,0)),"Not found")</f>
        <v>Allergy</v>
      </c>
      <c r="I749" s="39" t="n">
        <f aca="false">YEAR(B749)</f>
        <v>2026</v>
      </c>
      <c r="J749" s="39" t="n">
        <f aca="false">MONTH(B749)</f>
        <v>10</v>
      </c>
      <c r="K749" s="39" t="str">
        <f aca="false">TEXT(B749,"mmm")</f>
        <v>Oct</v>
      </c>
      <c r="L749" s="45" t="n">
        <f aca="false">IFERROR(INDEX(medicine_master!$I$2:$I$26,MATCH($C749,medicine_master!$A$2:$A$26,0)),0)</f>
        <v>13</v>
      </c>
      <c r="M749" s="45" t="n">
        <f aca="false">IFERROR(INDEX(medicine_master!$G$2:$G$26,MATCH($C749,medicine_master!$A$2:$A$26,0)),0)</f>
        <v>8</v>
      </c>
      <c r="N749" s="45" t="n">
        <f aca="false">IF(D749="Sale",E749*L749,0)</f>
        <v>325</v>
      </c>
      <c r="O749" s="45" t="n">
        <f aca="false">IF(D749="Sale",E749*M749,0)</f>
        <v>200</v>
      </c>
      <c r="P749" s="45" t="n">
        <f aca="false">N749-O749</f>
        <v>125</v>
      </c>
      <c r="Q749" s="45" t="n">
        <f aca="false">IF(D749="Purchase",E749*M749,0)</f>
        <v>0</v>
      </c>
    </row>
    <row r="750" customFormat="false" ht="15" hidden="false" customHeight="false" outlineLevel="0" collapsed="false">
      <c r="A750" s="39" t="s">
        <v>1074</v>
      </c>
      <c r="B750" s="44" t="n">
        <v>46135</v>
      </c>
      <c r="C750" s="39" t="s">
        <v>157</v>
      </c>
      <c r="D750" s="39" t="s">
        <v>138</v>
      </c>
      <c r="E750" s="39" t="n">
        <v>5</v>
      </c>
      <c r="F750" s="39" t="str">
        <f aca="false">IF(COUNTIF(medicine_master!$A$2:$A$26,C750)&gt;0,"Valid","Invalid")</f>
        <v>Valid</v>
      </c>
      <c r="G750" s="39" t="str">
        <f aca="false">IFERROR(INDEX(medicine_master!$B$2:$B$26,MATCH($C750,medicine_master!$A$2:$A$26,0)),"Not found")</f>
        <v>Multivitamin Tablets</v>
      </c>
      <c r="H750" s="39" t="str">
        <f aca="false">IFERROR(INDEX(medicine_master!$C$2:$C$26,MATCH($C750,medicine_master!$A$2:$A$26,0)),"Not found")</f>
        <v>Vitamin</v>
      </c>
      <c r="I750" s="39" t="n">
        <f aca="false">YEAR(B750)</f>
        <v>2026</v>
      </c>
      <c r="J750" s="39" t="n">
        <f aca="false">MONTH(B750)</f>
        <v>4</v>
      </c>
      <c r="K750" s="39" t="str">
        <f aca="false">TEXT(B750,"mmm")</f>
        <v>Apr</v>
      </c>
      <c r="L750" s="45" t="n">
        <f aca="false">IFERROR(INDEX(medicine_master!$I$2:$I$26,MATCH($C750,medicine_master!$A$2:$A$26,0)),0)</f>
        <v>105</v>
      </c>
      <c r="M750" s="45" t="n">
        <f aca="false">IFERROR(INDEX(medicine_master!$G$2:$G$26,MATCH($C750,medicine_master!$A$2:$A$26,0)),0)</f>
        <v>72</v>
      </c>
      <c r="N750" s="45" t="n">
        <f aca="false">IF(D750="Sale",E750*L750,0)</f>
        <v>0</v>
      </c>
      <c r="O750" s="45" t="n">
        <f aca="false">IF(D750="Sale",E750*M750,0)</f>
        <v>0</v>
      </c>
      <c r="P750" s="45" t="n">
        <f aca="false">N750-O750</f>
        <v>0</v>
      </c>
      <c r="Q750" s="45" t="n">
        <f aca="false">IF(D750="Purchase",E750*M750,0)</f>
        <v>360</v>
      </c>
    </row>
    <row r="751" customFormat="false" ht="15" hidden="false" customHeight="false" outlineLevel="0" collapsed="false">
      <c r="A751" s="39" t="s">
        <v>1075</v>
      </c>
      <c r="B751" s="44" t="n">
        <v>46087</v>
      </c>
      <c r="C751" s="39" t="s">
        <v>149</v>
      </c>
      <c r="D751" s="39" t="s">
        <v>137</v>
      </c>
      <c r="E751" s="39" t="n">
        <v>30</v>
      </c>
      <c r="F751" s="39" t="str">
        <f aca="false">IF(COUNTIF(medicine_master!$A$2:$A$26,C751)&gt;0,"Valid","Invalid")</f>
        <v>Valid</v>
      </c>
      <c r="G751" s="39" t="str">
        <f aca="false">IFERROR(INDEX(medicine_master!$B$2:$B$26,MATCH($C751,medicine_master!$A$2:$A$26,0)),"Not found")</f>
        <v>Azithromycin 500mg</v>
      </c>
      <c r="H751" s="39" t="str">
        <f aca="false">IFERROR(INDEX(medicine_master!$C$2:$C$26,MATCH($C751,medicine_master!$A$2:$A$26,0)),"Not found")</f>
        <v>Antibiotic</v>
      </c>
      <c r="I751" s="39" t="n">
        <f aca="false">YEAR(B751)</f>
        <v>2026</v>
      </c>
      <c r="J751" s="39" t="n">
        <f aca="false">MONTH(B751)</f>
        <v>3</v>
      </c>
      <c r="K751" s="39" t="str">
        <f aca="false">TEXT(B751,"mmm")</f>
        <v>Mar</v>
      </c>
      <c r="L751" s="45" t="n">
        <f aca="false">IFERROR(INDEX(medicine_master!$I$2:$I$26,MATCH($C751,medicine_master!$A$2:$A$26,0)),0)</f>
        <v>50</v>
      </c>
      <c r="M751" s="45" t="n">
        <f aca="false">IFERROR(INDEX(medicine_master!$G$2:$G$26,MATCH($C751,medicine_master!$A$2:$A$26,0)),0)</f>
        <v>35</v>
      </c>
      <c r="N751" s="45" t="n">
        <f aca="false">IF(D751="Sale",E751*L751,0)</f>
        <v>1500</v>
      </c>
      <c r="O751" s="45" t="n">
        <f aca="false">IF(D751="Sale",E751*M751,0)</f>
        <v>1050</v>
      </c>
      <c r="P751" s="45" t="n">
        <f aca="false">N751-O751</f>
        <v>450</v>
      </c>
      <c r="Q751" s="45" t="n">
        <f aca="false">IF(D751="Purchase",E751*M751,0)</f>
        <v>0</v>
      </c>
    </row>
    <row r="752" customFormat="false" ht="15" hidden="false" customHeight="false" outlineLevel="0" collapsed="false">
      <c r="A752" s="39" t="s">
        <v>1076</v>
      </c>
      <c r="B752" s="44" t="n">
        <v>46059</v>
      </c>
      <c r="C752" s="39" t="s">
        <v>167</v>
      </c>
      <c r="D752" s="39" t="s">
        <v>137</v>
      </c>
      <c r="E752" s="39" t="n">
        <v>30</v>
      </c>
      <c r="F752" s="39" t="str">
        <f aca="false">IF(COUNTIF(medicine_master!$A$2:$A$26,C752)&gt;0,"Valid","Invalid")</f>
        <v>Valid</v>
      </c>
      <c r="G752" s="39" t="str">
        <f aca="false">IFERROR(INDEX(medicine_master!$B$2:$B$26,MATCH($C752,medicine_master!$A$2:$A$26,0)),"Not found")</f>
        <v>Amlodipine 5mg</v>
      </c>
      <c r="H752" s="39" t="str">
        <f aca="false">IFERROR(INDEX(medicine_master!$C$2:$C$26,MATCH($C752,medicine_master!$A$2:$A$26,0)),"Not found")</f>
        <v>Cardiac</v>
      </c>
      <c r="I752" s="39" t="n">
        <f aca="false">YEAR(B752)</f>
        <v>2026</v>
      </c>
      <c r="J752" s="39" t="n">
        <f aca="false">MONTH(B752)</f>
        <v>2</v>
      </c>
      <c r="K752" s="39" t="str">
        <f aca="false">TEXT(B752,"mmm")</f>
        <v>Feb</v>
      </c>
      <c r="L752" s="45" t="n">
        <f aca="false">IFERROR(INDEX(medicine_master!$I$2:$I$26,MATCH($C752,medicine_master!$A$2:$A$26,0)),0)</f>
        <v>19</v>
      </c>
      <c r="M752" s="45" t="n">
        <f aca="false">IFERROR(INDEX(medicine_master!$G$2:$G$26,MATCH($C752,medicine_master!$A$2:$A$26,0)),0)</f>
        <v>13</v>
      </c>
      <c r="N752" s="45" t="n">
        <f aca="false">IF(D752="Sale",E752*L752,0)</f>
        <v>570</v>
      </c>
      <c r="O752" s="45" t="n">
        <f aca="false">IF(D752="Sale",E752*M752,0)</f>
        <v>390</v>
      </c>
      <c r="P752" s="45" t="n">
        <f aca="false">N752-O752</f>
        <v>180</v>
      </c>
      <c r="Q752" s="45" t="n">
        <f aca="false">IF(D752="Purchase",E752*M752,0)</f>
        <v>0</v>
      </c>
    </row>
    <row r="753" customFormat="false" ht="15" hidden="false" customHeight="false" outlineLevel="0" collapsed="false">
      <c r="A753" s="39" t="s">
        <v>1077</v>
      </c>
      <c r="B753" s="44" t="n">
        <v>46150</v>
      </c>
      <c r="C753" s="39" t="s">
        <v>326</v>
      </c>
      <c r="D753" s="39" t="s">
        <v>137</v>
      </c>
      <c r="E753" s="39" t="n">
        <v>40</v>
      </c>
      <c r="F753" s="39" t="str">
        <f aca="false">IF(COUNTIF(medicine_master!$A$2:$A$26,C753)&gt;0,"Valid","Invalid")</f>
        <v>Valid</v>
      </c>
      <c r="G753" s="39" t="str">
        <f aca="false">IFERROR(INDEX(medicine_master!$B$2:$B$26,MATCH($C753,medicine_master!$A$2:$A$26,0)),"Not found")</f>
        <v>Omeprazole 20mg</v>
      </c>
      <c r="H753" s="39" t="str">
        <f aca="false">IFERROR(INDEX(medicine_master!$C$2:$C$26,MATCH($C753,medicine_master!$A$2:$A$26,0)),"Not found")</f>
        <v>Gastric</v>
      </c>
      <c r="I753" s="39" t="n">
        <f aca="false">YEAR(B753)</f>
        <v>2026</v>
      </c>
      <c r="J753" s="39" t="n">
        <f aca="false">MONTH(B753)</f>
        <v>5</v>
      </c>
      <c r="K753" s="39" t="str">
        <f aca="false">TEXT(B753,"mmm")</f>
        <v>May</v>
      </c>
      <c r="L753" s="45" t="n">
        <f aca="false">IFERROR(INDEX(medicine_master!$I$2:$I$26,MATCH($C753,medicine_master!$A$2:$A$26,0)),0)</f>
        <v>26</v>
      </c>
      <c r="M753" s="45" t="n">
        <f aca="false">IFERROR(INDEX(medicine_master!$G$2:$G$26,MATCH($C753,medicine_master!$A$2:$A$26,0)),0)</f>
        <v>18</v>
      </c>
      <c r="N753" s="45" t="n">
        <f aca="false">IF(D753="Sale",E753*L753,0)</f>
        <v>1040</v>
      </c>
      <c r="O753" s="45" t="n">
        <f aca="false">IF(D753="Sale",E753*M753,0)</f>
        <v>720</v>
      </c>
      <c r="P753" s="45" t="n">
        <f aca="false">N753-O753</f>
        <v>320</v>
      </c>
      <c r="Q753" s="45" t="n">
        <f aca="false">IF(D753="Purchase",E753*M753,0)</f>
        <v>0</v>
      </c>
    </row>
    <row r="754" customFormat="false" ht="15" hidden="false" customHeight="false" outlineLevel="0" collapsed="false">
      <c r="A754" s="39" t="s">
        <v>1078</v>
      </c>
      <c r="B754" s="44" t="n">
        <v>46216</v>
      </c>
      <c r="C754" s="39" t="s">
        <v>157</v>
      </c>
      <c r="D754" s="39" t="s">
        <v>137</v>
      </c>
      <c r="E754" s="39" t="n">
        <v>30</v>
      </c>
      <c r="F754" s="39" t="str">
        <f aca="false">IF(COUNTIF(medicine_master!$A$2:$A$26,C754)&gt;0,"Valid","Invalid")</f>
        <v>Valid</v>
      </c>
      <c r="G754" s="39" t="str">
        <f aca="false">IFERROR(INDEX(medicine_master!$B$2:$B$26,MATCH($C754,medicine_master!$A$2:$A$26,0)),"Not found")</f>
        <v>Multivitamin Tablets</v>
      </c>
      <c r="H754" s="39" t="str">
        <f aca="false">IFERROR(INDEX(medicine_master!$C$2:$C$26,MATCH($C754,medicine_master!$A$2:$A$26,0)),"Not found")</f>
        <v>Vitamin</v>
      </c>
      <c r="I754" s="39" t="n">
        <f aca="false">YEAR(B754)</f>
        <v>2026</v>
      </c>
      <c r="J754" s="39" t="n">
        <f aca="false">MONTH(B754)</f>
        <v>7</v>
      </c>
      <c r="K754" s="39" t="str">
        <f aca="false">TEXT(B754,"mmm")</f>
        <v>Jul</v>
      </c>
      <c r="L754" s="45" t="n">
        <f aca="false">IFERROR(INDEX(medicine_master!$I$2:$I$26,MATCH($C754,medicine_master!$A$2:$A$26,0)),0)</f>
        <v>105</v>
      </c>
      <c r="M754" s="45" t="n">
        <f aca="false">IFERROR(INDEX(medicine_master!$G$2:$G$26,MATCH($C754,medicine_master!$A$2:$A$26,0)),0)</f>
        <v>72</v>
      </c>
      <c r="N754" s="45" t="n">
        <f aca="false">IF(D754="Sale",E754*L754,0)</f>
        <v>3150</v>
      </c>
      <c r="O754" s="45" t="n">
        <f aca="false">IF(D754="Sale",E754*M754,0)</f>
        <v>2160</v>
      </c>
      <c r="P754" s="45" t="n">
        <f aca="false">N754-O754</f>
        <v>990</v>
      </c>
      <c r="Q754" s="45" t="n">
        <f aca="false">IF(D754="Purchase",E754*M754,0)</f>
        <v>0</v>
      </c>
    </row>
    <row r="755" customFormat="false" ht="15" hidden="false" customHeight="false" outlineLevel="0" collapsed="false">
      <c r="A755" s="39" t="s">
        <v>1079</v>
      </c>
      <c r="B755" s="44" t="n">
        <v>46282</v>
      </c>
      <c r="C755" s="39" t="s">
        <v>158</v>
      </c>
      <c r="D755" s="39" t="s">
        <v>138</v>
      </c>
      <c r="E755" s="39" t="n">
        <v>25</v>
      </c>
      <c r="F755" s="39" t="str">
        <f aca="false">IF(COUNTIF(medicine_master!$A$2:$A$26,C755)&gt;0,"Valid","Invalid")</f>
        <v>Valid</v>
      </c>
      <c r="G755" s="39" t="str">
        <f aca="false">IFERROR(INDEX(medicine_master!$B$2:$B$26,MATCH($C755,medicine_master!$A$2:$A$26,0)),"Not found")</f>
        <v>Cough Syrup 100ml</v>
      </c>
      <c r="H755" s="39" t="str">
        <f aca="false">IFERROR(INDEX(medicine_master!$C$2:$C$26,MATCH($C755,medicine_master!$A$2:$A$26,0)),"Not found")</f>
        <v>Cold &amp; Cough</v>
      </c>
      <c r="I755" s="39" t="n">
        <f aca="false">YEAR(B755)</f>
        <v>2026</v>
      </c>
      <c r="J755" s="39" t="n">
        <f aca="false">MONTH(B755)</f>
        <v>9</v>
      </c>
      <c r="K755" s="39" t="str">
        <f aca="false">TEXT(B755,"mmm")</f>
        <v>Sep</v>
      </c>
      <c r="L755" s="45" t="n">
        <f aca="false">IFERROR(INDEX(medicine_master!$I$2:$I$26,MATCH($C755,medicine_master!$A$2:$A$26,0)),0)</f>
        <v>72</v>
      </c>
      <c r="M755" s="45" t="n">
        <f aca="false">IFERROR(INDEX(medicine_master!$G$2:$G$26,MATCH($C755,medicine_master!$A$2:$A$26,0)),0)</f>
        <v>52</v>
      </c>
      <c r="N755" s="45" t="n">
        <f aca="false">IF(D755="Sale",E755*L755,0)</f>
        <v>0</v>
      </c>
      <c r="O755" s="45" t="n">
        <f aca="false">IF(D755="Sale",E755*M755,0)</f>
        <v>0</v>
      </c>
      <c r="P755" s="45" t="n">
        <f aca="false">N755-O755</f>
        <v>0</v>
      </c>
      <c r="Q755" s="45" t="n">
        <f aca="false">IF(D755="Purchase",E755*M755,0)</f>
        <v>1300</v>
      </c>
    </row>
    <row r="756" customFormat="false" ht="15" hidden="false" customHeight="false" outlineLevel="0" collapsed="false">
      <c r="A756" s="39" t="s">
        <v>1080</v>
      </c>
      <c r="B756" s="44" t="n">
        <v>46210</v>
      </c>
      <c r="C756" s="39" t="s">
        <v>167</v>
      </c>
      <c r="D756" s="39" t="s">
        <v>137</v>
      </c>
      <c r="E756" s="39" t="n">
        <v>5</v>
      </c>
      <c r="F756" s="39" t="str">
        <f aca="false">IF(COUNTIF(medicine_master!$A$2:$A$26,C756)&gt;0,"Valid","Invalid")</f>
        <v>Valid</v>
      </c>
      <c r="G756" s="39" t="str">
        <f aca="false">IFERROR(INDEX(medicine_master!$B$2:$B$26,MATCH($C756,medicine_master!$A$2:$A$26,0)),"Not found")</f>
        <v>Amlodipine 5mg</v>
      </c>
      <c r="H756" s="39" t="str">
        <f aca="false">IFERROR(INDEX(medicine_master!$C$2:$C$26,MATCH($C756,medicine_master!$A$2:$A$26,0)),"Not found")</f>
        <v>Cardiac</v>
      </c>
      <c r="I756" s="39" t="n">
        <f aca="false">YEAR(B756)</f>
        <v>2026</v>
      </c>
      <c r="J756" s="39" t="n">
        <f aca="false">MONTH(B756)</f>
        <v>7</v>
      </c>
      <c r="K756" s="39" t="str">
        <f aca="false">TEXT(B756,"mmm")</f>
        <v>Jul</v>
      </c>
      <c r="L756" s="45" t="n">
        <f aca="false">IFERROR(INDEX(medicine_master!$I$2:$I$26,MATCH($C756,medicine_master!$A$2:$A$26,0)),0)</f>
        <v>19</v>
      </c>
      <c r="M756" s="45" t="n">
        <f aca="false">IFERROR(INDEX(medicine_master!$G$2:$G$26,MATCH($C756,medicine_master!$A$2:$A$26,0)),0)</f>
        <v>13</v>
      </c>
      <c r="N756" s="45" t="n">
        <f aca="false">IF(D756="Sale",E756*L756,0)</f>
        <v>95</v>
      </c>
      <c r="O756" s="45" t="n">
        <f aca="false">IF(D756="Sale",E756*M756,0)</f>
        <v>65</v>
      </c>
      <c r="P756" s="45" t="n">
        <f aca="false">N756-O756</f>
        <v>30</v>
      </c>
      <c r="Q756" s="45" t="n">
        <f aca="false">IF(D756="Purchase",E756*M756,0)</f>
        <v>0</v>
      </c>
    </row>
    <row r="757" customFormat="false" ht="15" hidden="false" customHeight="false" outlineLevel="0" collapsed="false">
      <c r="A757" s="39" t="s">
        <v>1081</v>
      </c>
      <c r="B757" s="44" t="n">
        <v>46083</v>
      </c>
      <c r="C757" s="39" t="s">
        <v>404</v>
      </c>
      <c r="D757" s="39" t="s">
        <v>137</v>
      </c>
      <c r="E757" s="39" t="n">
        <v>15</v>
      </c>
      <c r="F757" s="39" t="str">
        <f aca="false">IF(COUNTIF(medicine_master!$A$2:$A$26,C757)&gt;0,"Valid","Invalid")</f>
        <v>Valid</v>
      </c>
      <c r="G757" s="39" t="str">
        <f aca="false">IFERROR(INDEX(medicine_master!$B$2:$B$26,MATCH($C757,medicine_master!$A$2:$A$26,0)),"Not found")</f>
        <v>ORS Sachet</v>
      </c>
      <c r="H757" s="39" t="str">
        <f aca="false">IFERROR(INDEX(medicine_master!$C$2:$C$26,MATCH($C757,medicine_master!$A$2:$A$26,0)),"Not found")</f>
        <v>First Aid</v>
      </c>
      <c r="I757" s="39" t="n">
        <f aca="false">YEAR(B757)</f>
        <v>2026</v>
      </c>
      <c r="J757" s="39" t="n">
        <f aca="false">MONTH(B757)</f>
        <v>3</v>
      </c>
      <c r="K757" s="39" t="str">
        <f aca="false">TEXT(B757,"mmm")</f>
        <v>Mar</v>
      </c>
      <c r="L757" s="45" t="n">
        <f aca="false">IFERROR(INDEX(medicine_master!$I$2:$I$26,MATCH($C757,medicine_master!$A$2:$A$26,0)),0)</f>
        <v>10</v>
      </c>
      <c r="M757" s="45" t="n">
        <f aca="false">IFERROR(INDEX(medicine_master!$G$2:$G$26,MATCH($C757,medicine_master!$A$2:$A$26,0)),0)</f>
        <v>6</v>
      </c>
      <c r="N757" s="45" t="n">
        <f aca="false">IF(D757="Sale",E757*L757,0)</f>
        <v>150</v>
      </c>
      <c r="O757" s="45" t="n">
        <f aca="false">IF(D757="Sale",E757*M757,0)</f>
        <v>90</v>
      </c>
      <c r="P757" s="45" t="n">
        <f aca="false">N757-O757</f>
        <v>60</v>
      </c>
      <c r="Q757" s="45" t="n">
        <f aca="false">IF(D757="Purchase",E757*M757,0)</f>
        <v>0</v>
      </c>
    </row>
    <row r="758" customFormat="false" ht="15" hidden="false" customHeight="false" outlineLevel="0" collapsed="false">
      <c r="A758" s="39" t="s">
        <v>1082</v>
      </c>
      <c r="B758" s="44" t="n">
        <v>46167</v>
      </c>
      <c r="C758" s="39" t="s">
        <v>148</v>
      </c>
      <c r="D758" s="39" t="s">
        <v>137</v>
      </c>
      <c r="E758" s="39" t="n">
        <v>15</v>
      </c>
      <c r="F758" s="39" t="str">
        <f aca="false">IF(COUNTIF(medicine_master!$A$2:$A$26,C758)&gt;0,"Valid","Invalid")</f>
        <v>Valid</v>
      </c>
      <c r="G758" s="39" t="str">
        <f aca="false">IFERROR(INDEX(medicine_master!$B$2:$B$26,MATCH($C758,medicine_master!$A$2:$A$26,0)),"Not found")</f>
        <v>Dextromethorphan Syrup</v>
      </c>
      <c r="H758" s="39" t="str">
        <f aca="false">IFERROR(INDEX(medicine_master!$C$2:$C$26,MATCH($C758,medicine_master!$A$2:$A$26,0)),"Not found")</f>
        <v>Cold &amp; Cough</v>
      </c>
      <c r="I758" s="39" t="n">
        <f aca="false">YEAR(B758)</f>
        <v>2026</v>
      </c>
      <c r="J758" s="39" t="n">
        <f aca="false">MONTH(B758)</f>
        <v>5</v>
      </c>
      <c r="K758" s="39" t="str">
        <f aca="false">TEXT(B758,"mmm")</f>
        <v>May</v>
      </c>
      <c r="L758" s="45" t="n">
        <f aca="false">IFERROR(INDEX(medicine_master!$I$2:$I$26,MATCH($C758,medicine_master!$A$2:$A$26,0)),0)</f>
        <v>80</v>
      </c>
      <c r="M758" s="45" t="n">
        <f aca="false">IFERROR(INDEX(medicine_master!$G$2:$G$26,MATCH($C758,medicine_master!$A$2:$A$26,0)),0)</f>
        <v>58</v>
      </c>
      <c r="N758" s="45" t="n">
        <f aca="false">IF(D758="Sale",E758*L758,0)</f>
        <v>1200</v>
      </c>
      <c r="O758" s="45" t="n">
        <f aca="false">IF(D758="Sale",E758*M758,0)</f>
        <v>870</v>
      </c>
      <c r="P758" s="45" t="n">
        <f aca="false">N758-O758</f>
        <v>330</v>
      </c>
      <c r="Q758" s="45" t="n">
        <f aca="false">IF(D758="Purchase",E758*M758,0)</f>
        <v>0</v>
      </c>
    </row>
    <row r="759" customFormat="false" ht="15" hidden="false" customHeight="false" outlineLevel="0" collapsed="false">
      <c r="A759" s="39" t="s">
        <v>1083</v>
      </c>
      <c r="B759" s="44" t="n">
        <v>46380</v>
      </c>
      <c r="C759" s="39" t="s">
        <v>179</v>
      </c>
      <c r="D759" s="39" t="s">
        <v>138</v>
      </c>
      <c r="E759" s="39" t="n">
        <v>20</v>
      </c>
      <c r="F759" s="39" t="str">
        <f aca="false">IF(COUNTIF(medicine_master!$A$2:$A$26,C759)&gt;0,"Valid","Invalid")</f>
        <v>Valid</v>
      </c>
      <c r="G759" s="39" t="str">
        <f aca="false">IFERROR(INDEX(medicine_master!$B$2:$B$26,MATCH($C759,medicine_master!$A$2:$A$26,0)),"Not found")</f>
        <v>Ibuprofen 400mg</v>
      </c>
      <c r="H759" s="39" t="str">
        <f aca="false">IFERROR(INDEX(medicine_master!$C$2:$C$26,MATCH($C759,medicine_master!$A$2:$A$26,0)),"Not found")</f>
        <v>Pain Relief</v>
      </c>
      <c r="I759" s="39" t="n">
        <f aca="false">YEAR(B759)</f>
        <v>2026</v>
      </c>
      <c r="J759" s="39" t="n">
        <f aca="false">MONTH(B759)</f>
        <v>12</v>
      </c>
      <c r="K759" s="39" t="str">
        <f aca="false">TEXT(B759,"mmm")</f>
        <v>Dec</v>
      </c>
      <c r="L759" s="45" t="n">
        <f aca="false">IFERROR(INDEX(medicine_master!$I$2:$I$26,MATCH($C759,medicine_master!$A$2:$A$26,0)),0)</f>
        <v>30</v>
      </c>
      <c r="M759" s="45" t="n">
        <f aca="false">IFERROR(INDEX(medicine_master!$G$2:$G$26,MATCH($C759,medicine_master!$A$2:$A$26,0)),0)</f>
        <v>22</v>
      </c>
      <c r="N759" s="45" t="n">
        <f aca="false">IF(D759="Sale",E759*L759,0)</f>
        <v>0</v>
      </c>
      <c r="O759" s="45" t="n">
        <f aca="false">IF(D759="Sale",E759*M759,0)</f>
        <v>0</v>
      </c>
      <c r="P759" s="45" t="n">
        <f aca="false">N759-O759</f>
        <v>0</v>
      </c>
      <c r="Q759" s="45" t="n">
        <f aca="false">IF(D759="Purchase",E759*M759,0)</f>
        <v>440</v>
      </c>
    </row>
    <row r="760" customFormat="false" ht="15" hidden="false" customHeight="false" outlineLevel="0" collapsed="false">
      <c r="A760" s="39" t="s">
        <v>1084</v>
      </c>
      <c r="B760" s="44" t="n">
        <v>46133</v>
      </c>
      <c r="C760" s="39" t="s">
        <v>179</v>
      </c>
      <c r="D760" s="39" t="s">
        <v>138</v>
      </c>
      <c r="E760" s="39" t="n">
        <v>30</v>
      </c>
      <c r="F760" s="39" t="str">
        <f aca="false">IF(COUNTIF(medicine_master!$A$2:$A$26,C760)&gt;0,"Valid","Invalid")</f>
        <v>Valid</v>
      </c>
      <c r="G760" s="39" t="str">
        <f aca="false">IFERROR(INDEX(medicine_master!$B$2:$B$26,MATCH($C760,medicine_master!$A$2:$A$26,0)),"Not found")</f>
        <v>Ibuprofen 400mg</v>
      </c>
      <c r="H760" s="39" t="str">
        <f aca="false">IFERROR(INDEX(medicine_master!$C$2:$C$26,MATCH($C760,medicine_master!$A$2:$A$26,0)),"Not found")</f>
        <v>Pain Relief</v>
      </c>
      <c r="I760" s="39" t="n">
        <f aca="false">YEAR(B760)</f>
        <v>2026</v>
      </c>
      <c r="J760" s="39" t="n">
        <f aca="false">MONTH(B760)</f>
        <v>4</v>
      </c>
      <c r="K760" s="39" t="str">
        <f aca="false">TEXT(B760,"mmm")</f>
        <v>Apr</v>
      </c>
      <c r="L760" s="45" t="n">
        <f aca="false">IFERROR(INDEX(medicine_master!$I$2:$I$26,MATCH($C760,medicine_master!$A$2:$A$26,0)),0)</f>
        <v>30</v>
      </c>
      <c r="M760" s="45" t="n">
        <f aca="false">IFERROR(INDEX(medicine_master!$G$2:$G$26,MATCH($C760,medicine_master!$A$2:$A$26,0)),0)</f>
        <v>22</v>
      </c>
      <c r="N760" s="45" t="n">
        <f aca="false">IF(D760="Sale",E760*L760,0)</f>
        <v>0</v>
      </c>
      <c r="O760" s="45" t="n">
        <f aca="false">IF(D760="Sale",E760*M760,0)</f>
        <v>0</v>
      </c>
      <c r="P760" s="45" t="n">
        <f aca="false">N760-O760</f>
        <v>0</v>
      </c>
      <c r="Q760" s="45" t="n">
        <f aca="false">IF(D760="Purchase",E760*M760,0)</f>
        <v>660</v>
      </c>
    </row>
    <row r="761" customFormat="false" ht="15" hidden="false" customHeight="false" outlineLevel="0" collapsed="false">
      <c r="A761" s="39" t="s">
        <v>1085</v>
      </c>
      <c r="B761" s="44" t="n">
        <v>46142</v>
      </c>
      <c r="C761" s="39" t="s">
        <v>148</v>
      </c>
      <c r="D761" s="39" t="s">
        <v>137</v>
      </c>
      <c r="E761" s="39" t="n">
        <v>15</v>
      </c>
      <c r="F761" s="39" t="str">
        <f aca="false">IF(COUNTIF(medicine_master!$A$2:$A$26,C761)&gt;0,"Valid","Invalid")</f>
        <v>Valid</v>
      </c>
      <c r="G761" s="39" t="str">
        <f aca="false">IFERROR(INDEX(medicine_master!$B$2:$B$26,MATCH($C761,medicine_master!$A$2:$A$26,0)),"Not found")</f>
        <v>Dextromethorphan Syrup</v>
      </c>
      <c r="H761" s="39" t="str">
        <f aca="false">IFERROR(INDEX(medicine_master!$C$2:$C$26,MATCH($C761,medicine_master!$A$2:$A$26,0)),"Not found")</f>
        <v>Cold &amp; Cough</v>
      </c>
      <c r="I761" s="39" t="n">
        <f aca="false">YEAR(B761)</f>
        <v>2026</v>
      </c>
      <c r="J761" s="39" t="n">
        <f aca="false">MONTH(B761)</f>
        <v>4</v>
      </c>
      <c r="K761" s="39" t="str">
        <f aca="false">TEXT(B761,"mmm")</f>
        <v>Apr</v>
      </c>
      <c r="L761" s="45" t="n">
        <f aca="false">IFERROR(INDEX(medicine_master!$I$2:$I$26,MATCH($C761,medicine_master!$A$2:$A$26,0)),0)</f>
        <v>80</v>
      </c>
      <c r="M761" s="45" t="n">
        <f aca="false">IFERROR(INDEX(medicine_master!$G$2:$G$26,MATCH($C761,medicine_master!$A$2:$A$26,0)),0)</f>
        <v>58</v>
      </c>
      <c r="N761" s="45" t="n">
        <f aca="false">IF(D761="Sale",E761*L761,0)</f>
        <v>1200</v>
      </c>
      <c r="O761" s="45" t="n">
        <f aca="false">IF(D761="Sale",E761*M761,0)</f>
        <v>870</v>
      </c>
      <c r="P761" s="45" t="n">
        <f aca="false">N761-O761</f>
        <v>330</v>
      </c>
      <c r="Q761" s="45" t="n">
        <f aca="false">IF(D761="Purchase",E761*M761,0)</f>
        <v>0</v>
      </c>
    </row>
    <row r="762" customFormat="false" ht="15" hidden="false" customHeight="false" outlineLevel="0" collapsed="false">
      <c r="A762" s="39" t="s">
        <v>1086</v>
      </c>
      <c r="B762" s="44" t="n">
        <v>46075</v>
      </c>
      <c r="C762" s="39" t="s">
        <v>180</v>
      </c>
      <c r="D762" s="39" t="s">
        <v>138</v>
      </c>
      <c r="E762" s="39" t="n">
        <v>25</v>
      </c>
      <c r="F762" s="39" t="str">
        <f aca="false">IF(COUNTIF(medicine_master!$A$2:$A$26,C762)&gt;0,"Valid","Invalid")</f>
        <v>Valid</v>
      </c>
      <c r="G762" s="39" t="str">
        <f aca="false">IFERROR(INDEX(medicine_master!$B$2:$B$26,MATCH($C762,medicine_master!$A$2:$A$26,0)),"Not found")</f>
        <v>Vitamin C 500mg</v>
      </c>
      <c r="H762" s="39" t="str">
        <f aca="false">IFERROR(INDEX(medicine_master!$C$2:$C$26,MATCH($C762,medicine_master!$A$2:$A$26,0)),"Not found")</f>
        <v>Vitamin</v>
      </c>
      <c r="I762" s="39" t="n">
        <f aca="false">YEAR(B762)</f>
        <v>2026</v>
      </c>
      <c r="J762" s="39" t="n">
        <f aca="false">MONTH(B762)</f>
        <v>2</v>
      </c>
      <c r="K762" s="39" t="str">
        <f aca="false">TEXT(B762,"mmm")</f>
        <v>Feb</v>
      </c>
      <c r="L762" s="45" t="n">
        <f aca="false">IFERROR(INDEX(medicine_master!$I$2:$I$26,MATCH($C762,medicine_master!$A$2:$A$26,0)),0)</f>
        <v>22</v>
      </c>
      <c r="M762" s="45" t="n">
        <f aca="false">IFERROR(INDEX(medicine_master!$G$2:$G$26,MATCH($C762,medicine_master!$A$2:$A$26,0)),0)</f>
        <v>14</v>
      </c>
      <c r="N762" s="45" t="n">
        <f aca="false">IF(D762="Sale",E762*L762,0)</f>
        <v>0</v>
      </c>
      <c r="O762" s="45" t="n">
        <f aca="false">IF(D762="Sale",E762*M762,0)</f>
        <v>0</v>
      </c>
      <c r="P762" s="45" t="n">
        <f aca="false">N762-O762</f>
        <v>0</v>
      </c>
      <c r="Q762" s="45" t="n">
        <f aca="false">IF(D762="Purchase",E762*M762,0)</f>
        <v>350</v>
      </c>
    </row>
    <row r="763" customFormat="false" ht="15" hidden="false" customHeight="false" outlineLevel="0" collapsed="false">
      <c r="A763" s="39" t="s">
        <v>1087</v>
      </c>
      <c r="B763" s="44" t="n">
        <v>46291</v>
      </c>
      <c r="C763" s="39" t="s">
        <v>390</v>
      </c>
      <c r="D763" s="39" t="s">
        <v>138</v>
      </c>
      <c r="E763" s="39" t="n">
        <v>20</v>
      </c>
      <c r="F763" s="39" t="str">
        <f aca="false">IF(COUNTIF(medicine_master!$A$2:$A$26,C763)&gt;0,"Valid","Invalid")</f>
        <v>Valid</v>
      </c>
      <c r="G763" s="39" t="str">
        <f aca="false">IFERROR(INDEX(medicine_master!$B$2:$B$26,MATCH($C763,medicine_master!$A$2:$A$26,0)),"Not found")</f>
        <v>Montelukast 10mg</v>
      </c>
      <c r="H763" s="39" t="str">
        <f aca="false">IFERROR(INDEX(medicine_master!$C$2:$C$26,MATCH($C763,medicine_master!$A$2:$A$26,0)),"Not found")</f>
        <v>Allergy</v>
      </c>
      <c r="I763" s="39" t="n">
        <f aca="false">YEAR(B763)</f>
        <v>2026</v>
      </c>
      <c r="J763" s="39" t="n">
        <f aca="false">MONTH(B763)</f>
        <v>9</v>
      </c>
      <c r="K763" s="39" t="str">
        <f aca="false">TEXT(B763,"mmm")</f>
        <v>Sep</v>
      </c>
      <c r="L763" s="45" t="n">
        <f aca="false">IFERROR(INDEX(medicine_master!$I$2:$I$26,MATCH($C763,medicine_master!$A$2:$A$26,0)),0)</f>
        <v>39</v>
      </c>
      <c r="M763" s="45" t="n">
        <f aca="false">IFERROR(INDEX(medicine_master!$G$2:$G$26,MATCH($C763,medicine_master!$A$2:$A$26,0)),0)</f>
        <v>27</v>
      </c>
      <c r="N763" s="45" t="n">
        <f aca="false">IF(D763="Sale",E763*L763,0)</f>
        <v>0</v>
      </c>
      <c r="O763" s="45" t="n">
        <f aca="false">IF(D763="Sale",E763*M763,0)</f>
        <v>0</v>
      </c>
      <c r="P763" s="45" t="n">
        <f aca="false">N763-O763</f>
        <v>0</v>
      </c>
      <c r="Q763" s="45" t="n">
        <f aca="false">IF(D763="Purchase",E763*M763,0)</f>
        <v>540</v>
      </c>
    </row>
    <row r="764" customFormat="false" ht="15" hidden="false" customHeight="false" outlineLevel="0" collapsed="false">
      <c r="A764" s="39" t="s">
        <v>1088</v>
      </c>
      <c r="B764" s="44" t="n">
        <v>46303</v>
      </c>
      <c r="C764" s="39" t="s">
        <v>321</v>
      </c>
      <c r="D764" s="39" t="s">
        <v>138</v>
      </c>
      <c r="E764" s="39" t="n">
        <v>30</v>
      </c>
      <c r="F764" s="39" t="str">
        <f aca="false">IF(COUNTIF(medicine_master!$A$2:$A$26,C764)&gt;0,"Valid","Invalid")</f>
        <v>Valid</v>
      </c>
      <c r="G764" s="39" t="str">
        <f aca="false">IFERROR(INDEX(medicine_master!$B$2:$B$26,MATCH($C764,medicine_master!$A$2:$A$26,0)),"Not found")</f>
        <v>Levocetirizine 5mg</v>
      </c>
      <c r="H764" s="39" t="str">
        <f aca="false">IFERROR(INDEX(medicine_master!$C$2:$C$26,MATCH($C764,medicine_master!$A$2:$A$26,0)),"Not found")</f>
        <v>Allergy</v>
      </c>
      <c r="I764" s="39" t="n">
        <f aca="false">YEAR(B764)</f>
        <v>2026</v>
      </c>
      <c r="J764" s="39" t="n">
        <f aca="false">MONTH(B764)</f>
        <v>10</v>
      </c>
      <c r="K764" s="39" t="str">
        <f aca="false">TEXT(B764,"mmm")</f>
        <v>Oct</v>
      </c>
      <c r="L764" s="45" t="n">
        <f aca="false">IFERROR(INDEX(medicine_master!$I$2:$I$26,MATCH($C764,medicine_master!$A$2:$A$26,0)),0)</f>
        <v>22</v>
      </c>
      <c r="M764" s="45" t="n">
        <f aca="false">IFERROR(INDEX(medicine_master!$G$2:$G$26,MATCH($C764,medicine_master!$A$2:$A$26,0)),0)</f>
        <v>14</v>
      </c>
      <c r="N764" s="45" t="n">
        <f aca="false">IF(D764="Sale",E764*L764,0)</f>
        <v>0</v>
      </c>
      <c r="O764" s="45" t="n">
        <f aca="false">IF(D764="Sale",E764*M764,0)</f>
        <v>0</v>
      </c>
      <c r="P764" s="45" t="n">
        <f aca="false">N764-O764</f>
        <v>0</v>
      </c>
      <c r="Q764" s="45" t="n">
        <f aca="false">IF(D764="Purchase",E764*M764,0)</f>
        <v>420</v>
      </c>
    </row>
    <row r="765" customFormat="false" ht="15" hidden="false" customHeight="false" outlineLevel="0" collapsed="false">
      <c r="A765" s="39" t="s">
        <v>1089</v>
      </c>
      <c r="B765" s="44" t="n">
        <v>46054</v>
      </c>
      <c r="C765" s="39" t="s">
        <v>150</v>
      </c>
      <c r="D765" s="39" t="s">
        <v>137</v>
      </c>
      <c r="E765" s="39" t="n">
        <v>25</v>
      </c>
      <c r="F765" s="39" t="str">
        <f aca="false">IF(COUNTIF(medicine_master!$A$2:$A$26,C765)&gt;0,"Valid","Invalid")</f>
        <v>Valid</v>
      </c>
      <c r="G765" s="39" t="str">
        <f aca="false">IFERROR(INDEX(medicine_master!$B$2:$B$26,MATCH($C765,medicine_master!$A$2:$A$26,0)),"Not found")</f>
        <v>Pantoprazole 40mg</v>
      </c>
      <c r="H765" s="39" t="str">
        <f aca="false">IFERROR(INDEX(medicine_master!$C$2:$C$26,MATCH($C765,medicine_master!$A$2:$A$26,0)),"Not found")</f>
        <v>Gastric</v>
      </c>
      <c r="I765" s="39" t="n">
        <f aca="false">YEAR(B765)</f>
        <v>2026</v>
      </c>
      <c r="J765" s="39" t="n">
        <f aca="false">MONTH(B765)</f>
        <v>2</v>
      </c>
      <c r="K765" s="39" t="str">
        <f aca="false">TEXT(B765,"mmm")</f>
        <v>Feb</v>
      </c>
      <c r="L765" s="45" t="n">
        <f aca="false">IFERROR(INDEX(medicine_master!$I$2:$I$26,MATCH($C765,medicine_master!$A$2:$A$26,0)),0)</f>
        <v>35</v>
      </c>
      <c r="M765" s="45" t="n">
        <f aca="false">IFERROR(INDEX(medicine_master!$G$2:$G$26,MATCH($C765,medicine_master!$A$2:$A$26,0)),0)</f>
        <v>24</v>
      </c>
      <c r="N765" s="45" t="n">
        <f aca="false">IF(D765="Sale",E765*L765,0)</f>
        <v>875</v>
      </c>
      <c r="O765" s="45" t="n">
        <f aca="false">IF(D765="Sale",E765*M765,0)</f>
        <v>600</v>
      </c>
      <c r="P765" s="45" t="n">
        <f aca="false">N765-O765</f>
        <v>275</v>
      </c>
      <c r="Q765" s="45" t="n">
        <f aca="false">IF(D765="Purchase",E765*M765,0)</f>
        <v>0</v>
      </c>
    </row>
    <row r="766" customFormat="false" ht="15" hidden="false" customHeight="false" outlineLevel="0" collapsed="false">
      <c r="A766" s="39" t="s">
        <v>1090</v>
      </c>
      <c r="B766" s="44" t="n">
        <v>46074</v>
      </c>
      <c r="C766" s="39" t="s">
        <v>146</v>
      </c>
      <c r="D766" s="39" t="s">
        <v>137</v>
      </c>
      <c r="E766" s="39" t="n">
        <v>15</v>
      </c>
      <c r="F766" s="39" t="str">
        <f aca="false">IF(COUNTIF(medicine_master!$A$2:$A$26,C766)&gt;0,"Valid","Invalid")</f>
        <v>Valid</v>
      </c>
      <c r="G766" s="39" t="str">
        <f aca="false">IFERROR(INDEX(medicine_master!$B$2:$B$26,MATCH($C766,medicine_master!$A$2:$A$26,0)),"Not found")</f>
        <v>Diclofenac Gel</v>
      </c>
      <c r="H766" s="39" t="str">
        <f aca="false">IFERROR(INDEX(medicine_master!$C$2:$C$26,MATCH($C766,medicine_master!$A$2:$A$26,0)),"Not found")</f>
        <v>Pain Relief</v>
      </c>
      <c r="I766" s="39" t="n">
        <f aca="false">YEAR(B766)</f>
        <v>2026</v>
      </c>
      <c r="J766" s="39" t="n">
        <f aca="false">MONTH(B766)</f>
        <v>2</v>
      </c>
      <c r="K766" s="39" t="str">
        <f aca="false">TEXT(B766,"mmm")</f>
        <v>Feb</v>
      </c>
      <c r="L766" s="45" t="n">
        <f aca="false">IFERROR(INDEX(medicine_master!$I$2:$I$26,MATCH($C766,medicine_master!$A$2:$A$26,0)),0)</f>
        <v>55</v>
      </c>
      <c r="M766" s="45" t="n">
        <f aca="false">IFERROR(INDEX(medicine_master!$G$2:$G$26,MATCH($C766,medicine_master!$A$2:$A$26,0)),0)</f>
        <v>38</v>
      </c>
      <c r="N766" s="45" t="n">
        <f aca="false">IF(D766="Sale",E766*L766,0)</f>
        <v>825</v>
      </c>
      <c r="O766" s="45" t="n">
        <f aca="false">IF(D766="Sale",E766*M766,0)</f>
        <v>570</v>
      </c>
      <c r="P766" s="45" t="n">
        <f aca="false">N766-O766</f>
        <v>255</v>
      </c>
      <c r="Q766" s="45" t="n">
        <f aca="false">IF(D766="Purchase",E766*M766,0)</f>
        <v>0</v>
      </c>
    </row>
    <row r="767" customFormat="false" ht="15" hidden="false" customHeight="false" outlineLevel="0" collapsed="false">
      <c r="A767" s="39" t="s">
        <v>1091</v>
      </c>
      <c r="B767" s="44" t="n">
        <v>46075</v>
      </c>
      <c r="C767" s="39" t="s">
        <v>147</v>
      </c>
      <c r="D767" s="39" t="s">
        <v>138</v>
      </c>
      <c r="E767" s="39" t="n">
        <v>25</v>
      </c>
      <c r="F767" s="39" t="str">
        <f aca="false">IF(COUNTIF(medicine_master!$A$2:$A$26,C767)&gt;0,"Valid","Invalid")</f>
        <v>Valid</v>
      </c>
      <c r="G767" s="39" t="str">
        <f aca="false">IFERROR(INDEX(medicine_master!$B$2:$B$26,MATCH($C767,medicine_master!$A$2:$A$26,0)),"Not found")</f>
        <v>Insulin Injection</v>
      </c>
      <c r="H767" s="39" t="str">
        <f aca="false">IFERROR(INDEX(medicine_master!$C$2:$C$26,MATCH($C767,medicine_master!$A$2:$A$26,0)),"Not found")</f>
        <v>Diabetes</v>
      </c>
      <c r="I767" s="39" t="n">
        <f aca="false">YEAR(B767)</f>
        <v>2026</v>
      </c>
      <c r="J767" s="39" t="n">
        <f aca="false">MONTH(B767)</f>
        <v>2</v>
      </c>
      <c r="K767" s="39" t="str">
        <f aca="false">TEXT(B767,"mmm")</f>
        <v>Feb</v>
      </c>
      <c r="L767" s="45" t="n">
        <f aca="false">IFERROR(INDEX(medicine_master!$I$2:$I$26,MATCH($C767,medicine_master!$A$2:$A$26,0)),0)</f>
        <v>225</v>
      </c>
      <c r="M767" s="45" t="n">
        <f aca="false">IFERROR(INDEX(medicine_master!$G$2:$G$26,MATCH($C767,medicine_master!$A$2:$A$26,0)),0)</f>
        <v>165</v>
      </c>
      <c r="N767" s="45" t="n">
        <f aca="false">IF(D767="Sale",E767*L767,0)</f>
        <v>0</v>
      </c>
      <c r="O767" s="45" t="n">
        <f aca="false">IF(D767="Sale",E767*M767,0)</f>
        <v>0</v>
      </c>
      <c r="P767" s="45" t="n">
        <f aca="false">N767-O767</f>
        <v>0</v>
      </c>
      <c r="Q767" s="45" t="n">
        <f aca="false">IF(D767="Purchase",E767*M767,0)</f>
        <v>4125</v>
      </c>
    </row>
    <row r="768" customFormat="false" ht="15" hidden="false" customHeight="false" outlineLevel="0" collapsed="false">
      <c r="A768" s="39" t="s">
        <v>1092</v>
      </c>
      <c r="B768" s="44" t="n">
        <v>46282</v>
      </c>
      <c r="C768" s="39" t="s">
        <v>167</v>
      </c>
      <c r="D768" s="39" t="s">
        <v>137</v>
      </c>
      <c r="E768" s="39" t="n">
        <v>30</v>
      </c>
      <c r="F768" s="39" t="str">
        <f aca="false">IF(COUNTIF(medicine_master!$A$2:$A$26,C768)&gt;0,"Valid","Invalid")</f>
        <v>Valid</v>
      </c>
      <c r="G768" s="39" t="str">
        <f aca="false">IFERROR(INDEX(medicine_master!$B$2:$B$26,MATCH($C768,medicine_master!$A$2:$A$26,0)),"Not found")</f>
        <v>Amlodipine 5mg</v>
      </c>
      <c r="H768" s="39" t="str">
        <f aca="false">IFERROR(INDEX(medicine_master!$C$2:$C$26,MATCH($C768,medicine_master!$A$2:$A$26,0)),"Not found")</f>
        <v>Cardiac</v>
      </c>
      <c r="I768" s="39" t="n">
        <f aca="false">YEAR(B768)</f>
        <v>2026</v>
      </c>
      <c r="J768" s="39" t="n">
        <f aca="false">MONTH(B768)</f>
        <v>9</v>
      </c>
      <c r="K768" s="39" t="str">
        <f aca="false">TEXT(B768,"mmm")</f>
        <v>Sep</v>
      </c>
      <c r="L768" s="45" t="n">
        <f aca="false">IFERROR(INDEX(medicine_master!$I$2:$I$26,MATCH($C768,medicine_master!$A$2:$A$26,0)),0)</f>
        <v>19</v>
      </c>
      <c r="M768" s="45" t="n">
        <f aca="false">IFERROR(INDEX(medicine_master!$G$2:$G$26,MATCH($C768,medicine_master!$A$2:$A$26,0)),0)</f>
        <v>13</v>
      </c>
      <c r="N768" s="45" t="n">
        <f aca="false">IF(D768="Sale",E768*L768,0)</f>
        <v>570</v>
      </c>
      <c r="O768" s="45" t="n">
        <f aca="false">IF(D768="Sale",E768*M768,0)</f>
        <v>390</v>
      </c>
      <c r="P768" s="45" t="n">
        <f aca="false">N768-O768</f>
        <v>180</v>
      </c>
      <c r="Q768" s="45" t="n">
        <f aca="false">IF(D768="Purchase",E768*M768,0)</f>
        <v>0</v>
      </c>
    </row>
    <row r="769" customFormat="false" ht="15" hidden="false" customHeight="false" outlineLevel="0" collapsed="false">
      <c r="A769" s="39" t="s">
        <v>1093</v>
      </c>
      <c r="B769" s="44" t="n">
        <v>46034</v>
      </c>
      <c r="C769" s="39" t="s">
        <v>148</v>
      </c>
      <c r="D769" s="39" t="s">
        <v>138</v>
      </c>
      <c r="E769" s="39" t="n">
        <v>40</v>
      </c>
      <c r="F769" s="39" t="str">
        <f aca="false">IF(COUNTIF(medicine_master!$A$2:$A$26,C769)&gt;0,"Valid","Invalid")</f>
        <v>Valid</v>
      </c>
      <c r="G769" s="39" t="str">
        <f aca="false">IFERROR(INDEX(medicine_master!$B$2:$B$26,MATCH($C769,medicine_master!$A$2:$A$26,0)),"Not found")</f>
        <v>Dextromethorphan Syrup</v>
      </c>
      <c r="H769" s="39" t="str">
        <f aca="false">IFERROR(INDEX(medicine_master!$C$2:$C$26,MATCH($C769,medicine_master!$A$2:$A$26,0)),"Not found")</f>
        <v>Cold &amp; Cough</v>
      </c>
      <c r="I769" s="39" t="n">
        <f aca="false">YEAR(B769)</f>
        <v>2026</v>
      </c>
      <c r="J769" s="39" t="n">
        <f aca="false">MONTH(B769)</f>
        <v>1</v>
      </c>
      <c r="K769" s="39" t="str">
        <f aca="false">TEXT(B769,"mmm")</f>
        <v>Jan</v>
      </c>
      <c r="L769" s="45" t="n">
        <f aca="false">IFERROR(INDEX(medicine_master!$I$2:$I$26,MATCH($C769,medicine_master!$A$2:$A$26,0)),0)</f>
        <v>80</v>
      </c>
      <c r="M769" s="45" t="n">
        <f aca="false">IFERROR(INDEX(medicine_master!$G$2:$G$26,MATCH($C769,medicine_master!$A$2:$A$26,0)),0)</f>
        <v>58</v>
      </c>
      <c r="N769" s="45" t="n">
        <f aca="false">IF(D769="Sale",E769*L769,0)</f>
        <v>0</v>
      </c>
      <c r="O769" s="45" t="n">
        <f aca="false">IF(D769="Sale",E769*M769,0)</f>
        <v>0</v>
      </c>
      <c r="P769" s="45" t="n">
        <f aca="false">N769-O769</f>
        <v>0</v>
      </c>
      <c r="Q769" s="45" t="n">
        <f aca="false">IF(D769="Purchase",E769*M769,0)</f>
        <v>2320</v>
      </c>
    </row>
    <row r="770" customFormat="false" ht="15" hidden="false" customHeight="false" outlineLevel="0" collapsed="false">
      <c r="A770" s="39" t="s">
        <v>1094</v>
      </c>
      <c r="B770" s="44" t="n">
        <v>46270</v>
      </c>
      <c r="C770" s="39" t="s">
        <v>179</v>
      </c>
      <c r="D770" s="39" t="s">
        <v>137</v>
      </c>
      <c r="E770" s="39" t="n">
        <v>15</v>
      </c>
      <c r="F770" s="39" t="str">
        <f aca="false">IF(COUNTIF(medicine_master!$A$2:$A$26,C770)&gt;0,"Valid","Invalid")</f>
        <v>Valid</v>
      </c>
      <c r="G770" s="39" t="str">
        <f aca="false">IFERROR(INDEX(medicine_master!$B$2:$B$26,MATCH($C770,medicine_master!$A$2:$A$26,0)),"Not found")</f>
        <v>Ibuprofen 400mg</v>
      </c>
      <c r="H770" s="39" t="str">
        <f aca="false">IFERROR(INDEX(medicine_master!$C$2:$C$26,MATCH($C770,medicine_master!$A$2:$A$26,0)),"Not found")</f>
        <v>Pain Relief</v>
      </c>
      <c r="I770" s="39" t="n">
        <f aca="false">YEAR(B770)</f>
        <v>2026</v>
      </c>
      <c r="J770" s="39" t="n">
        <f aca="false">MONTH(B770)</f>
        <v>9</v>
      </c>
      <c r="K770" s="39" t="str">
        <f aca="false">TEXT(B770,"mmm")</f>
        <v>Sep</v>
      </c>
      <c r="L770" s="45" t="n">
        <f aca="false">IFERROR(INDEX(medicine_master!$I$2:$I$26,MATCH($C770,medicine_master!$A$2:$A$26,0)),0)</f>
        <v>30</v>
      </c>
      <c r="M770" s="45" t="n">
        <f aca="false">IFERROR(INDEX(medicine_master!$G$2:$G$26,MATCH($C770,medicine_master!$A$2:$A$26,0)),0)</f>
        <v>22</v>
      </c>
      <c r="N770" s="45" t="n">
        <f aca="false">IF(D770="Sale",E770*L770,0)</f>
        <v>450</v>
      </c>
      <c r="O770" s="45" t="n">
        <f aca="false">IF(D770="Sale",E770*M770,0)</f>
        <v>330</v>
      </c>
      <c r="P770" s="45" t="n">
        <f aca="false">N770-O770</f>
        <v>120</v>
      </c>
      <c r="Q770" s="45" t="n">
        <f aca="false">IF(D770="Purchase",E770*M770,0)</f>
        <v>0</v>
      </c>
    </row>
    <row r="771" customFormat="false" ht="15" hidden="false" customHeight="false" outlineLevel="0" collapsed="false">
      <c r="A771" s="39" t="s">
        <v>1095</v>
      </c>
      <c r="B771" s="44" t="n">
        <v>46071</v>
      </c>
      <c r="C771" s="39" t="s">
        <v>159</v>
      </c>
      <c r="D771" s="39" t="s">
        <v>138</v>
      </c>
      <c r="E771" s="39" t="n">
        <v>10</v>
      </c>
      <c r="F771" s="39" t="str">
        <f aca="false">IF(COUNTIF(medicine_master!$A$2:$A$26,C771)&gt;0,"Valid","Invalid")</f>
        <v>Valid</v>
      </c>
      <c r="G771" s="39" t="str">
        <f aca="false">IFERROR(INDEX(medicine_master!$B$2:$B$26,MATCH($C771,medicine_master!$A$2:$A$26,0)),"Not found")</f>
        <v>Antiseptic Liquid 100ml</v>
      </c>
      <c r="H771" s="39" t="str">
        <f aca="false">IFERROR(INDEX(medicine_master!$C$2:$C$26,MATCH($C771,medicine_master!$A$2:$A$26,0)),"Not found")</f>
        <v>First Aid</v>
      </c>
      <c r="I771" s="39" t="n">
        <f aca="false">YEAR(B771)</f>
        <v>2026</v>
      </c>
      <c r="J771" s="39" t="n">
        <f aca="false">MONTH(B771)</f>
        <v>2</v>
      </c>
      <c r="K771" s="39" t="str">
        <f aca="false">TEXT(B771,"mmm")</f>
        <v>Feb</v>
      </c>
      <c r="L771" s="45" t="n">
        <f aca="false">IFERROR(INDEX(medicine_master!$I$2:$I$26,MATCH($C771,medicine_master!$A$2:$A$26,0)),0)</f>
        <v>65</v>
      </c>
      <c r="M771" s="45" t="n">
        <f aca="false">IFERROR(INDEX(medicine_master!$G$2:$G$26,MATCH($C771,medicine_master!$A$2:$A$26,0)),0)</f>
        <v>48</v>
      </c>
      <c r="N771" s="45" t="n">
        <f aca="false">IF(D771="Sale",E771*L771,0)</f>
        <v>0</v>
      </c>
      <c r="O771" s="45" t="n">
        <f aca="false">IF(D771="Sale",E771*M771,0)</f>
        <v>0</v>
      </c>
      <c r="P771" s="45" t="n">
        <f aca="false">N771-O771</f>
        <v>0</v>
      </c>
      <c r="Q771" s="45" t="n">
        <f aca="false">IF(D771="Purchase",E771*M771,0)</f>
        <v>480</v>
      </c>
    </row>
    <row r="772" customFormat="false" ht="15" hidden="false" customHeight="false" outlineLevel="0" collapsed="false">
      <c r="A772" s="39" t="s">
        <v>1096</v>
      </c>
      <c r="B772" s="44" t="n">
        <v>46371</v>
      </c>
      <c r="C772" s="39" t="s">
        <v>160</v>
      </c>
      <c r="D772" s="39" t="s">
        <v>138</v>
      </c>
      <c r="E772" s="39" t="n">
        <v>30</v>
      </c>
      <c r="F772" s="39" t="str">
        <f aca="false">IF(COUNTIF(medicine_master!$A$2:$A$26,C772)&gt;0,"Valid","Invalid")</f>
        <v>Valid</v>
      </c>
      <c r="G772" s="39" t="str">
        <f aca="false">IFERROR(INDEX(medicine_master!$B$2:$B$26,MATCH($C772,medicine_master!$A$2:$A$26,0)),"Not found")</f>
        <v>Calamine Lotion</v>
      </c>
      <c r="H772" s="39" t="str">
        <f aca="false">IFERROR(INDEX(medicine_master!$C$2:$C$26,MATCH($C772,medicine_master!$A$2:$A$26,0)),"Not found")</f>
        <v>Dermatology</v>
      </c>
      <c r="I772" s="39" t="n">
        <f aca="false">YEAR(B772)</f>
        <v>2026</v>
      </c>
      <c r="J772" s="39" t="n">
        <f aca="false">MONTH(B772)</f>
        <v>12</v>
      </c>
      <c r="K772" s="39" t="str">
        <f aca="false">TEXT(B772,"mmm")</f>
        <v>Dec</v>
      </c>
      <c r="L772" s="45" t="n">
        <f aca="false">IFERROR(INDEX(medicine_master!$I$2:$I$26,MATCH($C772,medicine_master!$A$2:$A$26,0)),0)</f>
        <v>60</v>
      </c>
      <c r="M772" s="45" t="n">
        <f aca="false">IFERROR(INDEX(medicine_master!$G$2:$G$26,MATCH($C772,medicine_master!$A$2:$A$26,0)),0)</f>
        <v>42</v>
      </c>
      <c r="N772" s="45" t="n">
        <f aca="false">IF(D772="Sale",E772*L772,0)</f>
        <v>0</v>
      </c>
      <c r="O772" s="45" t="n">
        <f aca="false">IF(D772="Sale",E772*M772,0)</f>
        <v>0</v>
      </c>
      <c r="P772" s="45" t="n">
        <f aca="false">N772-O772</f>
        <v>0</v>
      </c>
      <c r="Q772" s="45" t="n">
        <f aca="false">IF(D772="Purchase",E772*M772,0)</f>
        <v>1260</v>
      </c>
    </row>
    <row r="773" customFormat="false" ht="15" hidden="false" customHeight="false" outlineLevel="0" collapsed="false">
      <c r="A773" s="39" t="s">
        <v>1097</v>
      </c>
      <c r="B773" s="44" t="n">
        <v>46365</v>
      </c>
      <c r="C773" s="39" t="s">
        <v>147</v>
      </c>
      <c r="D773" s="39" t="s">
        <v>137</v>
      </c>
      <c r="E773" s="39" t="n">
        <v>5</v>
      </c>
      <c r="F773" s="39" t="str">
        <f aca="false">IF(COUNTIF(medicine_master!$A$2:$A$26,C773)&gt;0,"Valid","Invalid")</f>
        <v>Valid</v>
      </c>
      <c r="G773" s="39" t="str">
        <f aca="false">IFERROR(INDEX(medicine_master!$B$2:$B$26,MATCH($C773,medicine_master!$A$2:$A$26,0)),"Not found")</f>
        <v>Insulin Injection</v>
      </c>
      <c r="H773" s="39" t="str">
        <f aca="false">IFERROR(INDEX(medicine_master!$C$2:$C$26,MATCH($C773,medicine_master!$A$2:$A$26,0)),"Not found")</f>
        <v>Diabetes</v>
      </c>
      <c r="I773" s="39" t="n">
        <f aca="false">YEAR(B773)</f>
        <v>2026</v>
      </c>
      <c r="J773" s="39" t="n">
        <f aca="false">MONTH(B773)</f>
        <v>12</v>
      </c>
      <c r="K773" s="39" t="str">
        <f aca="false">TEXT(B773,"mmm")</f>
        <v>Dec</v>
      </c>
      <c r="L773" s="45" t="n">
        <f aca="false">IFERROR(INDEX(medicine_master!$I$2:$I$26,MATCH($C773,medicine_master!$A$2:$A$26,0)),0)</f>
        <v>225</v>
      </c>
      <c r="M773" s="45" t="n">
        <f aca="false">IFERROR(INDEX(medicine_master!$G$2:$G$26,MATCH($C773,medicine_master!$A$2:$A$26,0)),0)</f>
        <v>165</v>
      </c>
      <c r="N773" s="45" t="n">
        <f aca="false">IF(D773="Sale",E773*L773,0)</f>
        <v>1125</v>
      </c>
      <c r="O773" s="45" t="n">
        <f aca="false">IF(D773="Sale",E773*M773,0)</f>
        <v>825</v>
      </c>
      <c r="P773" s="45" t="n">
        <f aca="false">N773-O773</f>
        <v>300</v>
      </c>
      <c r="Q773" s="45" t="n">
        <f aca="false">IF(D773="Purchase",E773*M773,0)</f>
        <v>0</v>
      </c>
    </row>
    <row r="774" customFormat="false" ht="15" hidden="false" customHeight="false" outlineLevel="0" collapsed="false">
      <c r="A774" s="39" t="s">
        <v>1098</v>
      </c>
      <c r="B774" s="44" t="n">
        <v>46347</v>
      </c>
      <c r="C774" s="39" t="s">
        <v>144</v>
      </c>
      <c r="D774" s="39" t="s">
        <v>137</v>
      </c>
      <c r="E774" s="39" t="n">
        <v>15</v>
      </c>
      <c r="F774" s="39" t="str">
        <f aca="false">IF(COUNTIF(medicine_master!$A$2:$A$26,C774)&gt;0,"Valid","Invalid")</f>
        <v>Valid</v>
      </c>
      <c r="G774" s="39" t="str">
        <f aca="false">IFERROR(INDEX(medicine_master!$B$2:$B$26,MATCH($C774,medicine_master!$A$2:$A$26,0)),"Not found")</f>
        <v>Glimepiride 2mg</v>
      </c>
      <c r="H774" s="39" t="str">
        <f aca="false">IFERROR(INDEX(medicine_master!$C$2:$C$26,MATCH($C774,medicine_master!$A$2:$A$26,0)),"Not found")</f>
        <v>Diabetes</v>
      </c>
      <c r="I774" s="39" t="n">
        <f aca="false">YEAR(B774)</f>
        <v>2026</v>
      </c>
      <c r="J774" s="39" t="n">
        <f aca="false">MONTH(B774)</f>
        <v>11</v>
      </c>
      <c r="K774" s="39" t="str">
        <f aca="false">TEXT(B774,"mmm")</f>
        <v>Nov</v>
      </c>
      <c r="L774" s="45" t="n">
        <f aca="false">IFERROR(INDEX(medicine_master!$I$2:$I$26,MATCH($C774,medicine_master!$A$2:$A$26,0)),0)</f>
        <v>52</v>
      </c>
      <c r="M774" s="45" t="n">
        <f aca="false">IFERROR(INDEX(medicine_master!$G$2:$G$26,MATCH($C774,medicine_master!$A$2:$A$26,0)),0)</f>
        <v>38</v>
      </c>
      <c r="N774" s="45" t="n">
        <f aca="false">IF(D774="Sale",E774*L774,0)</f>
        <v>780</v>
      </c>
      <c r="O774" s="45" t="n">
        <f aca="false">IF(D774="Sale",E774*M774,0)</f>
        <v>570</v>
      </c>
      <c r="P774" s="45" t="n">
        <f aca="false">N774-O774</f>
        <v>210</v>
      </c>
      <c r="Q774" s="45" t="n">
        <f aca="false">IF(D774="Purchase",E774*M774,0)</f>
        <v>0</v>
      </c>
    </row>
    <row r="775" customFormat="false" ht="15" hidden="false" customHeight="false" outlineLevel="0" collapsed="false">
      <c r="A775" s="39" t="s">
        <v>1099</v>
      </c>
      <c r="B775" s="44" t="n">
        <v>46161</v>
      </c>
      <c r="C775" s="39" t="s">
        <v>178</v>
      </c>
      <c r="D775" s="39" t="s">
        <v>138</v>
      </c>
      <c r="E775" s="39" t="n">
        <v>15</v>
      </c>
      <c r="F775" s="39" t="str">
        <f aca="false">IF(COUNTIF(medicine_master!$A$2:$A$26,C775)&gt;0,"Valid","Invalid")</f>
        <v>Valid</v>
      </c>
      <c r="G775" s="39" t="str">
        <f aca="false">IFERROR(INDEX(medicine_master!$B$2:$B$26,MATCH($C775,medicine_master!$A$2:$A$26,0)),"Not found")</f>
        <v>Aspirin 75mg</v>
      </c>
      <c r="H775" s="39" t="str">
        <f aca="false">IFERROR(INDEX(medicine_master!$C$2:$C$26,MATCH($C775,medicine_master!$A$2:$A$26,0)),"Not found")</f>
        <v>Cardiac</v>
      </c>
      <c r="I775" s="39" t="n">
        <f aca="false">YEAR(B775)</f>
        <v>2026</v>
      </c>
      <c r="J775" s="39" t="n">
        <f aca="false">MONTH(B775)</f>
        <v>5</v>
      </c>
      <c r="K775" s="39" t="str">
        <f aca="false">TEXT(B775,"mmm")</f>
        <v>May</v>
      </c>
      <c r="L775" s="45" t="n">
        <f aca="false">IFERROR(INDEX(medicine_master!$I$2:$I$26,MATCH($C775,medicine_master!$A$2:$A$26,0)),0)</f>
        <v>15</v>
      </c>
      <c r="M775" s="45" t="n">
        <f aca="false">IFERROR(INDEX(medicine_master!$G$2:$G$26,MATCH($C775,medicine_master!$A$2:$A$26,0)),0)</f>
        <v>10</v>
      </c>
      <c r="N775" s="45" t="n">
        <f aca="false">IF(D775="Sale",E775*L775,0)</f>
        <v>0</v>
      </c>
      <c r="O775" s="45" t="n">
        <f aca="false">IF(D775="Sale",E775*M775,0)</f>
        <v>0</v>
      </c>
      <c r="P775" s="45" t="n">
        <f aca="false">N775-O775</f>
        <v>0</v>
      </c>
      <c r="Q775" s="45" t="n">
        <f aca="false">IF(D775="Purchase",E775*M775,0)</f>
        <v>150</v>
      </c>
    </row>
    <row r="776" customFormat="false" ht="15" hidden="false" customHeight="false" outlineLevel="0" collapsed="false">
      <c r="A776" s="39" t="s">
        <v>1100</v>
      </c>
      <c r="B776" s="44" t="n">
        <v>46184</v>
      </c>
      <c r="C776" s="39" t="s">
        <v>144</v>
      </c>
      <c r="D776" s="39" t="s">
        <v>137</v>
      </c>
      <c r="E776" s="39" t="n">
        <v>40</v>
      </c>
      <c r="F776" s="39" t="str">
        <f aca="false">IF(COUNTIF(medicine_master!$A$2:$A$26,C776)&gt;0,"Valid","Invalid")</f>
        <v>Valid</v>
      </c>
      <c r="G776" s="39" t="str">
        <f aca="false">IFERROR(INDEX(medicine_master!$B$2:$B$26,MATCH($C776,medicine_master!$A$2:$A$26,0)),"Not found")</f>
        <v>Glimepiride 2mg</v>
      </c>
      <c r="H776" s="39" t="str">
        <f aca="false">IFERROR(INDEX(medicine_master!$C$2:$C$26,MATCH($C776,medicine_master!$A$2:$A$26,0)),"Not found")</f>
        <v>Diabetes</v>
      </c>
      <c r="I776" s="39" t="n">
        <f aca="false">YEAR(B776)</f>
        <v>2026</v>
      </c>
      <c r="J776" s="39" t="n">
        <f aca="false">MONTH(B776)</f>
        <v>6</v>
      </c>
      <c r="K776" s="39" t="str">
        <f aca="false">TEXT(B776,"mmm")</f>
        <v>Jun</v>
      </c>
      <c r="L776" s="45" t="n">
        <f aca="false">IFERROR(INDEX(medicine_master!$I$2:$I$26,MATCH($C776,medicine_master!$A$2:$A$26,0)),0)</f>
        <v>52</v>
      </c>
      <c r="M776" s="45" t="n">
        <f aca="false">IFERROR(INDEX(medicine_master!$G$2:$G$26,MATCH($C776,medicine_master!$A$2:$A$26,0)),0)</f>
        <v>38</v>
      </c>
      <c r="N776" s="45" t="n">
        <f aca="false">IF(D776="Sale",E776*L776,0)</f>
        <v>2080</v>
      </c>
      <c r="O776" s="45" t="n">
        <f aca="false">IF(D776="Sale",E776*M776,0)</f>
        <v>1520</v>
      </c>
      <c r="P776" s="45" t="n">
        <f aca="false">N776-O776</f>
        <v>560</v>
      </c>
      <c r="Q776" s="45" t="n">
        <f aca="false">IF(D776="Purchase",E776*M776,0)</f>
        <v>0</v>
      </c>
    </row>
    <row r="777" customFormat="false" ht="15" hidden="false" customHeight="false" outlineLevel="0" collapsed="false">
      <c r="A777" s="39" t="s">
        <v>1101</v>
      </c>
      <c r="B777" s="44" t="n">
        <v>46329</v>
      </c>
      <c r="C777" s="39" t="s">
        <v>167</v>
      </c>
      <c r="D777" s="39" t="s">
        <v>137</v>
      </c>
      <c r="E777" s="39" t="n">
        <v>20</v>
      </c>
      <c r="F777" s="39" t="str">
        <f aca="false">IF(COUNTIF(medicine_master!$A$2:$A$26,C777)&gt;0,"Valid","Invalid")</f>
        <v>Valid</v>
      </c>
      <c r="G777" s="39" t="str">
        <f aca="false">IFERROR(INDEX(medicine_master!$B$2:$B$26,MATCH($C777,medicine_master!$A$2:$A$26,0)),"Not found")</f>
        <v>Amlodipine 5mg</v>
      </c>
      <c r="H777" s="39" t="str">
        <f aca="false">IFERROR(INDEX(medicine_master!$C$2:$C$26,MATCH($C777,medicine_master!$A$2:$A$26,0)),"Not found")</f>
        <v>Cardiac</v>
      </c>
      <c r="I777" s="39" t="n">
        <f aca="false">YEAR(B777)</f>
        <v>2026</v>
      </c>
      <c r="J777" s="39" t="n">
        <f aca="false">MONTH(B777)</f>
        <v>11</v>
      </c>
      <c r="K777" s="39" t="str">
        <f aca="false">TEXT(B777,"mmm")</f>
        <v>Nov</v>
      </c>
      <c r="L777" s="45" t="n">
        <f aca="false">IFERROR(INDEX(medicine_master!$I$2:$I$26,MATCH($C777,medicine_master!$A$2:$A$26,0)),0)</f>
        <v>19</v>
      </c>
      <c r="M777" s="45" t="n">
        <f aca="false">IFERROR(INDEX(medicine_master!$G$2:$G$26,MATCH($C777,medicine_master!$A$2:$A$26,0)),0)</f>
        <v>13</v>
      </c>
      <c r="N777" s="45" t="n">
        <f aca="false">IF(D777="Sale",E777*L777,0)</f>
        <v>380</v>
      </c>
      <c r="O777" s="45" t="n">
        <f aca="false">IF(D777="Sale",E777*M777,0)</f>
        <v>260</v>
      </c>
      <c r="P777" s="45" t="n">
        <f aca="false">N777-O777</f>
        <v>120</v>
      </c>
      <c r="Q777" s="45" t="n">
        <f aca="false">IF(D777="Purchase",E777*M777,0)</f>
        <v>0</v>
      </c>
    </row>
    <row r="778" customFormat="false" ht="15" hidden="false" customHeight="false" outlineLevel="0" collapsed="false">
      <c r="A778" s="39" t="s">
        <v>1102</v>
      </c>
      <c r="B778" s="44" t="n">
        <v>46078</v>
      </c>
      <c r="C778" s="39" t="s">
        <v>144</v>
      </c>
      <c r="D778" s="39" t="s">
        <v>137</v>
      </c>
      <c r="E778" s="39" t="n">
        <v>10</v>
      </c>
      <c r="F778" s="39" t="str">
        <f aca="false">IF(COUNTIF(medicine_master!$A$2:$A$26,C778)&gt;0,"Valid","Invalid")</f>
        <v>Valid</v>
      </c>
      <c r="G778" s="39" t="str">
        <f aca="false">IFERROR(INDEX(medicine_master!$B$2:$B$26,MATCH($C778,medicine_master!$A$2:$A$26,0)),"Not found")</f>
        <v>Glimepiride 2mg</v>
      </c>
      <c r="H778" s="39" t="str">
        <f aca="false">IFERROR(INDEX(medicine_master!$C$2:$C$26,MATCH($C778,medicine_master!$A$2:$A$26,0)),"Not found")</f>
        <v>Diabetes</v>
      </c>
      <c r="I778" s="39" t="n">
        <f aca="false">YEAR(B778)</f>
        <v>2026</v>
      </c>
      <c r="J778" s="39" t="n">
        <f aca="false">MONTH(B778)</f>
        <v>2</v>
      </c>
      <c r="K778" s="39" t="str">
        <f aca="false">TEXT(B778,"mmm")</f>
        <v>Feb</v>
      </c>
      <c r="L778" s="45" t="n">
        <f aca="false">IFERROR(INDEX(medicine_master!$I$2:$I$26,MATCH($C778,medicine_master!$A$2:$A$26,0)),0)</f>
        <v>52</v>
      </c>
      <c r="M778" s="45" t="n">
        <f aca="false">IFERROR(INDEX(medicine_master!$G$2:$G$26,MATCH($C778,medicine_master!$A$2:$A$26,0)),0)</f>
        <v>38</v>
      </c>
      <c r="N778" s="45" t="n">
        <f aca="false">IF(D778="Sale",E778*L778,0)</f>
        <v>520</v>
      </c>
      <c r="O778" s="45" t="n">
        <f aca="false">IF(D778="Sale",E778*M778,0)</f>
        <v>380</v>
      </c>
      <c r="P778" s="45" t="n">
        <f aca="false">N778-O778</f>
        <v>140</v>
      </c>
      <c r="Q778" s="45" t="n">
        <f aca="false">IF(D778="Purchase",E778*M778,0)</f>
        <v>0</v>
      </c>
    </row>
    <row r="779" customFormat="false" ht="15" hidden="false" customHeight="false" outlineLevel="0" collapsed="false">
      <c r="A779" s="39" t="s">
        <v>1103</v>
      </c>
      <c r="B779" s="44" t="n">
        <v>46240</v>
      </c>
      <c r="C779" s="39" t="s">
        <v>345</v>
      </c>
      <c r="D779" s="39" t="s">
        <v>137</v>
      </c>
      <c r="E779" s="39" t="n">
        <v>40</v>
      </c>
      <c r="F779" s="39" t="str">
        <f aca="false">IF(COUNTIF(medicine_master!$A$2:$A$26,C779)&gt;0,"Valid","Invalid")</f>
        <v>Valid</v>
      </c>
      <c r="G779" s="39" t="str">
        <f aca="false">IFERROR(INDEX(medicine_master!$B$2:$B$26,MATCH($C779,medicine_master!$A$2:$A$26,0)),"Not found")</f>
        <v>Paracetamol 500mg</v>
      </c>
      <c r="H779" s="39" t="str">
        <f aca="false">IFERROR(INDEX(medicine_master!$C$2:$C$26,MATCH($C779,medicine_master!$A$2:$A$26,0)),"Not found")</f>
        <v>Pain Relief</v>
      </c>
      <c r="I779" s="39" t="n">
        <f aca="false">YEAR(B779)</f>
        <v>2026</v>
      </c>
      <c r="J779" s="39" t="n">
        <f aca="false">MONTH(B779)</f>
        <v>8</v>
      </c>
      <c r="K779" s="39" t="str">
        <f aca="false">TEXT(B779,"mmm")</f>
        <v>Aug</v>
      </c>
      <c r="L779" s="45" t="n">
        <f aca="false">IFERROR(INDEX(medicine_master!$I$2:$I$26,MATCH($C779,medicine_master!$A$2:$A$26,0)),0)</f>
        <v>18</v>
      </c>
      <c r="M779" s="45" t="n">
        <f aca="false">IFERROR(INDEX(medicine_master!$G$2:$G$26,MATCH($C779,medicine_master!$A$2:$A$26,0)),0)</f>
        <v>12</v>
      </c>
      <c r="N779" s="45" t="n">
        <f aca="false">IF(D779="Sale",E779*L779,0)</f>
        <v>720</v>
      </c>
      <c r="O779" s="45" t="n">
        <f aca="false">IF(D779="Sale",E779*M779,0)</f>
        <v>480</v>
      </c>
      <c r="P779" s="45" t="n">
        <f aca="false">N779-O779</f>
        <v>240</v>
      </c>
      <c r="Q779" s="45" t="n">
        <f aca="false">IF(D779="Purchase",E779*M779,0)</f>
        <v>0</v>
      </c>
    </row>
    <row r="780" customFormat="false" ht="15" hidden="false" customHeight="false" outlineLevel="0" collapsed="false">
      <c r="A780" s="39" t="s">
        <v>1104</v>
      </c>
      <c r="B780" s="44" t="n">
        <v>46197</v>
      </c>
      <c r="C780" s="39" t="s">
        <v>148</v>
      </c>
      <c r="D780" s="39" t="s">
        <v>138</v>
      </c>
      <c r="E780" s="39" t="n">
        <v>40</v>
      </c>
      <c r="F780" s="39" t="str">
        <f aca="false">IF(COUNTIF(medicine_master!$A$2:$A$26,C780)&gt;0,"Valid","Invalid")</f>
        <v>Valid</v>
      </c>
      <c r="G780" s="39" t="str">
        <f aca="false">IFERROR(INDEX(medicine_master!$B$2:$B$26,MATCH($C780,medicine_master!$A$2:$A$26,0)),"Not found")</f>
        <v>Dextromethorphan Syrup</v>
      </c>
      <c r="H780" s="39" t="str">
        <f aca="false">IFERROR(INDEX(medicine_master!$C$2:$C$26,MATCH($C780,medicine_master!$A$2:$A$26,0)),"Not found")</f>
        <v>Cold &amp; Cough</v>
      </c>
      <c r="I780" s="39" t="n">
        <f aca="false">YEAR(B780)</f>
        <v>2026</v>
      </c>
      <c r="J780" s="39" t="n">
        <f aca="false">MONTH(B780)</f>
        <v>6</v>
      </c>
      <c r="K780" s="39" t="str">
        <f aca="false">TEXT(B780,"mmm")</f>
        <v>Jun</v>
      </c>
      <c r="L780" s="45" t="n">
        <f aca="false">IFERROR(INDEX(medicine_master!$I$2:$I$26,MATCH($C780,medicine_master!$A$2:$A$26,0)),0)</f>
        <v>80</v>
      </c>
      <c r="M780" s="45" t="n">
        <f aca="false">IFERROR(INDEX(medicine_master!$G$2:$G$26,MATCH($C780,medicine_master!$A$2:$A$26,0)),0)</f>
        <v>58</v>
      </c>
      <c r="N780" s="45" t="n">
        <f aca="false">IF(D780="Sale",E780*L780,0)</f>
        <v>0</v>
      </c>
      <c r="O780" s="45" t="n">
        <f aca="false">IF(D780="Sale",E780*M780,0)</f>
        <v>0</v>
      </c>
      <c r="P780" s="45" t="n">
        <f aca="false">N780-O780</f>
        <v>0</v>
      </c>
      <c r="Q780" s="45" t="n">
        <f aca="false">IF(D780="Purchase",E780*M780,0)</f>
        <v>2320</v>
      </c>
    </row>
    <row r="781" customFormat="false" ht="15" hidden="false" customHeight="false" outlineLevel="0" collapsed="false">
      <c r="A781" s="39" t="s">
        <v>1105</v>
      </c>
      <c r="B781" s="44" t="n">
        <v>46123</v>
      </c>
      <c r="C781" s="39" t="s">
        <v>345</v>
      </c>
      <c r="D781" s="39" t="s">
        <v>138</v>
      </c>
      <c r="E781" s="39" t="n">
        <v>10</v>
      </c>
      <c r="F781" s="39" t="str">
        <f aca="false">IF(COUNTIF(medicine_master!$A$2:$A$26,C781)&gt;0,"Valid","Invalid")</f>
        <v>Valid</v>
      </c>
      <c r="G781" s="39" t="str">
        <f aca="false">IFERROR(INDEX(medicine_master!$B$2:$B$26,MATCH($C781,medicine_master!$A$2:$A$26,0)),"Not found")</f>
        <v>Paracetamol 500mg</v>
      </c>
      <c r="H781" s="39" t="str">
        <f aca="false">IFERROR(INDEX(medicine_master!$C$2:$C$26,MATCH($C781,medicine_master!$A$2:$A$26,0)),"Not found")</f>
        <v>Pain Relief</v>
      </c>
      <c r="I781" s="39" t="n">
        <f aca="false">YEAR(B781)</f>
        <v>2026</v>
      </c>
      <c r="J781" s="39" t="n">
        <f aca="false">MONTH(B781)</f>
        <v>4</v>
      </c>
      <c r="K781" s="39" t="str">
        <f aca="false">TEXT(B781,"mmm")</f>
        <v>Apr</v>
      </c>
      <c r="L781" s="45" t="n">
        <f aca="false">IFERROR(INDEX(medicine_master!$I$2:$I$26,MATCH($C781,medicine_master!$A$2:$A$26,0)),0)</f>
        <v>18</v>
      </c>
      <c r="M781" s="45" t="n">
        <f aca="false">IFERROR(INDEX(medicine_master!$G$2:$G$26,MATCH($C781,medicine_master!$A$2:$A$26,0)),0)</f>
        <v>12</v>
      </c>
      <c r="N781" s="45" t="n">
        <f aca="false">IF(D781="Sale",E781*L781,0)</f>
        <v>0</v>
      </c>
      <c r="O781" s="45" t="n">
        <f aca="false">IF(D781="Sale",E781*M781,0)</f>
        <v>0</v>
      </c>
      <c r="P781" s="45" t="n">
        <f aca="false">N781-O781</f>
        <v>0</v>
      </c>
      <c r="Q781" s="45" t="n">
        <f aca="false">IF(D781="Purchase",E781*M781,0)</f>
        <v>120</v>
      </c>
    </row>
    <row r="782" customFormat="false" ht="15" hidden="false" customHeight="false" outlineLevel="0" collapsed="false">
      <c r="A782" s="39" t="s">
        <v>1106</v>
      </c>
      <c r="B782" s="44" t="n">
        <v>46303</v>
      </c>
      <c r="C782" s="39" t="s">
        <v>326</v>
      </c>
      <c r="D782" s="39" t="s">
        <v>138</v>
      </c>
      <c r="E782" s="39" t="n">
        <v>30</v>
      </c>
      <c r="F782" s="39" t="str">
        <f aca="false">IF(COUNTIF(medicine_master!$A$2:$A$26,C782)&gt;0,"Valid","Invalid")</f>
        <v>Valid</v>
      </c>
      <c r="G782" s="39" t="str">
        <f aca="false">IFERROR(INDEX(medicine_master!$B$2:$B$26,MATCH($C782,medicine_master!$A$2:$A$26,0)),"Not found")</f>
        <v>Omeprazole 20mg</v>
      </c>
      <c r="H782" s="39" t="str">
        <f aca="false">IFERROR(INDEX(medicine_master!$C$2:$C$26,MATCH($C782,medicine_master!$A$2:$A$26,0)),"Not found")</f>
        <v>Gastric</v>
      </c>
      <c r="I782" s="39" t="n">
        <f aca="false">YEAR(B782)</f>
        <v>2026</v>
      </c>
      <c r="J782" s="39" t="n">
        <f aca="false">MONTH(B782)</f>
        <v>10</v>
      </c>
      <c r="K782" s="39" t="str">
        <f aca="false">TEXT(B782,"mmm")</f>
        <v>Oct</v>
      </c>
      <c r="L782" s="45" t="n">
        <f aca="false">IFERROR(INDEX(medicine_master!$I$2:$I$26,MATCH($C782,medicine_master!$A$2:$A$26,0)),0)</f>
        <v>26</v>
      </c>
      <c r="M782" s="45" t="n">
        <f aca="false">IFERROR(INDEX(medicine_master!$G$2:$G$26,MATCH($C782,medicine_master!$A$2:$A$26,0)),0)</f>
        <v>18</v>
      </c>
      <c r="N782" s="45" t="n">
        <f aca="false">IF(D782="Sale",E782*L782,0)</f>
        <v>0</v>
      </c>
      <c r="O782" s="45" t="n">
        <f aca="false">IF(D782="Sale",E782*M782,0)</f>
        <v>0</v>
      </c>
      <c r="P782" s="45" t="n">
        <f aca="false">N782-O782</f>
        <v>0</v>
      </c>
      <c r="Q782" s="45" t="n">
        <f aca="false">IF(D782="Purchase",E782*M782,0)</f>
        <v>540</v>
      </c>
    </row>
    <row r="783" customFormat="false" ht="15" hidden="false" customHeight="false" outlineLevel="0" collapsed="false">
      <c r="A783" s="39" t="s">
        <v>1107</v>
      </c>
      <c r="B783" s="44" t="n">
        <v>46162</v>
      </c>
      <c r="C783" s="39" t="s">
        <v>152</v>
      </c>
      <c r="D783" s="39" t="s">
        <v>138</v>
      </c>
      <c r="E783" s="39" t="n">
        <v>20</v>
      </c>
      <c r="F783" s="39" t="str">
        <f aca="false">IF(COUNTIF(medicine_master!$A$2:$A$26,C783)&gt;0,"Valid","Invalid")</f>
        <v>Valid</v>
      </c>
      <c r="G783" s="39" t="str">
        <f aca="false">IFERROR(INDEX(medicine_master!$B$2:$B$26,MATCH($C783,medicine_master!$A$2:$A$26,0)),"Not found")</f>
        <v>Amoxicillin 500mg</v>
      </c>
      <c r="H783" s="39" t="str">
        <f aca="false">IFERROR(INDEX(medicine_master!$C$2:$C$26,MATCH($C783,medicine_master!$A$2:$A$26,0)),"Not found")</f>
        <v>Antibiotic</v>
      </c>
      <c r="I783" s="39" t="n">
        <f aca="false">YEAR(B783)</f>
        <v>2026</v>
      </c>
      <c r="J783" s="39" t="n">
        <f aca="false">MONTH(B783)</f>
        <v>5</v>
      </c>
      <c r="K783" s="39" t="str">
        <f aca="false">TEXT(B783,"mmm")</f>
        <v>May</v>
      </c>
      <c r="L783" s="45" t="n">
        <f aca="false">IFERROR(INDEX(medicine_master!$I$2:$I$26,MATCH($C783,medicine_master!$A$2:$A$26,0)),0)</f>
        <v>40</v>
      </c>
      <c r="M783" s="45" t="n">
        <f aca="false">IFERROR(INDEX(medicine_master!$G$2:$G$26,MATCH($C783,medicine_master!$A$2:$A$26,0)),0)</f>
        <v>28</v>
      </c>
      <c r="N783" s="45" t="n">
        <f aca="false">IF(D783="Sale",E783*L783,0)</f>
        <v>0</v>
      </c>
      <c r="O783" s="45" t="n">
        <f aca="false">IF(D783="Sale",E783*M783,0)</f>
        <v>0</v>
      </c>
      <c r="P783" s="45" t="n">
        <f aca="false">N783-O783</f>
        <v>0</v>
      </c>
      <c r="Q783" s="45" t="n">
        <f aca="false">IF(D783="Purchase",E783*M783,0)</f>
        <v>560</v>
      </c>
    </row>
    <row r="784" customFormat="false" ht="15" hidden="false" customHeight="false" outlineLevel="0" collapsed="false">
      <c r="A784" s="39" t="s">
        <v>1108</v>
      </c>
      <c r="B784" s="44" t="n">
        <v>46326</v>
      </c>
      <c r="C784" s="39" t="s">
        <v>180</v>
      </c>
      <c r="D784" s="39" t="s">
        <v>137</v>
      </c>
      <c r="E784" s="39" t="n">
        <v>20</v>
      </c>
      <c r="F784" s="39" t="str">
        <f aca="false">IF(COUNTIF(medicine_master!$A$2:$A$26,C784)&gt;0,"Valid","Invalid")</f>
        <v>Valid</v>
      </c>
      <c r="G784" s="39" t="str">
        <f aca="false">IFERROR(INDEX(medicine_master!$B$2:$B$26,MATCH($C784,medicine_master!$A$2:$A$26,0)),"Not found")</f>
        <v>Vitamin C 500mg</v>
      </c>
      <c r="H784" s="39" t="str">
        <f aca="false">IFERROR(INDEX(medicine_master!$C$2:$C$26,MATCH($C784,medicine_master!$A$2:$A$26,0)),"Not found")</f>
        <v>Vitamin</v>
      </c>
      <c r="I784" s="39" t="n">
        <f aca="false">YEAR(B784)</f>
        <v>2026</v>
      </c>
      <c r="J784" s="39" t="n">
        <f aca="false">MONTH(B784)</f>
        <v>10</v>
      </c>
      <c r="K784" s="39" t="str">
        <f aca="false">TEXT(B784,"mmm")</f>
        <v>Oct</v>
      </c>
      <c r="L784" s="45" t="n">
        <f aca="false">IFERROR(INDEX(medicine_master!$I$2:$I$26,MATCH($C784,medicine_master!$A$2:$A$26,0)),0)</f>
        <v>22</v>
      </c>
      <c r="M784" s="45" t="n">
        <f aca="false">IFERROR(INDEX(medicine_master!$G$2:$G$26,MATCH($C784,medicine_master!$A$2:$A$26,0)),0)</f>
        <v>14</v>
      </c>
      <c r="N784" s="45" t="n">
        <f aca="false">IF(D784="Sale",E784*L784,0)</f>
        <v>440</v>
      </c>
      <c r="O784" s="45" t="n">
        <f aca="false">IF(D784="Sale",E784*M784,0)</f>
        <v>280</v>
      </c>
      <c r="P784" s="45" t="n">
        <f aca="false">N784-O784</f>
        <v>160</v>
      </c>
      <c r="Q784" s="45" t="n">
        <f aca="false">IF(D784="Purchase",E784*M784,0)</f>
        <v>0</v>
      </c>
    </row>
    <row r="785" customFormat="false" ht="15" hidden="false" customHeight="false" outlineLevel="0" collapsed="false">
      <c r="A785" s="39" t="s">
        <v>1109</v>
      </c>
      <c r="B785" s="44" t="n">
        <v>46325</v>
      </c>
      <c r="C785" s="39" t="s">
        <v>177</v>
      </c>
      <c r="D785" s="39" t="s">
        <v>138</v>
      </c>
      <c r="E785" s="39" t="n">
        <v>20</v>
      </c>
      <c r="F785" s="39" t="str">
        <f aca="false">IF(COUNTIF(medicine_master!$A$2:$A$26,C785)&gt;0,"Valid","Invalid")</f>
        <v>Valid</v>
      </c>
      <c r="G785" s="39" t="str">
        <f aca="false">IFERROR(INDEX(medicine_master!$B$2:$B$26,MATCH($C785,medicine_master!$A$2:$A$26,0)),"Not found")</f>
        <v>Bandage Roll</v>
      </c>
      <c r="H785" s="39" t="str">
        <f aca="false">IFERROR(INDEX(medicine_master!$C$2:$C$26,MATCH($C785,medicine_master!$A$2:$A$26,0)),"Not found")</f>
        <v>First Aid</v>
      </c>
      <c r="I785" s="39" t="n">
        <f aca="false">YEAR(B785)</f>
        <v>2026</v>
      </c>
      <c r="J785" s="39" t="n">
        <f aca="false">MONTH(B785)</f>
        <v>10</v>
      </c>
      <c r="K785" s="39" t="str">
        <f aca="false">TEXT(B785,"mmm")</f>
        <v>Oct</v>
      </c>
      <c r="L785" s="45" t="n">
        <f aca="false">IFERROR(INDEX(medicine_master!$I$2:$I$26,MATCH($C785,medicine_master!$A$2:$A$26,0)),0)</f>
        <v>25</v>
      </c>
      <c r="M785" s="45" t="n">
        <f aca="false">IFERROR(INDEX(medicine_master!$G$2:$G$26,MATCH($C785,medicine_master!$A$2:$A$26,0)),0)</f>
        <v>15</v>
      </c>
      <c r="N785" s="45" t="n">
        <f aca="false">IF(D785="Sale",E785*L785,0)</f>
        <v>0</v>
      </c>
      <c r="O785" s="45" t="n">
        <f aca="false">IF(D785="Sale",E785*M785,0)</f>
        <v>0</v>
      </c>
      <c r="P785" s="45" t="n">
        <f aca="false">N785-O785</f>
        <v>0</v>
      </c>
      <c r="Q785" s="45" t="n">
        <f aca="false">IF(D785="Purchase",E785*M785,0)</f>
        <v>300</v>
      </c>
    </row>
    <row r="786" customFormat="false" ht="15" hidden="false" customHeight="false" outlineLevel="0" collapsed="false">
      <c r="A786" s="39" t="s">
        <v>1110</v>
      </c>
      <c r="B786" s="44" t="n">
        <v>46258</v>
      </c>
      <c r="C786" s="39" t="s">
        <v>326</v>
      </c>
      <c r="D786" s="39" t="s">
        <v>138</v>
      </c>
      <c r="E786" s="39" t="n">
        <v>30</v>
      </c>
      <c r="F786" s="39" t="str">
        <f aca="false">IF(COUNTIF(medicine_master!$A$2:$A$26,C786)&gt;0,"Valid","Invalid")</f>
        <v>Valid</v>
      </c>
      <c r="G786" s="39" t="str">
        <f aca="false">IFERROR(INDEX(medicine_master!$B$2:$B$26,MATCH($C786,medicine_master!$A$2:$A$26,0)),"Not found")</f>
        <v>Omeprazole 20mg</v>
      </c>
      <c r="H786" s="39" t="str">
        <f aca="false">IFERROR(INDEX(medicine_master!$C$2:$C$26,MATCH($C786,medicine_master!$A$2:$A$26,0)),"Not found")</f>
        <v>Gastric</v>
      </c>
      <c r="I786" s="39" t="n">
        <f aca="false">YEAR(B786)</f>
        <v>2026</v>
      </c>
      <c r="J786" s="39" t="n">
        <f aca="false">MONTH(B786)</f>
        <v>8</v>
      </c>
      <c r="K786" s="39" t="str">
        <f aca="false">TEXT(B786,"mmm")</f>
        <v>Aug</v>
      </c>
      <c r="L786" s="45" t="n">
        <f aca="false">IFERROR(INDEX(medicine_master!$I$2:$I$26,MATCH($C786,medicine_master!$A$2:$A$26,0)),0)</f>
        <v>26</v>
      </c>
      <c r="M786" s="45" t="n">
        <f aca="false">IFERROR(INDEX(medicine_master!$G$2:$G$26,MATCH($C786,medicine_master!$A$2:$A$26,0)),0)</f>
        <v>18</v>
      </c>
      <c r="N786" s="45" t="n">
        <f aca="false">IF(D786="Sale",E786*L786,0)</f>
        <v>0</v>
      </c>
      <c r="O786" s="45" t="n">
        <f aca="false">IF(D786="Sale",E786*M786,0)</f>
        <v>0</v>
      </c>
      <c r="P786" s="45" t="n">
        <f aca="false">N786-O786</f>
        <v>0</v>
      </c>
      <c r="Q786" s="45" t="n">
        <f aca="false">IF(D786="Purchase",E786*M786,0)</f>
        <v>540</v>
      </c>
    </row>
    <row r="787" customFormat="false" ht="15" hidden="false" customHeight="false" outlineLevel="0" collapsed="false">
      <c r="A787" s="39" t="s">
        <v>1111</v>
      </c>
      <c r="B787" s="44" t="n">
        <v>46232</v>
      </c>
      <c r="C787" s="39" t="s">
        <v>152</v>
      </c>
      <c r="D787" s="39" t="s">
        <v>137</v>
      </c>
      <c r="E787" s="39" t="n">
        <v>40</v>
      </c>
      <c r="F787" s="39" t="str">
        <f aca="false">IF(COUNTIF(medicine_master!$A$2:$A$26,C787)&gt;0,"Valid","Invalid")</f>
        <v>Valid</v>
      </c>
      <c r="G787" s="39" t="str">
        <f aca="false">IFERROR(INDEX(medicine_master!$B$2:$B$26,MATCH($C787,medicine_master!$A$2:$A$26,0)),"Not found")</f>
        <v>Amoxicillin 500mg</v>
      </c>
      <c r="H787" s="39" t="str">
        <f aca="false">IFERROR(INDEX(medicine_master!$C$2:$C$26,MATCH($C787,medicine_master!$A$2:$A$26,0)),"Not found")</f>
        <v>Antibiotic</v>
      </c>
      <c r="I787" s="39" t="n">
        <f aca="false">YEAR(B787)</f>
        <v>2026</v>
      </c>
      <c r="J787" s="39" t="n">
        <f aca="false">MONTH(B787)</f>
        <v>7</v>
      </c>
      <c r="K787" s="39" t="str">
        <f aca="false">TEXT(B787,"mmm")</f>
        <v>Jul</v>
      </c>
      <c r="L787" s="45" t="n">
        <f aca="false">IFERROR(INDEX(medicine_master!$I$2:$I$26,MATCH($C787,medicine_master!$A$2:$A$26,0)),0)</f>
        <v>40</v>
      </c>
      <c r="M787" s="45" t="n">
        <f aca="false">IFERROR(INDEX(medicine_master!$G$2:$G$26,MATCH($C787,medicine_master!$A$2:$A$26,0)),0)</f>
        <v>28</v>
      </c>
      <c r="N787" s="45" t="n">
        <f aca="false">IF(D787="Sale",E787*L787,0)</f>
        <v>1600</v>
      </c>
      <c r="O787" s="45" t="n">
        <f aca="false">IF(D787="Sale",E787*M787,0)</f>
        <v>1120</v>
      </c>
      <c r="P787" s="45" t="n">
        <f aca="false">N787-O787</f>
        <v>480</v>
      </c>
      <c r="Q787" s="45" t="n">
        <f aca="false">IF(D787="Purchase",E787*M787,0)</f>
        <v>0</v>
      </c>
    </row>
    <row r="788" customFormat="false" ht="15" hidden="false" customHeight="false" outlineLevel="0" collapsed="false">
      <c r="A788" s="39" t="s">
        <v>1112</v>
      </c>
      <c r="B788" s="44" t="n">
        <v>46038</v>
      </c>
      <c r="C788" s="39" t="s">
        <v>326</v>
      </c>
      <c r="D788" s="39" t="s">
        <v>137</v>
      </c>
      <c r="E788" s="39" t="n">
        <v>20</v>
      </c>
      <c r="F788" s="39" t="str">
        <f aca="false">IF(COUNTIF(medicine_master!$A$2:$A$26,C788)&gt;0,"Valid","Invalid")</f>
        <v>Valid</v>
      </c>
      <c r="G788" s="39" t="str">
        <f aca="false">IFERROR(INDEX(medicine_master!$B$2:$B$26,MATCH($C788,medicine_master!$A$2:$A$26,0)),"Not found")</f>
        <v>Omeprazole 20mg</v>
      </c>
      <c r="H788" s="39" t="str">
        <f aca="false">IFERROR(INDEX(medicine_master!$C$2:$C$26,MATCH($C788,medicine_master!$A$2:$A$26,0)),"Not found")</f>
        <v>Gastric</v>
      </c>
      <c r="I788" s="39" t="n">
        <f aca="false">YEAR(B788)</f>
        <v>2026</v>
      </c>
      <c r="J788" s="39" t="n">
        <f aca="false">MONTH(B788)</f>
        <v>1</v>
      </c>
      <c r="K788" s="39" t="str">
        <f aca="false">TEXT(B788,"mmm")</f>
        <v>Jan</v>
      </c>
      <c r="L788" s="45" t="n">
        <f aca="false">IFERROR(INDEX(medicine_master!$I$2:$I$26,MATCH($C788,medicine_master!$A$2:$A$26,0)),0)</f>
        <v>26</v>
      </c>
      <c r="M788" s="45" t="n">
        <f aca="false">IFERROR(INDEX(medicine_master!$G$2:$G$26,MATCH($C788,medicine_master!$A$2:$A$26,0)),0)</f>
        <v>18</v>
      </c>
      <c r="N788" s="45" t="n">
        <f aca="false">IF(D788="Sale",E788*L788,0)</f>
        <v>520</v>
      </c>
      <c r="O788" s="45" t="n">
        <f aca="false">IF(D788="Sale",E788*M788,0)</f>
        <v>360</v>
      </c>
      <c r="P788" s="45" t="n">
        <f aca="false">N788-O788</f>
        <v>160</v>
      </c>
      <c r="Q788" s="45" t="n">
        <f aca="false">IF(D788="Purchase",E788*M788,0)</f>
        <v>0</v>
      </c>
    </row>
    <row r="789" customFormat="false" ht="15" hidden="false" customHeight="false" outlineLevel="0" collapsed="false">
      <c r="A789" s="39" t="s">
        <v>1113</v>
      </c>
      <c r="B789" s="44" t="n">
        <v>46122</v>
      </c>
      <c r="C789" s="39" t="s">
        <v>167</v>
      </c>
      <c r="D789" s="39" t="s">
        <v>137</v>
      </c>
      <c r="E789" s="39" t="n">
        <v>5</v>
      </c>
      <c r="F789" s="39" t="str">
        <f aca="false">IF(COUNTIF(medicine_master!$A$2:$A$26,C789)&gt;0,"Valid","Invalid")</f>
        <v>Valid</v>
      </c>
      <c r="G789" s="39" t="str">
        <f aca="false">IFERROR(INDEX(medicine_master!$B$2:$B$26,MATCH($C789,medicine_master!$A$2:$A$26,0)),"Not found")</f>
        <v>Amlodipine 5mg</v>
      </c>
      <c r="H789" s="39" t="str">
        <f aca="false">IFERROR(INDEX(medicine_master!$C$2:$C$26,MATCH($C789,medicine_master!$A$2:$A$26,0)),"Not found")</f>
        <v>Cardiac</v>
      </c>
      <c r="I789" s="39" t="n">
        <f aca="false">YEAR(B789)</f>
        <v>2026</v>
      </c>
      <c r="J789" s="39" t="n">
        <f aca="false">MONTH(B789)</f>
        <v>4</v>
      </c>
      <c r="K789" s="39" t="str">
        <f aca="false">TEXT(B789,"mmm")</f>
        <v>Apr</v>
      </c>
      <c r="L789" s="45" t="n">
        <f aca="false">IFERROR(INDEX(medicine_master!$I$2:$I$26,MATCH($C789,medicine_master!$A$2:$A$26,0)),0)</f>
        <v>19</v>
      </c>
      <c r="M789" s="45" t="n">
        <f aca="false">IFERROR(INDEX(medicine_master!$G$2:$G$26,MATCH($C789,medicine_master!$A$2:$A$26,0)),0)</f>
        <v>13</v>
      </c>
      <c r="N789" s="45" t="n">
        <f aca="false">IF(D789="Sale",E789*L789,0)</f>
        <v>95</v>
      </c>
      <c r="O789" s="45" t="n">
        <f aca="false">IF(D789="Sale",E789*M789,0)</f>
        <v>65</v>
      </c>
      <c r="P789" s="45" t="n">
        <f aca="false">N789-O789</f>
        <v>30</v>
      </c>
      <c r="Q789" s="45" t="n">
        <f aca="false">IF(D789="Purchase",E789*M789,0)</f>
        <v>0</v>
      </c>
    </row>
    <row r="790" customFormat="false" ht="15" hidden="false" customHeight="false" outlineLevel="0" collapsed="false">
      <c r="A790" s="39" t="s">
        <v>1114</v>
      </c>
      <c r="B790" s="44" t="n">
        <v>46238</v>
      </c>
      <c r="C790" s="39" t="s">
        <v>157</v>
      </c>
      <c r="D790" s="39" t="s">
        <v>137</v>
      </c>
      <c r="E790" s="39" t="n">
        <v>30</v>
      </c>
      <c r="F790" s="39" t="str">
        <f aca="false">IF(COUNTIF(medicine_master!$A$2:$A$26,C790)&gt;0,"Valid","Invalid")</f>
        <v>Valid</v>
      </c>
      <c r="G790" s="39" t="str">
        <f aca="false">IFERROR(INDEX(medicine_master!$B$2:$B$26,MATCH($C790,medicine_master!$A$2:$A$26,0)),"Not found")</f>
        <v>Multivitamin Tablets</v>
      </c>
      <c r="H790" s="39" t="str">
        <f aca="false">IFERROR(INDEX(medicine_master!$C$2:$C$26,MATCH($C790,medicine_master!$A$2:$A$26,0)),"Not found")</f>
        <v>Vitamin</v>
      </c>
      <c r="I790" s="39" t="n">
        <f aca="false">YEAR(B790)</f>
        <v>2026</v>
      </c>
      <c r="J790" s="39" t="n">
        <f aca="false">MONTH(B790)</f>
        <v>8</v>
      </c>
      <c r="K790" s="39" t="str">
        <f aca="false">TEXT(B790,"mmm")</f>
        <v>Aug</v>
      </c>
      <c r="L790" s="45" t="n">
        <f aca="false">IFERROR(INDEX(medicine_master!$I$2:$I$26,MATCH($C790,medicine_master!$A$2:$A$26,0)),0)</f>
        <v>105</v>
      </c>
      <c r="M790" s="45" t="n">
        <f aca="false">IFERROR(INDEX(medicine_master!$G$2:$G$26,MATCH($C790,medicine_master!$A$2:$A$26,0)),0)</f>
        <v>72</v>
      </c>
      <c r="N790" s="45" t="n">
        <f aca="false">IF(D790="Sale",E790*L790,0)</f>
        <v>3150</v>
      </c>
      <c r="O790" s="45" t="n">
        <f aca="false">IF(D790="Sale",E790*M790,0)</f>
        <v>2160</v>
      </c>
      <c r="P790" s="45" t="n">
        <f aca="false">N790-O790</f>
        <v>990</v>
      </c>
      <c r="Q790" s="45" t="n">
        <f aca="false">IF(D790="Purchase",E790*M790,0)</f>
        <v>0</v>
      </c>
    </row>
    <row r="791" customFormat="false" ht="15" hidden="false" customHeight="false" outlineLevel="0" collapsed="false">
      <c r="A791" s="39" t="s">
        <v>1115</v>
      </c>
      <c r="B791" s="44" t="n">
        <v>46050</v>
      </c>
      <c r="C791" s="39" t="s">
        <v>158</v>
      </c>
      <c r="D791" s="39" t="s">
        <v>137</v>
      </c>
      <c r="E791" s="39" t="n">
        <v>20</v>
      </c>
      <c r="F791" s="39" t="str">
        <f aca="false">IF(COUNTIF(medicine_master!$A$2:$A$26,C791)&gt;0,"Valid","Invalid")</f>
        <v>Valid</v>
      </c>
      <c r="G791" s="39" t="str">
        <f aca="false">IFERROR(INDEX(medicine_master!$B$2:$B$26,MATCH($C791,medicine_master!$A$2:$A$26,0)),"Not found")</f>
        <v>Cough Syrup 100ml</v>
      </c>
      <c r="H791" s="39" t="str">
        <f aca="false">IFERROR(INDEX(medicine_master!$C$2:$C$26,MATCH($C791,medicine_master!$A$2:$A$26,0)),"Not found")</f>
        <v>Cold &amp; Cough</v>
      </c>
      <c r="I791" s="39" t="n">
        <f aca="false">YEAR(B791)</f>
        <v>2026</v>
      </c>
      <c r="J791" s="39" t="n">
        <f aca="false">MONTH(B791)</f>
        <v>1</v>
      </c>
      <c r="K791" s="39" t="str">
        <f aca="false">TEXT(B791,"mmm")</f>
        <v>Jan</v>
      </c>
      <c r="L791" s="45" t="n">
        <f aca="false">IFERROR(INDEX(medicine_master!$I$2:$I$26,MATCH($C791,medicine_master!$A$2:$A$26,0)),0)</f>
        <v>72</v>
      </c>
      <c r="M791" s="45" t="n">
        <f aca="false">IFERROR(INDEX(medicine_master!$G$2:$G$26,MATCH($C791,medicine_master!$A$2:$A$26,0)),0)</f>
        <v>52</v>
      </c>
      <c r="N791" s="45" t="n">
        <f aca="false">IF(D791="Sale",E791*L791,0)</f>
        <v>1440</v>
      </c>
      <c r="O791" s="45" t="n">
        <f aca="false">IF(D791="Sale",E791*M791,0)</f>
        <v>1040</v>
      </c>
      <c r="P791" s="45" t="n">
        <f aca="false">N791-O791</f>
        <v>400</v>
      </c>
      <c r="Q791" s="45" t="n">
        <f aca="false">IF(D791="Purchase",E791*M791,0)</f>
        <v>0</v>
      </c>
    </row>
    <row r="792" customFormat="false" ht="15" hidden="false" customHeight="false" outlineLevel="0" collapsed="false">
      <c r="A792" s="39" t="s">
        <v>1116</v>
      </c>
      <c r="B792" s="44" t="n">
        <v>46332</v>
      </c>
      <c r="C792" s="39" t="s">
        <v>321</v>
      </c>
      <c r="D792" s="39" t="s">
        <v>137</v>
      </c>
      <c r="E792" s="39" t="n">
        <v>10</v>
      </c>
      <c r="F792" s="39" t="str">
        <f aca="false">IF(COUNTIF(medicine_master!$A$2:$A$26,C792)&gt;0,"Valid","Invalid")</f>
        <v>Valid</v>
      </c>
      <c r="G792" s="39" t="str">
        <f aca="false">IFERROR(INDEX(medicine_master!$B$2:$B$26,MATCH($C792,medicine_master!$A$2:$A$26,0)),"Not found")</f>
        <v>Levocetirizine 5mg</v>
      </c>
      <c r="H792" s="39" t="str">
        <f aca="false">IFERROR(INDEX(medicine_master!$C$2:$C$26,MATCH($C792,medicine_master!$A$2:$A$26,0)),"Not found")</f>
        <v>Allergy</v>
      </c>
      <c r="I792" s="39" t="n">
        <f aca="false">YEAR(B792)</f>
        <v>2026</v>
      </c>
      <c r="J792" s="39" t="n">
        <f aca="false">MONTH(B792)</f>
        <v>11</v>
      </c>
      <c r="K792" s="39" t="str">
        <f aca="false">TEXT(B792,"mmm")</f>
        <v>Nov</v>
      </c>
      <c r="L792" s="45" t="n">
        <f aca="false">IFERROR(INDEX(medicine_master!$I$2:$I$26,MATCH($C792,medicine_master!$A$2:$A$26,0)),0)</f>
        <v>22</v>
      </c>
      <c r="M792" s="45" t="n">
        <f aca="false">IFERROR(INDEX(medicine_master!$G$2:$G$26,MATCH($C792,medicine_master!$A$2:$A$26,0)),0)</f>
        <v>14</v>
      </c>
      <c r="N792" s="45" t="n">
        <f aca="false">IF(D792="Sale",E792*L792,0)</f>
        <v>220</v>
      </c>
      <c r="O792" s="45" t="n">
        <f aca="false">IF(D792="Sale",E792*M792,0)</f>
        <v>140</v>
      </c>
      <c r="P792" s="45" t="n">
        <f aca="false">N792-O792</f>
        <v>80</v>
      </c>
      <c r="Q792" s="45" t="n">
        <f aca="false">IF(D792="Purchase",E792*M792,0)</f>
        <v>0</v>
      </c>
    </row>
    <row r="793" customFormat="false" ht="15" hidden="false" customHeight="false" outlineLevel="0" collapsed="false">
      <c r="A793" s="39" t="s">
        <v>1117</v>
      </c>
      <c r="B793" s="44" t="n">
        <v>46257</v>
      </c>
      <c r="C793" s="39" t="s">
        <v>151</v>
      </c>
      <c r="D793" s="39" t="s">
        <v>137</v>
      </c>
      <c r="E793" s="39" t="n">
        <v>30</v>
      </c>
      <c r="F793" s="39" t="str">
        <f aca="false">IF(COUNTIF(medicine_master!$A$2:$A$26,C793)&gt;0,"Valid","Invalid")</f>
        <v>Valid</v>
      </c>
      <c r="G793" s="39" t="str">
        <f aca="false">IFERROR(INDEX(medicine_master!$B$2:$B$26,MATCH($C793,medicine_master!$A$2:$A$26,0)),"Not found")</f>
        <v>Cetirizine 10mg</v>
      </c>
      <c r="H793" s="39" t="str">
        <f aca="false">IFERROR(INDEX(medicine_master!$C$2:$C$26,MATCH($C793,medicine_master!$A$2:$A$26,0)),"Not found")</f>
        <v>Allergy</v>
      </c>
      <c r="I793" s="39" t="n">
        <f aca="false">YEAR(B793)</f>
        <v>2026</v>
      </c>
      <c r="J793" s="39" t="n">
        <f aca="false">MONTH(B793)</f>
        <v>8</v>
      </c>
      <c r="K793" s="39" t="str">
        <f aca="false">TEXT(B793,"mmm")</f>
        <v>Aug</v>
      </c>
      <c r="L793" s="45" t="n">
        <f aca="false">IFERROR(INDEX(medicine_master!$I$2:$I$26,MATCH($C793,medicine_master!$A$2:$A$26,0)),0)</f>
        <v>13</v>
      </c>
      <c r="M793" s="45" t="n">
        <f aca="false">IFERROR(INDEX(medicine_master!$G$2:$G$26,MATCH($C793,medicine_master!$A$2:$A$26,0)),0)</f>
        <v>8</v>
      </c>
      <c r="N793" s="45" t="n">
        <f aca="false">IF(D793="Sale",E793*L793,0)</f>
        <v>390</v>
      </c>
      <c r="O793" s="45" t="n">
        <f aca="false">IF(D793="Sale",E793*M793,0)</f>
        <v>240</v>
      </c>
      <c r="P793" s="45" t="n">
        <f aca="false">N793-O793</f>
        <v>150</v>
      </c>
      <c r="Q793" s="45" t="n">
        <f aca="false">IF(D793="Purchase",E793*M793,0)</f>
        <v>0</v>
      </c>
    </row>
    <row r="794" customFormat="false" ht="15" hidden="false" customHeight="false" outlineLevel="0" collapsed="false">
      <c r="A794" s="39" t="s">
        <v>1118</v>
      </c>
      <c r="B794" s="44" t="n">
        <v>46076</v>
      </c>
      <c r="C794" s="39" t="s">
        <v>150</v>
      </c>
      <c r="D794" s="39" t="s">
        <v>137</v>
      </c>
      <c r="E794" s="39" t="n">
        <v>10</v>
      </c>
      <c r="F794" s="39" t="str">
        <f aca="false">IF(COUNTIF(medicine_master!$A$2:$A$26,C794)&gt;0,"Valid","Invalid")</f>
        <v>Valid</v>
      </c>
      <c r="G794" s="39" t="str">
        <f aca="false">IFERROR(INDEX(medicine_master!$B$2:$B$26,MATCH($C794,medicine_master!$A$2:$A$26,0)),"Not found")</f>
        <v>Pantoprazole 40mg</v>
      </c>
      <c r="H794" s="39" t="str">
        <f aca="false">IFERROR(INDEX(medicine_master!$C$2:$C$26,MATCH($C794,medicine_master!$A$2:$A$26,0)),"Not found")</f>
        <v>Gastric</v>
      </c>
      <c r="I794" s="39" t="n">
        <f aca="false">YEAR(B794)</f>
        <v>2026</v>
      </c>
      <c r="J794" s="39" t="n">
        <f aca="false">MONTH(B794)</f>
        <v>2</v>
      </c>
      <c r="K794" s="39" t="str">
        <f aca="false">TEXT(B794,"mmm")</f>
        <v>Feb</v>
      </c>
      <c r="L794" s="45" t="n">
        <f aca="false">IFERROR(INDEX(medicine_master!$I$2:$I$26,MATCH($C794,medicine_master!$A$2:$A$26,0)),0)</f>
        <v>35</v>
      </c>
      <c r="M794" s="45" t="n">
        <f aca="false">IFERROR(INDEX(medicine_master!$G$2:$G$26,MATCH($C794,medicine_master!$A$2:$A$26,0)),0)</f>
        <v>24</v>
      </c>
      <c r="N794" s="45" t="n">
        <f aca="false">IF(D794="Sale",E794*L794,0)</f>
        <v>350</v>
      </c>
      <c r="O794" s="45" t="n">
        <f aca="false">IF(D794="Sale",E794*M794,0)</f>
        <v>240</v>
      </c>
      <c r="P794" s="45" t="n">
        <f aca="false">N794-O794</f>
        <v>110</v>
      </c>
      <c r="Q794" s="45" t="n">
        <f aca="false">IF(D794="Purchase",E794*M794,0)</f>
        <v>0</v>
      </c>
    </row>
    <row r="795" customFormat="false" ht="15" hidden="false" customHeight="false" outlineLevel="0" collapsed="false">
      <c r="A795" s="39" t="s">
        <v>1119</v>
      </c>
      <c r="B795" s="44" t="n">
        <v>46096</v>
      </c>
      <c r="C795" s="39" t="s">
        <v>153</v>
      </c>
      <c r="D795" s="39" t="s">
        <v>138</v>
      </c>
      <c r="E795" s="39" t="n">
        <v>40</v>
      </c>
      <c r="F795" s="39" t="str">
        <f aca="false">IF(COUNTIF(medicine_master!$A$2:$A$26,C795)&gt;0,"Valid","Invalid")</f>
        <v>Valid</v>
      </c>
      <c r="G795" s="39" t="str">
        <f aca="false">IFERROR(INDEX(medicine_master!$B$2:$B$26,MATCH($C795,medicine_master!$A$2:$A$26,0)),"Not found")</f>
        <v>Atorvastatin 10mg</v>
      </c>
      <c r="H795" s="39" t="str">
        <f aca="false">IFERROR(INDEX(medicine_master!$C$2:$C$26,MATCH($C795,medicine_master!$A$2:$A$26,0)),"Not found")</f>
        <v>Cardiac</v>
      </c>
      <c r="I795" s="39" t="n">
        <f aca="false">YEAR(B795)</f>
        <v>2026</v>
      </c>
      <c r="J795" s="39" t="n">
        <f aca="false">MONTH(B795)</f>
        <v>3</v>
      </c>
      <c r="K795" s="39" t="str">
        <f aca="false">TEXT(B795,"mmm")</f>
        <v>Mar</v>
      </c>
      <c r="L795" s="45" t="n">
        <f aca="false">IFERROR(INDEX(medicine_master!$I$2:$I$26,MATCH($C795,medicine_master!$A$2:$A$26,0)),0)</f>
        <v>28</v>
      </c>
      <c r="M795" s="45" t="n">
        <f aca="false">IFERROR(INDEX(medicine_master!$G$2:$G$26,MATCH($C795,medicine_master!$A$2:$A$26,0)),0)</f>
        <v>19</v>
      </c>
      <c r="N795" s="45" t="n">
        <f aca="false">IF(D795="Sale",E795*L795,0)</f>
        <v>0</v>
      </c>
      <c r="O795" s="45" t="n">
        <f aca="false">IF(D795="Sale",E795*M795,0)</f>
        <v>0</v>
      </c>
      <c r="P795" s="45" t="n">
        <f aca="false">N795-O795</f>
        <v>0</v>
      </c>
      <c r="Q795" s="45" t="n">
        <f aca="false">IF(D795="Purchase",E795*M795,0)</f>
        <v>760</v>
      </c>
    </row>
    <row r="796" customFormat="false" ht="15" hidden="false" customHeight="false" outlineLevel="0" collapsed="false">
      <c r="A796" s="39" t="s">
        <v>1120</v>
      </c>
      <c r="B796" s="44" t="n">
        <v>46280</v>
      </c>
      <c r="C796" s="39" t="s">
        <v>321</v>
      </c>
      <c r="D796" s="39" t="s">
        <v>137</v>
      </c>
      <c r="E796" s="39" t="n">
        <v>50</v>
      </c>
      <c r="F796" s="39" t="str">
        <f aca="false">IF(COUNTIF(medicine_master!$A$2:$A$26,C796)&gt;0,"Valid","Invalid")</f>
        <v>Valid</v>
      </c>
      <c r="G796" s="39" t="str">
        <f aca="false">IFERROR(INDEX(medicine_master!$B$2:$B$26,MATCH($C796,medicine_master!$A$2:$A$26,0)),"Not found")</f>
        <v>Levocetirizine 5mg</v>
      </c>
      <c r="H796" s="39" t="str">
        <f aca="false">IFERROR(INDEX(medicine_master!$C$2:$C$26,MATCH($C796,medicine_master!$A$2:$A$26,0)),"Not found")</f>
        <v>Allergy</v>
      </c>
      <c r="I796" s="39" t="n">
        <f aca="false">YEAR(B796)</f>
        <v>2026</v>
      </c>
      <c r="J796" s="39" t="n">
        <f aca="false">MONTH(B796)</f>
        <v>9</v>
      </c>
      <c r="K796" s="39" t="str">
        <f aca="false">TEXT(B796,"mmm")</f>
        <v>Sep</v>
      </c>
      <c r="L796" s="45" t="n">
        <f aca="false">IFERROR(INDEX(medicine_master!$I$2:$I$26,MATCH($C796,medicine_master!$A$2:$A$26,0)),0)</f>
        <v>22</v>
      </c>
      <c r="M796" s="45" t="n">
        <f aca="false">IFERROR(INDEX(medicine_master!$G$2:$G$26,MATCH($C796,medicine_master!$A$2:$A$26,0)),0)</f>
        <v>14</v>
      </c>
      <c r="N796" s="45" t="n">
        <f aca="false">IF(D796="Sale",E796*L796,0)</f>
        <v>1100</v>
      </c>
      <c r="O796" s="45" t="n">
        <f aca="false">IF(D796="Sale",E796*M796,0)</f>
        <v>700</v>
      </c>
      <c r="P796" s="45" t="n">
        <f aca="false">N796-O796</f>
        <v>400</v>
      </c>
      <c r="Q796" s="45" t="n">
        <f aca="false">IF(D796="Purchase",E796*M796,0)</f>
        <v>0</v>
      </c>
    </row>
    <row r="797" customFormat="false" ht="15" hidden="false" customHeight="false" outlineLevel="0" collapsed="false">
      <c r="A797" s="39" t="s">
        <v>1121</v>
      </c>
      <c r="B797" s="44" t="n">
        <v>46185</v>
      </c>
      <c r="C797" s="39" t="s">
        <v>178</v>
      </c>
      <c r="D797" s="39" t="s">
        <v>137</v>
      </c>
      <c r="E797" s="39" t="n">
        <v>15</v>
      </c>
      <c r="F797" s="39" t="str">
        <f aca="false">IF(COUNTIF(medicine_master!$A$2:$A$26,C797)&gt;0,"Valid","Invalid")</f>
        <v>Valid</v>
      </c>
      <c r="G797" s="39" t="str">
        <f aca="false">IFERROR(INDEX(medicine_master!$B$2:$B$26,MATCH($C797,medicine_master!$A$2:$A$26,0)),"Not found")</f>
        <v>Aspirin 75mg</v>
      </c>
      <c r="H797" s="39" t="str">
        <f aca="false">IFERROR(INDEX(medicine_master!$C$2:$C$26,MATCH($C797,medicine_master!$A$2:$A$26,0)),"Not found")</f>
        <v>Cardiac</v>
      </c>
      <c r="I797" s="39" t="n">
        <f aca="false">YEAR(B797)</f>
        <v>2026</v>
      </c>
      <c r="J797" s="39" t="n">
        <f aca="false">MONTH(B797)</f>
        <v>6</v>
      </c>
      <c r="K797" s="39" t="str">
        <f aca="false">TEXT(B797,"mmm")</f>
        <v>Jun</v>
      </c>
      <c r="L797" s="45" t="n">
        <f aca="false">IFERROR(INDEX(medicine_master!$I$2:$I$26,MATCH($C797,medicine_master!$A$2:$A$26,0)),0)</f>
        <v>15</v>
      </c>
      <c r="M797" s="45" t="n">
        <f aca="false">IFERROR(INDEX(medicine_master!$G$2:$G$26,MATCH($C797,medicine_master!$A$2:$A$26,0)),0)</f>
        <v>10</v>
      </c>
      <c r="N797" s="45" t="n">
        <f aca="false">IF(D797="Sale",E797*L797,0)</f>
        <v>225</v>
      </c>
      <c r="O797" s="45" t="n">
        <f aca="false">IF(D797="Sale",E797*M797,0)</f>
        <v>150</v>
      </c>
      <c r="P797" s="45" t="n">
        <f aca="false">N797-O797</f>
        <v>75</v>
      </c>
      <c r="Q797" s="45" t="n">
        <f aca="false">IF(D797="Purchase",E797*M797,0)</f>
        <v>0</v>
      </c>
    </row>
    <row r="798" customFormat="false" ht="15" hidden="false" customHeight="false" outlineLevel="0" collapsed="false">
      <c r="A798" s="39" t="s">
        <v>1122</v>
      </c>
      <c r="B798" s="44" t="n">
        <v>46290</v>
      </c>
      <c r="C798" s="39" t="s">
        <v>321</v>
      </c>
      <c r="D798" s="39" t="s">
        <v>138</v>
      </c>
      <c r="E798" s="39" t="n">
        <v>30</v>
      </c>
      <c r="F798" s="39" t="str">
        <f aca="false">IF(COUNTIF(medicine_master!$A$2:$A$26,C798)&gt;0,"Valid","Invalid")</f>
        <v>Valid</v>
      </c>
      <c r="G798" s="39" t="str">
        <f aca="false">IFERROR(INDEX(medicine_master!$B$2:$B$26,MATCH($C798,medicine_master!$A$2:$A$26,0)),"Not found")</f>
        <v>Levocetirizine 5mg</v>
      </c>
      <c r="H798" s="39" t="str">
        <f aca="false">IFERROR(INDEX(medicine_master!$C$2:$C$26,MATCH($C798,medicine_master!$A$2:$A$26,0)),"Not found")</f>
        <v>Allergy</v>
      </c>
      <c r="I798" s="39" t="n">
        <f aca="false">YEAR(B798)</f>
        <v>2026</v>
      </c>
      <c r="J798" s="39" t="n">
        <f aca="false">MONTH(B798)</f>
        <v>9</v>
      </c>
      <c r="K798" s="39" t="str">
        <f aca="false">TEXT(B798,"mmm")</f>
        <v>Sep</v>
      </c>
      <c r="L798" s="45" t="n">
        <f aca="false">IFERROR(INDEX(medicine_master!$I$2:$I$26,MATCH($C798,medicine_master!$A$2:$A$26,0)),0)</f>
        <v>22</v>
      </c>
      <c r="M798" s="45" t="n">
        <f aca="false">IFERROR(INDEX(medicine_master!$G$2:$G$26,MATCH($C798,medicine_master!$A$2:$A$26,0)),0)</f>
        <v>14</v>
      </c>
      <c r="N798" s="45" t="n">
        <f aca="false">IF(D798="Sale",E798*L798,0)</f>
        <v>0</v>
      </c>
      <c r="O798" s="45" t="n">
        <f aca="false">IF(D798="Sale",E798*M798,0)</f>
        <v>0</v>
      </c>
      <c r="P798" s="45" t="n">
        <f aca="false">N798-O798</f>
        <v>0</v>
      </c>
      <c r="Q798" s="45" t="n">
        <f aca="false">IF(D798="Purchase",E798*M798,0)</f>
        <v>420</v>
      </c>
    </row>
    <row r="799" customFormat="false" ht="15" hidden="false" customHeight="false" outlineLevel="0" collapsed="false">
      <c r="A799" s="39" t="s">
        <v>1123</v>
      </c>
      <c r="B799" s="44" t="n">
        <v>46250</v>
      </c>
      <c r="C799" s="39" t="s">
        <v>158</v>
      </c>
      <c r="D799" s="39" t="s">
        <v>137</v>
      </c>
      <c r="E799" s="39" t="n">
        <v>20</v>
      </c>
      <c r="F799" s="39" t="str">
        <f aca="false">IF(COUNTIF(medicine_master!$A$2:$A$26,C799)&gt;0,"Valid","Invalid")</f>
        <v>Valid</v>
      </c>
      <c r="G799" s="39" t="str">
        <f aca="false">IFERROR(INDEX(medicine_master!$B$2:$B$26,MATCH($C799,medicine_master!$A$2:$A$26,0)),"Not found")</f>
        <v>Cough Syrup 100ml</v>
      </c>
      <c r="H799" s="39" t="str">
        <f aca="false">IFERROR(INDEX(medicine_master!$C$2:$C$26,MATCH($C799,medicine_master!$A$2:$A$26,0)),"Not found")</f>
        <v>Cold &amp; Cough</v>
      </c>
      <c r="I799" s="39" t="n">
        <f aca="false">YEAR(B799)</f>
        <v>2026</v>
      </c>
      <c r="J799" s="39" t="n">
        <f aca="false">MONTH(B799)</f>
        <v>8</v>
      </c>
      <c r="K799" s="39" t="str">
        <f aca="false">TEXT(B799,"mmm")</f>
        <v>Aug</v>
      </c>
      <c r="L799" s="45" t="n">
        <f aca="false">IFERROR(INDEX(medicine_master!$I$2:$I$26,MATCH($C799,medicine_master!$A$2:$A$26,0)),0)</f>
        <v>72</v>
      </c>
      <c r="M799" s="45" t="n">
        <f aca="false">IFERROR(INDEX(medicine_master!$G$2:$G$26,MATCH($C799,medicine_master!$A$2:$A$26,0)),0)</f>
        <v>52</v>
      </c>
      <c r="N799" s="45" t="n">
        <f aca="false">IF(D799="Sale",E799*L799,0)</f>
        <v>1440</v>
      </c>
      <c r="O799" s="45" t="n">
        <f aca="false">IF(D799="Sale",E799*M799,0)</f>
        <v>1040</v>
      </c>
      <c r="P799" s="45" t="n">
        <f aca="false">N799-O799</f>
        <v>400</v>
      </c>
      <c r="Q799" s="45" t="n">
        <f aca="false">IF(D799="Purchase",E799*M799,0)</f>
        <v>0</v>
      </c>
    </row>
    <row r="800" customFormat="false" ht="15" hidden="false" customHeight="false" outlineLevel="0" collapsed="false">
      <c r="A800" s="39" t="s">
        <v>1124</v>
      </c>
      <c r="B800" s="44" t="n">
        <v>46294</v>
      </c>
      <c r="C800" s="39" t="s">
        <v>159</v>
      </c>
      <c r="D800" s="39" t="s">
        <v>138</v>
      </c>
      <c r="E800" s="39" t="n">
        <v>10</v>
      </c>
      <c r="F800" s="39" t="str">
        <f aca="false">IF(COUNTIF(medicine_master!$A$2:$A$26,C800)&gt;0,"Valid","Invalid")</f>
        <v>Valid</v>
      </c>
      <c r="G800" s="39" t="str">
        <f aca="false">IFERROR(INDEX(medicine_master!$B$2:$B$26,MATCH($C800,medicine_master!$A$2:$A$26,0)),"Not found")</f>
        <v>Antiseptic Liquid 100ml</v>
      </c>
      <c r="H800" s="39" t="str">
        <f aca="false">IFERROR(INDEX(medicine_master!$C$2:$C$26,MATCH($C800,medicine_master!$A$2:$A$26,0)),"Not found")</f>
        <v>First Aid</v>
      </c>
      <c r="I800" s="39" t="n">
        <f aca="false">YEAR(B800)</f>
        <v>2026</v>
      </c>
      <c r="J800" s="39" t="n">
        <f aca="false">MONTH(B800)</f>
        <v>9</v>
      </c>
      <c r="K800" s="39" t="str">
        <f aca="false">TEXT(B800,"mmm")</f>
        <v>Sep</v>
      </c>
      <c r="L800" s="45" t="n">
        <f aca="false">IFERROR(INDEX(medicine_master!$I$2:$I$26,MATCH($C800,medicine_master!$A$2:$A$26,0)),0)</f>
        <v>65</v>
      </c>
      <c r="M800" s="45" t="n">
        <f aca="false">IFERROR(INDEX(medicine_master!$G$2:$G$26,MATCH($C800,medicine_master!$A$2:$A$26,0)),0)</f>
        <v>48</v>
      </c>
      <c r="N800" s="45" t="n">
        <f aca="false">IF(D800="Sale",E800*L800,0)</f>
        <v>0</v>
      </c>
      <c r="O800" s="45" t="n">
        <f aca="false">IF(D800="Sale",E800*M800,0)</f>
        <v>0</v>
      </c>
      <c r="P800" s="45" t="n">
        <f aca="false">N800-O800</f>
        <v>0</v>
      </c>
      <c r="Q800" s="45" t="n">
        <f aca="false">IF(D800="Purchase",E800*M800,0)</f>
        <v>480</v>
      </c>
    </row>
    <row r="801" customFormat="false" ht="15" hidden="false" customHeight="false" outlineLevel="0" collapsed="false">
      <c r="A801" s="39" t="s">
        <v>1125</v>
      </c>
      <c r="B801" s="44" t="n">
        <v>46305</v>
      </c>
      <c r="C801" s="39" t="s">
        <v>321</v>
      </c>
      <c r="D801" s="39" t="s">
        <v>138</v>
      </c>
      <c r="E801" s="39" t="n">
        <v>30</v>
      </c>
      <c r="F801" s="39" t="str">
        <f aca="false">IF(COUNTIF(medicine_master!$A$2:$A$26,C801)&gt;0,"Valid","Invalid")</f>
        <v>Valid</v>
      </c>
      <c r="G801" s="39" t="str">
        <f aca="false">IFERROR(INDEX(medicine_master!$B$2:$B$26,MATCH($C801,medicine_master!$A$2:$A$26,0)),"Not found")</f>
        <v>Levocetirizine 5mg</v>
      </c>
      <c r="H801" s="39" t="str">
        <f aca="false">IFERROR(INDEX(medicine_master!$C$2:$C$26,MATCH($C801,medicine_master!$A$2:$A$26,0)),"Not found")</f>
        <v>Allergy</v>
      </c>
      <c r="I801" s="39" t="n">
        <f aca="false">YEAR(B801)</f>
        <v>2026</v>
      </c>
      <c r="J801" s="39" t="n">
        <f aca="false">MONTH(B801)</f>
        <v>10</v>
      </c>
      <c r="K801" s="39" t="str">
        <f aca="false">TEXT(B801,"mmm")</f>
        <v>Oct</v>
      </c>
      <c r="L801" s="45" t="n">
        <f aca="false">IFERROR(INDEX(medicine_master!$I$2:$I$26,MATCH($C801,medicine_master!$A$2:$A$26,0)),0)</f>
        <v>22</v>
      </c>
      <c r="M801" s="45" t="n">
        <f aca="false">IFERROR(INDEX(medicine_master!$G$2:$G$26,MATCH($C801,medicine_master!$A$2:$A$26,0)),0)</f>
        <v>14</v>
      </c>
      <c r="N801" s="45" t="n">
        <f aca="false">IF(D801="Sale",E801*L801,0)</f>
        <v>0</v>
      </c>
      <c r="O801" s="45" t="n">
        <f aca="false">IF(D801="Sale",E801*M801,0)</f>
        <v>0</v>
      </c>
      <c r="P801" s="45" t="n">
        <f aca="false">N801-O801</f>
        <v>0</v>
      </c>
      <c r="Q801" s="45" t="n">
        <f aca="false">IF(D801="Purchase",E801*M801,0)</f>
        <v>420</v>
      </c>
    </row>
    <row r="802" customFormat="false" ht="15" hidden="false" customHeight="false" outlineLevel="0" collapsed="false">
      <c r="A802" s="39" t="s">
        <v>1126</v>
      </c>
      <c r="B802" s="44" t="n">
        <v>46244</v>
      </c>
      <c r="C802" s="39" t="s">
        <v>326</v>
      </c>
      <c r="D802" s="39" t="s">
        <v>138</v>
      </c>
      <c r="E802" s="39" t="n">
        <v>15</v>
      </c>
      <c r="F802" s="39" t="str">
        <f aca="false">IF(COUNTIF(medicine_master!$A$2:$A$26,C802)&gt;0,"Valid","Invalid")</f>
        <v>Valid</v>
      </c>
      <c r="G802" s="39" t="str">
        <f aca="false">IFERROR(INDEX(medicine_master!$B$2:$B$26,MATCH($C802,medicine_master!$A$2:$A$26,0)),"Not found")</f>
        <v>Omeprazole 20mg</v>
      </c>
      <c r="H802" s="39" t="str">
        <f aca="false">IFERROR(INDEX(medicine_master!$C$2:$C$26,MATCH($C802,medicine_master!$A$2:$A$26,0)),"Not found")</f>
        <v>Gastric</v>
      </c>
      <c r="I802" s="39" t="n">
        <f aca="false">YEAR(B802)</f>
        <v>2026</v>
      </c>
      <c r="J802" s="39" t="n">
        <f aca="false">MONTH(B802)</f>
        <v>8</v>
      </c>
      <c r="K802" s="39" t="str">
        <f aca="false">TEXT(B802,"mmm")</f>
        <v>Aug</v>
      </c>
      <c r="L802" s="45" t="n">
        <f aca="false">IFERROR(INDEX(medicine_master!$I$2:$I$26,MATCH($C802,medicine_master!$A$2:$A$26,0)),0)</f>
        <v>26</v>
      </c>
      <c r="M802" s="45" t="n">
        <f aca="false">IFERROR(INDEX(medicine_master!$G$2:$G$26,MATCH($C802,medicine_master!$A$2:$A$26,0)),0)</f>
        <v>18</v>
      </c>
      <c r="N802" s="45" t="n">
        <f aca="false">IF(D802="Sale",E802*L802,0)</f>
        <v>0</v>
      </c>
      <c r="O802" s="45" t="n">
        <f aca="false">IF(D802="Sale",E802*M802,0)</f>
        <v>0</v>
      </c>
      <c r="P802" s="45" t="n">
        <f aca="false">N802-O802</f>
        <v>0</v>
      </c>
      <c r="Q802" s="45" t="n">
        <f aca="false">IF(D802="Purchase",E802*M802,0)</f>
        <v>270</v>
      </c>
    </row>
    <row r="803" customFormat="false" ht="15" hidden="false" customHeight="false" outlineLevel="0" collapsed="false">
      <c r="A803" s="39" t="s">
        <v>1127</v>
      </c>
      <c r="B803" s="44" t="n">
        <v>46246</v>
      </c>
      <c r="C803" s="39" t="s">
        <v>390</v>
      </c>
      <c r="D803" s="39" t="s">
        <v>138</v>
      </c>
      <c r="E803" s="39" t="n">
        <v>30</v>
      </c>
      <c r="F803" s="39" t="str">
        <f aca="false">IF(COUNTIF(medicine_master!$A$2:$A$26,C803)&gt;0,"Valid","Invalid")</f>
        <v>Valid</v>
      </c>
      <c r="G803" s="39" t="str">
        <f aca="false">IFERROR(INDEX(medicine_master!$B$2:$B$26,MATCH($C803,medicine_master!$A$2:$A$26,0)),"Not found")</f>
        <v>Montelukast 10mg</v>
      </c>
      <c r="H803" s="39" t="str">
        <f aca="false">IFERROR(INDEX(medicine_master!$C$2:$C$26,MATCH($C803,medicine_master!$A$2:$A$26,0)),"Not found")</f>
        <v>Allergy</v>
      </c>
      <c r="I803" s="39" t="n">
        <f aca="false">YEAR(B803)</f>
        <v>2026</v>
      </c>
      <c r="J803" s="39" t="n">
        <f aca="false">MONTH(B803)</f>
        <v>8</v>
      </c>
      <c r="K803" s="39" t="str">
        <f aca="false">TEXT(B803,"mmm")</f>
        <v>Aug</v>
      </c>
      <c r="L803" s="45" t="n">
        <f aca="false">IFERROR(INDEX(medicine_master!$I$2:$I$26,MATCH($C803,medicine_master!$A$2:$A$26,0)),0)</f>
        <v>39</v>
      </c>
      <c r="M803" s="45" t="n">
        <f aca="false">IFERROR(INDEX(medicine_master!$G$2:$G$26,MATCH($C803,medicine_master!$A$2:$A$26,0)),0)</f>
        <v>27</v>
      </c>
      <c r="N803" s="45" t="n">
        <f aca="false">IF(D803="Sale",E803*L803,0)</f>
        <v>0</v>
      </c>
      <c r="O803" s="45" t="n">
        <f aca="false">IF(D803="Sale",E803*M803,0)</f>
        <v>0</v>
      </c>
      <c r="P803" s="45" t="n">
        <f aca="false">N803-O803</f>
        <v>0</v>
      </c>
      <c r="Q803" s="45" t="n">
        <f aca="false">IF(D803="Purchase",E803*M803,0)</f>
        <v>810</v>
      </c>
    </row>
    <row r="804" customFormat="false" ht="15" hidden="false" customHeight="false" outlineLevel="0" collapsed="false">
      <c r="A804" s="39" t="s">
        <v>1128</v>
      </c>
      <c r="B804" s="44" t="n">
        <v>46029</v>
      </c>
      <c r="C804" s="39" t="s">
        <v>146</v>
      </c>
      <c r="D804" s="39" t="s">
        <v>137</v>
      </c>
      <c r="E804" s="39" t="n">
        <v>25</v>
      </c>
      <c r="F804" s="39" t="str">
        <f aca="false">IF(COUNTIF(medicine_master!$A$2:$A$26,C804)&gt;0,"Valid","Invalid")</f>
        <v>Valid</v>
      </c>
      <c r="G804" s="39" t="str">
        <f aca="false">IFERROR(INDEX(medicine_master!$B$2:$B$26,MATCH($C804,medicine_master!$A$2:$A$26,0)),"Not found")</f>
        <v>Diclofenac Gel</v>
      </c>
      <c r="H804" s="39" t="str">
        <f aca="false">IFERROR(INDEX(medicine_master!$C$2:$C$26,MATCH($C804,medicine_master!$A$2:$A$26,0)),"Not found")</f>
        <v>Pain Relief</v>
      </c>
      <c r="I804" s="39" t="n">
        <f aca="false">YEAR(B804)</f>
        <v>2026</v>
      </c>
      <c r="J804" s="39" t="n">
        <f aca="false">MONTH(B804)</f>
        <v>1</v>
      </c>
      <c r="K804" s="39" t="str">
        <f aca="false">TEXT(B804,"mmm")</f>
        <v>Jan</v>
      </c>
      <c r="L804" s="45" t="n">
        <f aca="false">IFERROR(INDEX(medicine_master!$I$2:$I$26,MATCH($C804,medicine_master!$A$2:$A$26,0)),0)</f>
        <v>55</v>
      </c>
      <c r="M804" s="45" t="n">
        <f aca="false">IFERROR(INDEX(medicine_master!$G$2:$G$26,MATCH($C804,medicine_master!$A$2:$A$26,0)),0)</f>
        <v>38</v>
      </c>
      <c r="N804" s="45" t="n">
        <f aca="false">IF(D804="Sale",E804*L804,0)</f>
        <v>1375</v>
      </c>
      <c r="O804" s="45" t="n">
        <f aca="false">IF(D804="Sale",E804*M804,0)</f>
        <v>950</v>
      </c>
      <c r="P804" s="45" t="n">
        <f aca="false">N804-O804</f>
        <v>425</v>
      </c>
      <c r="Q804" s="45" t="n">
        <f aca="false">IF(D804="Purchase",E804*M804,0)</f>
        <v>0</v>
      </c>
    </row>
    <row r="805" customFormat="false" ht="15" hidden="false" customHeight="false" outlineLevel="0" collapsed="false">
      <c r="A805" s="39" t="s">
        <v>1129</v>
      </c>
      <c r="B805" s="44" t="n">
        <v>46230</v>
      </c>
      <c r="C805" s="39" t="s">
        <v>495</v>
      </c>
      <c r="D805" s="39" t="s">
        <v>137</v>
      </c>
      <c r="E805" s="39" t="n">
        <v>25</v>
      </c>
      <c r="F805" s="39" t="str">
        <f aca="false">IF(COUNTIF(medicine_master!$A$2:$A$26,C805)&gt;0,"Valid","Invalid")</f>
        <v>Valid</v>
      </c>
      <c r="G805" s="39" t="str">
        <f aca="false">IFERROR(INDEX(medicine_master!$B$2:$B$26,MATCH($C805,medicine_master!$A$2:$A$26,0)),"Not found")</f>
        <v>Metformin 500mg</v>
      </c>
      <c r="H805" s="39" t="str">
        <f aca="false">IFERROR(INDEX(medicine_master!$C$2:$C$26,MATCH($C805,medicine_master!$A$2:$A$26,0)),"Not found")</f>
        <v>Diabetes</v>
      </c>
      <c r="I805" s="39" t="n">
        <f aca="false">YEAR(B805)</f>
        <v>2026</v>
      </c>
      <c r="J805" s="39" t="n">
        <f aca="false">MONTH(B805)</f>
        <v>7</v>
      </c>
      <c r="K805" s="39" t="str">
        <f aca="false">TEXT(B805,"mmm")</f>
        <v>Jul</v>
      </c>
      <c r="L805" s="45" t="n">
        <f aca="false">IFERROR(INDEX(medicine_master!$I$2:$I$26,MATCH($C805,medicine_master!$A$2:$A$26,0)),0)</f>
        <v>24</v>
      </c>
      <c r="M805" s="45" t="n">
        <f aca="false">IFERROR(INDEX(medicine_master!$G$2:$G$26,MATCH($C805,medicine_master!$A$2:$A$26,0)),0)</f>
        <v>16</v>
      </c>
      <c r="N805" s="45" t="n">
        <f aca="false">IF(D805="Sale",E805*L805,0)</f>
        <v>600</v>
      </c>
      <c r="O805" s="45" t="n">
        <f aca="false">IF(D805="Sale",E805*M805,0)</f>
        <v>400</v>
      </c>
      <c r="P805" s="45" t="n">
        <f aca="false">N805-O805</f>
        <v>200</v>
      </c>
      <c r="Q805" s="45" t="n">
        <f aca="false">IF(D805="Purchase",E805*M805,0)</f>
        <v>0</v>
      </c>
    </row>
    <row r="806" customFormat="false" ht="15" hidden="false" customHeight="false" outlineLevel="0" collapsed="false">
      <c r="A806" s="39" t="s">
        <v>1130</v>
      </c>
      <c r="B806" s="44" t="n">
        <v>46250</v>
      </c>
      <c r="C806" s="39" t="s">
        <v>159</v>
      </c>
      <c r="D806" s="39" t="s">
        <v>137</v>
      </c>
      <c r="E806" s="39" t="n">
        <v>25</v>
      </c>
      <c r="F806" s="39" t="str">
        <f aca="false">IF(COUNTIF(medicine_master!$A$2:$A$26,C806)&gt;0,"Valid","Invalid")</f>
        <v>Valid</v>
      </c>
      <c r="G806" s="39" t="str">
        <f aca="false">IFERROR(INDEX(medicine_master!$B$2:$B$26,MATCH($C806,medicine_master!$A$2:$A$26,0)),"Not found")</f>
        <v>Antiseptic Liquid 100ml</v>
      </c>
      <c r="H806" s="39" t="str">
        <f aca="false">IFERROR(INDEX(medicine_master!$C$2:$C$26,MATCH($C806,medicine_master!$A$2:$A$26,0)),"Not found")</f>
        <v>First Aid</v>
      </c>
      <c r="I806" s="39" t="n">
        <f aca="false">YEAR(B806)</f>
        <v>2026</v>
      </c>
      <c r="J806" s="39" t="n">
        <f aca="false">MONTH(B806)</f>
        <v>8</v>
      </c>
      <c r="K806" s="39" t="str">
        <f aca="false">TEXT(B806,"mmm")</f>
        <v>Aug</v>
      </c>
      <c r="L806" s="45" t="n">
        <f aca="false">IFERROR(INDEX(medicine_master!$I$2:$I$26,MATCH($C806,medicine_master!$A$2:$A$26,0)),0)</f>
        <v>65</v>
      </c>
      <c r="M806" s="45" t="n">
        <f aca="false">IFERROR(INDEX(medicine_master!$G$2:$G$26,MATCH($C806,medicine_master!$A$2:$A$26,0)),0)</f>
        <v>48</v>
      </c>
      <c r="N806" s="45" t="n">
        <f aca="false">IF(D806="Sale",E806*L806,0)</f>
        <v>1625</v>
      </c>
      <c r="O806" s="45" t="n">
        <f aca="false">IF(D806="Sale",E806*M806,0)</f>
        <v>1200</v>
      </c>
      <c r="P806" s="45" t="n">
        <f aca="false">N806-O806</f>
        <v>425</v>
      </c>
      <c r="Q806" s="45" t="n">
        <f aca="false">IF(D806="Purchase",E806*M806,0)</f>
        <v>0</v>
      </c>
    </row>
    <row r="807" customFormat="false" ht="15" hidden="false" customHeight="false" outlineLevel="0" collapsed="false">
      <c r="A807" s="39" t="s">
        <v>1131</v>
      </c>
      <c r="B807" s="44" t="n">
        <v>46286</v>
      </c>
      <c r="C807" s="39" t="s">
        <v>345</v>
      </c>
      <c r="D807" s="39" t="s">
        <v>137</v>
      </c>
      <c r="E807" s="39" t="n">
        <v>15</v>
      </c>
      <c r="F807" s="39" t="str">
        <f aca="false">IF(COUNTIF(medicine_master!$A$2:$A$26,C807)&gt;0,"Valid","Invalid")</f>
        <v>Valid</v>
      </c>
      <c r="G807" s="39" t="str">
        <f aca="false">IFERROR(INDEX(medicine_master!$B$2:$B$26,MATCH($C807,medicine_master!$A$2:$A$26,0)),"Not found")</f>
        <v>Paracetamol 500mg</v>
      </c>
      <c r="H807" s="39" t="str">
        <f aca="false">IFERROR(INDEX(medicine_master!$C$2:$C$26,MATCH($C807,medicine_master!$A$2:$A$26,0)),"Not found")</f>
        <v>Pain Relief</v>
      </c>
      <c r="I807" s="39" t="n">
        <f aca="false">YEAR(B807)</f>
        <v>2026</v>
      </c>
      <c r="J807" s="39" t="n">
        <f aca="false">MONTH(B807)</f>
        <v>9</v>
      </c>
      <c r="K807" s="39" t="str">
        <f aca="false">TEXT(B807,"mmm")</f>
        <v>Sep</v>
      </c>
      <c r="L807" s="45" t="n">
        <f aca="false">IFERROR(INDEX(medicine_master!$I$2:$I$26,MATCH($C807,medicine_master!$A$2:$A$26,0)),0)</f>
        <v>18</v>
      </c>
      <c r="M807" s="45" t="n">
        <f aca="false">IFERROR(INDEX(medicine_master!$G$2:$G$26,MATCH($C807,medicine_master!$A$2:$A$26,0)),0)</f>
        <v>12</v>
      </c>
      <c r="N807" s="45" t="n">
        <f aca="false">IF(D807="Sale",E807*L807,0)</f>
        <v>270</v>
      </c>
      <c r="O807" s="45" t="n">
        <f aca="false">IF(D807="Sale",E807*M807,0)</f>
        <v>180</v>
      </c>
      <c r="P807" s="45" t="n">
        <f aca="false">N807-O807</f>
        <v>90</v>
      </c>
      <c r="Q807" s="45" t="n">
        <f aca="false">IF(D807="Purchase",E807*M807,0)</f>
        <v>0</v>
      </c>
    </row>
    <row r="808" customFormat="false" ht="15" hidden="false" customHeight="false" outlineLevel="0" collapsed="false">
      <c r="A808" s="39" t="s">
        <v>1132</v>
      </c>
      <c r="B808" s="44" t="n">
        <v>46067</v>
      </c>
      <c r="C808" s="39" t="s">
        <v>321</v>
      </c>
      <c r="D808" s="39" t="s">
        <v>138</v>
      </c>
      <c r="E808" s="39" t="n">
        <v>40</v>
      </c>
      <c r="F808" s="39" t="str">
        <f aca="false">IF(COUNTIF(medicine_master!$A$2:$A$26,C808)&gt;0,"Valid","Invalid")</f>
        <v>Valid</v>
      </c>
      <c r="G808" s="39" t="str">
        <f aca="false">IFERROR(INDEX(medicine_master!$B$2:$B$26,MATCH($C808,medicine_master!$A$2:$A$26,0)),"Not found")</f>
        <v>Levocetirizine 5mg</v>
      </c>
      <c r="H808" s="39" t="str">
        <f aca="false">IFERROR(INDEX(medicine_master!$C$2:$C$26,MATCH($C808,medicine_master!$A$2:$A$26,0)),"Not found")</f>
        <v>Allergy</v>
      </c>
      <c r="I808" s="39" t="n">
        <f aca="false">YEAR(B808)</f>
        <v>2026</v>
      </c>
      <c r="J808" s="39" t="n">
        <f aca="false">MONTH(B808)</f>
        <v>2</v>
      </c>
      <c r="K808" s="39" t="str">
        <f aca="false">TEXT(B808,"mmm")</f>
        <v>Feb</v>
      </c>
      <c r="L808" s="45" t="n">
        <f aca="false">IFERROR(INDEX(medicine_master!$I$2:$I$26,MATCH($C808,medicine_master!$A$2:$A$26,0)),0)</f>
        <v>22</v>
      </c>
      <c r="M808" s="45" t="n">
        <f aca="false">IFERROR(INDEX(medicine_master!$G$2:$G$26,MATCH($C808,medicine_master!$A$2:$A$26,0)),0)</f>
        <v>14</v>
      </c>
      <c r="N808" s="45" t="n">
        <f aca="false">IF(D808="Sale",E808*L808,0)</f>
        <v>0</v>
      </c>
      <c r="O808" s="45" t="n">
        <f aca="false">IF(D808="Sale",E808*M808,0)</f>
        <v>0</v>
      </c>
      <c r="P808" s="45" t="n">
        <f aca="false">N808-O808</f>
        <v>0</v>
      </c>
      <c r="Q808" s="45" t="n">
        <f aca="false">IF(D808="Purchase",E808*M808,0)</f>
        <v>560</v>
      </c>
    </row>
    <row r="809" customFormat="false" ht="15" hidden="false" customHeight="false" outlineLevel="0" collapsed="false">
      <c r="A809" s="39" t="s">
        <v>1133</v>
      </c>
      <c r="B809" s="44" t="n">
        <v>46179</v>
      </c>
      <c r="C809" s="39" t="s">
        <v>179</v>
      </c>
      <c r="D809" s="39" t="s">
        <v>137</v>
      </c>
      <c r="E809" s="39" t="n">
        <v>20</v>
      </c>
      <c r="F809" s="39" t="str">
        <f aca="false">IF(COUNTIF(medicine_master!$A$2:$A$26,C809)&gt;0,"Valid","Invalid")</f>
        <v>Valid</v>
      </c>
      <c r="G809" s="39" t="str">
        <f aca="false">IFERROR(INDEX(medicine_master!$B$2:$B$26,MATCH($C809,medicine_master!$A$2:$A$26,0)),"Not found")</f>
        <v>Ibuprofen 400mg</v>
      </c>
      <c r="H809" s="39" t="str">
        <f aca="false">IFERROR(INDEX(medicine_master!$C$2:$C$26,MATCH($C809,medicine_master!$A$2:$A$26,0)),"Not found")</f>
        <v>Pain Relief</v>
      </c>
      <c r="I809" s="39" t="n">
        <f aca="false">YEAR(B809)</f>
        <v>2026</v>
      </c>
      <c r="J809" s="39" t="n">
        <f aca="false">MONTH(B809)</f>
        <v>6</v>
      </c>
      <c r="K809" s="39" t="str">
        <f aca="false">TEXT(B809,"mmm")</f>
        <v>Jun</v>
      </c>
      <c r="L809" s="45" t="n">
        <f aca="false">IFERROR(INDEX(medicine_master!$I$2:$I$26,MATCH($C809,medicine_master!$A$2:$A$26,0)),0)</f>
        <v>30</v>
      </c>
      <c r="M809" s="45" t="n">
        <f aca="false">IFERROR(INDEX(medicine_master!$G$2:$G$26,MATCH($C809,medicine_master!$A$2:$A$26,0)),0)</f>
        <v>22</v>
      </c>
      <c r="N809" s="45" t="n">
        <f aca="false">IF(D809="Sale",E809*L809,0)</f>
        <v>600</v>
      </c>
      <c r="O809" s="45" t="n">
        <f aca="false">IF(D809="Sale",E809*M809,0)</f>
        <v>440</v>
      </c>
      <c r="P809" s="45" t="n">
        <f aca="false">N809-O809</f>
        <v>160</v>
      </c>
      <c r="Q809" s="45" t="n">
        <f aca="false">IF(D809="Purchase",E809*M809,0)</f>
        <v>0</v>
      </c>
    </row>
    <row r="810" customFormat="false" ht="15" hidden="false" customHeight="false" outlineLevel="0" collapsed="false">
      <c r="A810" s="39" t="s">
        <v>1134</v>
      </c>
      <c r="B810" s="44" t="n">
        <v>46146</v>
      </c>
      <c r="C810" s="39" t="s">
        <v>148</v>
      </c>
      <c r="D810" s="39" t="s">
        <v>137</v>
      </c>
      <c r="E810" s="39" t="n">
        <v>25</v>
      </c>
      <c r="F810" s="39" t="str">
        <f aca="false">IF(COUNTIF(medicine_master!$A$2:$A$26,C810)&gt;0,"Valid","Invalid")</f>
        <v>Valid</v>
      </c>
      <c r="G810" s="39" t="str">
        <f aca="false">IFERROR(INDEX(medicine_master!$B$2:$B$26,MATCH($C810,medicine_master!$A$2:$A$26,0)),"Not found")</f>
        <v>Dextromethorphan Syrup</v>
      </c>
      <c r="H810" s="39" t="str">
        <f aca="false">IFERROR(INDEX(medicine_master!$C$2:$C$26,MATCH($C810,medicine_master!$A$2:$A$26,0)),"Not found")</f>
        <v>Cold &amp; Cough</v>
      </c>
      <c r="I810" s="39" t="n">
        <f aca="false">YEAR(B810)</f>
        <v>2026</v>
      </c>
      <c r="J810" s="39" t="n">
        <f aca="false">MONTH(B810)</f>
        <v>5</v>
      </c>
      <c r="K810" s="39" t="str">
        <f aca="false">TEXT(B810,"mmm")</f>
        <v>May</v>
      </c>
      <c r="L810" s="45" t="n">
        <f aca="false">IFERROR(INDEX(medicine_master!$I$2:$I$26,MATCH($C810,medicine_master!$A$2:$A$26,0)),0)</f>
        <v>80</v>
      </c>
      <c r="M810" s="45" t="n">
        <f aca="false">IFERROR(INDEX(medicine_master!$G$2:$G$26,MATCH($C810,medicine_master!$A$2:$A$26,0)),0)</f>
        <v>58</v>
      </c>
      <c r="N810" s="45" t="n">
        <f aca="false">IF(D810="Sale",E810*L810,0)</f>
        <v>2000</v>
      </c>
      <c r="O810" s="45" t="n">
        <f aca="false">IF(D810="Sale",E810*M810,0)</f>
        <v>1450</v>
      </c>
      <c r="P810" s="45" t="n">
        <f aca="false">N810-O810</f>
        <v>550</v>
      </c>
      <c r="Q810" s="45" t="n">
        <f aca="false">IF(D810="Purchase",E810*M810,0)</f>
        <v>0</v>
      </c>
    </row>
    <row r="811" customFormat="false" ht="15" hidden="false" customHeight="false" outlineLevel="0" collapsed="false">
      <c r="A811" s="39" t="s">
        <v>1135</v>
      </c>
      <c r="B811" s="44" t="n">
        <v>46126</v>
      </c>
      <c r="C811" s="39" t="s">
        <v>326</v>
      </c>
      <c r="D811" s="39" t="s">
        <v>138</v>
      </c>
      <c r="E811" s="39" t="n">
        <v>20</v>
      </c>
      <c r="F811" s="39" t="str">
        <f aca="false">IF(COUNTIF(medicine_master!$A$2:$A$26,C811)&gt;0,"Valid","Invalid")</f>
        <v>Valid</v>
      </c>
      <c r="G811" s="39" t="str">
        <f aca="false">IFERROR(INDEX(medicine_master!$B$2:$B$26,MATCH($C811,medicine_master!$A$2:$A$26,0)),"Not found")</f>
        <v>Omeprazole 20mg</v>
      </c>
      <c r="H811" s="39" t="str">
        <f aca="false">IFERROR(INDEX(medicine_master!$C$2:$C$26,MATCH($C811,medicine_master!$A$2:$A$26,0)),"Not found")</f>
        <v>Gastric</v>
      </c>
      <c r="I811" s="39" t="n">
        <f aca="false">YEAR(B811)</f>
        <v>2026</v>
      </c>
      <c r="J811" s="39" t="n">
        <f aca="false">MONTH(B811)</f>
        <v>4</v>
      </c>
      <c r="K811" s="39" t="str">
        <f aca="false">TEXT(B811,"mmm")</f>
        <v>Apr</v>
      </c>
      <c r="L811" s="45" t="n">
        <f aca="false">IFERROR(INDEX(medicine_master!$I$2:$I$26,MATCH($C811,medicine_master!$A$2:$A$26,0)),0)</f>
        <v>26</v>
      </c>
      <c r="M811" s="45" t="n">
        <f aca="false">IFERROR(INDEX(medicine_master!$G$2:$G$26,MATCH($C811,medicine_master!$A$2:$A$26,0)),0)</f>
        <v>18</v>
      </c>
      <c r="N811" s="45" t="n">
        <f aca="false">IF(D811="Sale",E811*L811,0)</f>
        <v>0</v>
      </c>
      <c r="O811" s="45" t="n">
        <f aca="false">IF(D811="Sale",E811*M811,0)</f>
        <v>0</v>
      </c>
      <c r="P811" s="45" t="n">
        <f aca="false">N811-O811</f>
        <v>0</v>
      </c>
      <c r="Q811" s="45" t="n">
        <f aca="false">IF(D811="Purchase",E811*M811,0)</f>
        <v>360</v>
      </c>
    </row>
    <row r="812" customFormat="false" ht="15" hidden="false" customHeight="false" outlineLevel="0" collapsed="false">
      <c r="A812" s="39" t="s">
        <v>1136</v>
      </c>
      <c r="B812" s="44" t="n">
        <v>46353</v>
      </c>
      <c r="C812" s="39" t="s">
        <v>159</v>
      </c>
      <c r="D812" s="39" t="s">
        <v>137</v>
      </c>
      <c r="E812" s="39" t="n">
        <v>30</v>
      </c>
      <c r="F812" s="39" t="str">
        <f aca="false">IF(COUNTIF(medicine_master!$A$2:$A$26,C812)&gt;0,"Valid","Invalid")</f>
        <v>Valid</v>
      </c>
      <c r="G812" s="39" t="str">
        <f aca="false">IFERROR(INDEX(medicine_master!$B$2:$B$26,MATCH($C812,medicine_master!$A$2:$A$26,0)),"Not found")</f>
        <v>Antiseptic Liquid 100ml</v>
      </c>
      <c r="H812" s="39" t="str">
        <f aca="false">IFERROR(INDEX(medicine_master!$C$2:$C$26,MATCH($C812,medicine_master!$A$2:$A$26,0)),"Not found")</f>
        <v>First Aid</v>
      </c>
      <c r="I812" s="39" t="n">
        <f aca="false">YEAR(B812)</f>
        <v>2026</v>
      </c>
      <c r="J812" s="39" t="n">
        <f aca="false">MONTH(B812)</f>
        <v>11</v>
      </c>
      <c r="K812" s="39" t="str">
        <f aca="false">TEXT(B812,"mmm")</f>
        <v>Nov</v>
      </c>
      <c r="L812" s="45" t="n">
        <f aca="false">IFERROR(INDEX(medicine_master!$I$2:$I$26,MATCH($C812,medicine_master!$A$2:$A$26,0)),0)</f>
        <v>65</v>
      </c>
      <c r="M812" s="45" t="n">
        <f aca="false">IFERROR(INDEX(medicine_master!$G$2:$G$26,MATCH($C812,medicine_master!$A$2:$A$26,0)),0)</f>
        <v>48</v>
      </c>
      <c r="N812" s="45" t="n">
        <f aca="false">IF(D812="Sale",E812*L812,0)</f>
        <v>1950</v>
      </c>
      <c r="O812" s="45" t="n">
        <f aca="false">IF(D812="Sale",E812*M812,0)</f>
        <v>1440</v>
      </c>
      <c r="P812" s="45" t="n">
        <f aca="false">N812-O812</f>
        <v>510</v>
      </c>
      <c r="Q812" s="45" t="n">
        <f aca="false">IF(D812="Purchase",E812*M812,0)</f>
        <v>0</v>
      </c>
    </row>
    <row r="813" customFormat="false" ht="15" hidden="false" customHeight="false" outlineLevel="0" collapsed="false">
      <c r="A813" s="39" t="s">
        <v>1137</v>
      </c>
      <c r="B813" s="44" t="n">
        <v>46039</v>
      </c>
      <c r="C813" s="39" t="s">
        <v>144</v>
      </c>
      <c r="D813" s="39" t="s">
        <v>137</v>
      </c>
      <c r="E813" s="39" t="n">
        <v>40</v>
      </c>
      <c r="F813" s="39" t="str">
        <f aca="false">IF(COUNTIF(medicine_master!$A$2:$A$26,C813)&gt;0,"Valid","Invalid")</f>
        <v>Valid</v>
      </c>
      <c r="G813" s="39" t="str">
        <f aca="false">IFERROR(INDEX(medicine_master!$B$2:$B$26,MATCH($C813,medicine_master!$A$2:$A$26,0)),"Not found")</f>
        <v>Glimepiride 2mg</v>
      </c>
      <c r="H813" s="39" t="str">
        <f aca="false">IFERROR(INDEX(medicine_master!$C$2:$C$26,MATCH($C813,medicine_master!$A$2:$A$26,0)),"Not found")</f>
        <v>Diabetes</v>
      </c>
      <c r="I813" s="39" t="n">
        <f aca="false">YEAR(B813)</f>
        <v>2026</v>
      </c>
      <c r="J813" s="39" t="n">
        <f aca="false">MONTH(B813)</f>
        <v>1</v>
      </c>
      <c r="K813" s="39" t="str">
        <f aca="false">TEXT(B813,"mmm")</f>
        <v>Jan</v>
      </c>
      <c r="L813" s="45" t="n">
        <f aca="false">IFERROR(INDEX(medicine_master!$I$2:$I$26,MATCH($C813,medicine_master!$A$2:$A$26,0)),0)</f>
        <v>52</v>
      </c>
      <c r="M813" s="45" t="n">
        <f aca="false">IFERROR(INDEX(medicine_master!$G$2:$G$26,MATCH($C813,medicine_master!$A$2:$A$26,0)),0)</f>
        <v>38</v>
      </c>
      <c r="N813" s="45" t="n">
        <f aca="false">IF(D813="Sale",E813*L813,0)</f>
        <v>2080</v>
      </c>
      <c r="O813" s="45" t="n">
        <f aca="false">IF(D813="Sale",E813*M813,0)</f>
        <v>1520</v>
      </c>
      <c r="P813" s="45" t="n">
        <f aca="false">N813-O813</f>
        <v>560</v>
      </c>
      <c r="Q813" s="45" t="n">
        <f aca="false">IF(D813="Purchase",E813*M813,0)</f>
        <v>0</v>
      </c>
    </row>
    <row r="814" customFormat="false" ht="15" hidden="false" customHeight="false" outlineLevel="0" collapsed="false">
      <c r="A814" s="39" t="s">
        <v>1138</v>
      </c>
      <c r="B814" s="44" t="n">
        <v>46047</v>
      </c>
      <c r="C814" s="39" t="s">
        <v>150</v>
      </c>
      <c r="D814" s="39" t="s">
        <v>138</v>
      </c>
      <c r="E814" s="39" t="n">
        <v>15</v>
      </c>
      <c r="F814" s="39" t="str">
        <f aca="false">IF(COUNTIF(medicine_master!$A$2:$A$26,C814)&gt;0,"Valid","Invalid")</f>
        <v>Valid</v>
      </c>
      <c r="G814" s="39" t="str">
        <f aca="false">IFERROR(INDEX(medicine_master!$B$2:$B$26,MATCH($C814,medicine_master!$A$2:$A$26,0)),"Not found")</f>
        <v>Pantoprazole 40mg</v>
      </c>
      <c r="H814" s="39" t="str">
        <f aca="false">IFERROR(INDEX(medicine_master!$C$2:$C$26,MATCH($C814,medicine_master!$A$2:$A$26,0)),"Not found")</f>
        <v>Gastric</v>
      </c>
      <c r="I814" s="39" t="n">
        <f aca="false">YEAR(B814)</f>
        <v>2026</v>
      </c>
      <c r="J814" s="39" t="n">
        <f aca="false">MONTH(B814)</f>
        <v>1</v>
      </c>
      <c r="K814" s="39" t="str">
        <f aca="false">TEXT(B814,"mmm")</f>
        <v>Jan</v>
      </c>
      <c r="L814" s="45" t="n">
        <f aca="false">IFERROR(INDEX(medicine_master!$I$2:$I$26,MATCH($C814,medicine_master!$A$2:$A$26,0)),0)</f>
        <v>35</v>
      </c>
      <c r="M814" s="45" t="n">
        <f aca="false">IFERROR(INDEX(medicine_master!$G$2:$G$26,MATCH($C814,medicine_master!$A$2:$A$26,0)),0)</f>
        <v>24</v>
      </c>
      <c r="N814" s="45" t="n">
        <f aca="false">IF(D814="Sale",E814*L814,0)</f>
        <v>0</v>
      </c>
      <c r="O814" s="45" t="n">
        <f aca="false">IF(D814="Sale",E814*M814,0)</f>
        <v>0</v>
      </c>
      <c r="P814" s="45" t="n">
        <f aca="false">N814-O814</f>
        <v>0</v>
      </c>
      <c r="Q814" s="45" t="n">
        <f aca="false">IF(D814="Purchase",E814*M814,0)</f>
        <v>360</v>
      </c>
    </row>
    <row r="815" customFormat="false" ht="15" hidden="false" customHeight="false" outlineLevel="0" collapsed="false">
      <c r="A815" s="39" t="s">
        <v>1139</v>
      </c>
      <c r="B815" s="44" t="n">
        <v>46203</v>
      </c>
      <c r="C815" s="39" t="s">
        <v>157</v>
      </c>
      <c r="D815" s="39" t="s">
        <v>137</v>
      </c>
      <c r="E815" s="39" t="n">
        <v>20</v>
      </c>
      <c r="F815" s="39" t="str">
        <f aca="false">IF(COUNTIF(medicine_master!$A$2:$A$26,C815)&gt;0,"Valid","Invalid")</f>
        <v>Valid</v>
      </c>
      <c r="G815" s="39" t="str">
        <f aca="false">IFERROR(INDEX(medicine_master!$B$2:$B$26,MATCH($C815,medicine_master!$A$2:$A$26,0)),"Not found")</f>
        <v>Multivitamin Tablets</v>
      </c>
      <c r="H815" s="39" t="str">
        <f aca="false">IFERROR(INDEX(medicine_master!$C$2:$C$26,MATCH($C815,medicine_master!$A$2:$A$26,0)),"Not found")</f>
        <v>Vitamin</v>
      </c>
      <c r="I815" s="39" t="n">
        <f aca="false">YEAR(B815)</f>
        <v>2026</v>
      </c>
      <c r="J815" s="39" t="n">
        <f aca="false">MONTH(B815)</f>
        <v>6</v>
      </c>
      <c r="K815" s="39" t="str">
        <f aca="false">TEXT(B815,"mmm")</f>
        <v>Jun</v>
      </c>
      <c r="L815" s="45" t="n">
        <f aca="false">IFERROR(INDEX(medicine_master!$I$2:$I$26,MATCH($C815,medicine_master!$A$2:$A$26,0)),0)</f>
        <v>105</v>
      </c>
      <c r="M815" s="45" t="n">
        <f aca="false">IFERROR(INDEX(medicine_master!$G$2:$G$26,MATCH($C815,medicine_master!$A$2:$A$26,0)),0)</f>
        <v>72</v>
      </c>
      <c r="N815" s="45" t="n">
        <f aca="false">IF(D815="Sale",E815*L815,0)</f>
        <v>2100</v>
      </c>
      <c r="O815" s="45" t="n">
        <f aca="false">IF(D815="Sale",E815*M815,0)</f>
        <v>1440</v>
      </c>
      <c r="P815" s="45" t="n">
        <f aca="false">N815-O815</f>
        <v>660</v>
      </c>
      <c r="Q815" s="45" t="n">
        <f aca="false">IF(D815="Purchase",E815*M815,0)</f>
        <v>0</v>
      </c>
    </row>
    <row r="816" customFormat="false" ht="15" hidden="false" customHeight="false" outlineLevel="0" collapsed="false">
      <c r="A816" s="39" t="s">
        <v>1140</v>
      </c>
      <c r="B816" s="44" t="n">
        <v>46343</v>
      </c>
      <c r="C816" s="39" t="s">
        <v>145</v>
      </c>
      <c r="D816" s="39" t="s">
        <v>137</v>
      </c>
      <c r="E816" s="39" t="n">
        <v>15</v>
      </c>
      <c r="F816" s="39" t="str">
        <f aca="false">IF(COUNTIF(medicine_master!$A$2:$A$26,C816)&gt;0,"Valid","Invalid")</f>
        <v>Valid</v>
      </c>
      <c r="G816" s="39" t="str">
        <f aca="false">IFERROR(INDEX(medicine_master!$B$2:$B$26,MATCH($C816,medicine_master!$A$2:$A$26,0)),"Not found")</f>
        <v>Clotrimazole Cream</v>
      </c>
      <c r="H816" s="39" t="str">
        <f aca="false">IFERROR(INDEX(medicine_master!$C$2:$C$26,MATCH($C816,medicine_master!$A$2:$A$26,0)),"Not found")</f>
        <v>Dermatology</v>
      </c>
      <c r="I816" s="39" t="n">
        <f aca="false">YEAR(B816)</f>
        <v>2026</v>
      </c>
      <c r="J816" s="39" t="n">
        <f aca="false">MONTH(B816)</f>
        <v>11</v>
      </c>
      <c r="K816" s="39" t="str">
        <f aca="false">TEXT(B816,"mmm")</f>
        <v>Nov</v>
      </c>
      <c r="L816" s="45" t="n">
        <f aca="false">IFERROR(INDEX(medicine_master!$I$2:$I$26,MATCH($C816,medicine_master!$A$2:$A$26,0)),0)</f>
        <v>48</v>
      </c>
      <c r="M816" s="45" t="n">
        <f aca="false">IFERROR(INDEX(medicine_master!$G$2:$G$26,MATCH($C816,medicine_master!$A$2:$A$26,0)),0)</f>
        <v>32</v>
      </c>
      <c r="N816" s="45" t="n">
        <f aca="false">IF(D816="Sale",E816*L816,0)</f>
        <v>720</v>
      </c>
      <c r="O816" s="45" t="n">
        <f aca="false">IF(D816="Sale",E816*M816,0)</f>
        <v>480</v>
      </c>
      <c r="P816" s="45" t="n">
        <f aca="false">N816-O816</f>
        <v>240</v>
      </c>
      <c r="Q816" s="45" t="n">
        <f aca="false">IF(D816="Purchase",E816*M816,0)</f>
        <v>0</v>
      </c>
    </row>
    <row r="817" customFormat="false" ht="15" hidden="false" customHeight="false" outlineLevel="0" collapsed="false">
      <c r="A817" s="39" t="s">
        <v>1141</v>
      </c>
      <c r="B817" s="44" t="n">
        <v>46210</v>
      </c>
      <c r="C817" s="39" t="s">
        <v>178</v>
      </c>
      <c r="D817" s="39" t="s">
        <v>137</v>
      </c>
      <c r="E817" s="39" t="n">
        <v>30</v>
      </c>
      <c r="F817" s="39" t="str">
        <f aca="false">IF(COUNTIF(medicine_master!$A$2:$A$26,C817)&gt;0,"Valid","Invalid")</f>
        <v>Valid</v>
      </c>
      <c r="G817" s="39" t="str">
        <f aca="false">IFERROR(INDEX(medicine_master!$B$2:$B$26,MATCH($C817,medicine_master!$A$2:$A$26,0)),"Not found")</f>
        <v>Aspirin 75mg</v>
      </c>
      <c r="H817" s="39" t="str">
        <f aca="false">IFERROR(INDEX(medicine_master!$C$2:$C$26,MATCH($C817,medicine_master!$A$2:$A$26,0)),"Not found")</f>
        <v>Cardiac</v>
      </c>
      <c r="I817" s="39" t="n">
        <f aca="false">YEAR(B817)</f>
        <v>2026</v>
      </c>
      <c r="J817" s="39" t="n">
        <f aca="false">MONTH(B817)</f>
        <v>7</v>
      </c>
      <c r="K817" s="39" t="str">
        <f aca="false">TEXT(B817,"mmm")</f>
        <v>Jul</v>
      </c>
      <c r="L817" s="45" t="n">
        <f aca="false">IFERROR(INDEX(medicine_master!$I$2:$I$26,MATCH($C817,medicine_master!$A$2:$A$26,0)),0)</f>
        <v>15</v>
      </c>
      <c r="M817" s="45" t="n">
        <f aca="false">IFERROR(INDEX(medicine_master!$G$2:$G$26,MATCH($C817,medicine_master!$A$2:$A$26,0)),0)</f>
        <v>10</v>
      </c>
      <c r="N817" s="45" t="n">
        <f aca="false">IF(D817="Sale",E817*L817,0)</f>
        <v>450</v>
      </c>
      <c r="O817" s="45" t="n">
        <f aca="false">IF(D817="Sale",E817*M817,0)</f>
        <v>300</v>
      </c>
      <c r="P817" s="45" t="n">
        <f aca="false">N817-O817</f>
        <v>150</v>
      </c>
      <c r="Q817" s="45" t="n">
        <f aca="false">IF(D817="Purchase",E817*M817,0)</f>
        <v>0</v>
      </c>
    </row>
    <row r="818" customFormat="false" ht="15" hidden="false" customHeight="false" outlineLevel="0" collapsed="false">
      <c r="A818" s="39" t="s">
        <v>1142</v>
      </c>
      <c r="B818" s="44" t="n">
        <v>46264</v>
      </c>
      <c r="C818" s="39" t="s">
        <v>145</v>
      </c>
      <c r="D818" s="39" t="s">
        <v>137</v>
      </c>
      <c r="E818" s="39" t="n">
        <v>20</v>
      </c>
      <c r="F818" s="39" t="str">
        <f aca="false">IF(COUNTIF(medicine_master!$A$2:$A$26,C818)&gt;0,"Valid","Invalid")</f>
        <v>Valid</v>
      </c>
      <c r="G818" s="39" t="str">
        <f aca="false">IFERROR(INDEX(medicine_master!$B$2:$B$26,MATCH($C818,medicine_master!$A$2:$A$26,0)),"Not found")</f>
        <v>Clotrimazole Cream</v>
      </c>
      <c r="H818" s="39" t="str">
        <f aca="false">IFERROR(INDEX(medicine_master!$C$2:$C$26,MATCH($C818,medicine_master!$A$2:$A$26,0)),"Not found")</f>
        <v>Dermatology</v>
      </c>
      <c r="I818" s="39" t="n">
        <f aca="false">YEAR(B818)</f>
        <v>2026</v>
      </c>
      <c r="J818" s="39" t="n">
        <f aca="false">MONTH(B818)</f>
        <v>8</v>
      </c>
      <c r="K818" s="39" t="str">
        <f aca="false">TEXT(B818,"mmm")</f>
        <v>Aug</v>
      </c>
      <c r="L818" s="45" t="n">
        <f aca="false">IFERROR(INDEX(medicine_master!$I$2:$I$26,MATCH($C818,medicine_master!$A$2:$A$26,0)),0)</f>
        <v>48</v>
      </c>
      <c r="M818" s="45" t="n">
        <f aca="false">IFERROR(INDEX(medicine_master!$G$2:$G$26,MATCH($C818,medicine_master!$A$2:$A$26,0)),0)</f>
        <v>32</v>
      </c>
      <c r="N818" s="45" t="n">
        <f aca="false">IF(D818="Sale",E818*L818,0)</f>
        <v>960</v>
      </c>
      <c r="O818" s="45" t="n">
        <f aca="false">IF(D818="Sale",E818*M818,0)</f>
        <v>640</v>
      </c>
      <c r="P818" s="45" t="n">
        <f aca="false">N818-O818</f>
        <v>320</v>
      </c>
      <c r="Q818" s="45" t="n">
        <f aca="false">IF(D818="Purchase",E818*M818,0)</f>
        <v>0</v>
      </c>
    </row>
    <row r="819" customFormat="false" ht="15" hidden="false" customHeight="false" outlineLevel="0" collapsed="false">
      <c r="A819" s="39" t="s">
        <v>1143</v>
      </c>
      <c r="B819" s="44" t="n">
        <v>46383</v>
      </c>
      <c r="C819" s="39" t="s">
        <v>495</v>
      </c>
      <c r="D819" s="39" t="s">
        <v>138</v>
      </c>
      <c r="E819" s="39" t="n">
        <v>20</v>
      </c>
      <c r="F819" s="39" t="str">
        <f aca="false">IF(COUNTIF(medicine_master!$A$2:$A$26,C819)&gt;0,"Valid","Invalid")</f>
        <v>Valid</v>
      </c>
      <c r="G819" s="39" t="str">
        <f aca="false">IFERROR(INDEX(medicine_master!$B$2:$B$26,MATCH($C819,medicine_master!$A$2:$A$26,0)),"Not found")</f>
        <v>Metformin 500mg</v>
      </c>
      <c r="H819" s="39" t="str">
        <f aca="false">IFERROR(INDEX(medicine_master!$C$2:$C$26,MATCH($C819,medicine_master!$A$2:$A$26,0)),"Not found")</f>
        <v>Diabetes</v>
      </c>
      <c r="I819" s="39" t="n">
        <f aca="false">YEAR(B819)</f>
        <v>2026</v>
      </c>
      <c r="J819" s="39" t="n">
        <f aca="false">MONTH(B819)</f>
        <v>12</v>
      </c>
      <c r="K819" s="39" t="str">
        <f aca="false">TEXT(B819,"mmm")</f>
        <v>Dec</v>
      </c>
      <c r="L819" s="45" t="n">
        <f aca="false">IFERROR(INDEX(medicine_master!$I$2:$I$26,MATCH($C819,medicine_master!$A$2:$A$26,0)),0)</f>
        <v>24</v>
      </c>
      <c r="M819" s="45" t="n">
        <f aca="false">IFERROR(INDEX(medicine_master!$G$2:$G$26,MATCH($C819,medicine_master!$A$2:$A$26,0)),0)</f>
        <v>16</v>
      </c>
      <c r="N819" s="45" t="n">
        <f aca="false">IF(D819="Sale",E819*L819,0)</f>
        <v>0</v>
      </c>
      <c r="O819" s="45" t="n">
        <f aca="false">IF(D819="Sale",E819*M819,0)</f>
        <v>0</v>
      </c>
      <c r="P819" s="45" t="n">
        <f aca="false">N819-O819</f>
        <v>0</v>
      </c>
      <c r="Q819" s="45" t="n">
        <f aca="false">IF(D819="Purchase",E819*M819,0)</f>
        <v>320</v>
      </c>
    </row>
    <row r="820" customFormat="false" ht="15" hidden="false" customHeight="false" outlineLevel="0" collapsed="false">
      <c r="A820" s="39" t="s">
        <v>1144</v>
      </c>
      <c r="B820" s="44" t="n">
        <v>46248</v>
      </c>
      <c r="C820" s="39" t="s">
        <v>159</v>
      </c>
      <c r="D820" s="39" t="s">
        <v>138</v>
      </c>
      <c r="E820" s="39" t="n">
        <v>50</v>
      </c>
      <c r="F820" s="39" t="str">
        <f aca="false">IF(COUNTIF(medicine_master!$A$2:$A$26,C820)&gt;0,"Valid","Invalid")</f>
        <v>Valid</v>
      </c>
      <c r="G820" s="39" t="str">
        <f aca="false">IFERROR(INDEX(medicine_master!$B$2:$B$26,MATCH($C820,medicine_master!$A$2:$A$26,0)),"Not found")</f>
        <v>Antiseptic Liquid 100ml</v>
      </c>
      <c r="H820" s="39" t="str">
        <f aca="false">IFERROR(INDEX(medicine_master!$C$2:$C$26,MATCH($C820,medicine_master!$A$2:$A$26,0)),"Not found")</f>
        <v>First Aid</v>
      </c>
      <c r="I820" s="39" t="n">
        <f aca="false">YEAR(B820)</f>
        <v>2026</v>
      </c>
      <c r="J820" s="39" t="n">
        <f aca="false">MONTH(B820)</f>
        <v>8</v>
      </c>
      <c r="K820" s="39" t="str">
        <f aca="false">TEXT(B820,"mmm")</f>
        <v>Aug</v>
      </c>
      <c r="L820" s="45" t="n">
        <f aca="false">IFERROR(INDEX(medicine_master!$I$2:$I$26,MATCH($C820,medicine_master!$A$2:$A$26,0)),0)</f>
        <v>65</v>
      </c>
      <c r="M820" s="45" t="n">
        <f aca="false">IFERROR(INDEX(medicine_master!$G$2:$G$26,MATCH($C820,medicine_master!$A$2:$A$26,0)),0)</f>
        <v>48</v>
      </c>
      <c r="N820" s="45" t="n">
        <f aca="false">IF(D820="Sale",E820*L820,0)</f>
        <v>0</v>
      </c>
      <c r="O820" s="45" t="n">
        <f aca="false">IF(D820="Sale",E820*M820,0)</f>
        <v>0</v>
      </c>
      <c r="P820" s="45" t="n">
        <f aca="false">N820-O820</f>
        <v>0</v>
      </c>
      <c r="Q820" s="45" t="n">
        <f aca="false">IF(D820="Purchase",E820*M820,0)</f>
        <v>2400</v>
      </c>
    </row>
    <row r="821" customFormat="false" ht="15" hidden="false" customHeight="false" outlineLevel="0" collapsed="false">
      <c r="A821" s="39" t="s">
        <v>1145</v>
      </c>
      <c r="B821" s="44" t="n">
        <v>46068</v>
      </c>
      <c r="C821" s="39" t="s">
        <v>152</v>
      </c>
      <c r="D821" s="39" t="s">
        <v>137</v>
      </c>
      <c r="E821" s="39" t="n">
        <v>40</v>
      </c>
      <c r="F821" s="39" t="str">
        <f aca="false">IF(COUNTIF(medicine_master!$A$2:$A$26,C821)&gt;0,"Valid","Invalid")</f>
        <v>Valid</v>
      </c>
      <c r="G821" s="39" t="str">
        <f aca="false">IFERROR(INDEX(medicine_master!$B$2:$B$26,MATCH($C821,medicine_master!$A$2:$A$26,0)),"Not found")</f>
        <v>Amoxicillin 500mg</v>
      </c>
      <c r="H821" s="39" t="str">
        <f aca="false">IFERROR(INDEX(medicine_master!$C$2:$C$26,MATCH($C821,medicine_master!$A$2:$A$26,0)),"Not found")</f>
        <v>Antibiotic</v>
      </c>
      <c r="I821" s="39" t="n">
        <f aca="false">YEAR(B821)</f>
        <v>2026</v>
      </c>
      <c r="J821" s="39" t="n">
        <f aca="false">MONTH(B821)</f>
        <v>2</v>
      </c>
      <c r="K821" s="39" t="str">
        <f aca="false">TEXT(B821,"mmm")</f>
        <v>Feb</v>
      </c>
      <c r="L821" s="45" t="n">
        <f aca="false">IFERROR(INDEX(medicine_master!$I$2:$I$26,MATCH($C821,medicine_master!$A$2:$A$26,0)),0)</f>
        <v>40</v>
      </c>
      <c r="M821" s="45" t="n">
        <f aca="false">IFERROR(INDEX(medicine_master!$G$2:$G$26,MATCH($C821,medicine_master!$A$2:$A$26,0)),0)</f>
        <v>28</v>
      </c>
      <c r="N821" s="45" t="n">
        <f aca="false">IF(D821="Sale",E821*L821,0)</f>
        <v>1600</v>
      </c>
      <c r="O821" s="45" t="n">
        <f aca="false">IF(D821="Sale",E821*M821,0)</f>
        <v>1120</v>
      </c>
      <c r="P821" s="45" t="n">
        <f aca="false">N821-O821</f>
        <v>480</v>
      </c>
      <c r="Q821" s="45" t="n">
        <f aca="false">IF(D821="Purchase",E821*M821,0)</f>
        <v>0</v>
      </c>
    </row>
    <row r="822" customFormat="false" ht="15" hidden="false" customHeight="false" outlineLevel="0" collapsed="false">
      <c r="A822" s="39" t="s">
        <v>1146</v>
      </c>
      <c r="B822" s="44" t="n">
        <v>46232</v>
      </c>
      <c r="C822" s="39" t="s">
        <v>153</v>
      </c>
      <c r="D822" s="39" t="s">
        <v>137</v>
      </c>
      <c r="E822" s="39" t="n">
        <v>20</v>
      </c>
      <c r="F822" s="39" t="str">
        <f aca="false">IF(COUNTIF(medicine_master!$A$2:$A$26,C822)&gt;0,"Valid","Invalid")</f>
        <v>Valid</v>
      </c>
      <c r="G822" s="39" t="str">
        <f aca="false">IFERROR(INDEX(medicine_master!$B$2:$B$26,MATCH($C822,medicine_master!$A$2:$A$26,0)),"Not found")</f>
        <v>Atorvastatin 10mg</v>
      </c>
      <c r="H822" s="39" t="str">
        <f aca="false">IFERROR(INDEX(medicine_master!$C$2:$C$26,MATCH($C822,medicine_master!$A$2:$A$26,0)),"Not found")</f>
        <v>Cardiac</v>
      </c>
      <c r="I822" s="39" t="n">
        <f aca="false">YEAR(B822)</f>
        <v>2026</v>
      </c>
      <c r="J822" s="39" t="n">
        <f aca="false">MONTH(B822)</f>
        <v>7</v>
      </c>
      <c r="K822" s="39" t="str">
        <f aca="false">TEXT(B822,"mmm")</f>
        <v>Jul</v>
      </c>
      <c r="L822" s="45" t="n">
        <f aca="false">IFERROR(INDEX(medicine_master!$I$2:$I$26,MATCH($C822,medicine_master!$A$2:$A$26,0)),0)</f>
        <v>28</v>
      </c>
      <c r="M822" s="45" t="n">
        <f aca="false">IFERROR(INDEX(medicine_master!$G$2:$G$26,MATCH($C822,medicine_master!$A$2:$A$26,0)),0)</f>
        <v>19</v>
      </c>
      <c r="N822" s="45" t="n">
        <f aca="false">IF(D822="Sale",E822*L822,0)</f>
        <v>560</v>
      </c>
      <c r="O822" s="45" t="n">
        <f aca="false">IF(D822="Sale",E822*M822,0)</f>
        <v>380</v>
      </c>
      <c r="P822" s="45" t="n">
        <f aca="false">N822-O822</f>
        <v>180</v>
      </c>
      <c r="Q822" s="45" t="n">
        <f aca="false">IF(D822="Purchase",E822*M822,0)</f>
        <v>0</v>
      </c>
    </row>
    <row r="823" customFormat="false" ht="15" hidden="false" customHeight="false" outlineLevel="0" collapsed="false">
      <c r="A823" s="39" t="s">
        <v>1147</v>
      </c>
      <c r="B823" s="44" t="n">
        <v>46244</v>
      </c>
      <c r="C823" s="39" t="s">
        <v>151</v>
      </c>
      <c r="D823" s="39" t="s">
        <v>138</v>
      </c>
      <c r="E823" s="39" t="n">
        <v>20</v>
      </c>
      <c r="F823" s="39" t="str">
        <f aca="false">IF(COUNTIF(medicine_master!$A$2:$A$26,C823)&gt;0,"Valid","Invalid")</f>
        <v>Valid</v>
      </c>
      <c r="G823" s="39" t="str">
        <f aca="false">IFERROR(INDEX(medicine_master!$B$2:$B$26,MATCH($C823,medicine_master!$A$2:$A$26,0)),"Not found")</f>
        <v>Cetirizine 10mg</v>
      </c>
      <c r="H823" s="39" t="str">
        <f aca="false">IFERROR(INDEX(medicine_master!$C$2:$C$26,MATCH($C823,medicine_master!$A$2:$A$26,0)),"Not found")</f>
        <v>Allergy</v>
      </c>
      <c r="I823" s="39" t="n">
        <f aca="false">YEAR(B823)</f>
        <v>2026</v>
      </c>
      <c r="J823" s="39" t="n">
        <f aca="false">MONTH(B823)</f>
        <v>8</v>
      </c>
      <c r="K823" s="39" t="str">
        <f aca="false">TEXT(B823,"mmm")</f>
        <v>Aug</v>
      </c>
      <c r="L823" s="45" t="n">
        <f aca="false">IFERROR(INDEX(medicine_master!$I$2:$I$26,MATCH($C823,medicine_master!$A$2:$A$26,0)),0)</f>
        <v>13</v>
      </c>
      <c r="M823" s="45" t="n">
        <f aca="false">IFERROR(INDEX(medicine_master!$G$2:$G$26,MATCH($C823,medicine_master!$A$2:$A$26,0)),0)</f>
        <v>8</v>
      </c>
      <c r="N823" s="45" t="n">
        <f aca="false">IF(D823="Sale",E823*L823,0)</f>
        <v>0</v>
      </c>
      <c r="O823" s="45" t="n">
        <f aca="false">IF(D823="Sale",E823*M823,0)</f>
        <v>0</v>
      </c>
      <c r="P823" s="45" t="n">
        <f aca="false">N823-O823</f>
        <v>0</v>
      </c>
      <c r="Q823" s="45" t="n">
        <f aca="false">IF(D823="Purchase",E823*M823,0)</f>
        <v>160</v>
      </c>
    </row>
    <row r="824" customFormat="false" ht="15" hidden="false" customHeight="false" outlineLevel="0" collapsed="false">
      <c r="A824" s="39" t="s">
        <v>1148</v>
      </c>
      <c r="B824" s="44" t="n">
        <v>46257</v>
      </c>
      <c r="C824" s="39" t="s">
        <v>144</v>
      </c>
      <c r="D824" s="39" t="s">
        <v>137</v>
      </c>
      <c r="E824" s="39" t="n">
        <v>50</v>
      </c>
      <c r="F824" s="39" t="str">
        <f aca="false">IF(COUNTIF(medicine_master!$A$2:$A$26,C824)&gt;0,"Valid","Invalid")</f>
        <v>Valid</v>
      </c>
      <c r="G824" s="39" t="str">
        <f aca="false">IFERROR(INDEX(medicine_master!$B$2:$B$26,MATCH($C824,medicine_master!$A$2:$A$26,0)),"Not found")</f>
        <v>Glimepiride 2mg</v>
      </c>
      <c r="H824" s="39" t="str">
        <f aca="false">IFERROR(INDEX(medicine_master!$C$2:$C$26,MATCH($C824,medicine_master!$A$2:$A$26,0)),"Not found")</f>
        <v>Diabetes</v>
      </c>
      <c r="I824" s="39" t="n">
        <f aca="false">YEAR(B824)</f>
        <v>2026</v>
      </c>
      <c r="J824" s="39" t="n">
        <f aca="false">MONTH(B824)</f>
        <v>8</v>
      </c>
      <c r="K824" s="39" t="str">
        <f aca="false">TEXT(B824,"mmm")</f>
        <v>Aug</v>
      </c>
      <c r="L824" s="45" t="n">
        <f aca="false">IFERROR(INDEX(medicine_master!$I$2:$I$26,MATCH($C824,medicine_master!$A$2:$A$26,0)),0)</f>
        <v>52</v>
      </c>
      <c r="M824" s="45" t="n">
        <f aca="false">IFERROR(INDEX(medicine_master!$G$2:$G$26,MATCH($C824,medicine_master!$A$2:$A$26,0)),0)</f>
        <v>38</v>
      </c>
      <c r="N824" s="45" t="n">
        <f aca="false">IF(D824="Sale",E824*L824,0)</f>
        <v>2600</v>
      </c>
      <c r="O824" s="45" t="n">
        <f aca="false">IF(D824="Sale",E824*M824,0)</f>
        <v>1900</v>
      </c>
      <c r="P824" s="45" t="n">
        <f aca="false">N824-O824</f>
        <v>700</v>
      </c>
      <c r="Q824" s="45" t="n">
        <f aca="false">IF(D824="Purchase",E824*M824,0)</f>
        <v>0</v>
      </c>
    </row>
    <row r="825" customFormat="false" ht="15" hidden="false" customHeight="false" outlineLevel="0" collapsed="false">
      <c r="A825" s="39" t="s">
        <v>1149</v>
      </c>
      <c r="B825" s="44" t="n">
        <v>46355</v>
      </c>
      <c r="C825" s="39" t="s">
        <v>160</v>
      </c>
      <c r="D825" s="39" t="s">
        <v>137</v>
      </c>
      <c r="E825" s="39" t="n">
        <v>15</v>
      </c>
      <c r="F825" s="39" t="str">
        <f aca="false">IF(COUNTIF(medicine_master!$A$2:$A$26,C825)&gt;0,"Valid","Invalid")</f>
        <v>Valid</v>
      </c>
      <c r="G825" s="39" t="str">
        <f aca="false">IFERROR(INDEX(medicine_master!$B$2:$B$26,MATCH($C825,medicine_master!$A$2:$A$26,0)),"Not found")</f>
        <v>Calamine Lotion</v>
      </c>
      <c r="H825" s="39" t="str">
        <f aca="false">IFERROR(INDEX(medicine_master!$C$2:$C$26,MATCH($C825,medicine_master!$A$2:$A$26,0)),"Not found")</f>
        <v>Dermatology</v>
      </c>
      <c r="I825" s="39" t="n">
        <f aca="false">YEAR(B825)</f>
        <v>2026</v>
      </c>
      <c r="J825" s="39" t="n">
        <f aca="false">MONTH(B825)</f>
        <v>11</v>
      </c>
      <c r="K825" s="39" t="str">
        <f aca="false">TEXT(B825,"mmm")</f>
        <v>Nov</v>
      </c>
      <c r="L825" s="45" t="n">
        <f aca="false">IFERROR(INDEX(medicine_master!$I$2:$I$26,MATCH($C825,medicine_master!$A$2:$A$26,0)),0)</f>
        <v>60</v>
      </c>
      <c r="M825" s="45" t="n">
        <f aca="false">IFERROR(INDEX(medicine_master!$G$2:$G$26,MATCH($C825,medicine_master!$A$2:$A$26,0)),0)</f>
        <v>42</v>
      </c>
      <c r="N825" s="45" t="n">
        <f aca="false">IF(D825="Sale",E825*L825,0)</f>
        <v>900</v>
      </c>
      <c r="O825" s="45" t="n">
        <f aca="false">IF(D825="Sale",E825*M825,0)</f>
        <v>630</v>
      </c>
      <c r="P825" s="45" t="n">
        <f aca="false">N825-O825</f>
        <v>270</v>
      </c>
      <c r="Q825" s="45" t="n">
        <f aca="false">IF(D825="Purchase",E825*M825,0)</f>
        <v>0</v>
      </c>
    </row>
    <row r="826" customFormat="false" ht="15" hidden="false" customHeight="false" outlineLevel="0" collapsed="false">
      <c r="A826" s="39" t="s">
        <v>1150</v>
      </c>
      <c r="B826" s="44" t="n">
        <v>46092</v>
      </c>
      <c r="C826" s="39" t="s">
        <v>326</v>
      </c>
      <c r="D826" s="39" t="s">
        <v>138</v>
      </c>
      <c r="E826" s="39" t="n">
        <v>50</v>
      </c>
      <c r="F826" s="39" t="str">
        <f aca="false">IF(COUNTIF(medicine_master!$A$2:$A$26,C826)&gt;0,"Valid","Invalid")</f>
        <v>Valid</v>
      </c>
      <c r="G826" s="39" t="str">
        <f aca="false">IFERROR(INDEX(medicine_master!$B$2:$B$26,MATCH($C826,medicine_master!$A$2:$A$26,0)),"Not found")</f>
        <v>Omeprazole 20mg</v>
      </c>
      <c r="H826" s="39" t="str">
        <f aca="false">IFERROR(INDEX(medicine_master!$C$2:$C$26,MATCH($C826,medicine_master!$A$2:$A$26,0)),"Not found")</f>
        <v>Gastric</v>
      </c>
      <c r="I826" s="39" t="n">
        <f aca="false">YEAR(B826)</f>
        <v>2026</v>
      </c>
      <c r="J826" s="39" t="n">
        <f aca="false">MONTH(B826)</f>
        <v>3</v>
      </c>
      <c r="K826" s="39" t="str">
        <f aca="false">TEXT(B826,"mmm")</f>
        <v>Mar</v>
      </c>
      <c r="L826" s="45" t="n">
        <f aca="false">IFERROR(INDEX(medicine_master!$I$2:$I$26,MATCH($C826,medicine_master!$A$2:$A$26,0)),0)</f>
        <v>26</v>
      </c>
      <c r="M826" s="45" t="n">
        <f aca="false">IFERROR(INDEX(medicine_master!$G$2:$G$26,MATCH($C826,medicine_master!$A$2:$A$26,0)),0)</f>
        <v>18</v>
      </c>
      <c r="N826" s="45" t="n">
        <f aca="false">IF(D826="Sale",E826*L826,0)</f>
        <v>0</v>
      </c>
      <c r="O826" s="45" t="n">
        <f aca="false">IF(D826="Sale",E826*M826,0)</f>
        <v>0</v>
      </c>
      <c r="P826" s="45" t="n">
        <f aca="false">N826-O826</f>
        <v>0</v>
      </c>
      <c r="Q826" s="45" t="n">
        <f aca="false">IF(D826="Purchase",E826*M826,0)</f>
        <v>900</v>
      </c>
    </row>
    <row r="827" customFormat="false" ht="15" hidden="false" customHeight="false" outlineLevel="0" collapsed="false">
      <c r="A827" s="39" t="s">
        <v>1151</v>
      </c>
      <c r="B827" s="44" t="n">
        <v>46070</v>
      </c>
      <c r="C827" s="39" t="s">
        <v>147</v>
      </c>
      <c r="D827" s="39" t="s">
        <v>137</v>
      </c>
      <c r="E827" s="39" t="n">
        <v>50</v>
      </c>
      <c r="F827" s="39" t="str">
        <f aca="false">IF(COUNTIF(medicine_master!$A$2:$A$26,C827)&gt;0,"Valid","Invalid")</f>
        <v>Valid</v>
      </c>
      <c r="G827" s="39" t="str">
        <f aca="false">IFERROR(INDEX(medicine_master!$B$2:$B$26,MATCH($C827,medicine_master!$A$2:$A$26,0)),"Not found")</f>
        <v>Insulin Injection</v>
      </c>
      <c r="H827" s="39" t="str">
        <f aca="false">IFERROR(INDEX(medicine_master!$C$2:$C$26,MATCH($C827,medicine_master!$A$2:$A$26,0)),"Not found")</f>
        <v>Diabetes</v>
      </c>
      <c r="I827" s="39" t="n">
        <f aca="false">YEAR(B827)</f>
        <v>2026</v>
      </c>
      <c r="J827" s="39" t="n">
        <f aca="false">MONTH(B827)</f>
        <v>2</v>
      </c>
      <c r="K827" s="39" t="str">
        <f aca="false">TEXT(B827,"mmm")</f>
        <v>Feb</v>
      </c>
      <c r="L827" s="45" t="n">
        <f aca="false">IFERROR(INDEX(medicine_master!$I$2:$I$26,MATCH($C827,medicine_master!$A$2:$A$26,0)),0)</f>
        <v>225</v>
      </c>
      <c r="M827" s="45" t="n">
        <f aca="false">IFERROR(INDEX(medicine_master!$G$2:$G$26,MATCH($C827,medicine_master!$A$2:$A$26,0)),0)</f>
        <v>165</v>
      </c>
      <c r="N827" s="45" t="n">
        <f aca="false">IF(D827="Sale",E827*L827,0)</f>
        <v>11250</v>
      </c>
      <c r="O827" s="45" t="n">
        <f aca="false">IF(D827="Sale",E827*M827,0)</f>
        <v>8250</v>
      </c>
      <c r="P827" s="45" t="n">
        <f aca="false">N827-O827</f>
        <v>3000</v>
      </c>
      <c r="Q827" s="45" t="n">
        <f aca="false">IF(D827="Purchase",E827*M827,0)</f>
        <v>0</v>
      </c>
    </row>
    <row r="828" customFormat="false" ht="15" hidden="false" customHeight="false" outlineLevel="0" collapsed="false">
      <c r="A828" s="39" t="s">
        <v>1152</v>
      </c>
      <c r="B828" s="44" t="n">
        <v>46354</v>
      </c>
      <c r="C828" s="39" t="s">
        <v>495</v>
      </c>
      <c r="D828" s="39" t="s">
        <v>137</v>
      </c>
      <c r="E828" s="39" t="n">
        <v>40</v>
      </c>
      <c r="F828" s="39" t="str">
        <f aca="false">IF(COUNTIF(medicine_master!$A$2:$A$26,C828)&gt;0,"Valid","Invalid")</f>
        <v>Valid</v>
      </c>
      <c r="G828" s="39" t="str">
        <f aca="false">IFERROR(INDEX(medicine_master!$B$2:$B$26,MATCH($C828,medicine_master!$A$2:$A$26,0)),"Not found")</f>
        <v>Metformin 500mg</v>
      </c>
      <c r="H828" s="39" t="str">
        <f aca="false">IFERROR(INDEX(medicine_master!$C$2:$C$26,MATCH($C828,medicine_master!$A$2:$A$26,0)),"Not found")</f>
        <v>Diabetes</v>
      </c>
      <c r="I828" s="39" t="n">
        <f aca="false">YEAR(B828)</f>
        <v>2026</v>
      </c>
      <c r="J828" s="39" t="n">
        <f aca="false">MONTH(B828)</f>
        <v>11</v>
      </c>
      <c r="K828" s="39" t="str">
        <f aca="false">TEXT(B828,"mmm")</f>
        <v>Nov</v>
      </c>
      <c r="L828" s="45" t="n">
        <f aca="false">IFERROR(INDEX(medicine_master!$I$2:$I$26,MATCH($C828,medicine_master!$A$2:$A$26,0)),0)</f>
        <v>24</v>
      </c>
      <c r="M828" s="45" t="n">
        <f aca="false">IFERROR(INDEX(medicine_master!$G$2:$G$26,MATCH($C828,medicine_master!$A$2:$A$26,0)),0)</f>
        <v>16</v>
      </c>
      <c r="N828" s="45" t="n">
        <f aca="false">IF(D828="Sale",E828*L828,0)</f>
        <v>960</v>
      </c>
      <c r="O828" s="45" t="n">
        <f aca="false">IF(D828="Sale",E828*M828,0)</f>
        <v>640</v>
      </c>
      <c r="P828" s="45" t="n">
        <f aca="false">N828-O828</f>
        <v>320</v>
      </c>
      <c r="Q828" s="45" t="n">
        <f aca="false">IF(D828="Purchase",E828*M828,0)</f>
        <v>0</v>
      </c>
    </row>
    <row r="829" customFormat="false" ht="15" hidden="false" customHeight="false" outlineLevel="0" collapsed="false">
      <c r="A829" s="39" t="s">
        <v>1153</v>
      </c>
      <c r="B829" s="44" t="n">
        <v>46333</v>
      </c>
      <c r="C829" s="39" t="s">
        <v>158</v>
      </c>
      <c r="D829" s="39" t="s">
        <v>137</v>
      </c>
      <c r="E829" s="39" t="n">
        <v>50</v>
      </c>
      <c r="F829" s="39" t="str">
        <f aca="false">IF(COUNTIF(medicine_master!$A$2:$A$26,C829)&gt;0,"Valid","Invalid")</f>
        <v>Valid</v>
      </c>
      <c r="G829" s="39" t="str">
        <f aca="false">IFERROR(INDEX(medicine_master!$B$2:$B$26,MATCH($C829,medicine_master!$A$2:$A$26,0)),"Not found")</f>
        <v>Cough Syrup 100ml</v>
      </c>
      <c r="H829" s="39" t="str">
        <f aca="false">IFERROR(INDEX(medicine_master!$C$2:$C$26,MATCH($C829,medicine_master!$A$2:$A$26,0)),"Not found")</f>
        <v>Cold &amp; Cough</v>
      </c>
      <c r="I829" s="39" t="n">
        <f aca="false">YEAR(B829)</f>
        <v>2026</v>
      </c>
      <c r="J829" s="39" t="n">
        <f aca="false">MONTH(B829)</f>
        <v>11</v>
      </c>
      <c r="K829" s="39" t="str">
        <f aca="false">TEXT(B829,"mmm")</f>
        <v>Nov</v>
      </c>
      <c r="L829" s="45" t="n">
        <f aca="false">IFERROR(INDEX(medicine_master!$I$2:$I$26,MATCH($C829,medicine_master!$A$2:$A$26,0)),0)</f>
        <v>72</v>
      </c>
      <c r="M829" s="45" t="n">
        <f aca="false">IFERROR(INDEX(medicine_master!$G$2:$G$26,MATCH($C829,medicine_master!$A$2:$A$26,0)),0)</f>
        <v>52</v>
      </c>
      <c r="N829" s="45" t="n">
        <f aca="false">IF(D829="Sale",E829*L829,0)</f>
        <v>3600</v>
      </c>
      <c r="O829" s="45" t="n">
        <f aca="false">IF(D829="Sale",E829*M829,0)</f>
        <v>2600</v>
      </c>
      <c r="P829" s="45" t="n">
        <f aca="false">N829-O829</f>
        <v>1000</v>
      </c>
      <c r="Q829" s="45" t="n">
        <f aca="false">IF(D829="Purchase",E829*M829,0)</f>
        <v>0</v>
      </c>
    </row>
    <row r="830" customFormat="false" ht="15" hidden="false" customHeight="false" outlineLevel="0" collapsed="false">
      <c r="A830" s="39" t="s">
        <v>1154</v>
      </c>
      <c r="B830" s="44" t="n">
        <v>46282</v>
      </c>
      <c r="C830" s="39" t="s">
        <v>144</v>
      </c>
      <c r="D830" s="39" t="s">
        <v>137</v>
      </c>
      <c r="E830" s="39" t="n">
        <v>40</v>
      </c>
      <c r="F830" s="39" t="str">
        <f aca="false">IF(COUNTIF(medicine_master!$A$2:$A$26,C830)&gt;0,"Valid","Invalid")</f>
        <v>Valid</v>
      </c>
      <c r="G830" s="39" t="str">
        <f aca="false">IFERROR(INDEX(medicine_master!$B$2:$B$26,MATCH($C830,medicine_master!$A$2:$A$26,0)),"Not found")</f>
        <v>Glimepiride 2mg</v>
      </c>
      <c r="H830" s="39" t="str">
        <f aca="false">IFERROR(INDEX(medicine_master!$C$2:$C$26,MATCH($C830,medicine_master!$A$2:$A$26,0)),"Not found")</f>
        <v>Diabetes</v>
      </c>
      <c r="I830" s="39" t="n">
        <f aca="false">YEAR(B830)</f>
        <v>2026</v>
      </c>
      <c r="J830" s="39" t="n">
        <f aca="false">MONTH(B830)</f>
        <v>9</v>
      </c>
      <c r="K830" s="39" t="str">
        <f aca="false">TEXT(B830,"mmm")</f>
        <v>Sep</v>
      </c>
      <c r="L830" s="45" t="n">
        <f aca="false">IFERROR(INDEX(medicine_master!$I$2:$I$26,MATCH($C830,medicine_master!$A$2:$A$26,0)),0)</f>
        <v>52</v>
      </c>
      <c r="M830" s="45" t="n">
        <f aca="false">IFERROR(INDEX(medicine_master!$G$2:$G$26,MATCH($C830,medicine_master!$A$2:$A$26,0)),0)</f>
        <v>38</v>
      </c>
      <c r="N830" s="45" t="n">
        <f aca="false">IF(D830="Sale",E830*L830,0)</f>
        <v>2080</v>
      </c>
      <c r="O830" s="45" t="n">
        <f aca="false">IF(D830="Sale",E830*M830,0)</f>
        <v>1520</v>
      </c>
      <c r="P830" s="45" t="n">
        <f aca="false">N830-O830</f>
        <v>560</v>
      </c>
      <c r="Q830" s="45" t="n">
        <f aca="false">IF(D830="Purchase",E830*M830,0)</f>
        <v>0</v>
      </c>
    </row>
    <row r="831" customFormat="false" ht="15" hidden="false" customHeight="false" outlineLevel="0" collapsed="false">
      <c r="A831" s="39" t="s">
        <v>1155</v>
      </c>
      <c r="B831" s="44" t="n">
        <v>46376</v>
      </c>
      <c r="C831" s="39" t="s">
        <v>145</v>
      </c>
      <c r="D831" s="39" t="s">
        <v>137</v>
      </c>
      <c r="E831" s="39" t="n">
        <v>20</v>
      </c>
      <c r="F831" s="39" t="str">
        <f aca="false">IF(COUNTIF(medicine_master!$A$2:$A$26,C831)&gt;0,"Valid","Invalid")</f>
        <v>Valid</v>
      </c>
      <c r="G831" s="39" t="str">
        <f aca="false">IFERROR(INDEX(medicine_master!$B$2:$B$26,MATCH($C831,medicine_master!$A$2:$A$26,0)),"Not found")</f>
        <v>Clotrimazole Cream</v>
      </c>
      <c r="H831" s="39" t="str">
        <f aca="false">IFERROR(INDEX(medicine_master!$C$2:$C$26,MATCH($C831,medicine_master!$A$2:$A$26,0)),"Not found")</f>
        <v>Dermatology</v>
      </c>
      <c r="I831" s="39" t="n">
        <f aca="false">YEAR(B831)</f>
        <v>2026</v>
      </c>
      <c r="J831" s="39" t="n">
        <f aca="false">MONTH(B831)</f>
        <v>12</v>
      </c>
      <c r="K831" s="39" t="str">
        <f aca="false">TEXT(B831,"mmm")</f>
        <v>Dec</v>
      </c>
      <c r="L831" s="45" t="n">
        <f aca="false">IFERROR(INDEX(medicine_master!$I$2:$I$26,MATCH($C831,medicine_master!$A$2:$A$26,0)),0)</f>
        <v>48</v>
      </c>
      <c r="M831" s="45" t="n">
        <f aca="false">IFERROR(INDEX(medicine_master!$G$2:$G$26,MATCH($C831,medicine_master!$A$2:$A$26,0)),0)</f>
        <v>32</v>
      </c>
      <c r="N831" s="45" t="n">
        <f aca="false">IF(D831="Sale",E831*L831,0)</f>
        <v>960</v>
      </c>
      <c r="O831" s="45" t="n">
        <f aca="false">IF(D831="Sale",E831*M831,0)</f>
        <v>640</v>
      </c>
      <c r="P831" s="45" t="n">
        <f aca="false">N831-O831</f>
        <v>320</v>
      </c>
      <c r="Q831" s="45" t="n">
        <f aca="false">IF(D831="Purchase",E831*M831,0)</f>
        <v>0</v>
      </c>
    </row>
    <row r="832" customFormat="false" ht="15" hidden="false" customHeight="false" outlineLevel="0" collapsed="false">
      <c r="A832" s="39" t="s">
        <v>1156</v>
      </c>
      <c r="B832" s="44" t="n">
        <v>46269</v>
      </c>
      <c r="C832" s="39" t="s">
        <v>157</v>
      </c>
      <c r="D832" s="39" t="s">
        <v>138</v>
      </c>
      <c r="E832" s="39" t="n">
        <v>20</v>
      </c>
      <c r="F832" s="39" t="str">
        <f aca="false">IF(COUNTIF(medicine_master!$A$2:$A$26,C832)&gt;0,"Valid","Invalid")</f>
        <v>Valid</v>
      </c>
      <c r="G832" s="39" t="str">
        <f aca="false">IFERROR(INDEX(medicine_master!$B$2:$B$26,MATCH($C832,medicine_master!$A$2:$A$26,0)),"Not found")</f>
        <v>Multivitamin Tablets</v>
      </c>
      <c r="H832" s="39" t="str">
        <f aca="false">IFERROR(INDEX(medicine_master!$C$2:$C$26,MATCH($C832,medicine_master!$A$2:$A$26,0)),"Not found")</f>
        <v>Vitamin</v>
      </c>
      <c r="I832" s="39" t="n">
        <f aca="false">YEAR(B832)</f>
        <v>2026</v>
      </c>
      <c r="J832" s="39" t="n">
        <f aca="false">MONTH(B832)</f>
        <v>9</v>
      </c>
      <c r="K832" s="39" t="str">
        <f aca="false">TEXT(B832,"mmm")</f>
        <v>Sep</v>
      </c>
      <c r="L832" s="45" t="n">
        <f aca="false">IFERROR(INDEX(medicine_master!$I$2:$I$26,MATCH($C832,medicine_master!$A$2:$A$26,0)),0)</f>
        <v>105</v>
      </c>
      <c r="M832" s="45" t="n">
        <f aca="false">IFERROR(INDEX(medicine_master!$G$2:$G$26,MATCH($C832,medicine_master!$A$2:$A$26,0)),0)</f>
        <v>72</v>
      </c>
      <c r="N832" s="45" t="n">
        <f aca="false">IF(D832="Sale",E832*L832,0)</f>
        <v>0</v>
      </c>
      <c r="O832" s="45" t="n">
        <f aca="false">IF(D832="Sale",E832*M832,0)</f>
        <v>0</v>
      </c>
      <c r="P832" s="45" t="n">
        <f aca="false">N832-O832</f>
        <v>0</v>
      </c>
      <c r="Q832" s="45" t="n">
        <f aca="false">IF(D832="Purchase",E832*M832,0)</f>
        <v>1440</v>
      </c>
    </row>
    <row r="833" customFormat="false" ht="15" hidden="false" customHeight="false" outlineLevel="0" collapsed="false">
      <c r="A833" s="39" t="s">
        <v>1157</v>
      </c>
      <c r="B833" s="44" t="n">
        <v>46374</v>
      </c>
      <c r="C833" s="39" t="s">
        <v>149</v>
      </c>
      <c r="D833" s="39" t="s">
        <v>138</v>
      </c>
      <c r="E833" s="39" t="n">
        <v>25</v>
      </c>
      <c r="F833" s="39" t="str">
        <f aca="false">IF(COUNTIF(medicine_master!$A$2:$A$26,C833)&gt;0,"Valid","Invalid")</f>
        <v>Valid</v>
      </c>
      <c r="G833" s="39" t="str">
        <f aca="false">IFERROR(INDEX(medicine_master!$B$2:$B$26,MATCH($C833,medicine_master!$A$2:$A$26,0)),"Not found")</f>
        <v>Azithromycin 500mg</v>
      </c>
      <c r="H833" s="39" t="str">
        <f aca="false">IFERROR(INDEX(medicine_master!$C$2:$C$26,MATCH($C833,medicine_master!$A$2:$A$26,0)),"Not found")</f>
        <v>Antibiotic</v>
      </c>
      <c r="I833" s="39" t="n">
        <f aca="false">YEAR(B833)</f>
        <v>2026</v>
      </c>
      <c r="J833" s="39" t="n">
        <f aca="false">MONTH(B833)</f>
        <v>12</v>
      </c>
      <c r="K833" s="39" t="str">
        <f aca="false">TEXT(B833,"mmm")</f>
        <v>Dec</v>
      </c>
      <c r="L833" s="45" t="n">
        <f aca="false">IFERROR(INDEX(medicine_master!$I$2:$I$26,MATCH($C833,medicine_master!$A$2:$A$26,0)),0)</f>
        <v>50</v>
      </c>
      <c r="M833" s="45" t="n">
        <f aca="false">IFERROR(INDEX(medicine_master!$G$2:$G$26,MATCH($C833,medicine_master!$A$2:$A$26,0)),0)</f>
        <v>35</v>
      </c>
      <c r="N833" s="45" t="n">
        <f aca="false">IF(D833="Sale",E833*L833,0)</f>
        <v>0</v>
      </c>
      <c r="O833" s="45" t="n">
        <f aca="false">IF(D833="Sale",E833*M833,0)</f>
        <v>0</v>
      </c>
      <c r="P833" s="45" t="n">
        <f aca="false">N833-O833</f>
        <v>0</v>
      </c>
      <c r="Q833" s="45" t="n">
        <f aca="false">IF(D833="Purchase",E833*M833,0)</f>
        <v>875</v>
      </c>
    </row>
    <row r="834" customFormat="false" ht="15" hidden="false" customHeight="false" outlineLevel="0" collapsed="false">
      <c r="A834" s="39" t="s">
        <v>1158</v>
      </c>
      <c r="B834" s="44" t="n">
        <v>46061</v>
      </c>
      <c r="C834" s="39" t="s">
        <v>145</v>
      </c>
      <c r="D834" s="39" t="s">
        <v>138</v>
      </c>
      <c r="E834" s="39" t="n">
        <v>25</v>
      </c>
      <c r="F834" s="39" t="str">
        <f aca="false">IF(COUNTIF(medicine_master!$A$2:$A$26,C834)&gt;0,"Valid","Invalid")</f>
        <v>Valid</v>
      </c>
      <c r="G834" s="39" t="str">
        <f aca="false">IFERROR(INDEX(medicine_master!$B$2:$B$26,MATCH($C834,medicine_master!$A$2:$A$26,0)),"Not found")</f>
        <v>Clotrimazole Cream</v>
      </c>
      <c r="H834" s="39" t="str">
        <f aca="false">IFERROR(INDEX(medicine_master!$C$2:$C$26,MATCH($C834,medicine_master!$A$2:$A$26,0)),"Not found")</f>
        <v>Dermatology</v>
      </c>
      <c r="I834" s="39" t="n">
        <f aca="false">YEAR(B834)</f>
        <v>2026</v>
      </c>
      <c r="J834" s="39" t="n">
        <f aca="false">MONTH(B834)</f>
        <v>2</v>
      </c>
      <c r="K834" s="39" t="str">
        <f aca="false">TEXT(B834,"mmm")</f>
        <v>Feb</v>
      </c>
      <c r="L834" s="45" t="n">
        <f aca="false">IFERROR(INDEX(medicine_master!$I$2:$I$26,MATCH($C834,medicine_master!$A$2:$A$26,0)),0)</f>
        <v>48</v>
      </c>
      <c r="M834" s="45" t="n">
        <f aca="false">IFERROR(INDEX(medicine_master!$G$2:$G$26,MATCH($C834,medicine_master!$A$2:$A$26,0)),0)</f>
        <v>32</v>
      </c>
      <c r="N834" s="45" t="n">
        <f aca="false">IF(D834="Sale",E834*L834,0)</f>
        <v>0</v>
      </c>
      <c r="O834" s="45" t="n">
        <f aca="false">IF(D834="Sale",E834*M834,0)</f>
        <v>0</v>
      </c>
      <c r="P834" s="45" t="n">
        <f aca="false">N834-O834</f>
        <v>0</v>
      </c>
      <c r="Q834" s="45" t="n">
        <f aca="false">IF(D834="Purchase",E834*M834,0)</f>
        <v>800</v>
      </c>
    </row>
    <row r="835" customFormat="false" ht="15" hidden="false" customHeight="false" outlineLevel="0" collapsed="false">
      <c r="A835" s="39" t="s">
        <v>1159</v>
      </c>
      <c r="B835" s="44" t="n">
        <v>46364</v>
      </c>
      <c r="C835" s="39" t="s">
        <v>321</v>
      </c>
      <c r="D835" s="39" t="s">
        <v>137</v>
      </c>
      <c r="E835" s="39" t="n">
        <v>30</v>
      </c>
      <c r="F835" s="39" t="str">
        <f aca="false">IF(COUNTIF(medicine_master!$A$2:$A$26,C835)&gt;0,"Valid","Invalid")</f>
        <v>Valid</v>
      </c>
      <c r="G835" s="39" t="str">
        <f aca="false">IFERROR(INDEX(medicine_master!$B$2:$B$26,MATCH($C835,medicine_master!$A$2:$A$26,0)),"Not found")</f>
        <v>Levocetirizine 5mg</v>
      </c>
      <c r="H835" s="39" t="str">
        <f aca="false">IFERROR(INDEX(medicine_master!$C$2:$C$26,MATCH($C835,medicine_master!$A$2:$A$26,0)),"Not found")</f>
        <v>Allergy</v>
      </c>
      <c r="I835" s="39" t="n">
        <f aca="false">YEAR(B835)</f>
        <v>2026</v>
      </c>
      <c r="J835" s="39" t="n">
        <f aca="false">MONTH(B835)</f>
        <v>12</v>
      </c>
      <c r="K835" s="39" t="str">
        <f aca="false">TEXT(B835,"mmm")</f>
        <v>Dec</v>
      </c>
      <c r="L835" s="45" t="n">
        <f aca="false">IFERROR(INDEX(medicine_master!$I$2:$I$26,MATCH($C835,medicine_master!$A$2:$A$26,0)),0)</f>
        <v>22</v>
      </c>
      <c r="M835" s="45" t="n">
        <f aca="false">IFERROR(INDEX(medicine_master!$G$2:$G$26,MATCH($C835,medicine_master!$A$2:$A$26,0)),0)</f>
        <v>14</v>
      </c>
      <c r="N835" s="45" t="n">
        <f aca="false">IF(D835="Sale",E835*L835,0)</f>
        <v>660</v>
      </c>
      <c r="O835" s="45" t="n">
        <f aca="false">IF(D835="Sale",E835*M835,0)</f>
        <v>420</v>
      </c>
      <c r="P835" s="45" t="n">
        <f aca="false">N835-O835</f>
        <v>240</v>
      </c>
      <c r="Q835" s="45" t="n">
        <f aca="false">IF(D835="Purchase",E835*M835,0)</f>
        <v>0</v>
      </c>
    </row>
    <row r="836" customFormat="false" ht="15" hidden="false" customHeight="false" outlineLevel="0" collapsed="false">
      <c r="A836" s="39" t="s">
        <v>1160</v>
      </c>
      <c r="B836" s="44" t="n">
        <v>46058</v>
      </c>
      <c r="C836" s="39" t="s">
        <v>152</v>
      </c>
      <c r="D836" s="39" t="s">
        <v>138</v>
      </c>
      <c r="E836" s="39" t="n">
        <v>25</v>
      </c>
      <c r="F836" s="39" t="str">
        <f aca="false">IF(COUNTIF(medicine_master!$A$2:$A$26,C836)&gt;0,"Valid","Invalid")</f>
        <v>Valid</v>
      </c>
      <c r="G836" s="39" t="str">
        <f aca="false">IFERROR(INDEX(medicine_master!$B$2:$B$26,MATCH($C836,medicine_master!$A$2:$A$26,0)),"Not found")</f>
        <v>Amoxicillin 500mg</v>
      </c>
      <c r="H836" s="39" t="str">
        <f aca="false">IFERROR(INDEX(medicine_master!$C$2:$C$26,MATCH($C836,medicine_master!$A$2:$A$26,0)),"Not found")</f>
        <v>Antibiotic</v>
      </c>
      <c r="I836" s="39" t="n">
        <f aca="false">YEAR(B836)</f>
        <v>2026</v>
      </c>
      <c r="J836" s="39" t="n">
        <f aca="false">MONTH(B836)</f>
        <v>2</v>
      </c>
      <c r="K836" s="39" t="str">
        <f aca="false">TEXT(B836,"mmm")</f>
        <v>Feb</v>
      </c>
      <c r="L836" s="45" t="n">
        <f aca="false">IFERROR(INDEX(medicine_master!$I$2:$I$26,MATCH($C836,medicine_master!$A$2:$A$26,0)),0)</f>
        <v>40</v>
      </c>
      <c r="M836" s="45" t="n">
        <f aca="false">IFERROR(INDEX(medicine_master!$G$2:$G$26,MATCH($C836,medicine_master!$A$2:$A$26,0)),0)</f>
        <v>28</v>
      </c>
      <c r="N836" s="45" t="n">
        <f aca="false">IF(D836="Sale",E836*L836,0)</f>
        <v>0</v>
      </c>
      <c r="O836" s="45" t="n">
        <f aca="false">IF(D836="Sale",E836*M836,0)</f>
        <v>0</v>
      </c>
      <c r="P836" s="45" t="n">
        <f aca="false">N836-O836</f>
        <v>0</v>
      </c>
      <c r="Q836" s="45" t="n">
        <f aca="false">IF(D836="Purchase",E836*M836,0)</f>
        <v>700</v>
      </c>
    </row>
    <row r="837" customFormat="false" ht="15" hidden="false" customHeight="false" outlineLevel="0" collapsed="false">
      <c r="A837" s="39" t="s">
        <v>1161</v>
      </c>
      <c r="B837" s="44" t="n">
        <v>46277</v>
      </c>
      <c r="C837" s="39" t="s">
        <v>495</v>
      </c>
      <c r="D837" s="39" t="s">
        <v>138</v>
      </c>
      <c r="E837" s="39" t="n">
        <v>30</v>
      </c>
      <c r="F837" s="39" t="str">
        <f aca="false">IF(COUNTIF(medicine_master!$A$2:$A$26,C837)&gt;0,"Valid","Invalid")</f>
        <v>Valid</v>
      </c>
      <c r="G837" s="39" t="str">
        <f aca="false">IFERROR(INDEX(medicine_master!$B$2:$B$26,MATCH($C837,medicine_master!$A$2:$A$26,0)),"Not found")</f>
        <v>Metformin 500mg</v>
      </c>
      <c r="H837" s="39" t="str">
        <f aca="false">IFERROR(INDEX(medicine_master!$C$2:$C$26,MATCH($C837,medicine_master!$A$2:$A$26,0)),"Not found")</f>
        <v>Diabetes</v>
      </c>
      <c r="I837" s="39" t="n">
        <f aca="false">YEAR(B837)</f>
        <v>2026</v>
      </c>
      <c r="J837" s="39" t="n">
        <f aca="false">MONTH(B837)</f>
        <v>9</v>
      </c>
      <c r="K837" s="39" t="str">
        <f aca="false">TEXT(B837,"mmm")</f>
        <v>Sep</v>
      </c>
      <c r="L837" s="45" t="n">
        <f aca="false">IFERROR(INDEX(medicine_master!$I$2:$I$26,MATCH($C837,medicine_master!$A$2:$A$26,0)),0)</f>
        <v>24</v>
      </c>
      <c r="M837" s="45" t="n">
        <f aca="false">IFERROR(INDEX(medicine_master!$G$2:$G$26,MATCH($C837,medicine_master!$A$2:$A$26,0)),0)</f>
        <v>16</v>
      </c>
      <c r="N837" s="45" t="n">
        <f aca="false">IF(D837="Sale",E837*L837,0)</f>
        <v>0</v>
      </c>
      <c r="O837" s="45" t="n">
        <f aca="false">IF(D837="Sale",E837*M837,0)</f>
        <v>0</v>
      </c>
      <c r="P837" s="45" t="n">
        <f aca="false">N837-O837</f>
        <v>0</v>
      </c>
      <c r="Q837" s="45" t="n">
        <f aca="false">IF(D837="Purchase",E837*M837,0)</f>
        <v>480</v>
      </c>
    </row>
    <row r="838" customFormat="false" ht="15" hidden="false" customHeight="false" outlineLevel="0" collapsed="false">
      <c r="A838" s="39" t="s">
        <v>1162</v>
      </c>
      <c r="B838" s="44" t="n">
        <v>46382</v>
      </c>
      <c r="C838" s="39" t="s">
        <v>179</v>
      </c>
      <c r="D838" s="39" t="s">
        <v>137</v>
      </c>
      <c r="E838" s="39" t="n">
        <v>30</v>
      </c>
      <c r="F838" s="39" t="str">
        <f aca="false">IF(COUNTIF(medicine_master!$A$2:$A$26,C838)&gt;0,"Valid","Invalid")</f>
        <v>Valid</v>
      </c>
      <c r="G838" s="39" t="str">
        <f aca="false">IFERROR(INDEX(medicine_master!$B$2:$B$26,MATCH($C838,medicine_master!$A$2:$A$26,0)),"Not found")</f>
        <v>Ibuprofen 400mg</v>
      </c>
      <c r="H838" s="39" t="str">
        <f aca="false">IFERROR(INDEX(medicine_master!$C$2:$C$26,MATCH($C838,medicine_master!$A$2:$A$26,0)),"Not found")</f>
        <v>Pain Relief</v>
      </c>
      <c r="I838" s="39" t="n">
        <f aca="false">YEAR(B838)</f>
        <v>2026</v>
      </c>
      <c r="J838" s="39" t="n">
        <f aca="false">MONTH(B838)</f>
        <v>12</v>
      </c>
      <c r="K838" s="39" t="str">
        <f aca="false">TEXT(B838,"mmm")</f>
        <v>Dec</v>
      </c>
      <c r="L838" s="45" t="n">
        <f aca="false">IFERROR(INDEX(medicine_master!$I$2:$I$26,MATCH($C838,medicine_master!$A$2:$A$26,0)),0)</f>
        <v>30</v>
      </c>
      <c r="M838" s="45" t="n">
        <f aca="false">IFERROR(INDEX(medicine_master!$G$2:$G$26,MATCH($C838,medicine_master!$A$2:$A$26,0)),0)</f>
        <v>22</v>
      </c>
      <c r="N838" s="45" t="n">
        <f aca="false">IF(D838="Sale",E838*L838,0)</f>
        <v>900</v>
      </c>
      <c r="O838" s="45" t="n">
        <f aca="false">IF(D838="Sale",E838*M838,0)</f>
        <v>660</v>
      </c>
      <c r="P838" s="45" t="n">
        <f aca="false">N838-O838</f>
        <v>240</v>
      </c>
      <c r="Q838" s="45" t="n">
        <f aca="false">IF(D838="Purchase",E838*M838,0)</f>
        <v>0</v>
      </c>
    </row>
    <row r="839" customFormat="false" ht="15" hidden="false" customHeight="false" outlineLevel="0" collapsed="false">
      <c r="A839" s="39" t="s">
        <v>1163</v>
      </c>
      <c r="B839" s="44" t="n">
        <v>46300</v>
      </c>
      <c r="C839" s="39" t="s">
        <v>152</v>
      </c>
      <c r="D839" s="39" t="s">
        <v>138</v>
      </c>
      <c r="E839" s="39" t="n">
        <v>20</v>
      </c>
      <c r="F839" s="39" t="str">
        <f aca="false">IF(COUNTIF(medicine_master!$A$2:$A$26,C839)&gt;0,"Valid","Invalid")</f>
        <v>Valid</v>
      </c>
      <c r="G839" s="39" t="str">
        <f aca="false">IFERROR(INDEX(medicine_master!$B$2:$B$26,MATCH($C839,medicine_master!$A$2:$A$26,0)),"Not found")</f>
        <v>Amoxicillin 500mg</v>
      </c>
      <c r="H839" s="39" t="str">
        <f aca="false">IFERROR(INDEX(medicine_master!$C$2:$C$26,MATCH($C839,medicine_master!$A$2:$A$26,0)),"Not found")</f>
        <v>Antibiotic</v>
      </c>
      <c r="I839" s="39" t="n">
        <f aca="false">YEAR(B839)</f>
        <v>2026</v>
      </c>
      <c r="J839" s="39" t="n">
        <f aca="false">MONTH(B839)</f>
        <v>10</v>
      </c>
      <c r="K839" s="39" t="str">
        <f aca="false">TEXT(B839,"mmm")</f>
        <v>Oct</v>
      </c>
      <c r="L839" s="45" t="n">
        <f aca="false">IFERROR(INDEX(medicine_master!$I$2:$I$26,MATCH($C839,medicine_master!$A$2:$A$26,0)),0)</f>
        <v>40</v>
      </c>
      <c r="M839" s="45" t="n">
        <f aca="false">IFERROR(INDEX(medicine_master!$G$2:$G$26,MATCH($C839,medicine_master!$A$2:$A$26,0)),0)</f>
        <v>28</v>
      </c>
      <c r="N839" s="45" t="n">
        <f aca="false">IF(D839="Sale",E839*L839,0)</f>
        <v>0</v>
      </c>
      <c r="O839" s="45" t="n">
        <f aca="false">IF(D839="Sale",E839*M839,0)</f>
        <v>0</v>
      </c>
      <c r="P839" s="45" t="n">
        <f aca="false">N839-O839</f>
        <v>0</v>
      </c>
      <c r="Q839" s="45" t="n">
        <f aca="false">IF(D839="Purchase",E839*M839,0)</f>
        <v>560</v>
      </c>
    </row>
    <row r="840" customFormat="false" ht="15" hidden="false" customHeight="false" outlineLevel="0" collapsed="false">
      <c r="A840" s="39" t="s">
        <v>1164</v>
      </c>
      <c r="B840" s="44" t="n">
        <v>46386</v>
      </c>
      <c r="C840" s="39" t="s">
        <v>167</v>
      </c>
      <c r="D840" s="39" t="s">
        <v>138</v>
      </c>
      <c r="E840" s="39" t="n">
        <v>40</v>
      </c>
      <c r="F840" s="39" t="str">
        <f aca="false">IF(COUNTIF(medicine_master!$A$2:$A$26,C840)&gt;0,"Valid","Invalid")</f>
        <v>Valid</v>
      </c>
      <c r="G840" s="39" t="str">
        <f aca="false">IFERROR(INDEX(medicine_master!$B$2:$B$26,MATCH($C840,medicine_master!$A$2:$A$26,0)),"Not found")</f>
        <v>Amlodipine 5mg</v>
      </c>
      <c r="H840" s="39" t="str">
        <f aca="false">IFERROR(INDEX(medicine_master!$C$2:$C$26,MATCH($C840,medicine_master!$A$2:$A$26,0)),"Not found")</f>
        <v>Cardiac</v>
      </c>
      <c r="I840" s="39" t="n">
        <f aca="false">YEAR(B840)</f>
        <v>2026</v>
      </c>
      <c r="J840" s="39" t="n">
        <f aca="false">MONTH(B840)</f>
        <v>12</v>
      </c>
      <c r="K840" s="39" t="str">
        <f aca="false">TEXT(B840,"mmm")</f>
        <v>Dec</v>
      </c>
      <c r="L840" s="45" t="n">
        <f aca="false">IFERROR(INDEX(medicine_master!$I$2:$I$26,MATCH($C840,medicine_master!$A$2:$A$26,0)),0)</f>
        <v>19</v>
      </c>
      <c r="M840" s="45" t="n">
        <f aca="false">IFERROR(INDEX(medicine_master!$G$2:$G$26,MATCH($C840,medicine_master!$A$2:$A$26,0)),0)</f>
        <v>13</v>
      </c>
      <c r="N840" s="45" t="n">
        <f aca="false">IF(D840="Sale",E840*L840,0)</f>
        <v>0</v>
      </c>
      <c r="O840" s="45" t="n">
        <f aca="false">IF(D840="Sale",E840*M840,0)</f>
        <v>0</v>
      </c>
      <c r="P840" s="45" t="n">
        <f aca="false">N840-O840</f>
        <v>0</v>
      </c>
      <c r="Q840" s="45" t="n">
        <f aca="false">IF(D840="Purchase",E840*M840,0)</f>
        <v>520</v>
      </c>
    </row>
    <row r="841" customFormat="false" ht="15" hidden="false" customHeight="false" outlineLevel="0" collapsed="false">
      <c r="A841" s="39" t="s">
        <v>1165</v>
      </c>
      <c r="B841" s="44" t="n">
        <v>46270</v>
      </c>
      <c r="C841" s="39" t="s">
        <v>148</v>
      </c>
      <c r="D841" s="39" t="s">
        <v>137</v>
      </c>
      <c r="E841" s="39" t="n">
        <v>50</v>
      </c>
      <c r="F841" s="39" t="str">
        <f aca="false">IF(COUNTIF(medicine_master!$A$2:$A$26,C841)&gt;0,"Valid","Invalid")</f>
        <v>Valid</v>
      </c>
      <c r="G841" s="39" t="str">
        <f aca="false">IFERROR(INDEX(medicine_master!$B$2:$B$26,MATCH($C841,medicine_master!$A$2:$A$26,0)),"Not found")</f>
        <v>Dextromethorphan Syrup</v>
      </c>
      <c r="H841" s="39" t="str">
        <f aca="false">IFERROR(INDEX(medicine_master!$C$2:$C$26,MATCH($C841,medicine_master!$A$2:$A$26,0)),"Not found")</f>
        <v>Cold &amp; Cough</v>
      </c>
      <c r="I841" s="39" t="n">
        <f aca="false">YEAR(B841)</f>
        <v>2026</v>
      </c>
      <c r="J841" s="39" t="n">
        <f aca="false">MONTH(B841)</f>
        <v>9</v>
      </c>
      <c r="K841" s="39" t="str">
        <f aca="false">TEXT(B841,"mmm")</f>
        <v>Sep</v>
      </c>
      <c r="L841" s="45" t="n">
        <f aca="false">IFERROR(INDEX(medicine_master!$I$2:$I$26,MATCH($C841,medicine_master!$A$2:$A$26,0)),0)</f>
        <v>80</v>
      </c>
      <c r="M841" s="45" t="n">
        <f aca="false">IFERROR(INDEX(medicine_master!$G$2:$G$26,MATCH($C841,medicine_master!$A$2:$A$26,0)),0)</f>
        <v>58</v>
      </c>
      <c r="N841" s="45" t="n">
        <f aca="false">IF(D841="Sale",E841*L841,0)</f>
        <v>4000</v>
      </c>
      <c r="O841" s="45" t="n">
        <f aca="false">IF(D841="Sale",E841*M841,0)</f>
        <v>2900</v>
      </c>
      <c r="P841" s="45" t="n">
        <f aca="false">N841-O841</f>
        <v>1100</v>
      </c>
      <c r="Q841" s="45" t="n">
        <f aca="false">IF(D841="Purchase",E841*M841,0)</f>
        <v>0</v>
      </c>
    </row>
    <row r="842" customFormat="false" ht="15" hidden="false" customHeight="false" outlineLevel="0" collapsed="false">
      <c r="A842" s="39" t="s">
        <v>1166</v>
      </c>
      <c r="B842" s="44" t="n">
        <v>46182</v>
      </c>
      <c r="C842" s="39" t="s">
        <v>178</v>
      </c>
      <c r="D842" s="39" t="s">
        <v>137</v>
      </c>
      <c r="E842" s="39" t="n">
        <v>20</v>
      </c>
      <c r="F842" s="39" t="str">
        <f aca="false">IF(COUNTIF(medicine_master!$A$2:$A$26,C842)&gt;0,"Valid","Invalid")</f>
        <v>Valid</v>
      </c>
      <c r="G842" s="39" t="str">
        <f aca="false">IFERROR(INDEX(medicine_master!$B$2:$B$26,MATCH($C842,medicine_master!$A$2:$A$26,0)),"Not found")</f>
        <v>Aspirin 75mg</v>
      </c>
      <c r="H842" s="39" t="str">
        <f aca="false">IFERROR(INDEX(medicine_master!$C$2:$C$26,MATCH($C842,medicine_master!$A$2:$A$26,0)),"Not found")</f>
        <v>Cardiac</v>
      </c>
      <c r="I842" s="39" t="n">
        <f aca="false">YEAR(B842)</f>
        <v>2026</v>
      </c>
      <c r="J842" s="39" t="n">
        <f aca="false">MONTH(B842)</f>
        <v>6</v>
      </c>
      <c r="K842" s="39" t="str">
        <f aca="false">TEXT(B842,"mmm")</f>
        <v>Jun</v>
      </c>
      <c r="L842" s="45" t="n">
        <f aca="false">IFERROR(INDEX(medicine_master!$I$2:$I$26,MATCH($C842,medicine_master!$A$2:$A$26,0)),0)</f>
        <v>15</v>
      </c>
      <c r="M842" s="45" t="n">
        <f aca="false">IFERROR(INDEX(medicine_master!$G$2:$G$26,MATCH($C842,medicine_master!$A$2:$A$26,0)),0)</f>
        <v>10</v>
      </c>
      <c r="N842" s="45" t="n">
        <f aca="false">IF(D842="Sale",E842*L842,0)</f>
        <v>300</v>
      </c>
      <c r="O842" s="45" t="n">
        <f aca="false">IF(D842="Sale",E842*M842,0)</f>
        <v>200</v>
      </c>
      <c r="P842" s="45" t="n">
        <f aca="false">N842-O842</f>
        <v>100</v>
      </c>
      <c r="Q842" s="45" t="n">
        <f aca="false">IF(D842="Purchase",E842*M842,0)</f>
        <v>0</v>
      </c>
    </row>
    <row r="843" customFormat="false" ht="15" hidden="false" customHeight="false" outlineLevel="0" collapsed="false">
      <c r="A843" s="39" t="s">
        <v>1167</v>
      </c>
      <c r="B843" s="44" t="n">
        <v>46139</v>
      </c>
      <c r="C843" s="39" t="s">
        <v>151</v>
      </c>
      <c r="D843" s="39" t="s">
        <v>138</v>
      </c>
      <c r="E843" s="39" t="n">
        <v>20</v>
      </c>
      <c r="F843" s="39" t="str">
        <f aca="false">IF(COUNTIF(medicine_master!$A$2:$A$26,C843)&gt;0,"Valid","Invalid")</f>
        <v>Valid</v>
      </c>
      <c r="G843" s="39" t="str">
        <f aca="false">IFERROR(INDEX(medicine_master!$B$2:$B$26,MATCH($C843,medicine_master!$A$2:$A$26,0)),"Not found")</f>
        <v>Cetirizine 10mg</v>
      </c>
      <c r="H843" s="39" t="str">
        <f aca="false">IFERROR(INDEX(medicine_master!$C$2:$C$26,MATCH($C843,medicine_master!$A$2:$A$26,0)),"Not found")</f>
        <v>Allergy</v>
      </c>
      <c r="I843" s="39" t="n">
        <f aca="false">YEAR(B843)</f>
        <v>2026</v>
      </c>
      <c r="J843" s="39" t="n">
        <f aca="false">MONTH(B843)</f>
        <v>4</v>
      </c>
      <c r="K843" s="39" t="str">
        <f aca="false">TEXT(B843,"mmm")</f>
        <v>Apr</v>
      </c>
      <c r="L843" s="45" t="n">
        <f aca="false">IFERROR(INDEX(medicine_master!$I$2:$I$26,MATCH($C843,medicine_master!$A$2:$A$26,0)),0)</f>
        <v>13</v>
      </c>
      <c r="M843" s="45" t="n">
        <f aca="false">IFERROR(INDEX(medicine_master!$G$2:$G$26,MATCH($C843,medicine_master!$A$2:$A$26,0)),0)</f>
        <v>8</v>
      </c>
      <c r="N843" s="45" t="n">
        <f aca="false">IF(D843="Sale",E843*L843,0)</f>
        <v>0</v>
      </c>
      <c r="O843" s="45" t="n">
        <f aca="false">IF(D843="Sale",E843*M843,0)</f>
        <v>0</v>
      </c>
      <c r="P843" s="45" t="n">
        <f aca="false">N843-O843</f>
        <v>0</v>
      </c>
      <c r="Q843" s="45" t="n">
        <f aca="false">IF(D843="Purchase",E843*M843,0)</f>
        <v>160</v>
      </c>
    </row>
    <row r="844" customFormat="false" ht="15" hidden="false" customHeight="false" outlineLevel="0" collapsed="false">
      <c r="A844" s="39" t="s">
        <v>1168</v>
      </c>
      <c r="B844" s="44" t="n">
        <v>46368</v>
      </c>
      <c r="C844" s="39" t="s">
        <v>153</v>
      </c>
      <c r="D844" s="39" t="s">
        <v>137</v>
      </c>
      <c r="E844" s="39" t="n">
        <v>50</v>
      </c>
      <c r="F844" s="39" t="str">
        <f aca="false">IF(COUNTIF(medicine_master!$A$2:$A$26,C844)&gt;0,"Valid","Invalid")</f>
        <v>Valid</v>
      </c>
      <c r="G844" s="39" t="str">
        <f aca="false">IFERROR(INDEX(medicine_master!$B$2:$B$26,MATCH($C844,medicine_master!$A$2:$A$26,0)),"Not found")</f>
        <v>Atorvastatin 10mg</v>
      </c>
      <c r="H844" s="39" t="str">
        <f aca="false">IFERROR(INDEX(medicine_master!$C$2:$C$26,MATCH($C844,medicine_master!$A$2:$A$26,0)),"Not found")</f>
        <v>Cardiac</v>
      </c>
      <c r="I844" s="39" t="n">
        <f aca="false">YEAR(B844)</f>
        <v>2026</v>
      </c>
      <c r="J844" s="39" t="n">
        <f aca="false">MONTH(B844)</f>
        <v>12</v>
      </c>
      <c r="K844" s="39" t="str">
        <f aca="false">TEXT(B844,"mmm")</f>
        <v>Dec</v>
      </c>
      <c r="L844" s="45" t="n">
        <f aca="false">IFERROR(INDEX(medicine_master!$I$2:$I$26,MATCH($C844,medicine_master!$A$2:$A$26,0)),0)</f>
        <v>28</v>
      </c>
      <c r="M844" s="45" t="n">
        <f aca="false">IFERROR(INDEX(medicine_master!$G$2:$G$26,MATCH($C844,medicine_master!$A$2:$A$26,0)),0)</f>
        <v>19</v>
      </c>
      <c r="N844" s="45" t="n">
        <f aca="false">IF(D844="Sale",E844*L844,0)</f>
        <v>1400</v>
      </c>
      <c r="O844" s="45" t="n">
        <f aca="false">IF(D844="Sale",E844*M844,0)</f>
        <v>950</v>
      </c>
      <c r="P844" s="45" t="n">
        <f aca="false">N844-O844</f>
        <v>450</v>
      </c>
      <c r="Q844" s="45" t="n">
        <f aca="false">IF(D844="Purchase",E844*M844,0)</f>
        <v>0</v>
      </c>
    </row>
    <row r="845" customFormat="false" ht="15" hidden="false" customHeight="false" outlineLevel="0" collapsed="false">
      <c r="A845" s="39" t="s">
        <v>1169</v>
      </c>
      <c r="B845" s="44" t="n">
        <v>46371</v>
      </c>
      <c r="C845" s="39" t="s">
        <v>146</v>
      </c>
      <c r="D845" s="39" t="s">
        <v>137</v>
      </c>
      <c r="E845" s="39" t="n">
        <v>20</v>
      </c>
      <c r="F845" s="39" t="str">
        <f aca="false">IF(COUNTIF(medicine_master!$A$2:$A$26,C845)&gt;0,"Valid","Invalid")</f>
        <v>Valid</v>
      </c>
      <c r="G845" s="39" t="str">
        <f aca="false">IFERROR(INDEX(medicine_master!$B$2:$B$26,MATCH($C845,medicine_master!$A$2:$A$26,0)),"Not found")</f>
        <v>Diclofenac Gel</v>
      </c>
      <c r="H845" s="39" t="str">
        <f aca="false">IFERROR(INDEX(medicine_master!$C$2:$C$26,MATCH($C845,medicine_master!$A$2:$A$26,0)),"Not found")</f>
        <v>Pain Relief</v>
      </c>
      <c r="I845" s="39" t="n">
        <f aca="false">YEAR(B845)</f>
        <v>2026</v>
      </c>
      <c r="J845" s="39" t="n">
        <f aca="false">MONTH(B845)</f>
        <v>12</v>
      </c>
      <c r="K845" s="39" t="str">
        <f aca="false">TEXT(B845,"mmm")</f>
        <v>Dec</v>
      </c>
      <c r="L845" s="45" t="n">
        <f aca="false">IFERROR(INDEX(medicine_master!$I$2:$I$26,MATCH($C845,medicine_master!$A$2:$A$26,0)),0)</f>
        <v>55</v>
      </c>
      <c r="M845" s="45" t="n">
        <f aca="false">IFERROR(INDEX(medicine_master!$G$2:$G$26,MATCH($C845,medicine_master!$A$2:$A$26,0)),0)</f>
        <v>38</v>
      </c>
      <c r="N845" s="45" t="n">
        <f aca="false">IF(D845="Sale",E845*L845,0)</f>
        <v>1100</v>
      </c>
      <c r="O845" s="45" t="n">
        <f aca="false">IF(D845="Sale",E845*M845,0)</f>
        <v>760</v>
      </c>
      <c r="P845" s="45" t="n">
        <f aca="false">N845-O845</f>
        <v>340</v>
      </c>
      <c r="Q845" s="45" t="n">
        <f aca="false">IF(D845="Purchase",E845*M845,0)</f>
        <v>0</v>
      </c>
    </row>
    <row r="846" customFormat="false" ht="15" hidden="false" customHeight="false" outlineLevel="0" collapsed="false">
      <c r="A846" s="39" t="s">
        <v>1170</v>
      </c>
      <c r="B846" s="44" t="n">
        <v>46136</v>
      </c>
      <c r="C846" s="39" t="s">
        <v>345</v>
      </c>
      <c r="D846" s="39" t="s">
        <v>138</v>
      </c>
      <c r="E846" s="39" t="n">
        <v>40</v>
      </c>
      <c r="F846" s="39" t="str">
        <f aca="false">IF(COUNTIF(medicine_master!$A$2:$A$26,C846)&gt;0,"Valid","Invalid")</f>
        <v>Valid</v>
      </c>
      <c r="G846" s="39" t="str">
        <f aca="false">IFERROR(INDEX(medicine_master!$B$2:$B$26,MATCH($C846,medicine_master!$A$2:$A$26,0)),"Not found")</f>
        <v>Paracetamol 500mg</v>
      </c>
      <c r="H846" s="39" t="str">
        <f aca="false">IFERROR(INDEX(medicine_master!$C$2:$C$26,MATCH($C846,medicine_master!$A$2:$A$26,0)),"Not found")</f>
        <v>Pain Relief</v>
      </c>
      <c r="I846" s="39" t="n">
        <f aca="false">YEAR(B846)</f>
        <v>2026</v>
      </c>
      <c r="J846" s="39" t="n">
        <f aca="false">MONTH(B846)</f>
        <v>4</v>
      </c>
      <c r="K846" s="39" t="str">
        <f aca="false">TEXT(B846,"mmm")</f>
        <v>Apr</v>
      </c>
      <c r="L846" s="45" t="n">
        <f aca="false">IFERROR(INDEX(medicine_master!$I$2:$I$26,MATCH($C846,medicine_master!$A$2:$A$26,0)),0)</f>
        <v>18</v>
      </c>
      <c r="M846" s="45" t="n">
        <f aca="false">IFERROR(INDEX(medicine_master!$G$2:$G$26,MATCH($C846,medicine_master!$A$2:$A$26,0)),0)</f>
        <v>12</v>
      </c>
      <c r="N846" s="45" t="n">
        <f aca="false">IF(D846="Sale",E846*L846,0)</f>
        <v>0</v>
      </c>
      <c r="O846" s="45" t="n">
        <f aca="false">IF(D846="Sale",E846*M846,0)</f>
        <v>0</v>
      </c>
      <c r="P846" s="45" t="n">
        <f aca="false">N846-O846</f>
        <v>0</v>
      </c>
      <c r="Q846" s="45" t="n">
        <f aca="false">IF(D846="Purchase",E846*M846,0)</f>
        <v>480</v>
      </c>
    </row>
    <row r="847" customFormat="false" ht="15" hidden="false" customHeight="false" outlineLevel="0" collapsed="false">
      <c r="A847" s="39" t="s">
        <v>1171</v>
      </c>
      <c r="B847" s="44" t="n">
        <v>46138</v>
      </c>
      <c r="C847" s="39" t="s">
        <v>148</v>
      </c>
      <c r="D847" s="39" t="s">
        <v>137</v>
      </c>
      <c r="E847" s="39" t="n">
        <v>15</v>
      </c>
      <c r="F847" s="39" t="str">
        <f aca="false">IF(COUNTIF(medicine_master!$A$2:$A$26,C847)&gt;0,"Valid","Invalid")</f>
        <v>Valid</v>
      </c>
      <c r="G847" s="39" t="str">
        <f aca="false">IFERROR(INDEX(medicine_master!$B$2:$B$26,MATCH($C847,medicine_master!$A$2:$A$26,0)),"Not found")</f>
        <v>Dextromethorphan Syrup</v>
      </c>
      <c r="H847" s="39" t="str">
        <f aca="false">IFERROR(INDEX(medicine_master!$C$2:$C$26,MATCH($C847,medicine_master!$A$2:$A$26,0)),"Not found")</f>
        <v>Cold &amp; Cough</v>
      </c>
      <c r="I847" s="39" t="n">
        <f aca="false">YEAR(B847)</f>
        <v>2026</v>
      </c>
      <c r="J847" s="39" t="n">
        <f aca="false">MONTH(B847)</f>
        <v>4</v>
      </c>
      <c r="K847" s="39" t="str">
        <f aca="false">TEXT(B847,"mmm")</f>
        <v>Apr</v>
      </c>
      <c r="L847" s="45" t="n">
        <f aca="false">IFERROR(INDEX(medicine_master!$I$2:$I$26,MATCH($C847,medicine_master!$A$2:$A$26,0)),0)</f>
        <v>80</v>
      </c>
      <c r="M847" s="45" t="n">
        <f aca="false">IFERROR(INDEX(medicine_master!$G$2:$G$26,MATCH($C847,medicine_master!$A$2:$A$26,0)),0)</f>
        <v>58</v>
      </c>
      <c r="N847" s="45" t="n">
        <f aca="false">IF(D847="Sale",E847*L847,0)</f>
        <v>1200</v>
      </c>
      <c r="O847" s="45" t="n">
        <f aca="false">IF(D847="Sale",E847*M847,0)</f>
        <v>870</v>
      </c>
      <c r="P847" s="45" t="n">
        <f aca="false">N847-O847</f>
        <v>330</v>
      </c>
      <c r="Q847" s="45" t="n">
        <f aca="false">IF(D847="Purchase",E847*M847,0)</f>
        <v>0</v>
      </c>
    </row>
    <row r="848" customFormat="false" ht="15" hidden="false" customHeight="false" outlineLevel="0" collapsed="false">
      <c r="A848" s="39" t="s">
        <v>1172</v>
      </c>
      <c r="B848" s="44" t="n">
        <v>46127</v>
      </c>
      <c r="C848" s="39" t="s">
        <v>152</v>
      </c>
      <c r="D848" s="39" t="s">
        <v>138</v>
      </c>
      <c r="E848" s="39" t="n">
        <v>10</v>
      </c>
      <c r="F848" s="39" t="str">
        <f aca="false">IF(COUNTIF(medicine_master!$A$2:$A$26,C848)&gt;0,"Valid","Invalid")</f>
        <v>Valid</v>
      </c>
      <c r="G848" s="39" t="str">
        <f aca="false">IFERROR(INDEX(medicine_master!$B$2:$B$26,MATCH($C848,medicine_master!$A$2:$A$26,0)),"Not found")</f>
        <v>Amoxicillin 500mg</v>
      </c>
      <c r="H848" s="39" t="str">
        <f aca="false">IFERROR(INDEX(medicine_master!$C$2:$C$26,MATCH($C848,medicine_master!$A$2:$A$26,0)),"Not found")</f>
        <v>Antibiotic</v>
      </c>
      <c r="I848" s="39" t="n">
        <f aca="false">YEAR(B848)</f>
        <v>2026</v>
      </c>
      <c r="J848" s="39" t="n">
        <f aca="false">MONTH(B848)</f>
        <v>4</v>
      </c>
      <c r="K848" s="39" t="str">
        <f aca="false">TEXT(B848,"mmm")</f>
        <v>Apr</v>
      </c>
      <c r="L848" s="45" t="n">
        <f aca="false">IFERROR(INDEX(medicine_master!$I$2:$I$26,MATCH($C848,medicine_master!$A$2:$A$26,0)),0)</f>
        <v>40</v>
      </c>
      <c r="M848" s="45" t="n">
        <f aca="false">IFERROR(INDEX(medicine_master!$G$2:$G$26,MATCH($C848,medicine_master!$A$2:$A$26,0)),0)</f>
        <v>28</v>
      </c>
      <c r="N848" s="45" t="n">
        <f aca="false">IF(D848="Sale",E848*L848,0)</f>
        <v>0</v>
      </c>
      <c r="O848" s="45" t="n">
        <f aca="false">IF(D848="Sale",E848*M848,0)</f>
        <v>0</v>
      </c>
      <c r="P848" s="45" t="n">
        <f aca="false">N848-O848</f>
        <v>0</v>
      </c>
      <c r="Q848" s="45" t="n">
        <f aca="false">IF(D848="Purchase",E848*M848,0)</f>
        <v>280</v>
      </c>
    </row>
    <row r="849" customFormat="false" ht="15" hidden="false" customHeight="false" outlineLevel="0" collapsed="false">
      <c r="A849" s="39" t="s">
        <v>1173</v>
      </c>
      <c r="B849" s="44" t="n">
        <v>46376</v>
      </c>
      <c r="C849" s="39" t="s">
        <v>147</v>
      </c>
      <c r="D849" s="39" t="s">
        <v>138</v>
      </c>
      <c r="E849" s="39" t="n">
        <v>50</v>
      </c>
      <c r="F849" s="39" t="str">
        <f aca="false">IF(COUNTIF(medicine_master!$A$2:$A$26,C849)&gt;0,"Valid","Invalid")</f>
        <v>Valid</v>
      </c>
      <c r="G849" s="39" t="str">
        <f aca="false">IFERROR(INDEX(medicine_master!$B$2:$B$26,MATCH($C849,medicine_master!$A$2:$A$26,0)),"Not found")</f>
        <v>Insulin Injection</v>
      </c>
      <c r="H849" s="39" t="str">
        <f aca="false">IFERROR(INDEX(medicine_master!$C$2:$C$26,MATCH($C849,medicine_master!$A$2:$A$26,0)),"Not found")</f>
        <v>Diabetes</v>
      </c>
      <c r="I849" s="39" t="n">
        <f aca="false">YEAR(B849)</f>
        <v>2026</v>
      </c>
      <c r="J849" s="39" t="n">
        <f aca="false">MONTH(B849)</f>
        <v>12</v>
      </c>
      <c r="K849" s="39" t="str">
        <f aca="false">TEXT(B849,"mmm")</f>
        <v>Dec</v>
      </c>
      <c r="L849" s="45" t="n">
        <f aca="false">IFERROR(INDEX(medicine_master!$I$2:$I$26,MATCH($C849,medicine_master!$A$2:$A$26,0)),0)</f>
        <v>225</v>
      </c>
      <c r="M849" s="45" t="n">
        <f aca="false">IFERROR(INDEX(medicine_master!$G$2:$G$26,MATCH($C849,medicine_master!$A$2:$A$26,0)),0)</f>
        <v>165</v>
      </c>
      <c r="N849" s="45" t="n">
        <f aca="false">IF(D849="Sale",E849*L849,0)</f>
        <v>0</v>
      </c>
      <c r="O849" s="45" t="n">
        <f aca="false">IF(D849="Sale",E849*M849,0)</f>
        <v>0</v>
      </c>
      <c r="P849" s="45" t="n">
        <f aca="false">N849-O849</f>
        <v>0</v>
      </c>
      <c r="Q849" s="45" t="n">
        <f aca="false">IF(D849="Purchase",E849*M849,0)</f>
        <v>8250</v>
      </c>
    </row>
    <row r="850" customFormat="false" ht="15" hidden="false" customHeight="false" outlineLevel="0" collapsed="false">
      <c r="A850" s="39" t="s">
        <v>1174</v>
      </c>
      <c r="B850" s="44" t="n">
        <v>46219</v>
      </c>
      <c r="C850" s="39" t="s">
        <v>495</v>
      </c>
      <c r="D850" s="39" t="s">
        <v>137</v>
      </c>
      <c r="E850" s="39" t="n">
        <v>20</v>
      </c>
      <c r="F850" s="39" t="str">
        <f aca="false">IF(COUNTIF(medicine_master!$A$2:$A$26,C850)&gt;0,"Valid","Invalid")</f>
        <v>Valid</v>
      </c>
      <c r="G850" s="39" t="str">
        <f aca="false">IFERROR(INDEX(medicine_master!$B$2:$B$26,MATCH($C850,medicine_master!$A$2:$A$26,0)),"Not found")</f>
        <v>Metformin 500mg</v>
      </c>
      <c r="H850" s="39" t="str">
        <f aca="false">IFERROR(INDEX(medicine_master!$C$2:$C$26,MATCH($C850,medicine_master!$A$2:$A$26,0)),"Not found")</f>
        <v>Diabetes</v>
      </c>
      <c r="I850" s="39" t="n">
        <f aca="false">YEAR(B850)</f>
        <v>2026</v>
      </c>
      <c r="J850" s="39" t="n">
        <f aca="false">MONTH(B850)</f>
        <v>7</v>
      </c>
      <c r="K850" s="39" t="str">
        <f aca="false">TEXT(B850,"mmm")</f>
        <v>Jul</v>
      </c>
      <c r="L850" s="45" t="n">
        <f aca="false">IFERROR(INDEX(medicine_master!$I$2:$I$26,MATCH($C850,medicine_master!$A$2:$A$26,0)),0)</f>
        <v>24</v>
      </c>
      <c r="M850" s="45" t="n">
        <f aca="false">IFERROR(INDEX(medicine_master!$G$2:$G$26,MATCH($C850,medicine_master!$A$2:$A$26,0)),0)</f>
        <v>16</v>
      </c>
      <c r="N850" s="45" t="n">
        <f aca="false">IF(D850="Sale",E850*L850,0)</f>
        <v>480</v>
      </c>
      <c r="O850" s="45" t="n">
        <f aca="false">IF(D850="Sale",E850*M850,0)</f>
        <v>320</v>
      </c>
      <c r="P850" s="45" t="n">
        <f aca="false">N850-O850</f>
        <v>160</v>
      </c>
      <c r="Q850" s="45" t="n">
        <f aca="false">IF(D850="Purchase",E850*M850,0)</f>
        <v>0</v>
      </c>
    </row>
    <row r="851" customFormat="false" ht="15" hidden="false" customHeight="false" outlineLevel="0" collapsed="false">
      <c r="A851" s="39" t="s">
        <v>1175</v>
      </c>
      <c r="B851" s="44" t="n">
        <v>46098</v>
      </c>
      <c r="C851" s="39" t="s">
        <v>404</v>
      </c>
      <c r="D851" s="39" t="s">
        <v>138</v>
      </c>
      <c r="E851" s="39" t="n">
        <v>15</v>
      </c>
      <c r="F851" s="39" t="str">
        <f aca="false">IF(COUNTIF(medicine_master!$A$2:$A$26,C851)&gt;0,"Valid","Invalid")</f>
        <v>Valid</v>
      </c>
      <c r="G851" s="39" t="str">
        <f aca="false">IFERROR(INDEX(medicine_master!$B$2:$B$26,MATCH($C851,medicine_master!$A$2:$A$26,0)),"Not found")</f>
        <v>ORS Sachet</v>
      </c>
      <c r="H851" s="39" t="str">
        <f aca="false">IFERROR(INDEX(medicine_master!$C$2:$C$26,MATCH($C851,medicine_master!$A$2:$A$26,0)),"Not found")</f>
        <v>First Aid</v>
      </c>
      <c r="I851" s="39" t="n">
        <f aca="false">YEAR(B851)</f>
        <v>2026</v>
      </c>
      <c r="J851" s="39" t="n">
        <f aca="false">MONTH(B851)</f>
        <v>3</v>
      </c>
      <c r="K851" s="39" t="str">
        <f aca="false">TEXT(B851,"mmm")</f>
        <v>Mar</v>
      </c>
      <c r="L851" s="45" t="n">
        <f aca="false">IFERROR(INDEX(medicine_master!$I$2:$I$26,MATCH($C851,medicine_master!$A$2:$A$26,0)),0)</f>
        <v>10</v>
      </c>
      <c r="M851" s="45" t="n">
        <f aca="false">IFERROR(INDEX(medicine_master!$G$2:$G$26,MATCH($C851,medicine_master!$A$2:$A$26,0)),0)</f>
        <v>6</v>
      </c>
      <c r="N851" s="45" t="n">
        <f aca="false">IF(D851="Sale",E851*L851,0)</f>
        <v>0</v>
      </c>
      <c r="O851" s="45" t="n">
        <f aca="false">IF(D851="Sale",E851*M851,0)</f>
        <v>0</v>
      </c>
      <c r="P851" s="45" t="n">
        <f aca="false">N851-O851</f>
        <v>0</v>
      </c>
      <c r="Q851" s="45" t="n">
        <f aca="false">IF(D851="Purchase",E851*M851,0)</f>
        <v>90</v>
      </c>
    </row>
    <row r="852" customFormat="false" ht="15" hidden="false" customHeight="false" outlineLevel="0" collapsed="false">
      <c r="A852" s="39" t="s">
        <v>1176</v>
      </c>
      <c r="B852" s="44" t="n">
        <v>46325</v>
      </c>
      <c r="C852" s="39" t="s">
        <v>148</v>
      </c>
      <c r="D852" s="39" t="s">
        <v>137</v>
      </c>
      <c r="E852" s="39" t="n">
        <v>40</v>
      </c>
      <c r="F852" s="39" t="str">
        <f aca="false">IF(COUNTIF(medicine_master!$A$2:$A$26,C852)&gt;0,"Valid","Invalid")</f>
        <v>Valid</v>
      </c>
      <c r="G852" s="39" t="str">
        <f aca="false">IFERROR(INDEX(medicine_master!$B$2:$B$26,MATCH($C852,medicine_master!$A$2:$A$26,0)),"Not found")</f>
        <v>Dextromethorphan Syrup</v>
      </c>
      <c r="H852" s="39" t="str">
        <f aca="false">IFERROR(INDEX(medicine_master!$C$2:$C$26,MATCH($C852,medicine_master!$A$2:$A$26,0)),"Not found")</f>
        <v>Cold &amp; Cough</v>
      </c>
      <c r="I852" s="39" t="n">
        <f aca="false">YEAR(B852)</f>
        <v>2026</v>
      </c>
      <c r="J852" s="39" t="n">
        <f aca="false">MONTH(B852)</f>
        <v>10</v>
      </c>
      <c r="K852" s="39" t="str">
        <f aca="false">TEXT(B852,"mmm")</f>
        <v>Oct</v>
      </c>
      <c r="L852" s="45" t="n">
        <f aca="false">IFERROR(INDEX(medicine_master!$I$2:$I$26,MATCH($C852,medicine_master!$A$2:$A$26,0)),0)</f>
        <v>80</v>
      </c>
      <c r="M852" s="45" t="n">
        <f aca="false">IFERROR(INDEX(medicine_master!$G$2:$G$26,MATCH($C852,medicine_master!$A$2:$A$26,0)),0)</f>
        <v>58</v>
      </c>
      <c r="N852" s="45" t="n">
        <f aca="false">IF(D852="Sale",E852*L852,0)</f>
        <v>3200</v>
      </c>
      <c r="O852" s="45" t="n">
        <f aca="false">IF(D852="Sale",E852*M852,0)</f>
        <v>2320</v>
      </c>
      <c r="P852" s="45" t="n">
        <f aca="false">N852-O852</f>
        <v>880</v>
      </c>
      <c r="Q852" s="45" t="n">
        <f aca="false">IF(D852="Purchase",E852*M852,0)</f>
        <v>0</v>
      </c>
    </row>
    <row r="853" customFormat="false" ht="15" hidden="false" customHeight="false" outlineLevel="0" collapsed="false">
      <c r="A853" s="39" t="s">
        <v>1177</v>
      </c>
      <c r="B853" s="44" t="n">
        <v>46154</v>
      </c>
      <c r="C853" s="39" t="s">
        <v>148</v>
      </c>
      <c r="D853" s="39" t="s">
        <v>137</v>
      </c>
      <c r="E853" s="39" t="n">
        <v>20</v>
      </c>
      <c r="F853" s="39" t="str">
        <f aca="false">IF(COUNTIF(medicine_master!$A$2:$A$26,C853)&gt;0,"Valid","Invalid")</f>
        <v>Valid</v>
      </c>
      <c r="G853" s="39" t="str">
        <f aca="false">IFERROR(INDEX(medicine_master!$B$2:$B$26,MATCH($C853,medicine_master!$A$2:$A$26,0)),"Not found")</f>
        <v>Dextromethorphan Syrup</v>
      </c>
      <c r="H853" s="39" t="str">
        <f aca="false">IFERROR(INDEX(medicine_master!$C$2:$C$26,MATCH($C853,medicine_master!$A$2:$A$26,0)),"Not found")</f>
        <v>Cold &amp; Cough</v>
      </c>
      <c r="I853" s="39" t="n">
        <f aca="false">YEAR(B853)</f>
        <v>2026</v>
      </c>
      <c r="J853" s="39" t="n">
        <f aca="false">MONTH(B853)</f>
        <v>5</v>
      </c>
      <c r="K853" s="39" t="str">
        <f aca="false">TEXT(B853,"mmm")</f>
        <v>May</v>
      </c>
      <c r="L853" s="45" t="n">
        <f aca="false">IFERROR(INDEX(medicine_master!$I$2:$I$26,MATCH($C853,medicine_master!$A$2:$A$26,0)),0)</f>
        <v>80</v>
      </c>
      <c r="M853" s="45" t="n">
        <f aca="false">IFERROR(INDEX(medicine_master!$G$2:$G$26,MATCH($C853,medicine_master!$A$2:$A$26,0)),0)</f>
        <v>58</v>
      </c>
      <c r="N853" s="45" t="n">
        <f aca="false">IF(D853="Sale",E853*L853,0)</f>
        <v>1600</v>
      </c>
      <c r="O853" s="45" t="n">
        <f aca="false">IF(D853="Sale",E853*M853,0)</f>
        <v>1160</v>
      </c>
      <c r="P853" s="45" t="n">
        <f aca="false">N853-O853</f>
        <v>440</v>
      </c>
      <c r="Q853" s="45" t="n">
        <f aca="false">IF(D853="Purchase",E853*M853,0)</f>
        <v>0</v>
      </c>
    </row>
    <row r="854" customFormat="false" ht="15" hidden="false" customHeight="false" outlineLevel="0" collapsed="false">
      <c r="A854" s="39" t="s">
        <v>1178</v>
      </c>
      <c r="B854" s="44" t="n">
        <v>46138</v>
      </c>
      <c r="C854" s="39" t="s">
        <v>167</v>
      </c>
      <c r="D854" s="39" t="s">
        <v>137</v>
      </c>
      <c r="E854" s="39" t="n">
        <v>10</v>
      </c>
      <c r="F854" s="39" t="str">
        <f aca="false">IF(COUNTIF(medicine_master!$A$2:$A$26,C854)&gt;0,"Valid","Invalid")</f>
        <v>Valid</v>
      </c>
      <c r="G854" s="39" t="str">
        <f aca="false">IFERROR(INDEX(medicine_master!$B$2:$B$26,MATCH($C854,medicine_master!$A$2:$A$26,0)),"Not found")</f>
        <v>Amlodipine 5mg</v>
      </c>
      <c r="H854" s="39" t="str">
        <f aca="false">IFERROR(INDEX(medicine_master!$C$2:$C$26,MATCH($C854,medicine_master!$A$2:$A$26,0)),"Not found")</f>
        <v>Cardiac</v>
      </c>
      <c r="I854" s="39" t="n">
        <f aca="false">YEAR(B854)</f>
        <v>2026</v>
      </c>
      <c r="J854" s="39" t="n">
        <f aca="false">MONTH(B854)</f>
        <v>4</v>
      </c>
      <c r="K854" s="39" t="str">
        <f aca="false">TEXT(B854,"mmm")</f>
        <v>Apr</v>
      </c>
      <c r="L854" s="45" t="n">
        <f aca="false">IFERROR(INDEX(medicine_master!$I$2:$I$26,MATCH($C854,medicine_master!$A$2:$A$26,0)),0)</f>
        <v>19</v>
      </c>
      <c r="M854" s="45" t="n">
        <f aca="false">IFERROR(INDEX(medicine_master!$G$2:$G$26,MATCH($C854,medicine_master!$A$2:$A$26,0)),0)</f>
        <v>13</v>
      </c>
      <c r="N854" s="45" t="n">
        <f aca="false">IF(D854="Sale",E854*L854,0)</f>
        <v>190</v>
      </c>
      <c r="O854" s="45" t="n">
        <f aca="false">IF(D854="Sale",E854*M854,0)</f>
        <v>130</v>
      </c>
      <c r="P854" s="45" t="n">
        <f aca="false">N854-O854</f>
        <v>60</v>
      </c>
      <c r="Q854" s="45" t="n">
        <f aca="false">IF(D854="Purchase",E854*M854,0)</f>
        <v>0</v>
      </c>
    </row>
    <row r="855" customFormat="false" ht="15" hidden="false" customHeight="false" outlineLevel="0" collapsed="false">
      <c r="A855" s="39" t="s">
        <v>1179</v>
      </c>
      <c r="B855" s="44" t="n">
        <v>46169</v>
      </c>
      <c r="C855" s="39" t="s">
        <v>177</v>
      </c>
      <c r="D855" s="39" t="s">
        <v>137</v>
      </c>
      <c r="E855" s="39" t="n">
        <v>15</v>
      </c>
      <c r="F855" s="39" t="str">
        <f aca="false">IF(COUNTIF(medicine_master!$A$2:$A$26,C855)&gt;0,"Valid","Invalid")</f>
        <v>Valid</v>
      </c>
      <c r="G855" s="39" t="str">
        <f aca="false">IFERROR(INDEX(medicine_master!$B$2:$B$26,MATCH($C855,medicine_master!$A$2:$A$26,0)),"Not found")</f>
        <v>Bandage Roll</v>
      </c>
      <c r="H855" s="39" t="str">
        <f aca="false">IFERROR(INDEX(medicine_master!$C$2:$C$26,MATCH($C855,medicine_master!$A$2:$A$26,0)),"Not found")</f>
        <v>First Aid</v>
      </c>
      <c r="I855" s="39" t="n">
        <f aca="false">YEAR(B855)</f>
        <v>2026</v>
      </c>
      <c r="J855" s="39" t="n">
        <f aca="false">MONTH(B855)</f>
        <v>5</v>
      </c>
      <c r="K855" s="39" t="str">
        <f aca="false">TEXT(B855,"mmm")</f>
        <v>May</v>
      </c>
      <c r="L855" s="45" t="n">
        <f aca="false">IFERROR(INDEX(medicine_master!$I$2:$I$26,MATCH($C855,medicine_master!$A$2:$A$26,0)),0)</f>
        <v>25</v>
      </c>
      <c r="M855" s="45" t="n">
        <f aca="false">IFERROR(INDEX(medicine_master!$G$2:$G$26,MATCH($C855,medicine_master!$A$2:$A$26,0)),0)</f>
        <v>15</v>
      </c>
      <c r="N855" s="45" t="n">
        <f aca="false">IF(D855="Sale",E855*L855,0)</f>
        <v>375</v>
      </c>
      <c r="O855" s="45" t="n">
        <f aca="false">IF(D855="Sale",E855*M855,0)</f>
        <v>225</v>
      </c>
      <c r="P855" s="45" t="n">
        <f aca="false">N855-O855</f>
        <v>150</v>
      </c>
      <c r="Q855" s="45" t="n">
        <f aca="false">IF(D855="Purchase",E855*M855,0)</f>
        <v>0</v>
      </c>
    </row>
    <row r="856" customFormat="false" ht="15" hidden="false" customHeight="false" outlineLevel="0" collapsed="false">
      <c r="A856" s="39" t="s">
        <v>1180</v>
      </c>
      <c r="B856" s="44" t="n">
        <v>46346</v>
      </c>
      <c r="C856" s="39" t="s">
        <v>159</v>
      </c>
      <c r="D856" s="39" t="s">
        <v>137</v>
      </c>
      <c r="E856" s="39" t="n">
        <v>20</v>
      </c>
      <c r="F856" s="39" t="str">
        <f aca="false">IF(COUNTIF(medicine_master!$A$2:$A$26,C856)&gt;0,"Valid","Invalid")</f>
        <v>Valid</v>
      </c>
      <c r="G856" s="39" t="str">
        <f aca="false">IFERROR(INDEX(medicine_master!$B$2:$B$26,MATCH($C856,medicine_master!$A$2:$A$26,0)),"Not found")</f>
        <v>Antiseptic Liquid 100ml</v>
      </c>
      <c r="H856" s="39" t="str">
        <f aca="false">IFERROR(INDEX(medicine_master!$C$2:$C$26,MATCH($C856,medicine_master!$A$2:$A$26,0)),"Not found")</f>
        <v>First Aid</v>
      </c>
      <c r="I856" s="39" t="n">
        <f aca="false">YEAR(B856)</f>
        <v>2026</v>
      </c>
      <c r="J856" s="39" t="n">
        <f aca="false">MONTH(B856)</f>
        <v>11</v>
      </c>
      <c r="K856" s="39" t="str">
        <f aca="false">TEXT(B856,"mmm")</f>
        <v>Nov</v>
      </c>
      <c r="L856" s="45" t="n">
        <f aca="false">IFERROR(INDEX(medicine_master!$I$2:$I$26,MATCH($C856,medicine_master!$A$2:$A$26,0)),0)</f>
        <v>65</v>
      </c>
      <c r="M856" s="45" t="n">
        <f aca="false">IFERROR(INDEX(medicine_master!$G$2:$G$26,MATCH($C856,medicine_master!$A$2:$A$26,0)),0)</f>
        <v>48</v>
      </c>
      <c r="N856" s="45" t="n">
        <f aca="false">IF(D856="Sale",E856*L856,0)</f>
        <v>1300</v>
      </c>
      <c r="O856" s="45" t="n">
        <f aca="false">IF(D856="Sale",E856*M856,0)</f>
        <v>960</v>
      </c>
      <c r="P856" s="45" t="n">
        <f aca="false">N856-O856</f>
        <v>340</v>
      </c>
      <c r="Q856" s="45" t="n">
        <f aca="false">IF(D856="Purchase",E856*M856,0)</f>
        <v>0</v>
      </c>
    </row>
    <row r="857" customFormat="false" ht="15" hidden="false" customHeight="false" outlineLevel="0" collapsed="false">
      <c r="A857" s="39" t="s">
        <v>1181</v>
      </c>
      <c r="B857" s="44" t="n">
        <v>46302</v>
      </c>
      <c r="C857" s="39" t="s">
        <v>157</v>
      </c>
      <c r="D857" s="39" t="s">
        <v>138</v>
      </c>
      <c r="E857" s="39" t="n">
        <v>30</v>
      </c>
      <c r="F857" s="39" t="str">
        <f aca="false">IF(COUNTIF(medicine_master!$A$2:$A$26,C857)&gt;0,"Valid","Invalid")</f>
        <v>Valid</v>
      </c>
      <c r="G857" s="39" t="str">
        <f aca="false">IFERROR(INDEX(medicine_master!$B$2:$B$26,MATCH($C857,medicine_master!$A$2:$A$26,0)),"Not found")</f>
        <v>Multivitamin Tablets</v>
      </c>
      <c r="H857" s="39" t="str">
        <f aca="false">IFERROR(INDEX(medicine_master!$C$2:$C$26,MATCH($C857,medicine_master!$A$2:$A$26,0)),"Not found")</f>
        <v>Vitamin</v>
      </c>
      <c r="I857" s="39" t="n">
        <f aca="false">YEAR(B857)</f>
        <v>2026</v>
      </c>
      <c r="J857" s="39" t="n">
        <f aca="false">MONTH(B857)</f>
        <v>10</v>
      </c>
      <c r="K857" s="39" t="str">
        <f aca="false">TEXT(B857,"mmm")</f>
        <v>Oct</v>
      </c>
      <c r="L857" s="45" t="n">
        <f aca="false">IFERROR(INDEX(medicine_master!$I$2:$I$26,MATCH($C857,medicine_master!$A$2:$A$26,0)),0)</f>
        <v>105</v>
      </c>
      <c r="M857" s="45" t="n">
        <f aca="false">IFERROR(INDEX(medicine_master!$G$2:$G$26,MATCH($C857,medicine_master!$A$2:$A$26,0)),0)</f>
        <v>72</v>
      </c>
      <c r="N857" s="45" t="n">
        <f aca="false">IF(D857="Sale",E857*L857,0)</f>
        <v>0</v>
      </c>
      <c r="O857" s="45" t="n">
        <f aca="false">IF(D857="Sale",E857*M857,0)</f>
        <v>0</v>
      </c>
      <c r="P857" s="45" t="n">
        <f aca="false">N857-O857</f>
        <v>0</v>
      </c>
      <c r="Q857" s="45" t="n">
        <f aca="false">IF(D857="Purchase",E857*M857,0)</f>
        <v>2160</v>
      </c>
    </row>
    <row r="858" customFormat="false" ht="15" hidden="false" customHeight="false" outlineLevel="0" collapsed="false">
      <c r="A858" s="39" t="s">
        <v>1182</v>
      </c>
      <c r="B858" s="44" t="n">
        <v>46046</v>
      </c>
      <c r="C858" s="39" t="s">
        <v>147</v>
      </c>
      <c r="D858" s="39" t="s">
        <v>137</v>
      </c>
      <c r="E858" s="39" t="n">
        <v>10</v>
      </c>
      <c r="F858" s="39" t="str">
        <f aca="false">IF(COUNTIF(medicine_master!$A$2:$A$26,C858)&gt;0,"Valid","Invalid")</f>
        <v>Valid</v>
      </c>
      <c r="G858" s="39" t="str">
        <f aca="false">IFERROR(INDEX(medicine_master!$B$2:$B$26,MATCH($C858,medicine_master!$A$2:$A$26,0)),"Not found")</f>
        <v>Insulin Injection</v>
      </c>
      <c r="H858" s="39" t="str">
        <f aca="false">IFERROR(INDEX(medicine_master!$C$2:$C$26,MATCH($C858,medicine_master!$A$2:$A$26,0)),"Not found")</f>
        <v>Diabetes</v>
      </c>
      <c r="I858" s="39" t="n">
        <f aca="false">YEAR(B858)</f>
        <v>2026</v>
      </c>
      <c r="J858" s="39" t="n">
        <f aca="false">MONTH(B858)</f>
        <v>1</v>
      </c>
      <c r="K858" s="39" t="str">
        <f aca="false">TEXT(B858,"mmm")</f>
        <v>Jan</v>
      </c>
      <c r="L858" s="45" t="n">
        <f aca="false">IFERROR(INDEX(medicine_master!$I$2:$I$26,MATCH($C858,medicine_master!$A$2:$A$26,0)),0)</f>
        <v>225</v>
      </c>
      <c r="M858" s="45" t="n">
        <f aca="false">IFERROR(INDEX(medicine_master!$G$2:$G$26,MATCH($C858,medicine_master!$A$2:$A$26,0)),0)</f>
        <v>165</v>
      </c>
      <c r="N858" s="45" t="n">
        <f aca="false">IF(D858="Sale",E858*L858,0)</f>
        <v>2250</v>
      </c>
      <c r="O858" s="45" t="n">
        <f aca="false">IF(D858="Sale",E858*M858,0)</f>
        <v>1650</v>
      </c>
      <c r="P858" s="45" t="n">
        <f aca="false">N858-O858</f>
        <v>600</v>
      </c>
      <c r="Q858" s="45" t="n">
        <f aca="false">IF(D858="Purchase",E858*M858,0)</f>
        <v>0</v>
      </c>
    </row>
    <row r="859" customFormat="false" ht="15" hidden="false" customHeight="false" outlineLevel="0" collapsed="false">
      <c r="A859" s="39" t="s">
        <v>1183</v>
      </c>
      <c r="B859" s="44" t="n">
        <v>46203</v>
      </c>
      <c r="C859" s="39" t="s">
        <v>147</v>
      </c>
      <c r="D859" s="39" t="s">
        <v>138</v>
      </c>
      <c r="E859" s="39" t="n">
        <v>40</v>
      </c>
      <c r="F859" s="39" t="str">
        <f aca="false">IF(COUNTIF(medicine_master!$A$2:$A$26,C859)&gt;0,"Valid","Invalid")</f>
        <v>Valid</v>
      </c>
      <c r="G859" s="39" t="str">
        <f aca="false">IFERROR(INDEX(medicine_master!$B$2:$B$26,MATCH($C859,medicine_master!$A$2:$A$26,0)),"Not found")</f>
        <v>Insulin Injection</v>
      </c>
      <c r="H859" s="39" t="str">
        <f aca="false">IFERROR(INDEX(medicine_master!$C$2:$C$26,MATCH($C859,medicine_master!$A$2:$A$26,0)),"Not found")</f>
        <v>Diabetes</v>
      </c>
      <c r="I859" s="39" t="n">
        <f aca="false">YEAR(B859)</f>
        <v>2026</v>
      </c>
      <c r="J859" s="39" t="n">
        <f aca="false">MONTH(B859)</f>
        <v>6</v>
      </c>
      <c r="K859" s="39" t="str">
        <f aca="false">TEXT(B859,"mmm")</f>
        <v>Jun</v>
      </c>
      <c r="L859" s="45" t="n">
        <f aca="false">IFERROR(INDEX(medicine_master!$I$2:$I$26,MATCH($C859,medicine_master!$A$2:$A$26,0)),0)</f>
        <v>225</v>
      </c>
      <c r="M859" s="45" t="n">
        <f aca="false">IFERROR(INDEX(medicine_master!$G$2:$G$26,MATCH($C859,medicine_master!$A$2:$A$26,0)),0)</f>
        <v>165</v>
      </c>
      <c r="N859" s="45" t="n">
        <f aca="false">IF(D859="Sale",E859*L859,0)</f>
        <v>0</v>
      </c>
      <c r="O859" s="45" t="n">
        <f aca="false">IF(D859="Sale",E859*M859,0)</f>
        <v>0</v>
      </c>
      <c r="P859" s="45" t="n">
        <f aca="false">N859-O859</f>
        <v>0</v>
      </c>
      <c r="Q859" s="45" t="n">
        <f aca="false">IF(D859="Purchase",E859*M859,0)</f>
        <v>6600</v>
      </c>
    </row>
    <row r="860" customFormat="false" ht="15" hidden="false" customHeight="false" outlineLevel="0" collapsed="false">
      <c r="A860" s="39" t="s">
        <v>1184</v>
      </c>
      <c r="B860" s="44" t="n">
        <v>46373</v>
      </c>
      <c r="C860" s="39" t="s">
        <v>390</v>
      </c>
      <c r="D860" s="39" t="s">
        <v>137</v>
      </c>
      <c r="E860" s="39" t="n">
        <v>5</v>
      </c>
      <c r="F860" s="39" t="str">
        <f aca="false">IF(COUNTIF(medicine_master!$A$2:$A$26,C860)&gt;0,"Valid","Invalid")</f>
        <v>Valid</v>
      </c>
      <c r="G860" s="39" t="str">
        <f aca="false">IFERROR(INDEX(medicine_master!$B$2:$B$26,MATCH($C860,medicine_master!$A$2:$A$26,0)),"Not found")</f>
        <v>Montelukast 10mg</v>
      </c>
      <c r="H860" s="39" t="str">
        <f aca="false">IFERROR(INDEX(medicine_master!$C$2:$C$26,MATCH($C860,medicine_master!$A$2:$A$26,0)),"Not found")</f>
        <v>Allergy</v>
      </c>
      <c r="I860" s="39" t="n">
        <f aca="false">YEAR(B860)</f>
        <v>2026</v>
      </c>
      <c r="J860" s="39" t="n">
        <f aca="false">MONTH(B860)</f>
        <v>12</v>
      </c>
      <c r="K860" s="39" t="str">
        <f aca="false">TEXT(B860,"mmm")</f>
        <v>Dec</v>
      </c>
      <c r="L860" s="45" t="n">
        <f aca="false">IFERROR(INDEX(medicine_master!$I$2:$I$26,MATCH($C860,medicine_master!$A$2:$A$26,0)),0)</f>
        <v>39</v>
      </c>
      <c r="M860" s="45" t="n">
        <f aca="false">IFERROR(INDEX(medicine_master!$G$2:$G$26,MATCH($C860,medicine_master!$A$2:$A$26,0)),0)</f>
        <v>27</v>
      </c>
      <c r="N860" s="45" t="n">
        <f aca="false">IF(D860="Sale",E860*L860,0)</f>
        <v>195</v>
      </c>
      <c r="O860" s="45" t="n">
        <f aca="false">IF(D860="Sale",E860*M860,0)</f>
        <v>135</v>
      </c>
      <c r="P860" s="45" t="n">
        <f aca="false">N860-O860</f>
        <v>60</v>
      </c>
      <c r="Q860" s="45" t="n">
        <f aca="false">IF(D860="Purchase",E860*M860,0)</f>
        <v>0</v>
      </c>
    </row>
    <row r="861" customFormat="false" ht="15" hidden="false" customHeight="false" outlineLevel="0" collapsed="false">
      <c r="A861" s="39" t="s">
        <v>1185</v>
      </c>
      <c r="B861" s="44" t="n">
        <v>46271</v>
      </c>
      <c r="C861" s="39" t="s">
        <v>321</v>
      </c>
      <c r="D861" s="39" t="s">
        <v>138</v>
      </c>
      <c r="E861" s="39" t="n">
        <v>30</v>
      </c>
      <c r="F861" s="39" t="str">
        <f aca="false">IF(COUNTIF(medicine_master!$A$2:$A$26,C861)&gt;0,"Valid","Invalid")</f>
        <v>Valid</v>
      </c>
      <c r="G861" s="39" t="str">
        <f aca="false">IFERROR(INDEX(medicine_master!$B$2:$B$26,MATCH($C861,medicine_master!$A$2:$A$26,0)),"Not found")</f>
        <v>Levocetirizine 5mg</v>
      </c>
      <c r="H861" s="39" t="str">
        <f aca="false">IFERROR(INDEX(medicine_master!$C$2:$C$26,MATCH($C861,medicine_master!$A$2:$A$26,0)),"Not found")</f>
        <v>Allergy</v>
      </c>
      <c r="I861" s="39" t="n">
        <f aca="false">YEAR(B861)</f>
        <v>2026</v>
      </c>
      <c r="J861" s="39" t="n">
        <f aca="false">MONTH(B861)</f>
        <v>9</v>
      </c>
      <c r="K861" s="39" t="str">
        <f aca="false">TEXT(B861,"mmm")</f>
        <v>Sep</v>
      </c>
      <c r="L861" s="45" t="n">
        <f aca="false">IFERROR(INDEX(medicine_master!$I$2:$I$26,MATCH($C861,medicine_master!$A$2:$A$26,0)),0)</f>
        <v>22</v>
      </c>
      <c r="M861" s="45" t="n">
        <f aca="false">IFERROR(INDEX(medicine_master!$G$2:$G$26,MATCH($C861,medicine_master!$A$2:$A$26,0)),0)</f>
        <v>14</v>
      </c>
      <c r="N861" s="45" t="n">
        <f aca="false">IF(D861="Sale",E861*L861,0)</f>
        <v>0</v>
      </c>
      <c r="O861" s="45" t="n">
        <f aca="false">IF(D861="Sale",E861*M861,0)</f>
        <v>0</v>
      </c>
      <c r="P861" s="45" t="n">
        <f aca="false">N861-O861</f>
        <v>0</v>
      </c>
      <c r="Q861" s="45" t="n">
        <f aca="false">IF(D861="Purchase",E861*M861,0)</f>
        <v>420</v>
      </c>
    </row>
    <row r="862" customFormat="false" ht="15" hidden="false" customHeight="false" outlineLevel="0" collapsed="false">
      <c r="A862" s="39" t="s">
        <v>1186</v>
      </c>
      <c r="B862" s="44" t="n">
        <v>46190</v>
      </c>
      <c r="C862" s="39" t="s">
        <v>180</v>
      </c>
      <c r="D862" s="39" t="s">
        <v>138</v>
      </c>
      <c r="E862" s="39" t="n">
        <v>5</v>
      </c>
      <c r="F862" s="39" t="str">
        <f aca="false">IF(COUNTIF(medicine_master!$A$2:$A$26,C862)&gt;0,"Valid","Invalid")</f>
        <v>Valid</v>
      </c>
      <c r="G862" s="39" t="str">
        <f aca="false">IFERROR(INDEX(medicine_master!$B$2:$B$26,MATCH($C862,medicine_master!$A$2:$A$26,0)),"Not found")</f>
        <v>Vitamin C 500mg</v>
      </c>
      <c r="H862" s="39" t="str">
        <f aca="false">IFERROR(INDEX(medicine_master!$C$2:$C$26,MATCH($C862,medicine_master!$A$2:$A$26,0)),"Not found")</f>
        <v>Vitamin</v>
      </c>
      <c r="I862" s="39" t="n">
        <f aca="false">YEAR(B862)</f>
        <v>2026</v>
      </c>
      <c r="J862" s="39" t="n">
        <f aca="false">MONTH(B862)</f>
        <v>6</v>
      </c>
      <c r="K862" s="39" t="str">
        <f aca="false">TEXT(B862,"mmm")</f>
        <v>Jun</v>
      </c>
      <c r="L862" s="45" t="n">
        <f aca="false">IFERROR(INDEX(medicine_master!$I$2:$I$26,MATCH($C862,medicine_master!$A$2:$A$26,0)),0)</f>
        <v>22</v>
      </c>
      <c r="M862" s="45" t="n">
        <f aca="false">IFERROR(INDEX(medicine_master!$G$2:$G$26,MATCH($C862,medicine_master!$A$2:$A$26,0)),0)</f>
        <v>14</v>
      </c>
      <c r="N862" s="45" t="n">
        <f aca="false">IF(D862="Sale",E862*L862,0)</f>
        <v>0</v>
      </c>
      <c r="O862" s="45" t="n">
        <f aca="false">IF(D862="Sale",E862*M862,0)</f>
        <v>0</v>
      </c>
      <c r="P862" s="45" t="n">
        <f aca="false">N862-O862</f>
        <v>0</v>
      </c>
      <c r="Q862" s="45" t="n">
        <f aca="false">IF(D862="Purchase",E862*M862,0)</f>
        <v>70</v>
      </c>
    </row>
    <row r="863" customFormat="false" ht="15" hidden="false" customHeight="false" outlineLevel="0" collapsed="false">
      <c r="A863" s="39" t="s">
        <v>1187</v>
      </c>
      <c r="B863" s="44" t="n">
        <v>46234</v>
      </c>
      <c r="C863" s="39" t="s">
        <v>151</v>
      </c>
      <c r="D863" s="39" t="s">
        <v>137</v>
      </c>
      <c r="E863" s="39" t="n">
        <v>5</v>
      </c>
      <c r="F863" s="39" t="str">
        <f aca="false">IF(COUNTIF(medicine_master!$A$2:$A$26,C863)&gt;0,"Valid","Invalid")</f>
        <v>Valid</v>
      </c>
      <c r="G863" s="39" t="str">
        <f aca="false">IFERROR(INDEX(medicine_master!$B$2:$B$26,MATCH($C863,medicine_master!$A$2:$A$26,0)),"Not found")</f>
        <v>Cetirizine 10mg</v>
      </c>
      <c r="H863" s="39" t="str">
        <f aca="false">IFERROR(INDEX(medicine_master!$C$2:$C$26,MATCH($C863,medicine_master!$A$2:$A$26,0)),"Not found")</f>
        <v>Allergy</v>
      </c>
      <c r="I863" s="39" t="n">
        <f aca="false">YEAR(B863)</f>
        <v>2026</v>
      </c>
      <c r="J863" s="39" t="n">
        <f aca="false">MONTH(B863)</f>
        <v>7</v>
      </c>
      <c r="K863" s="39" t="str">
        <f aca="false">TEXT(B863,"mmm")</f>
        <v>Jul</v>
      </c>
      <c r="L863" s="45" t="n">
        <f aca="false">IFERROR(INDEX(medicine_master!$I$2:$I$26,MATCH($C863,medicine_master!$A$2:$A$26,0)),0)</f>
        <v>13</v>
      </c>
      <c r="M863" s="45" t="n">
        <f aca="false">IFERROR(INDEX(medicine_master!$G$2:$G$26,MATCH($C863,medicine_master!$A$2:$A$26,0)),0)</f>
        <v>8</v>
      </c>
      <c r="N863" s="45" t="n">
        <f aca="false">IF(D863="Sale",E863*L863,0)</f>
        <v>65</v>
      </c>
      <c r="O863" s="45" t="n">
        <f aca="false">IF(D863="Sale",E863*M863,0)</f>
        <v>40</v>
      </c>
      <c r="P863" s="45" t="n">
        <f aca="false">N863-O863</f>
        <v>25</v>
      </c>
      <c r="Q863" s="45" t="n">
        <f aca="false">IF(D863="Purchase",E863*M863,0)</f>
        <v>0</v>
      </c>
    </row>
    <row r="864" customFormat="false" ht="15" hidden="false" customHeight="false" outlineLevel="0" collapsed="false">
      <c r="A864" s="39" t="s">
        <v>1188</v>
      </c>
      <c r="B864" s="44" t="n">
        <v>46354</v>
      </c>
      <c r="C864" s="39" t="s">
        <v>158</v>
      </c>
      <c r="D864" s="39" t="s">
        <v>137</v>
      </c>
      <c r="E864" s="39" t="n">
        <v>25</v>
      </c>
      <c r="F864" s="39" t="str">
        <f aca="false">IF(COUNTIF(medicine_master!$A$2:$A$26,C864)&gt;0,"Valid","Invalid")</f>
        <v>Valid</v>
      </c>
      <c r="G864" s="39" t="str">
        <f aca="false">IFERROR(INDEX(medicine_master!$B$2:$B$26,MATCH($C864,medicine_master!$A$2:$A$26,0)),"Not found")</f>
        <v>Cough Syrup 100ml</v>
      </c>
      <c r="H864" s="39" t="str">
        <f aca="false">IFERROR(INDEX(medicine_master!$C$2:$C$26,MATCH($C864,medicine_master!$A$2:$A$26,0)),"Not found")</f>
        <v>Cold &amp; Cough</v>
      </c>
      <c r="I864" s="39" t="n">
        <f aca="false">YEAR(B864)</f>
        <v>2026</v>
      </c>
      <c r="J864" s="39" t="n">
        <f aca="false">MONTH(B864)</f>
        <v>11</v>
      </c>
      <c r="K864" s="39" t="str">
        <f aca="false">TEXT(B864,"mmm")</f>
        <v>Nov</v>
      </c>
      <c r="L864" s="45" t="n">
        <f aca="false">IFERROR(INDEX(medicine_master!$I$2:$I$26,MATCH($C864,medicine_master!$A$2:$A$26,0)),0)</f>
        <v>72</v>
      </c>
      <c r="M864" s="45" t="n">
        <f aca="false">IFERROR(INDEX(medicine_master!$G$2:$G$26,MATCH($C864,medicine_master!$A$2:$A$26,0)),0)</f>
        <v>52</v>
      </c>
      <c r="N864" s="45" t="n">
        <f aca="false">IF(D864="Sale",E864*L864,0)</f>
        <v>1800</v>
      </c>
      <c r="O864" s="45" t="n">
        <f aca="false">IF(D864="Sale",E864*M864,0)</f>
        <v>1300</v>
      </c>
      <c r="P864" s="45" t="n">
        <f aca="false">N864-O864</f>
        <v>500</v>
      </c>
      <c r="Q864" s="45" t="n">
        <f aca="false">IF(D864="Purchase",E864*M864,0)</f>
        <v>0</v>
      </c>
    </row>
    <row r="865" customFormat="false" ht="15" hidden="false" customHeight="false" outlineLevel="0" collapsed="false">
      <c r="A865" s="39" t="s">
        <v>1189</v>
      </c>
      <c r="B865" s="44" t="n">
        <v>46191</v>
      </c>
      <c r="C865" s="39" t="s">
        <v>152</v>
      </c>
      <c r="D865" s="39" t="s">
        <v>137</v>
      </c>
      <c r="E865" s="39" t="n">
        <v>25</v>
      </c>
      <c r="F865" s="39" t="str">
        <f aca="false">IF(COUNTIF(medicine_master!$A$2:$A$26,C865)&gt;0,"Valid","Invalid")</f>
        <v>Valid</v>
      </c>
      <c r="G865" s="39" t="str">
        <f aca="false">IFERROR(INDEX(medicine_master!$B$2:$B$26,MATCH($C865,medicine_master!$A$2:$A$26,0)),"Not found")</f>
        <v>Amoxicillin 500mg</v>
      </c>
      <c r="H865" s="39" t="str">
        <f aca="false">IFERROR(INDEX(medicine_master!$C$2:$C$26,MATCH($C865,medicine_master!$A$2:$A$26,0)),"Not found")</f>
        <v>Antibiotic</v>
      </c>
      <c r="I865" s="39" t="n">
        <f aca="false">YEAR(B865)</f>
        <v>2026</v>
      </c>
      <c r="J865" s="39" t="n">
        <f aca="false">MONTH(B865)</f>
        <v>6</v>
      </c>
      <c r="K865" s="39" t="str">
        <f aca="false">TEXT(B865,"mmm")</f>
        <v>Jun</v>
      </c>
      <c r="L865" s="45" t="n">
        <f aca="false">IFERROR(INDEX(medicine_master!$I$2:$I$26,MATCH($C865,medicine_master!$A$2:$A$26,0)),0)</f>
        <v>40</v>
      </c>
      <c r="M865" s="45" t="n">
        <f aca="false">IFERROR(INDEX(medicine_master!$G$2:$G$26,MATCH($C865,medicine_master!$A$2:$A$26,0)),0)</f>
        <v>28</v>
      </c>
      <c r="N865" s="45" t="n">
        <f aca="false">IF(D865="Sale",E865*L865,0)</f>
        <v>1000</v>
      </c>
      <c r="O865" s="45" t="n">
        <f aca="false">IF(D865="Sale",E865*M865,0)</f>
        <v>700</v>
      </c>
      <c r="P865" s="45" t="n">
        <f aca="false">N865-O865</f>
        <v>300</v>
      </c>
      <c r="Q865" s="45" t="n">
        <f aca="false">IF(D865="Purchase",E865*M865,0)</f>
        <v>0</v>
      </c>
    </row>
    <row r="866" customFormat="false" ht="15" hidden="false" customHeight="false" outlineLevel="0" collapsed="false">
      <c r="A866" s="39" t="s">
        <v>1190</v>
      </c>
      <c r="B866" s="44" t="n">
        <v>46052</v>
      </c>
      <c r="C866" s="39" t="s">
        <v>152</v>
      </c>
      <c r="D866" s="39" t="s">
        <v>137</v>
      </c>
      <c r="E866" s="39" t="n">
        <v>30</v>
      </c>
      <c r="F866" s="39" t="str">
        <f aca="false">IF(COUNTIF(medicine_master!$A$2:$A$26,C866)&gt;0,"Valid","Invalid")</f>
        <v>Valid</v>
      </c>
      <c r="G866" s="39" t="str">
        <f aca="false">IFERROR(INDEX(medicine_master!$B$2:$B$26,MATCH($C866,medicine_master!$A$2:$A$26,0)),"Not found")</f>
        <v>Amoxicillin 500mg</v>
      </c>
      <c r="H866" s="39" t="str">
        <f aca="false">IFERROR(INDEX(medicine_master!$C$2:$C$26,MATCH($C866,medicine_master!$A$2:$A$26,0)),"Not found")</f>
        <v>Antibiotic</v>
      </c>
      <c r="I866" s="39" t="n">
        <f aca="false">YEAR(B866)</f>
        <v>2026</v>
      </c>
      <c r="J866" s="39" t="n">
        <f aca="false">MONTH(B866)</f>
        <v>1</v>
      </c>
      <c r="K866" s="39" t="str">
        <f aca="false">TEXT(B866,"mmm")</f>
        <v>Jan</v>
      </c>
      <c r="L866" s="45" t="n">
        <f aca="false">IFERROR(INDEX(medicine_master!$I$2:$I$26,MATCH($C866,medicine_master!$A$2:$A$26,0)),0)</f>
        <v>40</v>
      </c>
      <c r="M866" s="45" t="n">
        <f aca="false">IFERROR(INDEX(medicine_master!$G$2:$G$26,MATCH($C866,medicine_master!$A$2:$A$26,0)),0)</f>
        <v>28</v>
      </c>
      <c r="N866" s="45" t="n">
        <f aca="false">IF(D866="Sale",E866*L866,0)</f>
        <v>1200</v>
      </c>
      <c r="O866" s="45" t="n">
        <f aca="false">IF(D866="Sale",E866*M866,0)</f>
        <v>840</v>
      </c>
      <c r="P866" s="45" t="n">
        <f aca="false">N866-O866</f>
        <v>360</v>
      </c>
      <c r="Q866" s="45" t="n">
        <f aca="false">IF(D866="Purchase",E866*M866,0)</f>
        <v>0</v>
      </c>
    </row>
    <row r="867" customFormat="false" ht="15" hidden="false" customHeight="false" outlineLevel="0" collapsed="false">
      <c r="A867" s="39" t="s">
        <v>1191</v>
      </c>
      <c r="B867" s="44" t="n">
        <v>46228</v>
      </c>
      <c r="C867" s="39" t="s">
        <v>178</v>
      </c>
      <c r="D867" s="39" t="s">
        <v>138</v>
      </c>
      <c r="E867" s="39" t="n">
        <v>40</v>
      </c>
      <c r="F867" s="39" t="str">
        <f aca="false">IF(COUNTIF(medicine_master!$A$2:$A$26,C867)&gt;0,"Valid","Invalid")</f>
        <v>Valid</v>
      </c>
      <c r="G867" s="39" t="str">
        <f aca="false">IFERROR(INDEX(medicine_master!$B$2:$B$26,MATCH($C867,medicine_master!$A$2:$A$26,0)),"Not found")</f>
        <v>Aspirin 75mg</v>
      </c>
      <c r="H867" s="39" t="str">
        <f aca="false">IFERROR(INDEX(medicine_master!$C$2:$C$26,MATCH($C867,medicine_master!$A$2:$A$26,0)),"Not found")</f>
        <v>Cardiac</v>
      </c>
      <c r="I867" s="39" t="n">
        <f aca="false">YEAR(B867)</f>
        <v>2026</v>
      </c>
      <c r="J867" s="39" t="n">
        <f aca="false">MONTH(B867)</f>
        <v>7</v>
      </c>
      <c r="K867" s="39" t="str">
        <f aca="false">TEXT(B867,"mmm")</f>
        <v>Jul</v>
      </c>
      <c r="L867" s="45" t="n">
        <f aca="false">IFERROR(INDEX(medicine_master!$I$2:$I$26,MATCH($C867,medicine_master!$A$2:$A$26,0)),0)</f>
        <v>15</v>
      </c>
      <c r="M867" s="45" t="n">
        <f aca="false">IFERROR(INDEX(medicine_master!$G$2:$G$26,MATCH($C867,medicine_master!$A$2:$A$26,0)),0)</f>
        <v>10</v>
      </c>
      <c r="N867" s="45" t="n">
        <f aca="false">IF(D867="Sale",E867*L867,0)</f>
        <v>0</v>
      </c>
      <c r="O867" s="45" t="n">
        <f aca="false">IF(D867="Sale",E867*M867,0)</f>
        <v>0</v>
      </c>
      <c r="P867" s="45" t="n">
        <f aca="false">N867-O867</f>
        <v>0</v>
      </c>
      <c r="Q867" s="45" t="n">
        <f aca="false">IF(D867="Purchase",E867*M867,0)</f>
        <v>400</v>
      </c>
    </row>
    <row r="868" customFormat="false" ht="15" hidden="false" customHeight="false" outlineLevel="0" collapsed="false">
      <c r="A868" s="39" t="s">
        <v>1192</v>
      </c>
      <c r="B868" s="44" t="n">
        <v>46250</v>
      </c>
      <c r="C868" s="39" t="s">
        <v>180</v>
      </c>
      <c r="D868" s="39" t="s">
        <v>138</v>
      </c>
      <c r="E868" s="39" t="n">
        <v>30</v>
      </c>
      <c r="F868" s="39" t="str">
        <f aca="false">IF(COUNTIF(medicine_master!$A$2:$A$26,C868)&gt;0,"Valid","Invalid")</f>
        <v>Valid</v>
      </c>
      <c r="G868" s="39" t="str">
        <f aca="false">IFERROR(INDEX(medicine_master!$B$2:$B$26,MATCH($C868,medicine_master!$A$2:$A$26,0)),"Not found")</f>
        <v>Vitamin C 500mg</v>
      </c>
      <c r="H868" s="39" t="str">
        <f aca="false">IFERROR(INDEX(medicine_master!$C$2:$C$26,MATCH($C868,medicine_master!$A$2:$A$26,0)),"Not found")</f>
        <v>Vitamin</v>
      </c>
      <c r="I868" s="39" t="n">
        <f aca="false">YEAR(B868)</f>
        <v>2026</v>
      </c>
      <c r="J868" s="39" t="n">
        <f aca="false">MONTH(B868)</f>
        <v>8</v>
      </c>
      <c r="K868" s="39" t="str">
        <f aca="false">TEXT(B868,"mmm")</f>
        <v>Aug</v>
      </c>
      <c r="L868" s="45" t="n">
        <f aca="false">IFERROR(INDEX(medicine_master!$I$2:$I$26,MATCH($C868,medicine_master!$A$2:$A$26,0)),0)</f>
        <v>22</v>
      </c>
      <c r="M868" s="45" t="n">
        <f aca="false">IFERROR(INDEX(medicine_master!$G$2:$G$26,MATCH($C868,medicine_master!$A$2:$A$26,0)),0)</f>
        <v>14</v>
      </c>
      <c r="N868" s="45" t="n">
        <f aca="false">IF(D868="Sale",E868*L868,0)</f>
        <v>0</v>
      </c>
      <c r="O868" s="45" t="n">
        <f aca="false">IF(D868="Sale",E868*M868,0)</f>
        <v>0</v>
      </c>
      <c r="P868" s="45" t="n">
        <f aca="false">N868-O868</f>
        <v>0</v>
      </c>
      <c r="Q868" s="45" t="n">
        <f aca="false">IF(D868="Purchase",E868*M868,0)</f>
        <v>420</v>
      </c>
    </row>
    <row r="869" customFormat="false" ht="15" hidden="false" customHeight="false" outlineLevel="0" collapsed="false">
      <c r="A869" s="39" t="s">
        <v>1193</v>
      </c>
      <c r="B869" s="44" t="n">
        <v>46332</v>
      </c>
      <c r="C869" s="39" t="s">
        <v>390</v>
      </c>
      <c r="D869" s="39" t="s">
        <v>138</v>
      </c>
      <c r="E869" s="39" t="n">
        <v>20</v>
      </c>
      <c r="F869" s="39" t="str">
        <f aca="false">IF(COUNTIF(medicine_master!$A$2:$A$26,C869)&gt;0,"Valid","Invalid")</f>
        <v>Valid</v>
      </c>
      <c r="G869" s="39" t="str">
        <f aca="false">IFERROR(INDEX(medicine_master!$B$2:$B$26,MATCH($C869,medicine_master!$A$2:$A$26,0)),"Not found")</f>
        <v>Montelukast 10mg</v>
      </c>
      <c r="H869" s="39" t="str">
        <f aca="false">IFERROR(INDEX(medicine_master!$C$2:$C$26,MATCH($C869,medicine_master!$A$2:$A$26,0)),"Not found")</f>
        <v>Allergy</v>
      </c>
      <c r="I869" s="39" t="n">
        <f aca="false">YEAR(B869)</f>
        <v>2026</v>
      </c>
      <c r="J869" s="39" t="n">
        <f aca="false">MONTH(B869)</f>
        <v>11</v>
      </c>
      <c r="K869" s="39" t="str">
        <f aca="false">TEXT(B869,"mmm")</f>
        <v>Nov</v>
      </c>
      <c r="L869" s="45" t="n">
        <f aca="false">IFERROR(INDEX(medicine_master!$I$2:$I$26,MATCH($C869,medicine_master!$A$2:$A$26,0)),0)</f>
        <v>39</v>
      </c>
      <c r="M869" s="45" t="n">
        <f aca="false">IFERROR(INDEX(medicine_master!$G$2:$G$26,MATCH($C869,medicine_master!$A$2:$A$26,0)),0)</f>
        <v>27</v>
      </c>
      <c r="N869" s="45" t="n">
        <f aca="false">IF(D869="Sale",E869*L869,0)</f>
        <v>0</v>
      </c>
      <c r="O869" s="45" t="n">
        <f aca="false">IF(D869="Sale",E869*M869,0)</f>
        <v>0</v>
      </c>
      <c r="P869" s="45" t="n">
        <f aca="false">N869-O869</f>
        <v>0</v>
      </c>
      <c r="Q869" s="45" t="n">
        <f aca="false">IF(D869="Purchase",E869*M869,0)</f>
        <v>540</v>
      </c>
    </row>
    <row r="870" customFormat="false" ht="15" hidden="false" customHeight="false" outlineLevel="0" collapsed="false">
      <c r="A870" s="39" t="s">
        <v>1194</v>
      </c>
      <c r="B870" s="44" t="n">
        <v>46309</v>
      </c>
      <c r="C870" s="39" t="s">
        <v>150</v>
      </c>
      <c r="D870" s="39" t="s">
        <v>137</v>
      </c>
      <c r="E870" s="39" t="n">
        <v>10</v>
      </c>
      <c r="F870" s="39" t="str">
        <f aca="false">IF(COUNTIF(medicine_master!$A$2:$A$26,C870)&gt;0,"Valid","Invalid")</f>
        <v>Valid</v>
      </c>
      <c r="G870" s="39" t="str">
        <f aca="false">IFERROR(INDEX(medicine_master!$B$2:$B$26,MATCH($C870,medicine_master!$A$2:$A$26,0)),"Not found")</f>
        <v>Pantoprazole 40mg</v>
      </c>
      <c r="H870" s="39" t="str">
        <f aca="false">IFERROR(INDEX(medicine_master!$C$2:$C$26,MATCH($C870,medicine_master!$A$2:$A$26,0)),"Not found")</f>
        <v>Gastric</v>
      </c>
      <c r="I870" s="39" t="n">
        <f aca="false">YEAR(B870)</f>
        <v>2026</v>
      </c>
      <c r="J870" s="39" t="n">
        <f aca="false">MONTH(B870)</f>
        <v>10</v>
      </c>
      <c r="K870" s="39" t="str">
        <f aca="false">TEXT(B870,"mmm")</f>
        <v>Oct</v>
      </c>
      <c r="L870" s="45" t="n">
        <f aca="false">IFERROR(INDEX(medicine_master!$I$2:$I$26,MATCH($C870,medicine_master!$A$2:$A$26,0)),0)</f>
        <v>35</v>
      </c>
      <c r="M870" s="45" t="n">
        <f aca="false">IFERROR(INDEX(medicine_master!$G$2:$G$26,MATCH($C870,medicine_master!$A$2:$A$26,0)),0)</f>
        <v>24</v>
      </c>
      <c r="N870" s="45" t="n">
        <f aca="false">IF(D870="Sale",E870*L870,0)</f>
        <v>350</v>
      </c>
      <c r="O870" s="45" t="n">
        <f aca="false">IF(D870="Sale",E870*M870,0)</f>
        <v>240</v>
      </c>
      <c r="P870" s="45" t="n">
        <f aca="false">N870-O870</f>
        <v>110</v>
      </c>
      <c r="Q870" s="45" t="n">
        <f aca="false">IF(D870="Purchase",E870*M870,0)</f>
        <v>0</v>
      </c>
    </row>
    <row r="871" customFormat="false" ht="15" hidden="false" customHeight="false" outlineLevel="0" collapsed="false">
      <c r="A871" s="39" t="s">
        <v>1195</v>
      </c>
      <c r="B871" s="44" t="n">
        <v>46277</v>
      </c>
      <c r="C871" s="39" t="s">
        <v>326</v>
      </c>
      <c r="D871" s="39" t="s">
        <v>138</v>
      </c>
      <c r="E871" s="39" t="n">
        <v>25</v>
      </c>
      <c r="F871" s="39" t="str">
        <f aca="false">IF(COUNTIF(medicine_master!$A$2:$A$26,C871)&gt;0,"Valid","Invalid")</f>
        <v>Valid</v>
      </c>
      <c r="G871" s="39" t="str">
        <f aca="false">IFERROR(INDEX(medicine_master!$B$2:$B$26,MATCH($C871,medicine_master!$A$2:$A$26,0)),"Not found")</f>
        <v>Omeprazole 20mg</v>
      </c>
      <c r="H871" s="39" t="str">
        <f aca="false">IFERROR(INDEX(medicine_master!$C$2:$C$26,MATCH($C871,medicine_master!$A$2:$A$26,0)),"Not found")</f>
        <v>Gastric</v>
      </c>
      <c r="I871" s="39" t="n">
        <f aca="false">YEAR(B871)</f>
        <v>2026</v>
      </c>
      <c r="J871" s="39" t="n">
        <f aca="false">MONTH(B871)</f>
        <v>9</v>
      </c>
      <c r="K871" s="39" t="str">
        <f aca="false">TEXT(B871,"mmm")</f>
        <v>Sep</v>
      </c>
      <c r="L871" s="45" t="n">
        <f aca="false">IFERROR(INDEX(medicine_master!$I$2:$I$26,MATCH($C871,medicine_master!$A$2:$A$26,0)),0)</f>
        <v>26</v>
      </c>
      <c r="M871" s="45" t="n">
        <f aca="false">IFERROR(INDEX(medicine_master!$G$2:$G$26,MATCH($C871,medicine_master!$A$2:$A$26,0)),0)</f>
        <v>18</v>
      </c>
      <c r="N871" s="45" t="n">
        <f aca="false">IF(D871="Sale",E871*L871,0)</f>
        <v>0</v>
      </c>
      <c r="O871" s="45" t="n">
        <f aca="false">IF(D871="Sale",E871*M871,0)</f>
        <v>0</v>
      </c>
      <c r="P871" s="45" t="n">
        <f aca="false">N871-O871</f>
        <v>0</v>
      </c>
      <c r="Q871" s="45" t="n">
        <f aca="false">IF(D871="Purchase",E871*M871,0)</f>
        <v>450</v>
      </c>
    </row>
    <row r="872" customFormat="false" ht="15" hidden="false" customHeight="false" outlineLevel="0" collapsed="false">
      <c r="A872" s="39" t="s">
        <v>1196</v>
      </c>
      <c r="B872" s="44" t="n">
        <v>46236</v>
      </c>
      <c r="C872" s="39" t="s">
        <v>178</v>
      </c>
      <c r="D872" s="39" t="s">
        <v>138</v>
      </c>
      <c r="E872" s="39" t="n">
        <v>50</v>
      </c>
      <c r="F872" s="39" t="str">
        <f aca="false">IF(COUNTIF(medicine_master!$A$2:$A$26,C872)&gt;0,"Valid","Invalid")</f>
        <v>Valid</v>
      </c>
      <c r="G872" s="39" t="str">
        <f aca="false">IFERROR(INDEX(medicine_master!$B$2:$B$26,MATCH($C872,medicine_master!$A$2:$A$26,0)),"Not found")</f>
        <v>Aspirin 75mg</v>
      </c>
      <c r="H872" s="39" t="str">
        <f aca="false">IFERROR(INDEX(medicine_master!$C$2:$C$26,MATCH($C872,medicine_master!$A$2:$A$26,0)),"Not found")</f>
        <v>Cardiac</v>
      </c>
      <c r="I872" s="39" t="n">
        <f aca="false">YEAR(B872)</f>
        <v>2026</v>
      </c>
      <c r="J872" s="39" t="n">
        <f aca="false">MONTH(B872)</f>
        <v>8</v>
      </c>
      <c r="K872" s="39" t="str">
        <f aca="false">TEXT(B872,"mmm")</f>
        <v>Aug</v>
      </c>
      <c r="L872" s="45" t="n">
        <f aca="false">IFERROR(INDEX(medicine_master!$I$2:$I$26,MATCH($C872,medicine_master!$A$2:$A$26,0)),0)</f>
        <v>15</v>
      </c>
      <c r="M872" s="45" t="n">
        <f aca="false">IFERROR(INDEX(medicine_master!$G$2:$G$26,MATCH($C872,medicine_master!$A$2:$A$26,0)),0)</f>
        <v>10</v>
      </c>
      <c r="N872" s="45" t="n">
        <f aca="false">IF(D872="Sale",E872*L872,0)</f>
        <v>0</v>
      </c>
      <c r="O872" s="45" t="n">
        <f aca="false">IF(D872="Sale",E872*M872,0)</f>
        <v>0</v>
      </c>
      <c r="P872" s="45" t="n">
        <f aca="false">N872-O872</f>
        <v>0</v>
      </c>
      <c r="Q872" s="45" t="n">
        <f aca="false">IF(D872="Purchase",E872*M872,0)</f>
        <v>500</v>
      </c>
    </row>
    <row r="873" customFormat="false" ht="15" hidden="false" customHeight="false" outlineLevel="0" collapsed="false">
      <c r="A873" s="39" t="s">
        <v>1197</v>
      </c>
      <c r="B873" s="44" t="n">
        <v>46133</v>
      </c>
      <c r="C873" s="39" t="s">
        <v>178</v>
      </c>
      <c r="D873" s="39" t="s">
        <v>138</v>
      </c>
      <c r="E873" s="39" t="n">
        <v>25</v>
      </c>
      <c r="F873" s="39" t="str">
        <f aca="false">IF(COUNTIF(medicine_master!$A$2:$A$26,C873)&gt;0,"Valid","Invalid")</f>
        <v>Valid</v>
      </c>
      <c r="G873" s="39" t="str">
        <f aca="false">IFERROR(INDEX(medicine_master!$B$2:$B$26,MATCH($C873,medicine_master!$A$2:$A$26,0)),"Not found")</f>
        <v>Aspirin 75mg</v>
      </c>
      <c r="H873" s="39" t="str">
        <f aca="false">IFERROR(INDEX(medicine_master!$C$2:$C$26,MATCH($C873,medicine_master!$A$2:$A$26,0)),"Not found")</f>
        <v>Cardiac</v>
      </c>
      <c r="I873" s="39" t="n">
        <f aca="false">YEAR(B873)</f>
        <v>2026</v>
      </c>
      <c r="J873" s="39" t="n">
        <f aca="false">MONTH(B873)</f>
        <v>4</v>
      </c>
      <c r="K873" s="39" t="str">
        <f aca="false">TEXT(B873,"mmm")</f>
        <v>Apr</v>
      </c>
      <c r="L873" s="45" t="n">
        <f aca="false">IFERROR(INDEX(medicine_master!$I$2:$I$26,MATCH($C873,medicine_master!$A$2:$A$26,0)),0)</f>
        <v>15</v>
      </c>
      <c r="M873" s="45" t="n">
        <f aca="false">IFERROR(INDEX(medicine_master!$G$2:$G$26,MATCH($C873,medicine_master!$A$2:$A$26,0)),0)</f>
        <v>10</v>
      </c>
      <c r="N873" s="45" t="n">
        <f aca="false">IF(D873="Sale",E873*L873,0)</f>
        <v>0</v>
      </c>
      <c r="O873" s="45" t="n">
        <f aca="false">IF(D873="Sale",E873*M873,0)</f>
        <v>0</v>
      </c>
      <c r="P873" s="45" t="n">
        <f aca="false">N873-O873</f>
        <v>0</v>
      </c>
      <c r="Q873" s="45" t="n">
        <f aca="false">IF(D873="Purchase",E873*M873,0)</f>
        <v>250</v>
      </c>
    </row>
    <row r="874" customFormat="false" ht="15" hidden="false" customHeight="false" outlineLevel="0" collapsed="false">
      <c r="A874" s="39" t="s">
        <v>1198</v>
      </c>
      <c r="B874" s="44" t="n">
        <v>46263</v>
      </c>
      <c r="C874" s="39" t="s">
        <v>345</v>
      </c>
      <c r="D874" s="39" t="s">
        <v>137</v>
      </c>
      <c r="E874" s="39" t="n">
        <v>10</v>
      </c>
      <c r="F874" s="39" t="str">
        <f aca="false">IF(COUNTIF(medicine_master!$A$2:$A$26,C874)&gt;0,"Valid","Invalid")</f>
        <v>Valid</v>
      </c>
      <c r="G874" s="39" t="str">
        <f aca="false">IFERROR(INDEX(medicine_master!$B$2:$B$26,MATCH($C874,medicine_master!$A$2:$A$26,0)),"Not found")</f>
        <v>Paracetamol 500mg</v>
      </c>
      <c r="H874" s="39" t="str">
        <f aca="false">IFERROR(INDEX(medicine_master!$C$2:$C$26,MATCH($C874,medicine_master!$A$2:$A$26,0)),"Not found")</f>
        <v>Pain Relief</v>
      </c>
      <c r="I874" s="39" t="n">
        <f aca="false">YEAR(B874)</f>
        <v>2026</v>
      </c>
      <c r="J874" s="39" t="n">
        <f aca="false">MONTH(B874)</f>
        <v>8</v>
      </c>
      <c r="K874" s="39" t="str">
        <f aca="false">TEXT(B874,"mmm")</f>
        <v>Aug</v>
      </c>
      <c r="L874" s="45" t="n">
        <f aca="false">IFERROR(INDEX(medicine_master!$I$2:$I$26,MATCH($C874,medicine_master!$A$2:$A$26,0)),0)</f>
        <v>18</v>
      </c>
      <c r="M874" s="45" t="n">
        <f aca="false">IFERROR(INDEX(medicine_master!$G$2:$G$26,MATCH($C874,medicine_master!$A$2:$A$26,0)),0)</f>
        <v>12</v>
      </c>
      <c r="N874" s="45" t="n">
        <f aca="false">IF(D874="Sale",E874*L874,0)</f>
        <v>180</v>
      </c>
      <c r="O874" s="45" t="n">
        <f aca="false">IF(D874="Sale",E874*M874,0)</f>
        <v>120</v>
      </c>
      <c r="P874" s="45" t="n">
        <f aca="false">N874-O874</f>
        <v>60</v>
      </c>
      <c r="Q874" s="45" t="n">
        <f aca="false">IF(D874="Purchase",E874*M874,0)</f>
        <v>0</v>
      </c>
    </row>
    <row r="875" customFormat="false" ht="15" hidden="false" customHeight="false" outlineLevel="0" collapsed="false">
      <c r="A875" s="39" t="s">
        <v>1199</v>
      </c>
      <c r="B875" s="44" t="n">
        <v>46103</v>
      </c>
      <c r="C875" s="39" t="s">
        <v>326</v>
      </c>
      <c r="D875" s="39" t="s">
        <v>137</v>
      </c>
      <c r="E875" s="39" t="n">
        <v>10</v>
      </c>
      <c r="F875" s="39" t="str">
        <f aca="false">IF(COUNTIF(medicine_master!$A$2:$A$26,C875)&gt;0,"Valid","Invalid")</f>
        <v>Valid</v>
      </c>
      <c r="G875" s="39" t="str">
        <f aca="false">IFERROR(INDEX(medicine_master!$B$2:$B$26,MATCH($C875,medicine_master!$A$2:$A$26,0)),"Not found")</f>
        <v>Omeprazole 20mg</v>
      </c>
      <c r="H875" s="39" t="str">
        <f aca="false">IFERROR(INDEX(medicine_master!$C$2:$C$26,MATCH($C875,medicine_master!$A$2:$A$26,0)),"Not found")</f>
        <v>Gastric</v>
      </c>
      <c r="I875" s="39" t="n">
        <f aca="false">YEAR(B875)</f>
        <v>2026</v>
      </c>
      <c r="J875" s="39" t="n">
        <f aca="false">MONTH(B875)</f>
        <v>3</v>
      </c>
      <c r="K875" s="39" t="str">
        <f aca="false">TEXT(B875,"mmm")</f>
        <v>Mar</v>
      </c>
      <c r="L875" s="45" t="n">
        <f aca="false">IFERROR(INDEX(medicine_master!$I$2:$I$26,MATCH($C875,medicine_master!$A$2:$A$26,0)),0)</f>
        <v>26</v>
      </c>
      <c r="M875" s="45" t="n">
        <f aca="false">IFERROR(INDEX(medicine_master!$G$2:$G$26,MATCH($C875,medicine_master!$A$2:$A$26,0)),0)</f>
        <v>18</v>
      </c>
      <c r="N875" s="45" t="n">
        <f aca="false">IF(D875="Sale",E875*L875,0)</f>
        <v>260</v>
      </c>
      <c r="O875" s="45" t="n">
        <f aca="false">IF(D875="Sale",E875*M875,0)</f>
        <v>180</v>
      </c>
      <c r="P875" s="45" t="n">
        <f aca="false">N875-O875</f>
        <v>80</v>
      </c>
      <c r="Q875" s="45" t="n">
        <f aca="false">IF(D875="Purchase",E875*M875,0)</f>
        <v>0</v>
      </c>
    </row>
    <row r="876" customFormat="false" ht="15" hidden="false" customHeight="false" outlineLevel="0" collapsed="false">
      <c r="A876" s="39" t="s">
        <v>1200</v>
      </c>
      <c r="B876" s="44" t="n">
        <v>46293</v>
      </c>
      <c r="C876" s="39" t="s">
        <v>180</v>
      </c>
      <c r="D876" s="39" t="s">
        <v>137</v>
      </c>
      <c r="E876" s="39" t="n">
        <v>40</v>
      </c>
      <c r="F876" s="39" t="str">
        <f aca="false">IF(COUNTIF(medicine_master!$A$2:$A$26,C876)&gt;0,"Valid","Invalid")</f>
        <v>Valid</v>
      </c>
      <c r="G876" s="39" t="str">
        <f aca="false">IFERROR(INDEX(medicine_master!$B$2:$B$26,MATCH($C876,medicine_master!$A$2:$A$26,0)),"Not found")</f>
        <v>Vitamin C 500mg</v>
      </c>
      <c r="H876" s="39" t="str">
        <f aca="false">IFERROR(INDEX(medicine_master!$C$2:$C$26,MATCH($C876,medicine_master!$A$2:$A$26,0)),"Not found")</f>
        <v>Vitamin</v>
      </c>
      <c r="I876" s="39" t="n">
        <f aca="false">YEAR(B876)</f>
        <v>2026</v>
      </c>
      <c r="J876" s="39" t="n">
        <f aca="false">MONTH(B876)</f>
        <v>9</v>
      </c>
      <c r="K876" s="39" t="str">
        <f aca="false">TEXT(B876,"mmm")</f>
        <v>Sep</v>
      </c>
      <c r="L876" s="45" t="n">
        <f aca="false">IFERROR(INDEX(medicine_master!$I$2:$I$26,MATCH($C876,medicine_master!$A$2:$A$26,0)),0)</f>
        <v>22</v>
      </c>
      <c r="M876" s="45" t="n">
        <f aca="false">IFERROR(INDEX(medicine_master!$G$2:$G$26,MATCH($C876,medicine_master!$A$2:$A$26,0)),0)</f>
        <v>14</v>
      </c>
      <c r="N876" s="45" t="n">
        <f aca="false">IF(D876="Sale",E876*L876,0)</f>
        <v>880</v>
      </c>
      <c r="O876" s="45" t="n">
        <f aca="false">IF(D876="Sale",E876*M876,0)</f>
        <v>560</v>
      </c>
      <c r="P876" s="45" t="n">
        <f aca="false">N876-O876</f>
        <v>320</v>
      </c>
      <c r="Q876" s="45" t="n">
        <f aca="false">IF(D876="Purchase",E876*M876,0)</f>
        <v>0</v>
      </c>
    </row>
    <row r="877" customFormat="false" ht="15" hidden="false" customHeight="false" outlineLevel="0" collapsed="false">
      <c r="A877" s="39" t="s">
        <v>1201</v>
      </c>
      <c r="B877" s="44" t="n">
        <v>46189</v>
      </c>
      <c r="C877" s="39" t="s">
        <v>178</v>
      </c>
      <c r="D877" s="39" t="s">
        <v>138</v>
      </c>
      <c r="E877" s="39" t="n">
        <v>30</v>
      </c>
      <c r="F877" s="39" t="str">
        <f aca="false">IF(COUNTIF(medicine_master!$A$2:$A$26,C877)&gt;0,"Valid","Invalid")</f>
        <v>Valid</v>
      </c>
      <c r="G877" s="39" t="str">
        <f aca="false">IFERROR(INDEX(medicine_master!$B$2:$B$26,MATCH($C877,medicine_master!$A$2:$A$26,0)),"Not found")</f>
        <v>Aspirin 75mg</v>
      </c>
      <c r="H877" s="39" t="str">
        <f aca="false">IFERROR(INDEX(medicine_master!$C$2:$C$26,MATCH($C877,medicine_master!$A$2:$A$26,0)),"Not found")</f>
        <v>Cardiac</v>
      </c>
      <c r="I877" s="39" t="n">
        <f aca="false">YEAR(B877)</f>
        <v>2026</v>
      </c>
      <c r="J877" s="39" t="n">
        <f aca="false">MONTH(B877)</f>
        <v>6</v>
      </c>
      <c r="K877" s="39" t="str">
        <f aca="false">TEXT(B877,"mmm")</f>
        <v>Jun</v>
      </c>
      <c r="L877" s="45" t="n">
        <f aca="false">IFERROR(INDEX(medicine_master!$I$2:$I$26,MATCH($C877,medicine_master!$A$2:$A$26,0)),0)</f>
        <v>15</v>
      </c>
      <c r="M877" s="45" t="n">
        <f aca="false">IFERROR(INDEX(medicine_master!$G$2:$G$26,MATCH($C877,medicine_master!$A$2:$A$26,0)),0)</f>
        <v>10</v>
      </c>
      <c r="N877" s="45" t="n">
        <f aca="false">IF(D877="Sale",E877*L877,0)</f>
        <v>0</v>
      </c>
      <c r="O877" s="45" t="n">
        <f aca="false">IF(D877="Sale",E877*M877,0)</f>
        <v>0</v>
      </c>
      <c r="P877" s="45" t="n">
        <f aca="false">N877-O877</f>
        <v>0</v>
      </c>
      <c r="Q877" s="45" t="n">
        <f aca="false">IF(D877="Purchase",E877*M877,0)</f>
        <v>300</v>
      </c>
    </row>
    <row r="878" customFormat="false" ht="15" hidden="false" customHeight="false" outlineLevel="0" collapsed="false">
      <c r="A878" s="39" t="s">
        <v>1202</v>
      </c>
      <c r="B878" s="44" t="n">
        <v>46095</v>
      </c>
      <c r="C878" s="39" t="s">
        <v>167</v>
      </c>
      <c r="D878" s="39" t="s">
        <v>138</v>
      </c>
      <c r="E878" s="39" t="n">
        <v>25</v>
      </c>
      <c r="F878" s="39" t="str">
        <f aca="false">IF(COUNTIF(medicine_master!$A$2:$A$26,C878)&gt;0,"Valid","Invalid")</f>
        <v>Valid</v>
      </c>
      <c r="G878" s="39" t="str">
        <f aca="false">IFERROR(INDEX(medicine_master!$B$2:$B$26,MATCH($C878,medicine_master!$A$2:$A$26,0)),"Not found")</f>
        <v>Amlodipine 5mg</v>
      </c>
      <c r="H878" s="39" t="str">
        <f aca="false">IFERROR(INDEX(medicine_master!$C$2:$C$26,MATCH($C878,medicine_master!$A$2:$A$26,0)),"Not found")</f>
        <v>Cardiac</v>
      </c>
      <c r="I878" s="39" t="n">
        <f aca="false">YEAR(B878)</f>
        <v>2026</v>
      </c>
      <c r="J878" s="39" t="n">
        <f aca="false">MONTH(B878)</f>
        <v>3</v>
      </c>
      <c r="K878" s="39" t="str">
        <f aca="false">TEXT(B878,"mmm")</f>
        <v>Mar</v>
      </c>
      <c r="L878" s="45" t="n">
        <f aca="false">IFERROR(INDEX(medicine_master!$I$2:$I$26,MATCH($C878,medicine_master!$A$2:$A$26,0)),0)</f>
        <v>19</v>
      </c>
      <c r="M878" s="45" t="n">
        <f aca="false">IFERROR(INDEX(medicine_master!$G$2:$G$26,MATCH($C878,medicine_master!$A$2:$A$26,0)),0)</f>
        <v>13</v>
      </c>
      <c r="N878" s="45" t="n">
        <f aca="false">IF(D878="Sale",E878*L878,0)</f>
        <v>0</v>
      </c>
      <c r="O878" s="45" t="n">
        <f aca="false">IF(D878="Sale",E878*M878,0)</f>
        <v>0</v>
      </c>
      <c r="P878" s="45" t="n">
        <f aca="false">N878-O878</f>
        <v>0</v>
      </c>
      <c r="Q878" s="45" t="n">
        <f aca="false">IF(D878="Purchase",E878*M878,0)</f>
        <v>325</v>
      </c>
    </row>
    <row r="879" customFormat="false" ht="15" hidden="false" customHeight="false" outlineLevel="0" collapsed="false">
      <c r="A879" s="39" t="s">
        <v>1203</v>
      </c>
      <c r="B879" s="44" t="n">
        <v>46267</v>
      </c>
      <c r="C879" s="39" t="s">
        <v>151</v>
      </c>
      <c r="D879" s="39" t="s">
        <v>138</v>
      </c>
      <c r="E879" s="39" t="n">
        <v>30</v>
      </c>
      <c r="F879" s="39" t="str">
        <f aca="false">IF(COUNTIF(medicine_master!$A$2:$A$26,C879)&gt;0,"Valid","Invalid")</f>
        <v>Valid</v>
      </c>
      <c r="G879" s="39" t="str">
        <f aca="false">IFERROR(INDEX(medicine_master!$B$2:$B$26,MATCH($C879,medicine_master!$A$2:$A$26,0)),"Not found")</f>
        <v>Cetirizine 10mg</v>
      </c>
      <c r="H879" s="39" t="str">
        <f aca="false">IFERROR(INDEX(medicine_master!$C$2:$C$26,MATCH($C879,medicine_master!$A$2:$A$26,0)),"Not found")</f>
        <v>Allergy</v>
      </c>
      <c r="I879" s="39" t="n">
        <f aca="false">YEAR(B879)</f>
        <v>2026</v>
      </c>
      <c r="J879" s="39" t="n">
        <f aca="false">MONTH(B879)</f>
        <v>9</v>
      </c>
      <c r="K879" s="39" t="str">
        <f aca="false">TEXT(B879,"mmm")</f>
        <v>Sep</v>
      </c>
      <c r="L879" s="45" t="n">
        <f aca="false">IFERROR(INDEX(medicine_master!$I$2:$I$26,MATCH($C879,medicine_master!$A$2:$A$26,0)),0)</f>
        <v>13</v>
      </c>
      <c r="M879" s="45" t="n">
        <f aca="false">IFERROR(INDEX(medicine_master!$G$2:$G$26,MATCH($C879,medicine_master!$A$2:$A$26,0)),0)</f>
        <v>8</v>
      </c>
      <c r="N879" s="45" t="n">
        <f aca="false">IF(D879="Sale",E879*L879,0)</f>
        <v>0</v>
      </c>
      <c r="O879" s="45" t="n">
        <f aca="false">IF(D879="Sale",E879*M879,0)</f>
        <v>0</v>
      </c>
      <c r="P879" s="45" t="n">
        <f aca="false">N879-O879</f>
        <v>0</v>
      </c>
      <c r="Q879" s="45" t="n">
        <f aca="false">IF(D879="Purchase",E879*M879,0)</f>
        <v>240</v>
      </c>
    </row>
    <row r="880" customFormat="false" ht="15" hidden="false" customHeight="false" outlineLevel="0" collapsed="false">
      <c r="A880" s="39" t="s">
        <v>1204</v>
      </c>
      <c r="B880" s="44" t="n">
        <v>46197</v>
      </c>
      <c r="C880" s="39" t="s">
        <v>167</v>
      </c>
      <c r="D880" s="39" t="s">
        <v>137</v>
      </c>
      <c r="E880" s="39" t="n">
        <v>20</v>
      </c>
      <c r="F880" s="39" t="str">
        <f aca="false">IF(COUNTIF(medicine_master!$A$2:$A$26,C880)&gt;0,"Valid","Invalid")</f>
        <v>Valid</v>
      </c>
      <c r="G880" s="39" t="str">
        <f aca="false">IFERROR(INDEX(medicine_master!$B$2:$B$26,MATCH($C880,medicine_master!$A$2:$A$26,0)),"Not found")</f>
        <v>Amlodipine 5mg</v>
      </c>
      <c r="H880" s="39" t="str">
        <f aca="false">IFERROR(INDEX(medicine_master!$C$2:$C$26,MATCH($C880,medicine_master!$A$2:$A$26,0)),"Not found")</f>
        <v>Cardiac</v>
      </c>
      <c r="I880" s="39" t="n">
        <f aca="false">YEAR(B880)</f>
        <v>2026</v>
      </c>
      <c r="J880" s="39" t="n">
        <f aca="false">MONTH(B880)</f>
        <v>6</v>
      </c>
      <c r="K880" s="39" t="str">
        <f aca="false">TEXT(B880,"mmm")</f>
        <v>Jun</v>
      </c>
      <c r="L880" s="45" t="n">
        <f aca="false">IFERROR(INDEX(medicine_master!$I$2:$I$26,MATCH($C880,medicine_master!$A$2:$A$26,0)),0)</f>
        <v>19</v>
      </c>
      <c r="M880" s="45" t="n">
        <f aca="false">IFERROR(INDEX(medicine_master!$G$2:$G$26,MATCH($C880,medicine_master!$A$2:$A$26,0)),0)</f>
        <v>13</v>
      </c>
      <c r="N880" s="45" t="n">
        <f aca="false">IF(D880="Sale",E880*L880,0)</f>
        <v>380</v>
      </c>
      <c r="O880" s="45" t="n">
        <f aca="false">IF(D880="Sale",E880*M880,0)</f>
        <v>260</v>
      </c>
      <c r="P880" s="45" t="n">
        <f aca="false">N880-O880</f>
        <v>120</v>
      </c>
      <c r="Q880" s="45" t="n">
        <f aca="false">IF(D880="Purchase",E880*M880,0)</f>
        <v>0</v>
      </c>
    </row>
    <row r="881" customFormat="false" ht="15" hidden="false" customHeight="false" outlineLevel="0" collapsed="false">
      <c r="A881" s="39" t="s">
        <v>1205</v>
      </c>
      <c r="B881" s="44" t="n">
        <v>46293</v>
      </c>
      <c r="C881" s="39" t="s">
        <v>149</v>
      </c>
      <c r="D881" s="39" t="s">
        <v>137</v>
      </c>
      <c r="E881" s="39" t="n">
        <v>30</v>
      </c>
      <c r="F881" s="39" t="str">
        <f aca="false">IF(COUNTIF(medicine_master!$A$2:$A$26,C881)&gt;0,"Valid","Invalid")</f>
        <v>Valid</v>
      </c>
      <c r="G881" s="39" t="str">
        <f aca="false">IFERROR(INDEX(medicine_master!$B$2:$B$26,MATCH($C881,medicine_master!$A$2:$A$26,0)),"Not found")</f>
        <v>Azithromycin 500mg</v>
      </c>
      <c r="H881" s="39" t="str">
        <f aca="false">IFERROR(INDEX(medicine_master!$C$2:$C$26,MATCH($C881,medicine_master!$A$2:$A$26,0)),"Not found")</f>
        <v>Antibiotic</v>
      </c>
      <c r="I881" s="39" t="n">
        <f aca="false">YEAR(B881)</f>
        <v>2026</v>
      </c>
      <c r="J881" s="39" t="n">
        <f aca="false">MONTH(B881)</f>
        <v>9</v>
      </c>
      <c r="K881" s="39" t="str">
        <f aca="false">TEXT(B881,"mmm")</f>
        <v>Sep</v>
      </c>
      <c r="L881" s="45" t="n">
        <f aca="false">IFERROR(INDEX(medicine_master!$I$2:$I$26,MATCH($C881,medicine_master!$A$2:$A$26,0)),0)</f>
        <v>50</v>
      </c>
      <c r="M881" s="45" t="n">
        <f aca="false">IFERROR(INDEX(medicine_master!$G$2:$G$26,MATCH($C881,medicine_master!$A$2:$A$26,0)),0)</f>
        <v>35</v>
      </c>
      <c r="N881" s="45" t="n">
        <f aca="false">IF(D881="Sale",E881*L881,0)</f>
        <v>1500</v>
      </c>
      <c r="O881" s="45" t="n">
        <f aca="false">IF(D881="Sale",E881*M881,0)</f>
        <v>1050</v>
      </c>
      <c r="P881" s="45" t="n">
        <f aca="false">N881-O881</f>
        <v>450</v>
      </c>
      <c r="Q881" s="45" t="n">
        <f aca="false">IF(D881="Purchase",E881*M881,0)</f>
        <v>0</v>
      </c>
    </row>
    <row r="882" customFormat="false" ht="15" hidden="false" customHeight="false" outlineLevel="0" collapsed="false">
      <c r="A882" s="39" t="s">
        <v>1206</v>
      </c>
      <c r="B882" s="44" t="n">
        <v>46361</v>
      </c>
      <c r="C882" s="39" t="s">
        <v>495</v>
      </c>
      <c r="D882" s="39" t="s">
        <v>137</v>
      </c>
      <c r="E882" s="39" t="n">
        <v>5</v>
      </c>
      <c r="F882" s="39" t="str">
        <f aca="false">IF(COUNTIF(medicine_master!$A$2:$A$26,C882)&gt;0,"Valid","Invalid")</f>
        <v>Valid</v>
      </c>
      <c r="G882" s="39" t="str">
        <f aca="false">IFERROR(INDEX(medicine_master!$B$2:$B$26,MATCH($C882,medicine_master!$A$2:$A$26,0)),"Not found")</f>
        <v>Metformin 500mg</v>
      </c>
      <c r="H882" s="39" t="str">
        <f aca="false">IFERROR(INDEX(medicine_master!$C$2:$C$26,MATCH($C882,medicine_master!$A$2:$A$26,0)),"Not found")</f>
        <v>Diabetes</v>
      </c>
      <c r="I882" s="39" t="n">
        <f aca="false">YEAR(B882)</f>
        <v>2026</v>
      </c>
      <c r="J882" s="39" t="n">
        <f aca="false">MONTH(B882)</f>
        <v>12</v>
      </c>
      <c r="K882" s="39" t="str">
        <f aca="false">TEXT(B882,"mmm")</f>
        <v>Dec</v>
      </c>
      <c r="L882" s="45" t="n">
        <f aca="false">IFERROR(INDEX(medicine_master!$I$2:$I$26,MATCH($C882,medicine_master!$A$2:$A$26,0)),0)</f>
        <v>24</v>
      </c>
      <c r="M882" s="45" t="n">
        <f aca="false">IFERROR(INDEX(medicine_master!$G$2:$G$26,MATCH($C882,medicine_master!$A$2:$A$26,0)),0)</f>
        <v>16</v>
      </c>
      <c r="N882" s="45" t="n">
        <f aca="false">IF(D882="Sale",E882*L882,0)</f>
        <v>120</v>
      </c>
      <c r="O882" s="45" t="n">
        <f aca="false">IF(D882="Sale",E882*M882,0)</f>
        <v>80</v>
      </c>
      <c r="P882" s="45" t="n">
        <f aca="false">N882-O882</f>
        <v>40</v>
      </c>
      <c r="Q882" s="45" t="n">
        <f aca="false">IF(D882="Purchase",E882*M882,0)</f>
        <v>0</v>
      </c>
    </row>
    <row r="883" customFormat="false" ht="15" hidden="false" customHeight="false" outlineLevel="0" collapsed="false">
      <c r="A883" s="39" t="s">
        <v>1207</v>
      </c>
      <c r="B883" s="44" t="n">
        <v>46336</v>
      </c>
      <c r="C883" s="39" t="s">
        <v>345</v>
      </c>
      <c r="D883" s="39" t="s">
        <v>137</v>
      </c>
      <c r="E883" s="39" t="n">
        <v>20</v>
      </c>
      <c r="F883" s="39" t="str">
        <f aca="false">IF(COUNTIF(medicine_master!$A$2:$A$26,C883)&gt;0,"Valid","Invalid")</f>
        <v>Valid</v>
      </c>
      <c r="G883" s="39" t="str">
        <f aca="false">IFERROR(INDEX(medicine_master!$B$2:$B$26,MATCH($C883,medicine_master!$A$2:$A$26,0)),"Not found")</f>
        <v>Paracetamol 500mg</v>
      </c>
      <c r="H883" s="39" t="str">
        <f aca="false">IFERROR(INDEX(medicine_master!$C$2:$C$26,MATCH($C883,medicine_master!$A$2:$A$26,0)),"Not found")</f>
        <v>Pain Relief</v>
      </c>
      <c r="I883" s="39" t="n">
        <f aca="false">YEAR(B883)</f>
        <v>2026</v>
      </c>
      <c r="J883" s="39" t="n">
        <f aca="false">MONTH(B883)</f>
        <v>11</v>
      </c>
      <c r="K883" s="39" t="str">
        <f aca="false">TEXT(B883,"mmm")</f>
        <v>Nov</v>
      </c>
      <c r="L883" s="45" t="n">
        <f aca="false">IFERROR(INDEX(medicine_master!$I$2:$I$26,MATCH($C883,medicine_master!$A$2:$A$26,0)),0)</f>
        <v>18</v>
      </c>
      <c r="M883" s="45" t="n">
        <f aca="false">IFERROR(INDEX(medicine_master!$G$2:$G$26,MATCH($C883,medicine_master!$A$2:$A$26,0)),0)</f>
        <v>12</v>
      </c>
      <c r="N883" s="45" t="n">
        <f aca="false">IF(D883="Sale",E883*L883,0)</f>
        <v>360</v>
      </c>
      <c r="O883" s="45" t="n">
        <f aca="false">IF(D883="Sale",E883*M883,0)</f>
        <v>240</v>
      </c>
      <c r="P883" s="45" t="n">
        <f aca="false">N883-O883</f>
        <v>120</v>
      </c>
      <c r="Q883" s="45" t="n">
        <f aca="false">IF(D883="Purchase",E883*M883,0)</f>
        <v>0</v>
      </c>
    </row>
    <row r="884" customFormat="false" ht="15" hidden="false" customHeight="false" outlineLevel="0" collapsed="false">
      <c r="A884" s="39" t="s">
        <v>1208</v>
      </c>
      <c r="B884" s="44" t="n">
        <v>46238</v>
      </c>
      <c r="C884" s="39" t="s">
        <v>404</v>
      </c>
      <c r="D884" s="39" t="s">
        <v>137</v>
      </c>
      <c r="E884" s="39" t="n">
        <v>20</v>
      </c>
      <c r="F884" s="39" t="str">
        <f aca="false">IF(COUNTIF(medicine_master!$A$2:$A$26,C884)&gt;0,"Valid","Invalid")</f>
        <v>Valid</v>
      </c>
      <c r="G884" s="39" t="str">
        <f aca="false">IFERROR(INDEX(medicine_master!$B$2:$B$26,MATCH($C884,medicine_master!$A$2:$A$26,0)),"Not found")</f>
        <v>ORS Sachet</v>
      </c>
      <c r="H884" s="39" t="str">
        <f aca="false">IFERROR(INDEX(medicine_master!$C$2:$C$26,MATCH($C884,medicine_master!$A$2:$A$26,0)),"Not found")</f>
        <v>First Aid</v>
      </c>
      <c r="I884" s="39" t="n">
        <f aca="false">YEAR(B884)</f>
        <v>2026</v>
      </c>
      <c r="J884" s="39" t="n">
        <f aca="false">MONTH(B884)</f>
        <v>8</v>
      </c>
      <c r="K884" s="39" t="str">
        <f aca="false">TEXT(B884,"mmm")</f>
        <v>Aug</v>
      </c>
      <c r="L884" s="45" t="n">
        <f aca="false">IFERROR(INDEX(medicine_master!$I$2:$I$26,MATCH($C884,medicine_master!$A$2:$A$26,0)),0)</f>
        <v>10</v>
      </c>
      <c r="M884" s="45" t="n">
        <f aca="false">IFERROR(INDEX(medicine_master!$G$2:$G$26,MATCH($C884,medicine_master!$A$2:$A$26,0)),0)</f>
        <v>6</v>
      </c>
      <c r="N884" s="45" t="n">
        <f aca="false">IF(D884="Sale",E884*L884,0)</f>
        <v>200</v>
      </c>
      <c r="O884" s="45" t="n">
        <f aca="false">IF(D884="Sale",E884*M884,0)</f>
        <v>120</v>
      </c>
      <c r="P884" s="45" t="n">
        <f aca="false">N884-O884</f>
        <v>80</v>
      </c>
      <c r="Q884" s="45" t="n">
        <f aca="false">IF(D884="Purchase",E884*M884,0)</f>
        <v>0</v>
      </c>
    </row>
    <row r="885" customFormat="false" ht="15" hidden="false" customHeight="false" outlineLevel="0" collapsed="false">
      <c r="A885" s="39" t="s">
        <v>1209</v>
      </c>
      <c r="B885" s="44" t="n">
        <v>46190</v>
      </c>
      <c r="C885" s="39" t="s">
        <v>404</v>
      </c>
      <c r="D885" s="39" t="s">
        <v>137</v>
      </c>
      <c r="E885" s="39" t="n">
        <v>15</v>
      </c>
      <c r="F885" s="39" t="str">
        <f aca="false">IF(COUNTIF(medicine_master!$A$2:$A$26,C885)&gt;0,"Valid","Invalid")</f>
        <v>Valid</v>
      </c>
      <c r="G885" s="39" t="str">
        <f aca="false">IFERROR(INDEX(medicine_master!$B$2:$B$26,MATCH($C885,medicine_master!$A$2:$A$26,0)),"Not found")</f>
        <v>ORS Sachet</v>
      </c>
      <c r="H885" s="39" t="str">
        <f aca="false">IFERROR(INDEX(medicine_master!$C$2:$C$26,MATCH($C885,medicine_master!$A$2:$A$26,0)),"Not found")</f>
        <v>First Aid</v>
      </c>
      <c r="I885" s="39" t="n">
        <f aca="false">YEAR(B885)</f>
        <v>2026</v>
      </c>
      <c r="J885" s="39" t="n">
        <f aca="false">MONTH(B885)</f>
        <v>6</v>
      </c>
      <c r="K885" s="39" t="str">
        <f aca="false">TEXT(B885,"mmm")</f>
        <v>Jun</v>
      </c>
      <c r="L885" s="45" t="n">
        <f aca="false">IFERROR(INDEX(medicine_master!$I$2:$I$26,MATCH($C885,medicine_master!$A$2:$A$26,0)),0)</f>
        <v>10</v>
      </c>
      <c r="M885" s="45" t="n">
        <f aca="false">IFERROR(INDEX(medicine_master!$G$2:$G$26,MATCH($C885,medicine_master!$A$2:$A$26,0)),0)</f>
        <v>6</v>
      </c>
      <c r="N885" s="45" t="n">
        <f aca="false">IF(D885="Sale",E885*L885,0)</f>
        <v>150</v>
      </c>
      <c r="O885" s="45" t="n">
        <f aca="false">IF(D885="Sale",E885*M885,0)</f>
        <v>90</v>
      </c>
      <c r="P885" s="45" t="n">
        <f aca="false">N885-O885</f>
        <v>60</v>
      </c>
      <c r="Q885" s="45" t="n">
        <f aca="false">IF(D885="Purchase",E885*M885,0)</f>
        <v>0</v>
      </c>
    </row>
    <row r="886" customFormat="false" ht="15" hidden="false" customHeight="false" outlineLevel="0" collapsed="false">
      <c r="A886" s="39" t="s">
        <v>1210</v>
      </c>
      <c r="B886" s="44" t="n">
        <v>46358</v>
      </c>
      <c r="C886" s="39" t="s">
        <v>158</v>
      </c>
      <c r="D886" s="39" t="s">
        <v>138</v>
      </c>
      <c r="E886" s="39" t="n">
        <v>50</v>
      </c>
      <c r="F886" s="39" t="str">
        <f aca="false">IF(COUNTIF(medicine_master!$A$2:$A$26,C886)&gt;0,"Valid","Invalid")</f>
        <v>Valid</v>
      </c>
      <c r="G886" s="39" t="str">
        <f aca="false">IFERROR(INDEX(medicine_master!$B$2:$B$26,MATCH($C886,medicine_master!$A$2:$A$26,0)),"Not found")</f>
        <v>Cough Syrup 100ml</v>
      </c>
      <c r="H886" s="39" t="str">
        <f aca="false">IFERROR(INDEX(medicine_master!$C$2:$C$26,MATCH($C886,medicine_master!$A$2:$A$26,0)),"Not found")</f>
        <v>Cold &amp; Cough</v>
      </c>
      <c r="I886" s="39" t="n">
        <f aca="false">YEAR(B886)</f>
        <v>2026</v>
      </c>
      <c r="J886" s="39" t="n">
        <f aca="false">MONTH(B886)</f>
        <v>12</v>
      </c>
      <c r="K886" s="39" t="str">
        <f aca="false">TEXT(B886,"mmm")</f>
        <v>Dec</v>
      </c>
      <c r="L886" s="45" t="n">
        <f aca="false">IFERROR(INDEX(medicine_master!$I$2:$I$26,MATCH($C886,medicine_master!$A$2:$A$26,0)),0)</f>
        <v>72</v>
      </c>
      <c r="M886" s="45" t="n">
        <f aca="false">IFERROR(INDEX(medicine_master!$G$2:$G$26,MATCH($C886,medicine_master!$A$2:$A$26,0)),0)</f>
        <v>52</v>
      </c>
      <c r="N886" s="45" t="n">
        <f aca="false">IF(D886="Sale",E886*L886,0)</f>
        <v>0</v>
      </c>
      <c r="O886" s="45" t="n">
        <f aca="false">IF(D886="Sale",E886*M886,0)</f>
        <v>0</v>
      </c>
      <c r="P886" s="45" t="n">
        <f aca="false">N886-O886</f>
        <v>0</v>
      </c>
      <c r="Q886" s="45" t="n">
        <f aca="false">IF(D886="Purchase",E886*M886,0)</f>
        <v>2600</v>
      </c>
    </row>
    <row r="887" customFormat="false" ht="15" hidden="false" customHeight="false" outlineLevel="0" collapsed="false">
      <c r="A887" s="39" t="s">
        <v>1211</v>
      </c>
      <c r="B887" s="44" t="n">
        <v>46169</v>
      </c>
      <c r="C887" s="39" t="s">
        <v>144</v>
      </c>
      <c r="D887" s="39" t="s">
        <v>138</v>
      </c>
      <c r="E887" s="39" t="n">
        <v>40</v>
      </c>
      <c r="F887" s="39" t="str">
        <f aca="false">IF(COUNTIF(medicine_master!$A$2:$A$26,C887)&gt;0,"Valid","Invalid")</f>
        <v>Valid</v>
      </c>
      <c r="G887" s="39" t="str">
        <f aca="false">IFERROR(INDEX(medicine_master!$B$2:$B$26,MATCH($C887,medicine_master!$A$2:$A$26,0)),"Not found")</f>
        <v>Glimepiride 2mg</v>
      </c>
      <c r="H887" s="39" t="str">
        <f aca="false">IFERROR(INDEX(medicine_master!$C$2:$C$26,MATCH($C887,medicine_master!$A$2:$A$26,0)),"Not found")</f>
        <v>Diabetes</v>
      </c>
      <c r="I887" s="39" t="n">
        <f aca="false">YEAR(B887)</f>
        <v>2026</v>
      </c>
      <c r="J887" s="39" t="n">
        <f aca="false">MONTH(B887)</f>
        <v>5</v>
      </c>
      <c r="K887" s="39" t="str">
        <f aca="false">TEXT(B887,"mmm")</f>
        <v>May</v>
      </c>
      <c r="L887" s="45" t="n">
        <f aca="false">IFERROR(INDEX(medicine_master!$I$2:$I$26,MATCH($C887,medicine_master!$A$2:$A$26,0)),0)</f>
        <v>52</v>
      </c>
      <c r="M887" s="45" t="n">
        <f aca="false">IFERROR(INDEX(medicine_master!$G$2:$G$26,MATCH($C887,medicine_master!$A$2:$A$26,0)),0)</f>
        <v>38</v>
      </c>
      <c r="N887" s="45" t="n">
        <f aca="false">IF(D887="Sale",E887*L887,0)</f>
        <v>0</v>
      </c>
      <c r="O887" s="45" t="n">
        <f aca="false">IF(D887="Sale",E887*M887,0)</f>
        <v>0</v>
      </c>
      <c r="P887" s="45" t="n">
        <f aca="false">N887-O887</f>
        <v>0</v>
      </c>
      <c r="Q887" s="45" t="n">
        <f aca="false">IF(D887="Purchase",E887*M887,0)</f>
        <v>1520</v>
      </c>
    </row>
    <row r="888" customFormat="false" ht="15" hidden="false" customHeight="false" outlineLevel="0" collapsed="false">
      <c r="A888" s="39" t="s">
        <v>1212</v>
      </c>
      <c r="B888" s="44" t="n">
        <v>46111</v>
      </c>
      <c r="C888" s="39" t="s">
        <v>146</v>
      </c>
      <c r="D888" s="39" t="s">
        <v>137</v>
      </c>
      <c r="E888" s="39" t="n">
        <v>25</v>
      </c>
      <c r="F888" s="39" t="str">
        <f aca="false">IF(COUNTIF(medicine_master!$A$2:$A$26,C888)&gt;0,"Valid","Invalid")</f>
        <v>Valid</v>
      </c>
      <c r="G888" s="39" t="str">
        <f aca="false">IFERROR(INDEX(medicine_master!$B$2:$B$26,MATCH($C888,medicine_master!$A$2:$A$26,0)),"Not found")</f>
        <v>Diclofenac Gel</v>
      </c>
      <c r="H888" s="39" t="str">
        <f aca="false">IFERROR(INDEX(medicine_master!$C$2:$C$26,MATCH($C888,medicine_master!$A$2:$A$26,0)),"Not found")</f>
        <v>Pain Relief</v>
      </c>
      <c r="I888" s="39" t="n">
        <f aca="false">YEAR(B888)</f>
        <v>2026</v>
      </c>
      <c r="J888" s="39" t="n">
        <f aca="false">MONTH(B888)</f>
        <v>3</v>
      </c>
      <c r="K888" s="39" t="str">
        <f aca="false">TEXT(B888,"mmm")</f>
        <v>Mar</v>
      </c>
      <c r="L888" s="45" t="n">
        <f aca="false">IFERROR(INDEX(medicine_master!$I$2:$I$26,MATCH($C888,medicine_master!$A$2:$A$26,0)),0)</f>
        <v>55</v>
      </c>
      <c r="M888" s="45" t="n">
        <f aca="false">IFERROR(INDEX(medicine_master!$G$2:$G$26,MATCH($C888,medicine_master!$A$2:$A$26,0)),0)</f>
        <v>38</v>
      </c>
      <c r="N888" s="45" t="n">
        <f aca="false">IF(D888="Sale",E888*L888,0)</f>
        <v>1375</v>
      </c>
      <c r="O888" s="45" t="n">
        <f aca="false">IF(D888="Sale",E888*M888,0)</f>
        <v>950</v>
      </c>
      <c r="P888" s="45" t="n">
        <f aca="false">N888-O888</f>
        <v>425</v>
      </c>
      <c r="Q888" s="45" t="n">
        <f aca="false">IF(D888="Purchase",E888*M888,0)</f>
        <v>0</v>
      </c>
    </row>
    <row r="889" customFormat="false" ht="15" hidden="false" customHeight="false" outlineLevel="0" collapsed="false">
      <c r="A889" s="39" t="s">
        <v>1213</v>
      </c>
      <c r="B889" s="44" t="n">
        <v>46024</v>
      </c>
      <c r="C889" s="39" t="s">
        <v>147</v>
      </c>
      <c r="D889" s="39" t="s">
        <v>137</v>
      </c>
      <c r="E889" s="39" t="n">
        <v>20</v>
      </c>
      <c r="F889" s="39" t="str">
        <f aca="false">IF(COUNTIF(medicine_master!$A$2:$A$26,C889)&gt;0,"Valid","Invalid")</f>
        <v>Valid</v>
      </c>
      <c r="G889" s="39" t="str">
        <f aca="false">IFERROR(INDEX(medicine_master!$B$2:$B$26,MATCH($C889,medicine_master!$A$2:$A$26,0)),"Not found")</f>
        <v>Insulin Injection</v>
      </c>
      <c r="H889" s="39" t="str">
        <f aca="false">IFERROR(INDEX(medicine_master!$C$2:$C$26,MATCH($C889,medicine_master!$A$2:$A$26,0)),"Not found")</f>
        <v>Diabetes</v>
      </c>
      <c r="I889" s="39" t="n">
        <f aca="false">YEAR(B889)</f>
        <v>2026</v>
      </c>
      <c r="J889" s="39" t="n">
        <f aca="false">MONTH(B889)</f>
        <v>1</v>
      </c>
      <c r="K889" s="39" t="str">
        <f aca="false">TEXT(B889,"mmm")</f>
        <v>Jan</v>
      </c>
      <c r="L889" s="45" t="n">
        <f aca="false">IFERROR(INDEX(medicine_master!$I$2:$I$26,MATCH($C889,medicine_master!$A$2:$A$26,0)),0)</f>
        <v>225</v>
      </c>
      <c r="M889" s="45" t="n">
        <f aca="false">IFERROR(INDEX(medicine_master!$G$2:$G$26,MATCH($C889,medicine_master!$A$2:$A$26,0)),0)</f>
        <v>165</v>
      </c>
      <c r="N889" s="45" t="n">
        <f aca="false">IF(D889="Sale",E889*L889,0)</f>
        <v>4500</v>
      </c>
      <c r="O889" s="45" t="n">
        <f aca="false">IF(D889="Sale",E889*M889,0)</f>
        <v>3300</v>
      </c>
      <c r="P889" s="45" t="n">
        <f aca="false">N889-O889</f>
        <v>1200</v>
      </c>
      <c r="Q889" s="45" t="n">
        <f aca="false">IF(D889="Purchase",E889*M889,0)</f>
        <v>0</v>
      </c>
    </row>
    <row r="890" customFormat="false" ht="15" hidden="false" customHeight="false" outlineLevel="0" collapsed="false">
      <c r="A890" s="39" t="s">
        <v>1214</v>
      </c>
      <c r="B890" s="44" t="n">
        <v>46350</v>
      </c>
      <c r="C890" s="39" t="s">
        <v>180</v>
      </c>
      <c r="D890" s="39" t="s">
        <v>138</v>
      </c>
      <c r="E890" s="39" t="n">
        <v>40</v>
      </c>
      <c r="F890" s="39" t="str">
        <f aca="false">IF(COUNTIF(medicine_master!$A$2:$A$26,C890)&gt;0,"Valid","Invalid")</f>
        <v>Valid</v>
      </c>
      <c r="G890" s="39" t="str">
        <f aca="false">IFERROR(INDEX(medicine_master!$B$2:$B$26,MATCH($C890,medicine_master!$A$2:$A$26,0)),"Not found")</f>
        <v>Vitamin C 500mg</v>
      </c>
      <c r="H890" s="39" t="str">
        <f aca="false">IFERROR(INDEX(medicine_master!$C$2:$C$26,MATCH($C890,medicine_master!$A$2:$A$26,0)),"Not found")</f>
        <v>Vitamin</v>
      </c>
      <c r="I890" s="39" t="n">
        <f aca="false">YEAR(B890)</f>
        <v>2026</v>
      </c>
      <c r="J890" s="39" t="n">
        <f aca="false">MONTH(B890)</f>
        <v>11</v>
      </c>
      <c r="K890" s="39" t="str">
        <f aca="false">TEXT(B890,"mmm")</f>
        <v>Nov</v>
      </c>
      <c r="L890" s="45" t="n">
        <f aca="false">IFERROR(INDEX(medicine_master!$I$2:$I$26,MATCH($C890,medicine_master!$A$2:$A$26,0)),0)</f>
        <v>22</v>
      </c>
      <c r="M890" s="45" t="n">
        <f aca="false">IFERROR(INDEX(medicine_master!$G$2:$G$26,MATCH($C890,medicine_master!$A$2:$A$26,0)),0)</f>
        <v>14</v>
      </c>
      <c r="N890" s="45" t="n">
        <f aca="false">IF(D890="Sale",E890*L890,0)</f>
        <v>0</v>
      </c>
      <c r="O890" s="45" t="n">
        <f aca="false">IF(D890="Sale",E890*M890,0)</f>
        <v>0</v>
      </c>
      <c r="P890" s="45" t="n">
        <f aca="false">N890-O890</f>
        <v>0</v>
      </c>
      <c r="Q890" s="45" t="n">
        <f aca="false">IF(D890="Purchase",E890*M890,0)</f>
        <v>560</v>
      </c>
    </row>
    <row r="891" customFormat="false" ht="15" hidden="false" customHeight="false" outlineLevel="0" collapsed="false">
      <c r="A891" s="39" t="s">
        <v>1215</v>
      </c>
      <c r="B891" s="44" t="n">
        <v>46136</v>
      </c>
      <c r="C891" s="39" t="s">
        <v>177</v>
      </c>
      <c r="D891" s="39" t="s">
        <v>137</v>
      </c>
      <c r="E891" s="39" t="n">
        <v>25</v>
      </c>
      <c r="F891" s="39" t="str">
        <f aca="false">IF(COUNTIF(medicine_master!$A$2:$A$26,C891)&gt;0,"Valid","Invalid")</f>
        <v>Valid</v>
      </c>
      <c r="G891" s="39" t="str">
        <f aca="false">IFERROR(INDEX(medicine_master!$B$2:$B$26,MATCH($C891,medicine_master!$A$2:$A$26,0)),"Not found")</f>
        <v>Bandage Roll</v>
      </c>
      <c r="H891" s="39" t="str">
        <f aca="false">IFERROR(INDEX(medicine_master!$C$2:$C$26,MATCH($C891,medicine_master!$A$2:$A$26,0)),"Not found")</f>
        <v>First Aid</v>
      </c>
      <c r="I891" s="39" t="n">
        <f aca="false">YEAR(B891)</f>
        <v>2026</v>
      </c>
      <c r="J891" s="39" t="n">
        <f aca="false">MONTH(B891)</f>
        <v>4</v>
      </c>
      <c r="K891" s="39" t="str">
        <f aca="false">TEXT(B891,"mmm")</f>
        <v>Apr</v>
      </c>
      <c r="L891" s="45" t="n">
        <f aca="false">IFERROR(INDEX(medicine_master!$I$2:$I$26,MATCH($C891,medicine_master!$A$2:$A$26,0)),0)</f>
        <v>25</v>
      </c>
      <c r="M891" s="45" t="n">
        <f aca="false">IFERROR(INDEX(medicine_master!$G$2:$G$26,MATCH($C891,medicine_master!$A$2:$A$26,0)),0)</f>
        <v>15</v>
      </c>
      <c r="N891" s="45" t="n">
        <f aca="false">IF(D891="Sale",E891*L891,0)</f>
        <v>625</v>
      </c>
      <c r="O891" s="45" t="n">
        <f aca="false">IF(D891="Sale",E891*M891,0)</f>
        <v>375</v>
      </c>
      <c r="P891" s="45" t="n">
        <f aca="false">N891-O891</f>
        <v>250</v>
      </c>
      <c r="Q891" s="45" t="n">
        <f aca="false">IF(D891="Purchase",E891*M891,0)</f>
        <v>0</v>
      </c>
    </row>
    <row r="892" customFormat="false" ht="15" hidden="false" customHeight="false" outlineLevel="0" collapsed="false">
      <c r="A892" s="39" t="s">
        <v>1216</v>
      </c>
      <c r="B892" s="44" t="n">
        <v>46350</v>
      </c>
      <c r="C892" s="39" t="s">
        <v>345</v>
      </c>
      <c r="D892" s="39" t="s">
        <v>137</v>
      </c>
      <c r="E892" s="39" t="n">
        <v>15</v>
      </c>
      <c r="F892" s="39" t="str">
        <f aca="false">IF(COUNTIF(medicine_master!$A$2:$A$26,C892)&gt;0,"Valid","Invalid")</f>
        <v>Valid</v>
      </c>
      <c r="G892" s="39" t="str">
        <f aca="false">IFERROR(INDEX(medicine_master!$B$2:$B$26,MATCH($C892,medicine_master!$A$2:$A$26,0)),"Not found")</f>
        <v>Paracetamol 500mg</v>
      </c>
      <c r="H892" s="39" t="str">
        <f aca="false">IFERROR(INDEX(medicine_master!$C$2:$C$26,MATCH($C892,medicine_master!$A$2:$A$26,0)),"Not found")</f>
        <v>Pain Relief</v>
      </c>
      <c r="I892" s="39" t="n">
        <f aca="false">YEAR(B892)</f>
        <v>2026</v>
      </c>
      <c r="J892" s="39" t="n">
        <f aca="false">MONTH(B892)</f>
        <v>11</v>
      </c>
      <c r="K892" s="39" t="str">
        <f aca="false">TEXT(B892,"mmm")</f>
        <v>Nov</v>
      </c>
      <c r="L892" s="45" t="n">
        <f aca="false">IFERROR(INDEX(medicine_master!$I$2:$I$26,MATCH($C892,medicine_master!$A$2:$A$26,0)),0)</f>
        <v>18</v>
      </c>
      <c r="M892" s="45" t="n">
        <f aca="false">IFERROR(INDEX(medicine_master!$G$2:$G$26,MATCH($C892,medicine_master!$A$2:$A$26,0)),0)</f>
        <v>12</v>
      </c>
      <c r="N892" s="45" t="n">
        <f aca="false">IF(D892="Sale",E892*L892,0)</f>
        <v>270</v>
      </c>
      <c r="O892" s="45" t="n">
        <f aca="false">IF(D892="Sale",E892*M892,0)</f>
        <v>180</v>
      </c>
      <c r="P892" s="45" t="n">
        <f aca="false">N892-O892</f>
        <v>90</v>
      </c>
      <c r="Q892" s="45" t="n">
        <f aca="false">IF(D892="Purchase",E892*M892,0)</f>
        <v>0</v>
      </c>
    </row>
    <row r="893" customFormat="false" ht="15" hidden="false" customHeight="false" outlineLevel="0" collapsed="false">
      <c r="A893" s="39" t="s">
        <v>1217</v>
      </c>
      <c r="B893" s="44" t="n">
        <v>46353</v>
      </c>
      <c r="C893" s="39" t="s">
        <v>152</v>
      </c>
      <c r="D893" s="39" t="s">
        <v>138</v>
      </c>
      <c r="E893" s="39" t="n">
        <v>25</v>
      </c>
      <c r="F893" s="39" t="str">
        <f aca="false">IF(COUNTIF(medicine_master!$A$2:$A$26,C893)&gt;0,"Valid","Invalid")</f>
        <v>Valid</v>
      </c>
      <c r="G893" s="39" t="str">
        <f aca="false">IFERROR(INDEX(medicine_master!$B$2:$B$26,MATCH($C893,medicine_master!$A$2:$A$26,0)),"Not found")</f>
        <v>Amoxicillin 500mg</v>
      </c>
      <c r="H893" s="39" t="str">
        <f aca="false">IFERROR(INDEX(medicine_master!$C$2:$C$26,MATCH($C893,medicine_master!$A$2:$A$26,0)),"Not found")</f>
        <v>Antibiotic</v>
      </c>
      <c r="I893" s="39" t="n">
        <f aca="false">YEAR(B893)</f>
        <v>2026</v>
      </c>
      <c r="J893" s="39" t="n">
        <f aca="false">MONTH(B893)</f>
        <v>11</v>
      </c>
      <c r="K893" s="39" t="str">
        <f aca="false">TEXT(B893,"mmm")</f>
        <v>Nov</v>
      </c>
      <c r="L893" s="45" t="n">
        <f aca="false">IFERROR(INDEX(medicine_master!$I$2:$I$26,MATCH($C893,medicine_master!$A$2:$A$26,0)),0)</f>
        <v>40</v>
      </c>
      <c r="M893" s="45" t="n">
        <f aca="false">IFERROR(INDEX(medicine_master!$G$2:$G$26,MATCH($C893,medicine_master!$A$2:$A$26,0)),0)</f>
        <v>28</v>
      </c>
      <c r="N893" s="45" t="n">
        <f aca="false">IF(D893="Sale",E893*L893,0)</f>
        <v>0</v>
      </c>
      <c r="O893" s="45" t="n">
        <f aca="false">IF(D893="Sale",E893*M893,0)</f>
        <v>0</v>
      </c>
      <c r="P893" s="45" t="n">
        <f aca="false">N893-O893</f>
        <v>0</v>
      </c>
      <c r="Q893" s="45" t="n">
        <f aca="false">IF(D893="Purchase",E893*M893,0)</f>
        <v>700</v>
      </c>
    </row>
    <row r="894" customFormat="false" ht="15" hidden="false" customHeight="false" outlineLevel="0" collapsed="false">
      <c r="A894" s="39" t="s">
        <v>1218</v>
      </c>
      <c r="B894" s="44" t="n">
        <v>46119</v>
      </c>
      <c r="C894" s="39" t="s">
        <v>152</v>
      </c>
      <c r="D894" s="39" t="s">
        <v>137</v>
      </c>
      <c r="E894" s="39" t="n">
        <v>20</v>
      </c>
      <c r="F894" s="39" t="str">
        <f aca="false">IF(COUNTIF(medicine_master!$A$2:$A$26,C894)&gt;0,"Valid","Invalid")</f>
        <v>Valid</v>
      </c>
      <c r="G894" s="39" t="str">
        <f aca="false">IFERROR(INDEX(medicine_master!$B$2:$B$26,MATCH($C894,medicine_master!$A$2:$A$26,0)),"Not found")</f>
        <v>Amoxicillin 500mg</v>
      </c>
      <c r="H894" s="39" t="str">
        <f aca="false">IFERROR(INDEX(medicine_master!$C$2:$C$26,MATCH($C894,medicine_master!$A$2:$A$26,0)),"Not found")</f>
        <v>Antibiotic</v>
      </c>
      <c r="I894" s="39" t="n">
        <f aca="false">YEAR(B894)</f>
        <v>2026</v>
      </c>
      <c r="J894" s="39" t="n">
        <f aca="false">MONTH(B894)</f>
        <v>4</v>
      </c>
      <c r="K894" s="39" t="str">
        <f aca="false">TEXT(B894,"mmm")</f>
        <v>Apr</v>
      </c>
      <c r="L894" s="45" t="n">
        <f aca="false">IFERROR(INDEX(medicine_master!$I$2:$I$26,MATCH($C894,medicine_master!$A$2:$A$26,0)),0)</f>
        <v>40</v>
      </c>
      <c r="M894" s="45" t="n">
        <f aca="false">IFERROR(INDEX(medicine_master!$G$2:$G$26,MATCH($C894,medicine_master!$A$2:$A$26,0)),0)</f>
        <v>28</v>
      </c>
      <c r="N894" s="45" t="n">
        <f aca="false">IF(D894="Sale",E894*L894,0)</f>
        <v>800</v>
      </c>
      <c r="O894" s="45" t="n">
        <f aca="false">IF(D894="Sale",E894*M894,0)</f>
        <v>560</v>
      </c>
      <c r="P894" s="45" t="n">
        <f aca="false">N894-O894</f>
        <v>240</v>
      </c>
      <c r="Q894" s="45" t="n">
        <f aca="false">IF(D894="Purchase",E894*M894,0)</f>
        <v>0</v>
      </c>
    </row>
    <row r="895" customFormat="false" ht="15" hidden="false" customHeight="false" outlineLevel="0" collapsed="false">
      <c r="A895" s="39" t="s">
        <v>1219</v>
      </c>
      <c r="B895" s="44" t="n">
        <v>46140</v>
      </c>
      <c r="C895" s="39" t="s">
        <v>147</v>
      </c>
      <c r="D895" s="39" t="s">
        <v>137</v>
      </c>
      <c r="E895" s="39" t="n">
        <v>15</v>
      </c>
      <c r="F895" s="39" t="str">
        <f aca="false">IF(COUNTIF(medicine_master!$A$2:$A$26,C895)&gt;0,"Valid","Invalid")</f>
        <v>Valid</v>
      </c>
      <c r="G895" s="39" t="str">
        <f aca="false">IFERROR(INDEX(medicine_master!$B$2:$B$26,MATCH($C895,medicine_master!$A$2:$A$26,0)),"Not found")</f>
        <v>Insulin Injection</v>
      </c>
      <c r="H895" s="39" t="str">
        <f aca="false">IFERROR(INDEX(medicine_master!$C$2:$C$26,MATCH($C895,medicine_master!$A$2:$A$26,0)),"Not found")</f>
        <v>Diabetes</v>
      </c>
      <c r="I895" s="39" t="n">
        <f aca="false">YEAR(B895)</f>
        <v>2026</v>
      </c>
      <c r="J895" s="39" t="n">
        <f aca="false">MONTH(B895)</f>
        <v>4</v>
      </c>
      <c r="K895" s="39" t="str">
        <f aca="false">TEXT(B895,"mmm")</f>
        <v>Apr</v>
      </c>
      <c r="L895" s="45" t="n">
        <f aca="false">IFERROR(INDEX(medicine_master!$I$2:$I$26,MATCH($C895,medicine_master!$A$2:$A$26,0)),0)</f>
        <v>225</v>
      </c>
      <c r="M895" s="45" t="n">
        <f aca="false">IFERROR(INDEX(medicine_master!$G$2:$G$26,MATCH($C895,medicine_master!$A$2:$A$26,0)),0)</f>
        <v>165</v>
      </c>
      <c r="N895" s="45" t="n">
        <f aca="false">IF(D895="Sale",E895*L895,0)</f>
        <v>3375</v>
      </c>
      <c r="O895" s="45" t="n">
        <f aca="false">IF(D895="Sale",E895*M895,0)</f>
        <v>2475</v>
      </c>
      <c r="P895" s="45" t="n">
        <f aca="false">N895-O895</f>
        <v>900</v>
      </c>
      <c r="Q895" s="45" t="n">
        <f aca="false">IF(D895="Purchase",E895*M895,0)</f>
        <v>0</v>
      </c>
    </row>
    <row r="896" customFormat="false" ht="15" hidden="false" customHeight="false" outlineLevel="0" collapsed="false">
      <c r="A896" s="39" t="s">
        <v>1220</v>
      </c>
      <c r="B896" s="44" t="n">
        <v>46041</v>
      </c>
      <c r="C896" s="39" t="s">
        <v>321</v>
      </c>
      <c r="D896" s="39" t="s">
        <v>138</v>
      </c>
      <c r="E896" s="39" t="n">
        <v>5</v>
      </c>
      <c r="F896" s="39" t="str">
        <f aca="false">IF(COUNTIF(medicine_master!$A$2:$A$26,C896)&gt;0,"Valid","Invalid")</f>
        <v>Valid</v>
      </c>
      <c r="G896" s="39" t="str">
        <f aca="false">IFERROR(INDEX(medicine_master!$B$2:$B$26,MATCH($C896,medicine_master!$A$2:$A$26,0)),"Not found")</f>
        <v>Levocetirizine 5mg</v>
      </c>
      <c r="H896" s="39" t="str">
        <f aca="false">IFERROR(INDEX(medicine_master!$C$2:$C$26,MATCH($C896,medicine_master!$A$2:$A$26,0)),"Not found")</f>
        <v>Allergy</v>
      </c>
      <c r="I896" s="39" t="n">
        <f aca="false">YEAR(B896)</f>
        <v>2026</v>
      </c>
      <c r="J896" s="39" t="n">
        <f aca="false">MONTH(B896)</f>
        <v>1</v>
      </c>
      <c r="K896" s="39" t="str">
        <f aca="false">TEXT(B896,"mmm")</f>
        <v>Jan</v>
      </c>
      <c r="L896" s="45" t="n">
        <f aca="false">IFERROR(INDEX(medicine_master!$I$2:$I$26,MATCH($C896,medicine_master!$A$2:$A$26,0)),0)</f>
        <v>22</v>
      </c>
      <c r="M896" s="45" t="n">
        <f aca="false">IFERROR(INDEX(medicine_master!$G$2:$G$26,MATCH($C896,medicine_master!$A$2:$A$26,0)),0)</f>
        <v>14</v>
      </c>
      <c r="N896" s="45" t="n">
        <f aca="false">IF(D896="Sale",E896*L896,0)</f>
        <v>0</v>
      </c>
      <c r="O896" s="45" t="n">
        <f aca="false">IF(D896="Sale",E896*M896,0)</f>
        <v>0</v>
      </c>
      <c r="P896" s="45" t="n">
        <f aca="false">N896-O896</f>
        <v>0</v>
      </c>
      <c r="Q896" s="45" t="n">
        <f aca="false">IF(D896="Purchase",E896*M896,0)</f>
        <v>70</v>
      </c>
    </row>
    <row r="897" customFormat="false" ht="15" hidden="false" customHeight="false" outlineLevel="0" collapsed="false">
      <c r="A897" s="39" t="s">
        <v>1221</v>
      </c>
      <c r="B897" s="44" t="n">
        <v>46069</v>
      </c>
      <c r="C897" s="39" t="s">
        <v>180</v>
      </c>
      <c r="D897" s="39" t="s">
        <v>137</v>
      </c>
      <c r="E897" s="39" t="n">
        <v>25</v>
      </c>
      <c r="F897" s="39" t="str">
        <f aca="false">IF(COUNTIF(medicine_master!$A$2:$A$26,C897)&gt;0,"Valid","Invalid")</f>
        <v>Valid</v>
      </c>
      <c r="G897" s="39" t="str">
        <f aca="false">IFERROR(INDEX(medicine_master!$B$2:$B$26,MATCH($C897,medicine_master!$A$2:$A$26,0)),"Not found")</f>
        <v>Vitamin C 500mg</v>
      </c>
      <c r="H897" s="39" t="str">
        <f aca="false">IFERROR(INDEX(medicine_master!$C$2:$C$26,MATCH($C897,medicine_master!$A$2:$A$26,0)),"Not found")</f>
        <v>Vitamin</v>
      </c>
      <c r="I897" s="39" t="n">
        <f aca="false">YEAR(B897)</f>
        <v>2026</v>
      </c>
      <c r="J897" s="39" t="n">
        <f aca="false">MONTH(B897)</f>
        <v>2</v>
      </c>
      <c r="K897" s="39" t="str">
        <f aca="false">TEXT(B897,"mmm")</f>
        <v>Feb</v>
      </c>
      <c r="L897" s="45" t="n">
        <f aca="false">IFERROR(INDEX(medicine_master!$I$2:$I$26,MATCH($C897,medicine_master!$A$2:$A$26,0)),0)</f>
        <v>22</v>
      </c>
      <c r="M897" s="45" t="n">
        <f aca="false">IFERROR(INDEX(medicine_master!$G$2:$G$26,MATCH($C897,medicine_master!$A$2:$A$26,0)),0)</f>
        <v>14</v>
      </c>
      <c r="N897" s="45" t="n">
        <f aca="false">IF(D897="Sale",E897*L897,0)</f>
        <v>550</v>
      </c>
      <c r="O897" s="45" t="n">
        <f aca="false">IF(D897="Sale",E897*M897,0)</f>
        <v>350</v>
      </c>
      <c r="P897" s="45" t="n">
        <f aca="false">N897-O897</f>
        <v>200</v>
      </c>
      <c r="Q897" s="45" t="n">
        <f aca="false">IF(D897="Purchase",E897*M897,0)</f>
        <v>0</v>
      </c>
    </row>
    <row r="898" customFormat="false" ht="15" hidden="false" customHeight="false" outlineLevel="0" collapsed="false">
      <c r="A898" s="39" t="s">
        <v>1222</v>
      </c>
      <c r="B898" s="44" t="n">
        <v>46204</v>
      </c>
      <c r="C898" s="39" t="s">
        <v>180</v>
      </c>
      <c r="D898" s="39" t="s">
        <v>137</v>
      </c>
      <c r="E898" s="39" t="n">
        <v>10</v>
      </c>
      <c r="F898" s="39" t="str">
        <f aca="false">IF(COUNTIF(medicine_master!$A$2:$A$26,C898)&gt;0,"Valid","Invalid")</f>
        <v>Valid</v>
      </c>
      <c r="G898" s="39" t="str">
        <f aca="false">IFERROR(INDEX(medicine_master!$B$2:$B$26,MATCH($C898,medicine_master!$A$2:$A$26,0)),"Not found")</f>
        <v>Vitamin C 500mg</v>
      </c>
      <c r="H898" s="39" t="str">
        <f aca="false">IFERROR(INDEX(medicine_master!$C$2:$C$26,MATCH($C898,medicine_master!$A$2:$A$26,0)),"Not found")</f>
        <v>Vitamin</v>
      </c>
      <c r="I898" s="39" t="n">
        <f aca="false">YEAR(B898)</f>
        <v>2026</v>
      </c>
      <c r="J898" s="39" t="n">
        <f aca="false">MONTH(B898)</f>
        <v>7</v>
      </c>
      <c r="K898" s="39" t="str">
        <f aca="false">TEXT(B898,"mmm")</f>
        <v>Jul</v>
      </c>
      <c r="L898" s="45" t="n">
        <f aca="false">IFERROR(INDEX(medicine_master!$I$2:$I$26,MATCH($C898,medicine_master!$A$2:$A$26,0)),0)</f>
        <v>22</v>
      </c>
      <c r="M898" s="45" t="n">
        <f aca="false">IFERROR(INDEX(medicine_master!$G$2:$G$26,MATCH($C898,medicine_master!$A$2:$A$26,0)),0)</f>
        <v>14</v>
      </c>
      <c r="N898" s="45" t="n">
        <f aca="false">IF(D898="Sale",E898*L898,0)</f>
        <v>220</v>
      </c>
      <c r="O898" s="45" t="n">
        <f aca="false">IF(D898="Sale",E898*M898,0)</f>
        <v>140</v>
      </c>
      <c r="P898" s="45" t="n">
        <f aca="false">N898-O898</f>
        <v>80</v>
      </c>
      <c r="Q898" s="45" t="n">
        <f aca="false">IF(D898="Purchase",E898*M898,0)</f>
        <v>0</v>
      </c>
    </row>
    <row r="899" customFormat="false" ht="15" hidden="false" customHeight="false" outlineLevel="0" collapsed="false">
      <c r="A899" s="39" t="s">
        <v>1223</v>
      </c>
      <c r="B899" s="44" t="n">
        <v>46150</v>
      </c>
      <c r="C899" s="39" t="s">
        <v>321</v>
      </c>
      <c r="D899" s="39" t="s">
        <v>137</v>
      </c>
      <c r="E899" s="39" t="n">
        <v>50</v>
      </c>
      <c r="F899" s="39" t="str">
        <f aca="false">IF(COUNTIF(medicine_master!$A$2:$A$26,C899)&gt;0,"Valid","Invalid")</f>
        <v>Valid</v>
      </c>
      <c r="G899" s="39" t="str">
        <f aca="false">IFERROR(INDEX(medicine_master!$B$2:$B$26,MATCH($C899,medicine_master!$A$2:$A$26,0)),"Not found")</f>
        <v>Levocetirizine 5mg</v>
      </c>
      <c r="H899" s="39" t="str">
        <f aca="false">IFERROR(INDEX(medicine_master!$C$2:$C$26,MATCH($C899,medicine_master!$A$2:$A$26,0)),"Not found")</f>
        <v>Allergy</v>
      </c>
      <c r="I899" s="39" t="n">
        <f aca="false">YEAR(B899)</f>
        <v>2026</v>
      </c>
      <c r="J899" s="39" t="n">
        <f aca="false">MONTH(B899)</f>
        <v>5</v>
      </c>
      <c r="K899" s="39" t="str">
        <f aca="false">TEXT(B899,"mmm")</f>
        <v>May</v>
      </c>
      <c r="L899" s="45" t="n">
        <f aca="false">IFERROR(INDEX(medicine_master!$I$2:$I$26,MATCH($C899,medicine_master!$A$2:$A$26,0)),0)</f>
        <v>22</v>
      </c>
      <c r="M899" s="45" t="n">
        <f aca="false">IFERROR(INDEX(medicine_master!$G$2:$G$26,MATCH($C899,medicine_master!$A$2:$A$26,0)),0)</f>
        <v>14</v>
      </c>
      <c r="N899" s="45" t="n">
        <f aca="false">IF(D899="Sale",E899*L899,0)</f>
        <v>1100</v>
      </c>
      <c r="O899" s="45" t="n">
        <f aca="false">IF(D899="Sale",E899*M899,0)</f>
        <v>700</v>
      </c>
      <c r="P899" s="45" t="n">
        <f aca="false">N899-O899</f>
        <v>400</v>
      </c>
      <c r="Q899" s="45" t="n">
        <f aca="false">IF(D899="Purchase",E899*M899,0)</f>
        <v>0</v>
      </c>
    </row>
    <row r="900" customFormat="false" ht="15" hidden="false" customHeight="false" outlineLevel="0" collapsed="false">
      <c r="A900" s="39" t="s">
        <v>1224</v>
      </c>
      <c r="B900" s="44" t="n">
        <v>46302</v>
      </c>
      <c r="C900" s="39" t="s">
        <v>160</v>
      </c>
      <c r="D900" s="39" t="s">
        <v>137</v>
      </c>
      <c r="E900" s="39" t="n">
        <v>40</v>
      </c>
      <c r="F900" s="39" t="str">
        <f aca="false">IF(COUNTIF(medicine_master!$A$2:$A$26,C900)&gt;0,"Valid","Invalid")</f>
        <v>Valid</v>
      </c>
      <c r="G900" s="39" t="str">
        <f aca="false">IFERROR(INDEX(medicine_master!$B$2:$B$26,MATCH($C900,medicine_master!$A$2:$A$26,0)),"Not found")</f>
        <v>Calamine Lotion</v>
      </c>
      <c r="H900" s="39" t="str">
        <f aca="false">IFERROR(INDEX(medicine_master!$C$2:$C$26,MATCH($C900,medicine_master!$A$2:$A$26,0)),"Not found")</f>
        <v>Dermatology</v>
      </c>
      <c r="I900" s="39" t="n">
        <f aca="false">YEAR(B900)</f>
        <v>2026</v>
      </c>
      <c r="J900" s="39" t="n">
        <f aca="false">MONTH(B900)</f>
        <v>10</v>
      </c>
      <c r="K900" s="39" t="str">
        <f aca="false">TEXT(B900,"mmm")</f>
        <v>Oct</v>
      </c>
      <c r="L900" s="45" t="n">
        <f aca="false">IFERROR(INDEX(medicine_master!$I$2:$I$26,MATCH($C900,medicine_master!$A$2:$A$26,0)),0)</f>
        <v>60</v>
      </c>
      <c r="M900" s="45" t="n">
        <f aca="false">IFERROR(INDEX(medicine_master!$G$2:$G$26,MATCH($C900,medicine_master!$A$2:$A$26,0)),0)</f>
        <v>42</v>
      </c>
      <c r="N900" s="45" t="n">
        <f aca="false">IF(D900="Sale",E900*L900,0)</f>
        <v>2400</v>
      </c>
      <c r="O900" s="45" t="n">
        <f aca="false">IF(D900="Sale",E900*M900,0)</f>
        <v>1680</v>
      </c>
      <c r="P900" s="45" t="n">
        <f aca="false">N900-O900</f>
        <v>720</v>
      </c>
      <c r="Q900" s="45" t="n">
        <f aca="false">IF(D900="Purchase",E900*M900,0)</f>
        <v>0</v>
      </c>
    </row>
    <row r="901" customFormat="false" ht="15" hidden="false" customHeight="false" outlineLevel="0" collapsed="false">
      <c r="A901" s="39" t="s">
        <v>1225</v>
      </c>
      <c r="B901" s="44" t="n">
        <v>46240</v>
      </c>
      <c r="C901" s="39" t="s">
        <v>150</v>
      </c>
      <c r="D901" s="39" t="s">
        <v>138</v>
      </c>
      <c r="E901" s="39" t="n">
        <v>50</v>
      </c>
      <c r="F901" s="39" t="str">
        <f aca="false">IF(COUNTIF(medicine_master!$A$2:$A$26,C901)&gt;0,"Valid","Invalid")</f>
        <v>Valid</v>
      </c>
      <c r="G901" s="39" t="str">
        <f aca="false">IFERROR(INDEX(medicine_master!$B$2:$B$26,MATCH($C901,medicine_master!$A$2:$A$26,0)),"Not found")</f>
        <v>Pantoprazole 40mg</v>
      </c>
      <c r="H901" s="39" t="str">
        <f aca="false">IFERROR(INDEX(medicine_master!$C$2:$C$26,MATCH($C901,medicine_master!$A$2:$A$26,0)),"Not found")</f>
        <v>Gastric</v>
      </c>
      <c r="I901" s="39" t="n">
        <f aca="false">YEAR(B901)</f>
        <v>2026</v>
      </c>
      <c r="J901" s="39" t="n">
        <f aca="false">MONTH(B901)</f>
        <v>8</v>
      </c>
      <c r="K901" s="39" t="str">
        <f aca="false">TEXT(B901,"mmm")</f>
        <v>Aug</v>
      </c>
      <c r="L901" s="45" t="n">
        <f aca="false">IFERROR(INDEX(medicine_master!$I$2:$I$26,MATCH($C901,medicine_master!$A$2:$A$26,0)),0)</f>
        <v>35</v>
      </c>
      <c r="M901" s="45" t="n">
        <f aca="false">IFERROR(INDEX(medicine_master!$G$2:$G$26,MATCH($C901,medicine_master!$A$2:$A$26,0)),0)</f>
        <v>24</v>
      </c>
      <c r="N901" s="45" t="n">
        <f aca="false">IF(D901="Sale",E901*L901,0)</f>
        <v>0</v>
      </c>
      <c r="O901" s="45" t="n">
        <f aca="false">IF(D901="Sale",E901*M901,0)</f>
        <v>0</v>
      </c>
      <c r="P901" s="45" t="n">
        <f aca="false">N901-O901</f>
        <v>0</v>
      </c>
      <c r="Q901" s="45" t="n">
        <f aca="false">IF(D901="Purchase",E901*M901,0)</f>
        <v>1200</v>
      </c>
    </row>
    <row r="902" customFormat="false" ht="15" hidden="false" customHeight="false" outlineLevel="0" collapsed="false">
      <c r="A902" s="39" t="s">
        <v>1226</v>
      </c>
      <c r="B902" s="44" t="n">
        <v>46347</v>
      </c>
      <c r="C902" s="39" t="s">
        <v>326</v>
      </c>
      <c r="D902" s="39" t="s">
        <v>137</v>
      </c>
      <c r="E902" s="39" t="n">
        <v>30</v>
      </c>
      <c r="F902" s="39" t="str">
        <f aca="false">IF(COUNTIF(medicine_master!$A$2:$A$26,C902)&gt;0,"Valid","Invalid")</f>
        <v>Valid</v>
      </c>
      <c r="G902" s="39" t="str">
        <f aca="false">IFERROR(INDEX(medicine_master!$B$2:$B$26,MATCH($C902,medicine_master!$A$2:$A$26,0)),"Not found")</f>
        <v>Omeprazole 20mg</v>
      </c>
      <c r="H902" s="39" t="str">
        <f aca="false">IFERROR(INDEX(medicine_master!$C$2:$C$26,MATCH($C902,medicine_master!$A$2:$A$26,0)),"Not found")</f>
        <v>Gastric</v>
      </c>
      <c r="I902" s="39" t="n">
        <f aca="false">YEAR(B902)</f>
        <v>2026</v>
      </c>
      <c r="J902" s="39" t="n">
        <f aca="false">MONTH(B902)</f>
        <v>11</v>
      </c>
      <c r="K902" s="39" t="str">
        <f aca="false">TEXT(B902,"mmm")</f>
        <v>Nov</v>
      </c>
      <c r="L902" s="45" t="n">
        <f aca="false">IFERROR(INDEX(medicine_master!$I$2:$I$26,MATCH($C902,medicine_master!$A$2:$A$26,0)),0)</f>
        <v>26</v>
      </c>
      <c r="M902" s="45" t="n">
        <f aca="false">IFERROR(INDEX(medicine_master!$G$2:$G$26,MATCH($C902,medicine_master!$A$2:$A$26,0)),0)</f>
        <v>18</v>
      </c>
      <c r="N902" s="45" t="n">
        <f aca="false">IF(D902="Sale",E902*L902,0)</f>
        <v>780</v>
      </c>
      <c r="O902" s="45" t="n">
        <f aca="false">IF(D902="Sale",E902*M902,0)</f>
        <v>540</v>
      </c>
      <c r="P902" s="45" t="n">
        <f aca="false">N902-O902</f>
        <v>240</v>
      </c>
      <c r="Q902" s="45" t="n">
        <f aca="false">IF(D902="Purchase",E902*M902,0)</f>
        <v>0</v>
      </c>
    </row>
    <row r="903" customFormat="false" ht="15" hidden="false" customHeight="false" outlineLevel="0" collapsed="false">
      <c r="A903" s="39" t="s">
        <v>1227</v>
      </c>
      <c r="B903" s="44" t="n">
        <v>46241</v>
      </c>
      <c r="C903" s="39" t="s">
        <v>145</v>
      </c>
      <c r="D903" s="39" t="s">
        <v>137</v>
      </c>
      <c r="E903" s="39" t="n">
        <v>15</v>
      </c>
      <c r="F903" s="39" t="str">
        <f aca="false">IF(COUNTIF(medicine_master!$A$2:$A$26,C903)&gt;0,"Valid","Invalid")</f>
        <v>Valid</v>
      </c>
      <c r="G903" s="39" t="str">
        <f aca="false">IFERROR(INDEX(medicine_master!$B$2:$B$26,MATCH($C903,medicine_master!$A$2:$A$26,0)),"Not found")</f>
        <v>Clotrimazole Cream</v>
      </c>
      <c r="H903" s="39" t="str">
        <f aca="false">IFERROR(INDEX(medicine_master!$C$2:$C$26,MATCH($C903,medicine_master!$A$2:$A$26,0)),"Not found")</f>
        <v>Dermatology</v>
      </c>
      <c r="I903" s="39" t="n">
        <f aca="false">YEAR(B903)</f>
        <v>2026</v>
      </c>
      <c r="J903" s="39" t="n">
        <f aca="false">MONTH(B903)</f>
        <v>8</v>
      </c>
      <c r="K903" s="39" t="str">
        <f aca="false">TEXT(B903,"mmm")</f>
        <v>Aug</v>
      </c>
      <c r="L903" s="45" t="n">
        <f aca="false">IFERROR(INDEX(medicine_master!$I$2:$I$26,MATCH($C903,medicine_master!$A$2:$A$26,0)),0)</f>
        <v>48</v>
      </c>
      <c r="M903" s="45" t="n">
        <f aca="false">IFERROR(INDEX(medicine_master!$G$2:$G$26,MATCH($C903,medicine_master!$A$2:$A$26,0)),0)</f>
        <v>32</v>
      </c>
      <c r="N903" s="45" t="n">
        <f aca="false">IF(D903="Sale",E903*L903,0)</f>
        <v>720</v>
      </c>
      <c r="O903" s="45" t="n">
        <f aca="false">IF(D903="Sale",E903*M903,0)</f>
        <v>480</v>
      </c>
      <c r="P903" s="45" t="n">
        <f aca="false">N903-O903</f>
        <v>240</v>
      </c>
      <c r="Q903" s="45" t="n">
        <f aca="false">IF(D903="Purchase",E903*M903,0)</f>
        <v>0</v>
      </c>
    </row>
    <row r="904" customFormat="false" ht="15" hidden="false" customHeight="false" outlineLevel="0" collapsed="false">
      <c r="A904" s="39" t="s">
        <v>1228</v>
      </c>
      <c r="B904" s="44" t="n">
        <v>46288</v>
      </c>
      <c r="C904" s="39" t="s">
        <v>179</v>
      </c>
      <c r="D904" s="39" t="s">
        <v>137</v>
      </c>
      <c r="E904" s="39" t="n">
        <v>15</v>
      </c>
      <c r="F904" s="39" t="str">
        <f aca="false">IF(COUNTIF(medicine_master!$A$2:$A$26,C904)&gt;0,"Valid","Invalid")</f>
        <v>Valid</v>
      </c>
      <c r="G904" s="39" t="str">
        <f aca="false">IFERROR(INDEX(medicine_master!$B$2:$B$26,MATCH($C904,medicine_master!$A$2:$A$26,0)),"Not found")</f>
        <v>Ibuprofen 400mg</v>
      </c>
      <c r="H904" s="39" t="str">
        <f aca="false">IFERROR(INDEX(medicine_master!$C$2:$C$26,MATCH($C904,medicine_master!$A$2:$A$26,0)),"Not found")</f>
        <v>Pain Relief</v>
      </c>
      <c r="I904" s="39" t="n">
        <f aca="false">YEAR(B904)</f>
        <v>2026</v>
      </c>
      <c r="J904" s="39" t="n">
        <f aca="false">MONTH(B904)</f>
        <v>9</v>
      </c>
      <c r="K904" s="39" t="str">
        <f aca="false">TEXT(B904,"mmm")</f>
        <v>Sep</v>
      </c>
      <c r="L904" s="45" t="n">
        <f aca="false">IFERROR(INDEX(medicine_master!$I$2:$I$26,MATCH($C904,medicine_master!$A$2:$A$26,0)),0)</f>
        <v>30</v>
      </c>
      <c r="M904" s="45" t="n">
        <f aca="false">IFERROR(INDEX(medicine_master!$G$2:$G$26,MATCH($C904,medicine_master!$A$2:$A$26,0)),0)</f>
        <v>22</v>
      </c>
      <c r="N904" s="45" t="n">
        <f aca="false">IF(D904="Sale",E904*L904,0)</f>
        <v>450</v>
      </c>
      <c r="O904" s="45" t="n">
        <f aca="false">IF(D904="Sale",E904*M904,0)</f>
        <v>330</v>
      </c>
      <c r="P904" s="45" t="n">
        <f aca="false">N904-O904</f>
        <v>120</v>
      </c>
      <c r="Q904" s="45" t="n">
        <f aca="false">IF(D904="Purchase",E904*M904,0)</f>
        <v>0</v>
      </c>
    </row>
    <row r="905" customFormat="false" ht="15" hidden="false" customHeight="false" outlineLevel="0" collapsed="false">
      <c r="A905" s="39" t="s">
        <v>1229</v>
      </c>
      <c r="B905" s="44" t="n">
        <v>46146</v>
      </c>
      <c r="C905" s="39" t="s">
        <v>147</v>
      </c>
      <c r="D905" s="39" t="s">
        <v>137</v>
      </c>
      <c r="E905" s="39" t="n">
        <v>50</v>
      </c>
      <c r="F905" s="39" t="str">
        <f aca="false">IF(COUNTIF(medicine_master!$A$2:$A$26,C905)&gt;0,"Valid","Invalid")</f>
        <v>Valid</v>
      </c>
      <c r="G905" s="39" t="str">
        <f aca="false">IFERROR(INDEX(medicine_master!$B$2:$B$26,MATCH($C905,medicine_master!$A$2:$A$26,0)),"Not found")</f>
        <v>Insulin Injection</v>
      </c>
      <c r="H905" s="39" t="str">
        <f aca="false">IFERROR(INDEX(medicine_master!$C$2:$C$26,MATCH($C905,medicine_master!$A$2:$A$26,0)),"Not found")</f>
        <v>Diabetes</v>
      </c>
      <c r="I905" s="39" t="n">
        <f aca="false">YEAR(B905)</f>
        <v>2026</v>
      </c>
      <c r="J905" s="39" t="n">
        <f aca="false">MONTH(B905)</f>
        <v>5</v>
      </c>
      <c r="K905" s="39" t="str">
        <f aca="false">TEXT(B905,"mmm")</f>
        <v>May</v>
      </c>
      <c r="L905" s="45" t="n">
        <f aca="false">IFERROR(INDEX(medicine_master!$I$2:$I$26,MATCH($C905,medicine_master!$A$2:$A$26,0)),0)</f>
        <v>225</v>
      </c>
      <c r="M905" s="45" t="n">
        <f aca="false">IFERROR(INDEX(medicine_master!$G$2:$G$26,MATCH($C905,medicine_master!$A$2:$A$26,0)),0)</f>
        <v>165</v>
      </c>
      <c r="N905" s="45" t="n">
        <f aca="false">IF(D905="Sale",E905*L905,0)</f>
        <v>11250</v>
      </c>
      <c r="O905" s="45" t="n">
        <f aca="false">IF(D905="Sale",E905*M905,0)</f>
        <v>8250</v>
      </c>
      <c r="P905" s="45" t="n">
        <f aca="false">N905-O905</f>
        <v>3000</v>
      </c>
      <c r="Q905" s="45" t="n">
        <f aca="false">IF(D905="Purchase",E905*M905,0)</f>
        <v>0</v>
      </c>
    </row>
    <row r="906" customFormat="false" ht="15" hidden="false" customHeight="false" outlineLevel="0" collapsed="false">
      <c r="A906" s="39" t="s">
        <v>1230</v>
      </c>
      <c r="B906" s="44" t="n">
        <v>46317</v>
      </c>
      <c r="C906" s="39" t="s">
        <v>159</v>
      </c>
      <c r="D906" s="39" t="s">
        <v>137</v>
      </c>
      <c r="E906" s="39" t="n">
        <v>15</v>
      </c>
      <c r="F906" s="39" t="str">
        <f aca="false">IF(COUNTIF(medicine_master!$A$2:$A$26,C906)&gt;0,"Valid","Invalid")</f>
        <v>Valid</v>
      </c>
      <c r="G906" s="39" t="str">
        <f aca="false">IFERROR(INDEX(medicine_master!$B$2:$B$26,MATCH($C906,medicine_master!$A$2:$A$26,0)),"Not found")</f>
        <v>Antiseptic Liquid 100ml</v>
      </c>
      <c r="H906" s="39" t="str">
        <f aca="false">IFERROR(INDEX(medicine_master!$C$2:$C$26,MATCH($C906,medicine_master!$A$2:$A$26,0)),"Not found")</f>
        <v>First Aid</v>
      </c>
      <c r="I906" s="39" t="n">
        <f aca="false">YEAR(B906)</f>
        <v>2026</v>
      </c>
      <c r="J906" s="39" t="n">
        <f aca="false">MONTH(B906)</f>
        <v>10</v>
      </c>
      <c r="K906" s="39" t="str">
        <f aca="false">TEXT(B906,"mmm")</f>
        <v>Oct</v>
      </c>
      <c r="L906" s="45" t="n">
        <f aca="false">IFERROR(INDEX(medicine_master!$I$2:$I$26,MATCH($C906,medicine_master!$A$2:$A$26,0)),0)</f>
        <v>65</v>
      </c>
      <c r="M906" s="45" t="n">
        <f aca="false">IFERROR(INDEX(medicine_master!$G$2:$G$26,MATCH($C906,medicine_master!$A$2:$A$26,0)),0)</f>
        <v>48</v>
      </c>
      <c r="N906" s="45" t="n">
        <f aca="false">IF(D906="Sale",E906*L906,0)</f>
        <v>975</v>
      </c>
      <c r="O906" s="45" t="n">
        <f aca="false">IF(D906="Sale",E906*M906,0)</f>
        <v>720</v>
      </c>
      <c r="P906" s="45" t="n">
        <f aca="false">N906-O906</f>
        <v>255</v>
      </c>
      <c r="Q906" s="45" t="n">
        <f aca="false">IF(D906="Purchase",E906*M906,0)</f>
        <v>0</v>
      </c>
    </row>
    <row r="907" customFormat="false" ht="15" hidden="false" customHeight="false" outlineLevel="0" collapsed="false">
      <c r="A907" s="39" t="s">
        <v>1231</v>
      </c>
      <c r="B907" s="44" t="n">
        <v>46170</v>
      </c>
      <c r="C907" s="39" t="s">
        <v>144</v>
      </c>
      <c r="D907" s="39" t="s">
        <v>137</v>
      </c>
      <c r="E907" s="39" t="n">
        <v>10</v>
      </c>
      <c r="F907" s="39" t="str">
        <f aca="false">IF(COUNTIF(medicine_master!$A$2:$A$26,C907)&gt;0,"Valid","Invalid")</f>
        <v>Valid</v>
      </c>
      <c r="G907" s="39" t="str">
        <f aca="false">IFERROR(INDEX(medicine_master!$B$2:$B$26,MATCH($C907,medicine_master!$A$2:$A$26,0)),"Not found")</f>
        <v>Glimepiride 2mg</v>
      </c>
      <c r="H907" s="39" t="str">
        <f aca="false">IFERROR(INDEX(medicine_master!$C$2:$C$26,MATCH($C907,medicine_master!$A$2:$A$26,0)),"Not found")</f>
        <v>Diabetes</v>
      </c>
      <c r="I907" s="39" t="n">
        <f aca="false">YEAR(B907)</f>
        <v>2026</v>
      </c>
      <c r="J907" s="39" t="n">
        <f aca="false">MONTH(B907)</f>
        <v>5</v>
      </c>
      <c r="K907" s="39" t="str">
        <f aca="false">TEXT(B907,"mmm")</f>
        <v>May</v>
      </c>
      <c r="L907" s="45" t="n">
        <f aca="false">IFERROR(INDEX(medicine_master!$I$2:$I$26,MATCH($C907,medicine_master!$A$2:$A$26,0)),0)</f>
        <v>52</v>
      </c>
      <c r="M907" s="45" t="n">
        <f aca="false">IFERROR(INDEX(medicine_master!$G$2:$G$26,MATCH($C907,medicine_master!$A$2:$A$26,0)),0)</f>
        <v>38</v>
      </c>
      <c r="N907" s="45" t="n">
        <f aca="false">IF(D907="Sale",E907*L907,0)</f>
        <v>520</v>
      </c>
      <c r="O907" s="45" t="n">
        <f aca="false">IF(D907="Sale",E907*M907,0)</f>
        <v>380</v>
      </c>
      <c r="P907" s="45" t="n">
        <f aca="false">N907-O907</f>
        <v>140</v>
      </c>
      <c r="Q907" s="45" t="n">
        <f aca="false">IF(D907="Purchase",E907*M907,0)</f>
        <v>0</v>
      </c>
    </row>
    <row r="908" customFormat="false" ht="15" hidden="false" customHeight="false" outlineLevel="0" collapsed="false">
      <c r="A908" s="39" t="s">
        <v>1232</v>
      </c>
      <c r="B908" s="44" t="n">
        <v>46344</v>
      </c>
      <c r="C908" s="39" t="s">
        <v>390</v>
      </c>
      <c r="D908" s="39" t="s">
        <v>138</v>
      </c>
      <c r="E908" s="39" t="n">
        <v>50</v>
      </c>
      <c r="F908" s="39" t="str">
        <f aca="false">IF(COUNTIF(medicine_master!$A$2:$A$26,C908)&gt;0,"Valid","Invalid")</f>
        <v>Valid</v>
      </c>
      <c r="G908" s="39" t="str">
        <f aca="false">IFERROR(INDEX(medicine_master!$B$2:$B$26,MATCH($C908,medicine_master!$A$2:$A$26,0)),"Not found")</f>
        <v>Montelukast 10mg</v>
      </c>
      <c r="H908" s="39" t="str">
        <f aca="false">IFERROR(INDEX(medicine_master!$C$2:$C$26,MATCH($C908,medicine_master!$A$2:$A$26,0)),"Not found")</f>
        <v>Allergy</v>
      </c>
      <c r="I908" s="39" t="n">
        <f aca="false">YEAR(B908)</f>
        <v>2026</v>
      </c>
      <c r="J908" s="39" t="n">
        <f aca="false">MONTH(B908)</f>
        <v>11</v>
      </c>
      <c r="K908" s="39" t="str">
        <f aca="false">TEXT(B908,"mmm")</f>
        <v>Nov</v>
      </c>
      <c r="L908" s="45" t="n">
        <f aca="false">IFERROR(INDEX(medicine_master!$I$2:$I$26,MATCH($C908,medicine_master!$A$2:$A$26,0)),0)</f>
        <v>39</v>
      </c>
      <c r="M908" s="45" t="n">
        <f aca="false">IFERROR(INDEX(medicine_master!$G$2:$G$26,MATCH($C908,medicine_master!$A$2:$A$26,0)),0)</f>
        <v>27</v>
      </c>
      <c r="N908" s="45" t="n">
        <f aca="false">IF(D908="Sale",E908*L908,0)</f>
        <v>0</v>
      </c>
      <c r="O908" s="45" t="n">
        <f aca="false">IF(D908="Sale",E908*M908,0)</f>
        <v>0</v>
      </c>
      <c r="P908" s="45" t="n">
        <f aca="false">N908-O908</f>
        <v>0</v>
      </c>
      <c r="Q908" s="45" t="n">
        <f aca="false">IF(D908="Purchase",E908*M908,0)</f>
        <v>1350</v>
      </c>
    </row>
    <row r="909" customFormat="false" ht="15" hidden="false" customHeight="false" outlineLevel="0" collapsed="false">
      <c r="A909" s="39" t="s">
        <v>1233</v>
      </c>
      <c r="B909" s="44" t="n">
        <v>46229</v>
      </c>
      <c r="C909" s="39" t="s">
        <v>150</v>
      </c>
      <c r="D909" s="39" t="s">
        <v>137</v>
      </c>
      <c r="E909" s="39" t="n">
        <v>25</v>
      </c>
      <c r="F909" s="39" t="str">
        <f aca="false">IF(COUNTIF(medicine_master!$A$2:$A$26,C909)&gt;0,"Valid","Invalid")</f>
        <v>Valid</v>
      </c>
      <c r="G909" s="39" t="str">
        <f aca="false">IFERROR(INDEX(medicine_master!$B$2:$B$26,MATCH($C909,medicine_master!$A$2:$A$26,0)),"Not found")</f>
        <v>Pantoprazole 40mg</v>
      </c>
      <c r="H909" s="39" t="str">
        <f aca="false">IFERROR(INDEX(medicine_master!$C$2:$C$26,MATCH($C909,medicine_master!$A$2:$A$26,0)),"Not found")</f>
        <v>Gastric</v>
      </c>
      <c r="I909" s="39" t="n">
        <f aca="false">YEAR(B909)</f>
        <v>2026</v>
      </c>
      <c r="J909" s="39" t="n">
        <f aca="false">MONTH(B909)</f>
        <v>7</v>
      </c>
      <c r="K909" s="39" t="str">
        <f aca="false">TEXT(B909,"mmm")</f>
        <v>Jul</v>
      </c>
      <c r="L909" s="45" t="n">
        <f aca="false">IFERROR(INDEX(medicine_master!$I$2:$I$26,MATCH($C909,medicine_master!$A$2:$A$26,0)),0)</f>
        <v>35</v>
      </c>
      <c r="M909" s="45" t="n">
        <f aca="false">IFERROR(INDEX(medicine_master!$G$2:$G$26,MATCH($C909,medicine_master!$A$2:$A$26,0)),0)</f>
        <v>24</v>
      </c>
      <c r="N909" s="45" t="n">
        <f aca="false">IF(D909="Sale",E909*L909,0)</f>
        <v>875</v>
      </c>
      <c r="O909" s="45" t="n">
        <f aca="false">IF(D909="Sale",E909*M909,0)</f>
        <v>600</v>
      </c>
      <c r="P909" s="45" t="n">
        <f aca="false">N909-O909</f>
        <v>275</v>
      </c>
      <c r="Q909" s="45" t="n">
        <f aca="false">IF(D909="Purchase",E909*M909,0)</f>
        <v>0</v>
      </c>
    </row>
    <row r="910" customFormat="false" ht="15" hidden="false" customHeight="false" outlineLevel="0" collapsed="false">
      <c r="A910" s="39" t="s">
        <v>1234</v>
      </c>
      <c r="B910" s="44" t="n">
        <v>46348</v>
      </c>
      <c r="C910" s="39" t="s">
        <v>326</v>
      </c>
      <c r="D910" s="39" t="s">
        <v>137</v>
      </c>
      <c r="E910" s="39" t="n">
        <v>15</v>
      </c>
      <c r="F910" s="39" t="str">
        <f aca="false">IF(COUNTIF(medicine_master!$A$2:$A$26,C910)&gt;0,"Valid","Invalid")</f>
        <v>Valid</v>
      </c>
      <c r="G910" s="39" t="str">
        <f aca="false">IFERROR(INDEX(medicine_master!$B$2:$B$26,MATCH($C910,medicine_master!$A$2:$A$26,0)),"Not found")</f>
        <v>Omeprazole 20mg</v>
      </c>
      <c r="H910" s="39" t="str">
        <f aca="false">IFERROR(INDEX(medicine_master!$C$2:$C$26,MATCH($C910,medicine_master!$A$2:$A$26,0)),"Not found")</f>
        <v>Gastric</v>
      </c>
      <c r="I910" s="39" t="n">
        <f aca="false">YEAR(B910)</f>
        <v>2026</v>
      </c>
      <c r="J910" s="39" t="n">
        <f aca="false">MONTH(B910)</f>
        <v>11</v>
      </c>
      <c r="K910" s="39" t="str">
        <f aca="false">TEXT(B910,"mmm")</f>
        <v>Nov</v>
      </c>
      <c r="L910" s="45" t="n">
        <f aca="false">IFERROR(INDEX(medicine_master!$I$2:$I$26,MATCH($C910,medicine_master!$A$2:$A$26,0)),0)</f>
        <v>26</v>
      </c>
      <c r="M910" s="45" t="n">
        <f aca="false">IFERROR(INDEX(medicine_master!$G$2:$G$26,MATCH($C910,medicine_master!$A$2:$A$26,0)),0)</f>
        <v>18</v>
      </c>
      <c r="N910" s="45" t="n">
        <f aca="false">IF(D910="Sale",E910*L910,0)</f>
        <v>390</v>
      </c>
      <c r="O910" s="45" t="n">
        <f aca="false">IF(D910="Sale",E910*M910,0)</f>
        <v>270</v>
      </c>
      <c r="P910" s="45" t="n">
        <f aca="false">N910-O910</f>
        <v>120</v>
      </c>
      <c r="Q910" s="45" t="n">
        <f aca="false">IF(D910="Purchase",E910*M910,0)</f>
        <v>0</v>
      </c>
    </row>
    <row r="911" customFormat="false" ht="15" hidden="false" customHeight="false" outlineLevel="0" collapsed="false">
      <c r="A911" s="39" t="s">
        <v>1235</v>
      </c>
      <c r="B911" s="44" t="n">
        <v>46280</v>
      </c>
      <c r="C911" s="39" t="s">
        <v>149</v>
      </c>
      <c r="D911" s="39" t="s">
        <v>137</v>
      </c>
      <c r="E911" s="39" t="n">
        <v>10</v>
      </c>
      <c r="F911" s="39" t="str">
        <f aca="false">IF(COUNTIF(medicine_master!$A$2:$A$26,C911)&gt;0,"Valid","Invalid")</f>
        <v>Valid</v>
      </c>
      <c r="G911" s="39" t="str">
        <f aca="false">IFERROR(INDEX(medicine_master!$B$2:$B$26,MATCH($C911,medicine_master!$A$2:$A$26,0)),"Not found")</f>
        <v>Azithromycin 500mg</v>
      </c>
      <c r="H911" s="39" t="str">
        <f aca="false">IFERROR(INDEX(medicine_master!$C$2:$C$26,MATCH($C911,medicine_master!$A$2:$A$26,0)),"Not found")</f>
        <v>Antibiotic</v>
      </c>
      <c r="I911" s="39" t="n">
        <f aca="false">YEAR(B911)</f>
        <v>2026</v>
      </c>
      <c r="J911" s="39" t="n">
        <f aca="false">MONTH(B911)</f>
        <v>9</v>
      </c>
      <c r="K911" s="39" t="str">
        <f aca="false">TEXT(B911,"mmm")</f>
        <v>Sep</v>
      </c>
      <c r="L911" s="45" t="n">
        <f aca="false">IFERROR(INDEX(medicine_master!$I$2:$I$26,MATCH($C911,medicine_master!$A$2:$A$26,0)),0)</f>
        <v>50</v>
      </c>
      <c r="M911" s="45" t="n">
        <f aca="false">IFERROR(INDEX(medicine_master!$G$2:$G$26,MATCH($C911,medicine_master!$A$2:$A$26,0)),0)</f>
        <v>35</v>
      </c>
      <c r="N911" s="45" t="n">
        <f aca="false">IF(D911="Sale",E911*L911,0)</f>
        <v>500</v>
      </c>
      <c r="O911" s="45" t="n">
        <f aca="false">IF(D911="Sale",E911*M911,0)</f>
        <v>350</v>
      </c>
      <c r="P911" s="45" t="n">
        <f aca="false">N911-O911</f>
        <v>150</v>
      </c>
      <c r="Q911" s="45" t="n">
        <f aca="false">IF(D911="Purchase",E911*M911,0)</f>
        <v>0</v>
      </c>
    </row>
    <row r="912" customFormat="false" ht="15" hidden="false" customHeight="false" outlineLevel="0" collapsed="false">
      <c r="A912" s="39" t="s">
        <v>1236</v>
      </c>
      <c r="B912" s="44" t="n">
        <v>46288</v>
      </c>
      <c r="C912" s="39" t="s">
        <v>390</v>
      </c>
      <c r="D912" s="39" t="s">
        <v>137</v>
      </c>
      <c r="E912" s="39" t="n">
        <v>30</v>
      </c>
      <c r="F912" s="39" t="str">
        <f aca="false">IF(COUNTIF(medicine_master!$A$2:$A$26,C912)&gt;0,"Valid","Invalid")</f>
        <v>Valid</v>
      </c>
      <c r="G912" s="39" t="str">
        <f aca="false">IFERROR(INDEX(medicine_master!$B$2:$B$26,MATCH($C912,medicine_master!$A$2:$A$26,0)),"Not found")</f>
        <v>Montelukast 10mg</v>
      </c>
      <c r="H912" s="39" t="str">
        <f aca="false">IFERROR(INDEX(medicine_master!$C$2:$C$26,MATCH($C912,medicine_master!$A$2:$A$26,0)),"Not found")</f>
        <v>Allergy</v>
      </c>
      <c r="I912" s="39" t="n">
        <f aca="false">YEAR(B912)</f>
        <v>2026</v>
      </c>
      <c r="J912" s="39" t="n">
        <f aca="false">MONTH(B912)</f>
        <v>9</v>
      </c>
      <c r="K912" s="39" t="str">
        <f aca="false">TEXT(B912,"mmm")</f>
        <v>Sep</v>
      </c>
      <c r="L912" s="45" t="n">
        <f aca="false">IFERROR(INDEX(medicine_master!$I$2:$I$26,MATCH($C912,medicine_master!$A$2:$A$26,0)),0)</f>
        <v>39</v>
      </c>
      <c r="M912" s="45" t="n">
        <f aca="false">IFERROR(INDEX(medicine_master!$G$2:$G$26,MATCH($C912,medicine_master!$A$2:$A$26,0)),0)</f>
        <v>27</v>
      </c>
      <c r="N912" s="45" t="n">
        <f aca="false">IF(D912="Sale",E912*L912,0)</f>
        <v>1170</v>
      </c>
      <c r="O912" s="45" t="n">
        <f aca="false">IF(D912="Sale",E912*M912,0)</f>
        <v>810</v>
      </c>
      <c r="P912" s="45" t="n">
        <f aca="false">N912-O912</f>
        <v>360</v>
      </c>
      <c r="Q912" s="45" t="n">
        <f aca="false">IF(D912="Purchase",E912*M912,0)</f>
        <v>0</v>
      </c>
    </row>
    <row r="913" customFormat="false" ht="15" hidden="false" customHeight="false" outlineLevel="0" collapsed="false">
      <c r="A913" s="39" t="s">
        <v>1237</v>
      </c>
      <c r="B913" s="44" t="n">
        <v>46070</v>
      </c>
      <c r="C913" s="39" t="s">
        <v>390</v>
      </c>
      <c r="D913" s="39" t="s">
        <v>138</v>
      </c>
      <c r="E913" s="39" t="n">
        <v>25</v>
      </c>
      <c r="F913" s="39" t="str">
        <f aca="false">IF(COUNTIF(medicine_master!$A$2:$A$26,C913)&gt;0,"Valid","Invalid")</f>
        <v>Valid</v>
      </c>
      <c r="G913" s="39" t="str">
        <f aca="false">IFERROR(INDEX(medicine_master!$B$2:$B$26,MATCH($C913,medicine_master!$A$2:$A$26,0)),"Not found")</f>
        <v>Montelukast 10mg</v>
      </c>
      <c r="H913" s="39" t="str">
        <f aca="false">IFERROR(INDEX(medicine_master!$C$2:$C$26,MATCH($C913,medicine_master!$A$2:$A$26,0)),"Not found")</f>
        <v>Allergy</v>
      </c>
      <c r="I913" s="39" t="n">
        <f aca="false">YEAR(B913)</f>
        <v>2026</v>
      </c>
      <c r="J913" s="39" t="n">
        <f aca="false">MONTH(B913)</f>
        <v>2</v>
      </c>
      <c r="K913" s="39" t="str">
        <f aca="false">TEXT(B913,"mmm")</f>
        <v>Feb</v>
      </c>
      <c r="L913" s="45" t="n">
        <f aca="false">IFERROR(INDEX(medicine_master!$I$2:$I$26,MATCH($C913,medicine_master!$A$2:$A$26,0)),0)</f>
        <v>39</v>
      </c>
      <c r="M913" s="45" t="n">
        <f aca="false">IFERROR(INDEX(medicine_master!$G$2:$G$26,MATCH($C913,medicine_master!$A$2:$A$26,0)),0)</f>
        <v>27</v>
      </c>
      <c r="N913" s="45" t="n">
        <f aca="false">IF(D913="Sale",E913*L913,0)</f>
        <v>0</v>
      </c>
      <c r="O913" s="45" t="n">
        <f aca="false">IF(D913="Sale",E913*M913,0)</f>
        <v>0</v>
      </c>
      <c r="P913" s="45" t="n">
        <f aca="false">N913-O913</f>
        <v>0</v>
      </c>
      <c r="Q913" s="45" t="n">
        <f aca="false">IF(D913="Purchase",E913*M913,0)</f>
        <v>675</v>
      </c>
    </row>
    <row r="914" customFormat="false" ht="15" hidden="false" customHeight="false" outlineLevel="0" collapsed="false">
      <c r="A914" s="39" t="s">
        <v>1238</v>
      </c>
      <c r="B914" s="44" t="n">
        <v>46120</v>
      </c>
      <c r="C914" s="39" t="s">
        <v>178</v>
      </c>
      <c r="D914" s="39" t="s">
        <v>138</v>
      </c>
      <c r="E914" s="39" t="n">
        <v>25</v>
      </c>
      <c r="F914" s="39" t="str">
        <f aca="false">IF(COUNTIF(medicine_master!$A$2:$A$26,C914)&gt;0,"Valid","Invalid")</f>
        <v>Valid</v>
      </c>
      <c r="G914" s="39" t="str">
        <f aca="false">IFERROR(INDEX(medicine_master!$B$2:$B$26,MATCH($C914,medicine_master!$A$2:$A$26,0)),"Not found")</f>
        <v>Aspirin 75mg</v>
      </c>
      <c r="H914" s="39" t="str">
        <f aca="false">IFERROR(INDEX(medicine_master!$C$2:$C$26,MATCH($C914,medicine_master!$A$2:$A$26,0)),"Not found")</f>
        <v>Cardiac</v>
      </c>
      <c r="I914" s="39" t="n">
        <f aca="false">YEAR(B914)</f>
        <v>2026</v>
      </c>
      <c r="J914" s="39" t="n">
        <f aca="false">MONTH(B914)</f>
        <v>4</v>
      </c>
      <c r="K914" s="39" t="str">
        <f aca="false">TEXT(B914,"mmm")</f>
        <v>Apr</v>
      </c>
      <c r="L914" s="45" t="n">
        <f aca="false">IFERROR(INDEX(medicine_master!$I$2:$I$26,MATCH($C914,medicine_master!$A$2:$A$26,0)),0)</f>
        <v>15</v>
      </c>
      <c r="M914" s="45" t="n">
        <f aca="false">IFERROR(INDEX(medicine_master!$G$2:$G$26,MATCH($C914,medicine_master!$A$2:$A$26,0)),0)</f>
        <v>10</v>
      </c>
      <c r="N914" s="45" t="n">
        <f aca="false">IF(D914="Sale",E914*L914,0)</f>
        <v>0</v>
      </c>
      <c r="O914" s="45" t="n">
        <f aca="false">IF(D914="Sale",E914*M914,0)</f>
        <v>0</v>
      </c>
      <c r="P914" s="45" t="n">
        <f aca="false">N914-O914</f>
        <v>0</v>
      </c>
      <c r="Q914" s="45" t="n">
        <f aca="false">IF(D914="Purchase",E914*M914,0)</f>
        <v>250</v>
      </c>
    </row>
    <row r="915" customFormat="false" ht="15" hidden="false" customHeight="false" outlineLevel="0" collapsed="false">
      <c r="A915" s="39" t="s">
        <v>1239</v>
      </c>
      <c r="B915" s="44" t="n">
        <v>46323</v>
      </c>
      <c r="C915" s="39" t="s">
        <v>149</v>
      </c>
      <c r="D915" s="39" t="s">
        <v>137</v>
      </c>
      <c r="E915" s="39" t="n">
        <v>25</v>
      </c>
      <c r="F915" s="39" t="str">
        <f aca="false">IF(COUNTIF(medicine_master!$A$2:$A$26,C915)&gt;0,"Valid","Invalid")</f>
        <v>Valid</v>
      </c>
      <c r="G915" s="39" t="str">
        <f aca="false">IFERROR(INDEX(medicine_master!$B$2:$B$26,MATCH($C915,medicine_master!$A$2:$A$26,0)),"Not found")</f>
        <v>Azithromycin 500mg</v>
      </c>
      <c r="H915" s="39" t="str">
        <f aca="false">IFERROR(INDEX(medicine_master!$C$2:$C$26,MATCH($C915,medicine_master!$A$2:$A$26,0)),"Not found")</f>
        <v>Antibiotic</v>
      </c>
      <c r="I915" s="39" t="n">
        <f aca="false">YEAR(B915)</f>
        <v>2026</v>
      </c>
      <c r="J915" s="39" t="n">
        <f aca="false">MONTH(B915)</f>
        <v>10</v>
      </c>
      <c r="K915" s="39" t="str">
        <f aca="false">TEXT(B915,"mmm")</f>
        <v>Oct</v>
      </c>
      <c r="L915" s="45" t="n">
        <f aca="false">IFERROR(INDEX(medicine_master!$I$2:$I$26,MATCH($C915,medicine_master!$A$2:$A$26,0)),0)</f>
        <v>50</v>
      </c>
      <c r="M915" s="45" t="n">
        <f aca="false">IFERROR(INDEX(medicine_master!$G$2:$G$26,MATCH($C915,medicine_master!$A$2:$A$26,0)),0)</f>
        <v>35</v>
      </c>
      <c r="N915" s="45" t="n">
        <f aca="false">IF(D915="Sale",E915*L915,0)</f>
        <v>1250</v>
      </c>
      <c r="O915" s="45" t="n">
        <f aca="false">IF(D915="Sale",E915*M915,0)</f>
        <v>875</v>
      </c>
      <c r="P915" s="45" t="n">
        <f aca="false">N915-O915</f>
        <v>375</v>
      </c>
      <c r="Q915" s="45" t="n">
        <f aca="false">IF(D915="Purchase",E915*M915,0)</f>
        <v>0</v>
      </c>
    </row>
    <row r="916" customFormat="false" ht="15" hidden="false" customHeight="false" outlineLevel="0" collapsed="false">
      <c r="A916" s="39" t="s">
        <v>1240</v>
      </c>
      <c r="B916" s="44" t="n">
        <v>46105</v>
      </c>
      <c r="C916" s="39" t="s">
        <v>345</v>
      </c>
      <c r="D916" s="39" t="s">
        <v>138</v>
      </c>
      <c r="E916" s="39" t="n">
        <v>30</v>
      </c>
      <c r="F916" s="39" t="str">
        <f aca="false">IF(COUNTIF(medicine_master!$A$2:$A$26,C916)&gt;0,"Valid","Invalid")</f>
        <v>Valid</v>
      </c>
      <c r="G916" s="39" t="str">
        <f aca="false">IFERROR(INDEX(medicine_master!$B$2:$B$26,MATCH($C916,medicine_master!$A$2:$A$26,0)),"Not found")</f>
        <v>Paracetamol 500mg</v>
      </c>
      <c r="H916" s="39" t="str">
        <f aca="false">IFERROR(INDEX(medicine_master!$C$2:$C$26,MATCH($C916,medicine_master!$A$2:$A$26,0)),"Not found")</f>
        <v>Pain Relief</v>
      </c>
      <c r="I916" s="39" t="n">
        <f aca="false">YEAR(B916)</f>
        <v>2026</v>
      </c>
      <c r="J916" s="39" t="n">
        <f aca="false">MONTH(B916)</f>
        <v>3</v>
      </c>
      <c r="K916" s="39" t="str">
        <f aca="false">TEXT(B916,"mmm")</f>
        <v>Mar</v>
      </c>
      <c r="L916" s="45" t="n">
        <f aca="false">IFERROR(INDEX(medicine_master!$I$2:$I$26,MATCH($C916,medicine_master!$A$2:$A$26,0)),0)</f>
        <v>18</v>
      </c>
      <c r="M916" s="45" t="n">
        <f aca="false">IFERROR(INDEX(medicine_master!$G$2:$G$26,MATCH($C916,medicine_master!$A$2:$A$26,0)),0)</f>
        <v>12</v>
      </c>
      <c r="N916" s="45" t="n">
        <f aca="false">IF(D916="Sale",E916*L916,0)</f>
        <v>0</v>
      </c>
      <c r="O916" s="45" t="n">
        <f aca="false">IF(D916="Sale",E916*M916,0)</f>
        <v>0</v>
      </c>
      <c r="P916" s="45" t="n">
        <f aca="false">N916-O916</f>
        <v>0</v>
      </c>
      <c r="Q916" s="45" t="n">
        <f aca="false">IF(D916="Purchase",E916*M916,0)</f>
        <v>360</v>
      </c>
    </row>
    <row r="917" customFormat="false" ht="15" hidden="false" customHeight="false" outlineLevel="0" collapsed="false">
      <c r="A917" s="39" t="s">
        <v>1241</v>
      </c>
      <c r="B917" s="44" t="n">
        <v>46068</v>
      </c>
      <c r="C917" s="39" t="s">
        <v>150</v>
      </c>
      <c r="D917" s="39" t="s">
        <v>137</v>
      </c>
      <c r="E917" s="39" t="n">
        <v>15</v>
      </c>
      <c r="F917" s="39" t="str">
        <f aca="false">IF(COUNTIF(medicine_master!$A$2:$A$26,C917)&gt;0,"Valid","Invalid")</f>
        <v>Valid</v>
      </c>
      <c r="G917" s="39" t="str">
        <f aca="false">IFERROR(INDEX(medicine_master!$B$2:$B$26,MATCH($C917,medicine_master!$A$2:$A$26,0)),"Not found")</f>
        <v>Pantoprazole 40mg</v>
      </c>
      <c r="H917" s="39" t="str">
        <f aca="false">IFERROR(INDEX(medicine_master!$C$2:$C$26,MATCH($C917,medicine_master!$A$2:$A$26,0)),"Not found")</f>
        <v>Gastric</v>
      </c>
      <c r="I917" s="39" t="n">
        <f aca="false">YEAR(B917)</f>
        <v>2026</v>
      </c>
      <c r="J917" s="39" t="n">
        <f aca="false">MONTH(B917)</f>
        <v>2</v>
      </c>
      <c r="K917" s="39" t="str">
        <f aca="false">TEXT(B917,"mmm")</f>
        <v>Feb</v>
      </c>
      <c r="L917" s="45" t="n">
        <f aca="false">IFERROR(INDEX(medicine_master!$I$2:$I$26,MATCH($C917,medicine_master!$A$2:$A$26,0)),0)</f>
        <v>35</v>
      </c>
      <c r="M917" s="45" t="n">
        <f aca="false">IFERROR(INDEX(medicine_master!$G$2:$G$26,MATCH($C917,medicine_master!$A$2:$A$26,0)),0)</f>
        <v>24</v>
      </c>
      <c r="N917" s="45" t="n">
        <f aca="false">IF(D917="Sale",E917*L917,0)</f>
        <v>525</v>
      </c>
      <c r="O917" s="45" t="n">
        <f aca="false">IF(D917="Sale",E917*M917,0)</f>
        <v>360</v>
      </c>
      <c r="P917" s="45" t="n">
        <f aca="false">N917-O917</f>
        <v>165</v>
      </c>
      <c r="Q917" s="45" t="n">
        <f aca="false">IF(D917="Purchase",E917*M917,0)</f>
        <v>0</v>
      </c>
    </row>
    <row r="918" customFormat="false" ht="15" hidden="false" customHeight="false" outlineLevel="0" collapsed="false">
      <c r="A918" s="39" t="s">
        <v>1242</v>
      </c>
      <c r="B918" s="44" t="n">
        <v>46188</v>
      </c>
      <c r="C918" s="39" t="s">
        <v>145</v>
      </c>
      <c r="D918" s="39" t="s">
        <v>137</v>
      </c>
      <c r="E918" s="39" t="n">
        <v>30</v>
      </c>
      <c r="F918" s="39" t="str">
        <f aca="false">IF(COUNTIF(medicine_master!$A$2:$A$26,C918)&gt;0,"Valid","Invalid")</f>
        <v>Valid</v>
      </c>
      <c r="G918" s="39" t="str">
        <f aca="false">IFERROR(INDEX(medicine_master!$B$2:$B$26,MATCH($C918,medicine_master!$A$2:$A$26,0)),"Not found")</f>
        <v>Clotrimazole Cream</v>
      </c>
      <c r="H918" s="39" t="str">
        <f aca="false">IFERROR(INDEX(medicine_master!$C$2:$C$26,MATCH($C918,medicine_master!$A$2:$A$26,0)),"Not found")</f>
        <v>Dermatology</v>
      </c>
      <c r="I918" s="39" t="n">
        <f aca="false">YEAR(B918)</f>
        <v>2026</v>
      </c>
      <c r="J918" s="39" t="n">
        <f aca="false">MONTH(B918)</f>
        <v>6</v>
      </c>
      <c r="K918" s="39" t="str">
        <f aca="false">TEXT(B918,"mmm")</f>
        <v>Jun</v>
      </c>
      <c r="L918" s="45" t="n">
        <f aca="false">IFERROR(INDEX(medicine_master!$I$2:$I$26,MATCH($C918,medicine_master!$A$2:$A$26,0)),0)</f>
        <v>48</v>
      </c>
      <c r="M918" s="45" t="n">
        <f aca="false">IFERROR(INDEX(medicine_master!$G$2:$G$26,MATCH($C918,medicine_master!$A$2:$A$26,0)),0)</f>
        <v>32</v>
      </c>
      <c r="N918" s="45" t="n">
        <f aca="false">IF(D918="Sale",E918*L918,0)</f>
        <v>1440</v>
      </c>
      <c r="O918" s="45" t="n">
        <f aca="false">IF(D918="Sale",E918*M918,0)</f>
        <v>960</v>
      </c>
      <c r="P918" s="45" t="n">
        <f aca="false">N918-O918</f>
        <v>480</v>
      </c>
      <c r="Q918" s="45" t="n">
        <f aca="false">IF(D918="Purchase",E918*M918,0)</f>
        <v>0</v>
      </c>
    </row>
    <row r="919" customFormat="false" ht="15" hidden="false" customHeight="false" outlineLevel="0" collapsed="false">
      <c r="A919" s="39" t="s">
        <v>1243</v>
      </c>
      <c r="B919" s="44" t="n">
        <v>46200</v>
      </c>
      <c r="C919" s="39" t="s">
        <v>151</v>
      </c>
      <c r="D919" s="39" t="s">
        <v>137</v>
      </c>
      <c r="E919" s="39" t="n">
        <v>10</v>
      </c>
      <c r="F919" s="39" t="str">
        <f aca="false">IF(COUNTIF(medicine_master!$A$2:$A$26,C919)&gt;0,"Valid","Invalid")</f>
        <v>Valid</v>
      </c>
      <c r="G919" s="39" t="str">
        <f aca="false">IFERROR(INDEX(medicine_master!$B$2:$B$26,MATCH($C919,medicine_master!$A$2:$A$26,0)),"Not found")</f>
        <v>Cetirizine 10mg</v>
      </c>
      <c r="H919" s="39" t="str">
        <f aca="false">IFERROR(INDEX(medicine_master!$C$2:$C$26,MATCH($C919,medicine_master!$A$2:$A$26,0)),"Not found")</f>
        <v>Allergy</v>
      </c>
      <c r="I919" s="39" t="n">
        <f aca="false">YEAR(B919)</f>
        <v>2026</v>
      </c>
      <c r="J919" s="39" t="n">
        <f aca="false">MONTH(B919)</f>
        <v>6</v>
      </c>
      <c r="K919" s="39" t="str">
        <f aca="false">TEXT(B919,"mmm")</f>
        <v>Jun</v>
      </c>
      <c r="L919" s="45" t="n">
        <f aca="false">IFERROR(INDEX(medicine_master!$I$2:$I$26,MATCH($C919,medicine_master!$A$2:$A$26,0)),0)</f>
        <v>13</v>
      </c>
      <c r="M919" s="45" t="n">
        <f aca="false">IFERROR(INDEX(medicine_master!$G$2:$G$26,MATCH($C919,medicine_master!$A$2:$A$26,0)),0)</f>
        <v>8</v>
      </c>
      <c r="N919" s="45" t="n">
        <f aca="false">IF(D919="Sale",E919*L919,0)</f>
        <v>130</v>
      </c>
      <c r="O919" s="45" t="n">
        <f aca="false">IF(D919="Sale",E919*M919,0)</f>
        <v>80</v>
      </c>
      <c r="P919" s="45" t="n">
        <f aca="false">N919-O919</f>
        <v>50</v>
      </c>
      <c r="Q919" s="45" t="n">
        <f aca="false">IF(D919="Purchase",E919*M919,0)</f>
        <v>0</v>
      </c>
    </row>
    <row r="920" customFormat="false" ht="15" hidden="false" customHeight="false" outlineLevel="0" collapsed="false">
      <c r="A920" s="39" t="s">
        <v>1244</v>
      </c>
      <c r="B920" s="44" t="n">
        <v>46293</v>
      </c>
      <c r="C920" s="39" t="s">
        <v>149</v>
      </c>
      <c r="D920" s="39" t="s">
        <v>137</v>
      </c>
      <c r="E920" s="39" t="n">
        <v>30</v>
      </c>
      <c r="F920" s="39" t="str">
        <f aca="false">IF(COUNTIF(medicine_master!$A$2:$A$26,C920)&gt;0,"Valid","Invalid")</f>
        <v>Valid</v>
      </c>
      <c r="G920" s="39" t="str">
        <f aca="false">IFERROR(INDEX(medicine_master!$B$2:$B$26,MATCH($C920,medicine_master!$A$2:$A$26,0)),"Not found")</f>
        <v>Azithromycin 500mg</v>
      </c>
      <c r="H920" s="39" t="str">
        <f aca="false">IFERROR(INDEX(medicine_master!$C$2:$C$26,MATCH($C920,medicine_master!$A$2:$A$26,0)),"Not found")</f>
        <v>Antibiotic</v>
      </c>
      <c r="I920" s="39" t="n">
        <f aca="false">YEAR(B920)</f>
        <v>2026</v>
      </c>
      <c r="J920" s="39" t="n">
        <f aca="false">MONTH(B920)</f>
        <v>9</v>
      </c>
      <c r="K920" s="39" t="str">
        <f aca="false">TEXT(B920,"mmm")</f>
        <v>Sep</v>
      </c>
      <c r="L920" s="45" t="n">
        <f aca="false">IFERROR(INDEX(medicine_master!$I$2:$I$26,MATCH($C920,medicine_master!$A$2:$A$26,0)),0)</f>
        <v>50</v>
      </c>
      <c r="M920" s="45" t="n">
        <f aca="false">IFERROR(INDEX(medicine_master!$G$2:$G$26,MATCH($C920,medicine_master!$A$2:$A$26,0)),0)</f>
        <v>35</v>
      </c>
      <c r="N920" s="45" t="n">
        <f aca="false">IF(D920="Sale",E920*L920,0)</f>
        <v>1500</v>
      </c>
      <c r="O920" s="45" t="n">
        <f aca="false">IF(D920="Sale",E920*M920,0)</f>
        <v>1050</v>
      </c>
      <c r="P920" s="45" t="n">
        <f aca="false">N920-O920</f>
        <v>450</v>
      </c>
      <c r="Q920" s="45" t="n">
        <f aca="false">IF(D920="Purchase",E920*M920,0)</f>
        <v>0</v>
      </c>
    </row>
    <row r="921" customFormat="false" ht="15" hidden="false" customHeight="false" outlineLevel="0" collapsed="false">
      <c r="A921" s="39" t="s">
        <v>1245</v>
      </c>
      <c r="B921" s="44" t="n">
        <v>46270</v>
      </c>
      <c r="C921" s="39" t="s">
        <v>145</v>
      </c>
      <c r="D921" s="39" t="s">
        <v>137</v>
      </c>
      <c r="E921" s="39" t="n">
        <v>25</v>
      </c>
      <c r="F921" s="39" t="str">
        <f aca="false">IF(COUNTIF(medicine_master!$A$2:$A$26,C921)&gt;0,"Valid","Invalid")</f>
        <v>Valid</v>
      </c>
      <c r="G921" s="39" t="str">
        <f aca="false">IFERROR(INDEX(medicine_master!$B$2:$B$26,MATCH($C921,medicine_master!$A$2:$A$26,0)),"Not found")</f>
        <v>Clotrimazole Cream</v>
      </c>
      <c r="H921" s="39" t="str">
        <f aca="false">IFERROR(INDEX(medicine_master!$C$2:$C$26,MATCH($C921,medicine_master!$A$2:$A$26,0)),"Not found")</f>
        <v>Dermatology</v>
      </c>
      <c r="I921" s="39" t="n">
        <f aca="false">YEAR(B921)</f>
        <v>2026</v>
      </c>
      <c r="J921" s="39" t="n">
        <f aca="false">MONTH(B921)</f>
        <v>9</v>
      </c>
      <c r="K921" s="39" t="str">
        <f aca="false">TEXT(B921,"mmm")</f>
        <v>Sep</v>
      </c>
      <c r="L921" s="45" t="n">
        <f aca="false">IFERROR(INDEX(medicine_master!$I$2:$I$26,MATCH($C921,medicine_master!$A$2:$A$26,0)),0)</f>
        <v>48</v>
      </c>
      <c r="M921" s="45" t="n">
        <f aca="false">IFERROR(INDEX(medicine_master!$G$2:$G$26,MATCH($C921,medicine_master!$A$2:$A$26,0)),0)</f>
        <v>32</v>
      </c>
      <c r="N921" s="45" t="n">
        <f aca="false">IF(D921="Sale",E921*L921,0)</f>
        <v>1200</v>
      </c>
      <c r="O921" s="45" t="n">
        <f aca="false">IF(D921="Sale",E921*M921,0)</f>
        <v>800</v>
      </c>
      <c r="P921" s="45" t="n">
        <f aca="false">N921-O921</f>
        <v>400</v>
      </c>
      <c r="Q921" s="45" t="n">
        <f aca="false">IF(D921="Purchase",E921*M921,0)</f>
        <v>0</v>
      </c>
    </row>
    <row r="922" customFormat="false" ht="15" hidden="false" customHeight="false" outlineLevel="0" collapsed="false">
      <c r="A922" s="39" t="s">
        <v>1246</v>
      </c>
      <c r="B922" s="44" t="n">
        <v>46234</v>
      </c>
      <c r="C922" s="39" t="s">
        <v>167</v>
      </c>
      <c r="D922" s="39" t="s">
        <v>138</v>
      </c>
      <c r="E922" s="39" t="n">
        <v>10</v>
      </c>
      <c r="F922" s="39" t="str">
        <f aca="false">IF(COUNTIF(medicine_master!$A$2:$A$26,C922)&gt;0,"Valid","Invalid")</f>
        <v>Valid</v>
      </c>
      <c r="G922" s="39" t="str">
        <f aca="false">IFERROR(INDEX(medicine_master!$B$2:$B$26,MATCH($C922,medicine_master!$A$2:$A$26,0)),"Not found")</f>
        <v>Amlodipine 5mg</v>
      </c>
      <c r="H922" s="39" t="str">
        <f aca="false">IFERROR(INDEX(medicine_master!$C$2:$C$26,MATCH($C922,medicine_master!$A$2:$A$26,0)),"Not found")</f>
        <v>Cardiac</v>
      </c>
      <c r="I922" s="39" t="n">
        <f aca="false">YEAR(B922)</f>
        <v>2026</v>
      </c>
      <c r="J922" s="39" t="n">
        <f aca="false">MONTH(B922)</f>
        <v>7</v>
      </c>
      <c r="K922" s="39" t="str">
        <f aca="false">TEXT(B922,"mmm")</f>
        <v>Jul</v>
      </c>
      <c r="L922" s="45" t="n">
        <f aca="false">IFERROR(INDEX(medicine_master!$I$2:$I$26,MATCH($C922,medicine_master!$A$2:$A$26,0)),0)</f>
        <v>19</v>
      </c>
      <c r="M922" s="45" t="n">
        <f aca="false">IFERROR(INDEX(medicine_master!$G$2:$G$26,MATCH($C922,medicine_master!$A$2:$A$26,0)),0)</f>
        <v>13</v>
      </c>
      <c r="N922" s="45" t="n">
        <f aca="false">IF(D922="Sale",E922*L922,0)</f>
        <v>0</v>
      </c>
      <c r="O922" s="45" t="n">
        <f aca="false">IF(D922="Sale",E922*M922,0)</f>
        <v>0</v>
      </c>
      <c r="P922" s="45" t="n">
        <f aca="false">N922-O922</f>
        <v>0</v>
      </c>
      <c r="Q922" s="45" t="n">
        <f aca="false">IF(D922="Purchase",E922*M922,0)</f>
        <v>130</v>
      </c>
    </row>
    <row r="923" customFormat="false" ht="15" hidden="false" customHeight="false" outlineLevel="0" collapsed="false">
      <c r="A923" s="39" t="s">
        <v>1247</v>
      </c>
      <c r="B923" s="44" t="n">
        <v>46173</v>
      </c>
      <c r="C923" s="39" t="s">
        <v>159</v>
      </c>
      <c r="D923" s="39" t="s">
        <v>137</v>
      </c>
      <c r="E923" s="39" t="n">
        <v>5</v>
      </c>
      <c r="F923" s="39" t="str">
        <f aca="false">IF(COUNTIF(medicine_master!$A$2:$A$26,C923)&gt;0,"Valid","Invalid")</f>
        <v>Valid</v>
      </c>
      <c r="G923" s="39" t="str">
        <f aca="false">IFERROR(INDEX(medicine_master!$B$2:$B$26,MATCH($C923,medicine_master!$A$2:$A$26,0)),"Not found")</f>
        <v>Antiseptic Liquid 100ml</v>
      </c>
      <c r="H923" s="39" t="str">
        <f aca="false">IFERROR(INDEX(medicine_master!$C$2:$C$26,MATCH($C923,medicine_master!$A$2:$A$26,0)),"Not found")</f>
        <v>First Aid</v>
      </c>
      <c r="I923" s="39" t="n">
        <f aca="false">YEAR(B923)</f>
        <v>2026</v>
      </c>
      <c r="J923" s="39" t="n">
        <f aca="false">MONTH(B923)</f>
        <v>5</v>
      </c>
      <c r="K923" s="39" t="str">
        <f aca="false">TEXT(B923,"mmm")</f>
        <v>May</v>
      </c>
      <c r="L923" s="45" t="n">
        <f aca="false">IFERROR(INDEX(medicine_master!$I$2:$I$26,MATCH($C923,medicine_master!$A$2:$A$26,0)),0)</f>
        <v>65</v>
      </c>
      <c r="M923" s="45" t="n">
        <f aca="false">IFERROR(INDEX(medicine_master!$G$2:$G$26,MATCH($C923,medicine_master!$A$2:$A$26,0)),0)</f>
        <v>48</v>
      </c>
      <c r="N923" s="45" t="n">
        <f aca="false">IF(D923="Sale",E923*L923,0)</f>
        <v>325</v>
      </c>
      <c r="O923" s="45" t="n">
        <f aca="false">IF(D923="Sale",E923*M923,0)</f>
        <v>240</v>
      </c>
      <c r="P923" s="45" t="n">
        <f aca="false">N923-O923</f>
        <v>85</v>
      </c>
      <c r="Q923" s="45" t="n">
        <f aca="false">IF(D923="Purchase",E923*M923,0)</f>
        <v>0</v>
      </c>
    </row>
    <row r="924" customFormat="false" ht="15" hidden="false" customHeight="false" outlineLevel="0" collapsed="false">
      <c r="A924" s="39" t="s">
        <v>1248</v>
      </c>
      <c r="B924" s="44" t="n">
        <v>46085</v>
      </c>
      <c r="C924" s="39" t="s">
        <v>345</v>
      </c>
      <c r="D924" s="39" t="s">
        <v>138</v>
      </c>
      <c r="E924" s="39" t="n">
        <v>15</v>
      </c>
      <c r="F924" s="39" t="str">
        <f aca="false">IF(COUNTIF(medicine_master!$A$2:$A$26,C924)&gt;0,"Valid","Invalid")</f>
        <v>Valid</v>
      </c>
      <c r="G924" s="39" t="str">
        <f aca="false">IFERROR(INDEX(medicine_master!$B$2:$B$26,MATCH($C924,medicine_master!$A$2:$A$26,0)),"Not found")</f>
        <v>Paracetamol 500mg</v>
      </c>
      <c r="H924" s="39" t="str">
        <f aca="false">IFERROR(INDEX(medicine_master!$C$2:$C$26,MATCH($C924,medicine_master!$A$2:$A$26,0)),"Not found")</f>
        <v>Pain Relief</v>
      </c>
      <c r="I924" s="39" t="n">
        <f aca="false">YEAR(B924)</f>
        <v>2026</v>
      </c>
      <c r="J924" s="39" t="n">
        <f aca="false">MONTH(B924)</f>
        <v>3</v>
      </c>
      <c r="K924" s="39" t="str">
        <f aca="false">TEXT(B924,"mmm")</f>
        <v>Mar</v>
      </c>
      <c r="L924" s="45" t="n">
        <f aca="false">IFERROR(INDEX(medicine_master!$I$2:$I$26,MATCH($C924,medicine_master!$A$2:$A$26,0)),0)</f>
        <v>18</v>
      </c>
      <c r="M924" s="45" t="n">
        <f aca="false">IFERROR(INDEX(medicine_master!$G$2:$G$26,MATCH($C924,medicine_master!$A$2:$A$26,0)),0)</f>
        <v>12</v>
      </c>
      <c r="N924" s="45" t="n">
        <f aca="false">IF(D924="Sale",E924*L924,0)</f>
        <v>0</v>
      </c>
      <c r="O924" s="45" t="n">
        <f aca="false">IF(D924="Sale",E924*M924,0)</f>
        <v>0</v>
      </c>
      <c r="P924" s="45" t="n">
        <f aca="false">N924-O924</f>
        <v>0</v>
      </c>
      <c r="Q924" s="45" t="n">
        <f aca="false">IF(D924="Purchase",E924*M924,0)</f>
        <v>180</v>
      </c>
    </row>
    <row r="925" customFormat="false" ht="15" hidden="false" customHeight="false" outlineLevel="0" collapsed="false">
      <c r="A925" s="39" t="s">
        <v>1249</v>
      </c>
      <c r="B925" s="44" t="n">
        <v>46312</v>
      </c>
      <c r="C925" s="39" t="s">
        <v>157</v>
      </c>
      <c r="D925" s="39" t="s">
        <v>138</v>
      </c>
      <c r="E925" s="39" t="n">
        <v>20</v>
      </c>
      <c r="F925" s="39" t="str">
        <f aca="false">IF(COUNTIF(medicine_master!$A$2:$A$26,C925)&gt;0,"Valid","Invalid")</f>
        <v>Valid</v>
      </c>
      <c r="G925" s="39" t="str">
        <f aca="false">IFERROR(INDEX(medicine_master!$B$2:$B$26,MATCH($C925,medicine_master!$A$2:$A$26,0)),"Not found")</f>
        <v>Multivitamin Tablets</v>
      </c>
      <c r="H925" s="39" t="str">
        <f aca="false">IFERROR(INDEX(medicine_master!$C$2:$C$26,MATCH($C925,medicine_master!$A$2:$A$26,0)),"Not found")</f>
        <v>Vitamin</v>
      </c>
      <c r="I925" s="39" t="n">
        <f aca="false">YEAR(B925)</f>
        <v>2026</v>
      </c>
      <c r="J925" s="39" t="n">
        <f aca="false">MONTH(B925)</f>
        <v>10</v>
      </c>
      <c r="K925" s="39" t="str">
        <f aca="false">TEXT(B925,"mmm")</f>
        <v>Oct</v>
      </c>
      <c r="L925" s="45" t="n">
        <f aca="false">IFERROR(INDEX(medicine_master!$I$2:$I$26,MATCH($C925,medicine_master!$A$2:$A$26,0)),0)</f>
        <v>105</v>
      </c>
      <c r="M925" s="45" t="n">
        <f aca="false">IFERROR(INDEX(medicine_master!$G$2:$G$26,MATCH($C925,medicine_master!$A$2:$A$26,0)),0)</f>
        <v>72</v>
      </c>
      <c r="N925" s="45" t="n">
        <f aca="false">IF(D925="Sale",E925*L925,0)</f>
        <v>0</v>
      </c>
      <c r="O925" s="45" t="n">
        <f aca="false">IF(D925="Sale",E925*M925,0)</f>
        <v>0</v>
      </c>
      <c r="P925" s="45" t="n">
        <f aca="false">N925-O925</f>
        <v>0</v>
      </c>
      <c r="Q925" s="45" t="n">
        <f aca="false">IF(D925="Purchase",E925*M925,0)</f>
        <v>1440</v>
      </c>
    </row>
    <row r="926" customFormat="false" ht="15" hidden="false" customHeight="false" outlineLevel="0" collapsed="false">
      <c r="A926" s="39" t="s">
        <v>1250</v>
      </c>
      <c r="B926" s="44" t="n">
        <v>46340</v>
      </c>
      <c r="C926" s="39" t="s">
        <v>345</v>
      </c>
      <c r="D926" s="39" t="s">
        <v>137</v>
      </c>
      <c r="E926" s="39" t="n">
        <v>10</v>
      </c>
      <c r="F926" s="39" t="str">
        <f aca="false">IF(COUNTIF(medicine_master!$A$2:$A$26,C926)&gt;0,"Valid","Invalid")</f>
        <v>Valid</v>
      </c>
      <c r="G926" s="39" t="str">
        <f aca="false">IFERROR(INDEX(medicine_master!$B$2:$B$26,MATCH($C926,medicine_master!$A$2:$A$26,0)),"Not found")</f>
        <v>Paracetamol 500mg</v>
      </c>
      <c r="H926" s="39" t="str">
        <f aca="false">IFERROR(INDEX(medicine_master!$C$2:$C$26,MATCH($C926,medicine_master!$A$2:$A$26,0)),"Not found")</f>
        <v>Pain Relief</v>
      </c>
      <c r="I926" s="39" t="n">
        <f aca="false">YEAR(B926)</f>
        <v>2026</v>
      </c>
      <c r="J926" s="39" t="n">
        <f aca="false">MONTH(B926)</f>
        <v>11</v>
      </c>
      <c r="K926" s="39" t="str">
        <f aca="false">TEXT(B926,"mmm")</f>
        <v>Nov</v>
      </c>
      <c r="L926" s="45" t="n">
        <f aca="false">IFERROR(INDEX(medicine_master!$I$2:$I$26,MATCH($C926,medicine_master!$A$2:$A$26,0)),0)</f>
        <v>18</v>
      </c>
      <c r="M926" s="45" t="n">
        <f aca="false">IFERROR(INDEX(medicine_master!$G$2:$G$26,MATCH($C926,medicine_master!$A$2:$A$26,0)),0)</f>
        <v>12</v>
      </c>
      <c r="N926" s="45" t="n">
        <f aca="false">IF(D926="Sale",E926*L926,0)</f>
        <v>180</v>
      </c>
      <c r="O926" s="45" t="n">
        <f aca="false">IF(D926="Sale",E926*M926,0)</f>
        <v>120</v>
      </c>
      <c r="P926" s="45" t="n">
        <f aca="false">N926-O926</f>
        <v>60</v>
      </c>
      <c r="Q926" s="45" t="n">
        <f aca="false">IF(D926="Purchase",E926*M926,0)</f>
        <v>0</v>
      </c>
    </row>
    <row r="927" customFormat="false" ht="15" hidden="false" customHeight="false" outlineLevel="0" collapsed="false">
      <c r="A927" s="39" t="s">
        <v>1251</v>
      </c>
      <c r="B927" s="44" t="n">
        <v>46326</v>
      </c>
      <c r="C927" s="39" t="s">
        <v>148</v>
      </c>
      <c r="D927" s="39" t="s">
        <v>137</v>
      </c>
      <c r="E927" s="39" t="n">
        <v>30</v>
      </c>
      <c r="F927" s="39" t="str">
        <f aca="false">IF(COUNTIF(medicine_master!$A$2:$A$26,C927)&gt;0,"Valid","Invalid")</f>
        <v>Valid</v>
      </c>
      <c r="G927" s="39" t="str">
        <f aca="false">IFERROR(INDEX(medicine_master!$B$2:$B$26,MATCH($C927,medicine_master!$A$2:$A$26,0)),"Not found")</f>
        <v>Dextromethorphan Syrup</v>
      </c>
      <c r="H927" s="39" t="str">
        <f aca="false">IFERROR(INDEX(medicine_master!$C$2:$C$26,MATCH($C927,medicine_master!$A$2:$A$26,0)),"Not found")</f>
        <v>Cold &amp; Cough</v>
      </c>
      <c r="I927" s="39" t="n">
        <f aca="false">YEAR(B927)</f>
        <v>2026</v>
      </c>
      <c r="J927" s="39" t="n">
        <f aca="false">MONTH(B927)</f>
        <v>10</v>
      </c>
      <c r="K927" s="39" t="str">
        <f aca="false">TEXT(B927,"mmm")</f>
        <v>Oct</v>
      </c>
      <c r="L927" s="45" t="n">
        <f aca="false">IFERROR(INDEX(medicine_master!$I$2:$I$26,MATCH($C927,medicine_master!$A$2:$A$26,0)),0)</f>
        <v>80</v>
      </c>
      <c r="M927" s="45" t="n">
        <f aca="false">IFERROR(INDEX(medicine_master!$G$2:$G$26,MATCH($C927,medicine_master!$A$2:$A$26,0)),0)</f>
        <v>58</v>
      </c>
      <c r="N927" s="45" t="n">
        <f aca="false">IF(D927="Sale",E927*L927,0)</f>
        <v>2400</v>
      </c>
      <c r="O927" s="45" t="n">
        <f aca="false">IF(D927="Sale",E927*M927,0)</f>
        <v>1740</v>
      </c>
      <c r="P927" s="45" t="n">
        <f aca="false">N927-O927</f>
        <v>660</v>
      </c>
      <c r="Q927" s="45" t="n">
        <f aca="false">IF(D927="Purchase",E927*M927,0)</f>
        <v>0</v>
      </c>
    </row>
    <row r="928" customFormat="false" ht="15" hidden="false" customHeight="false" outlineLevel="0" collapsed="false">
      <c r="A928" s="39" t="s">
        <v>1252</v>
      </c>
      <c r="B928" s="44" t="n">
        <v>46297</v>
      </c>
      <c r="C928" s="39" t="s">
        <v>149</v>
      </c>
      <c r="D928" s="39" t="s">
        <v>137</v>
      </c>
      <c r="E928" s="39" t="n">
        <v>25</v>
      </c>
      <c r="F928" s="39" t="str">
        <f aca="false">IF(COUNTIF(medicine_master!$A$2:$A$26,C928)&gt;0,"Valid","Invalid")</f>
        <v>Valid</v>
      </c>
      <c r="G928" s="39" t="str">
        <f aca="false">IFERROR(INDEX(medicine_master!$B$2:$B$26,MATCH($C928,medicine_master!$A$2:$A$26,0)),"Not found")</f>
        <v>Azithromycin 500mg</v>
      </c>
      <c r="H928" s="39" t="str">
        <f aca="false">IFERROR(INDEX(medicine_master!$C$2:$C$26,MATCH($C928,medicine_master!$A$2:$A$26,0)),"Not found")</f>
        <v>Antibiotic</v>
      </c>
      <c r="I928" s="39" t="n">
        <f aca="false">YEAR(B928)</f>
        <v>2026</v>
      </c>
      <c r="J928" s="39" t="n">
        <f aca="false">MONTH(B928)</f>
        <v>10</v>
      </c>
      <c r="K928" s="39" t="str">
        <f aca="false">TEXT(B928,"mmm")</f>
        <v>Oct</v>
      </c>
      <c r="L928" s="45" t="n">
        <f aca="false">IFERROR(INDEX(medicine_master!$I$2:$I$26,MATCH($C928,medicine_master!$A$2:$A$26,0)),0)</f>
        <v>50</v>
      </c>
      <c r="M928" s="45" t="n">
        <f aca="false">IFERROR(INDEX(medicine_master!$G$2:$G$26,MATCH($C928,medicine_master!$A$2:$A$26,0)),0)</f>
        <v>35</v>
      </c>
      <c r="N928" s="45" t="n">
        <f aca="false">IF(D928="Sale",E928*L928,0)</f>
        <v>1250</v>
      </c>
      <c r="O928" s="45" t="n">
        <f aca="false">IF(D928="Sale",E928*M928,0)</f>
        <v>875</v>
      </c>
      <c r="P928" s="45" t="n">
        <f aca="false">N928-O928</f>
        <v>375</v>
      </c>
      <c r="Q928" s="45" t="n">
        <f aca="false">IF(D928="Purchase",E928*M928,0)</f>
        <v>0</v>
      </c>
    </row>
    <row r="929" customFormat="false" ht="15" hidden="false" customHeight="false" outlineLevel="0" collapsed="false">
      <c r="A929" s="39" t="s">
        <v>1253</v>
      </c>
      <c r="B929" s="44" t="n">
        <v>46196</v>
      </c>
      <c r="C929" s="39" t="s">
        <v>151</v>
      </c>
      <c r="D929" s="39" t="s">
        <v>137</v>
      </c>
      <c r="E929" s="39" t="n">
        <v>30</v>
      </c>
      <c r="F929" s="39" t="str">
        <f aca="false">IF(COUNTIF(medicine_master!$A$2:$A$26,C929)&gt;0,"Valid","Invalid")</f>
        <v>Valid</v>
      </c>
      <c r="G929" s="39" t="str">
        <f aca="false">IFERROR(INDEX(medicine_master!$B$2:$B$26,MATCH($C929,medicine_master!$A$2:$A$26,0)),"Not found")</f>
        <v>Cetirizine 10mg</v>
      </c>
      <c r="H929" s="39" t="str">
        <f aca="false">IFERROR(INDEX(medicine_master!$C$2:$C$26,MATCH($C929,medicine_master!$A$2:$A$26,0)),"Not found")</f>
        <v>Allergy</v>
      </c>
      <c r="I929" s="39" t="n">
        <f aca="false">YEAR(B929)</f>
        <v>2026</v>
      </c>
      <c r="J929" s="39" t="n">
        <f aca="false">MONTH(B929)</f>
        <v>6</v>
      </c>
      <c r="K929" s="39" t="str">
        <f aca="false">TEXT(B929,"mmm")</f>
        <v>Jun</v>
      </c>
      <c r="L929" s="45" t="n">
        <f aca="false">IFERROR(INDEX(medicine_master!$I$2:$I$26,MATCH($C929,medicine_master!$A$2:$A$26,0)),0)</f>
        <v>13</v>
      </c>
      <c r="M929" s="45" t="n">
        <f aca="false">IFERROR(INDEX(medicine_master!$G$2:$G$26,MATCH($C929,medicine_master!$A$2:$A$26,0)),0)</f>
        <v>8</v>
      </c>
      <c r="N929" s="45" t="n">
        <f aca="false">IF(D929="Sale",E929*L929,0)</f>
        <v>390</v>
      </c>
      <c r="O929" s="45" t="n">
        <f aca="false">IF(D929="Sale",E929*M929,0)</f>
        <v>240</v>
      </c>
      <c r="P929" s="45" t="n">
        <f aca="false">N929-O929</f>
        <v>150</v>
      </c>
      <c r="Q929" s="45" t="n">
        <f aca="false">IF(D929="Purchase",E929*M929,0)</f>
        <v>0</v>
      </c>
    </row>
    <row r="930" customFormat="false" ht="15" hidden="false" customHeight="false" outlineLevel="0" collapsed="false">
      <c r="A930" s="39" t="s">
        <v>1254</v>
      </c>
      <c r="B930" s="44" t="n">
        <v>46113</v>
      </c>
      <c r="C930" s="39" t="s">
        <v>153</v>
      </c>
      <c r="D930" s="39" t="s">
        <v>138</v>
      </c>
      <c r="E930" s="39" t="n">
        <v>30</v>
      </c>
      <c r="F930" s="39" t="str">
        <f aca="false">IF(COUNTIF(medicine_master!$A$2:$A$26,C930)&gt;0,"Valid","Invalid")</f>
        <v>Valid</v>
      </c>
      <c r="G930" s="39" t="str">
        <f aca="false">IFERROR(INDEX(medicine_master!$B$2:$B$26,MATCH($C930,medicine_master!$A$2:$A$26,0)),"Not found")</f>
        <v>Atorvastatin 10mg</v>
      </c>
      <c r="H930" s="39" t="str">
        <f aca="false">IFERROR(INDEX(medicine_master!$C$2:$C$26,MATCH($C930,medicine_master!$A$2:$A$26,0)),"Not found")</f>
        <v>Cardiac</v>
      </c>
      <c r="I930" s="39" t="n">
        <f aca="false">YEAR(B930)</f>
        <v>2026</v>
      </c>
      <c r="J930" s="39" t="n">
        <f aca="false">MONTH(B930)</f>
        <v>4</v>
      </c>
      <c r="K930" s="39" t="str">
        <f aca="false">TEXT(B930,"mmm")</f>
        <v>Apr</v>
      </c>
      <c r="L930" s="45" t="n">
        <f aca="false">IFERROR(INDEX(medicine_master!$I$2:$I$26,MATCH($C930,medicine_master!$A$2:$A$26,0)),0)</f>
        <v>28</v>
      </c>
      <c r="M930" s="45" t="n">
        <f aca="false">IFERROR(INDEX(medicine_master!$G$2:$G$26,MATCH($C930,medicine_master!$A$2:$A$26,0)),0)</f>
        <v>19</v>
      </c>
      <c r="N930" s="45" t="n">
        <f aca="false">IF(D930="Sale",E930*L930,0)</f>
        <v>0</v>
      </c>
      <c r="O930" s="45" t="n">
        <f aca="false">IF(D930="Sale",E930*M930,0)</f>
        <v>0</v>
      </c>
      <c r="P930" s="45" t="n">
        <f aca="false">N930-O930</f>
        <v>0</v>
      </c>
      <c r="Q930" s="45" t="n">
        <f aca="false">IF(D930="Purchase",E930*M930,0)</f>
        <v>570</v>
      </c>
    </row>
    <row r="931" customFormat="false" ht="15" hidden="false" customHeight="false" outlineLevel="0" collapsed="false">
      <c r="A931" s="39" t="s">
        <v>1255</v>
      </c>
      <c r="B931" s="44" t="n">
        <v>46231</v>
      </c>
      <c r="C931" s="39" t="s">
        <v>326</v>
      </c>
      <c r="D931" s="39" t="s">
        <v>138</v>
      </c>
      <c r="E931" s="39" t="n">
        <v>30</v>
      </c>
      <c r="F931" s="39" t="str">
        <f aca="false">IF(COUNTIF(medicine_master!$A$2:$A$26,C931)&gt;0,"Valid","Invalid")</f>
        <v>Valid</v>
      </c>
      <c r="G931" s="39" t="str">
        <f aca="false">IFERROR(INDEX(medicine_master!$B$2:$B$26,MATCH($C931,medicine_master!$A$2:$A$26,0)),"Not found")</f>
        <v>Omeprazole 20mg</v>
      </c>
      <c r="H931" s="39" t="str">
        <f aca="false">IFERROR(INDEX(medicine_master!$C$2:$C$26,MATCH($C931,medicine_master!$A$2:$A$26,0)),"Not found")</f>
        <v>Gastric</v>
      </c>
      <c r="I931" s="39" t="n">
        <f aca="false">YEAR(B931)</f>
        <v>2026</v>
      </c>
      <c r="J931" s="39" t="n">
        <f aca="false">MONTH(B931)</f>
        <v>7</v>
      </c>
      <c r="K931" s="39" t="str">
        <f aca="false">TEXT(B931,"mmm")</f>
        <v>Jul</v>
      </c>
      <c r="L931" s="45" t="n">
        <f aca="false">IFERROR(INDEX(medicine_master!$I$2:$I$26,MATCH($C931,medicine_master!$A$2:$A$26,0)),0)</f>
        <v>26</v>
      </c>
      <c r="M931" s="45" t="n">
        <f aca="false">IFERROR(INDEX(medicine_master!$G$2:$G$26,MATCH($C931,medicine_master!$A$2:$A$26,0)),0)</f>
        <v>18</v>
      </c>
      <c r="N931" s="45" t="n">
        <f aca="false">IF(D931="Sale",E931*L931,0)</f>
        <v>0</v>
      </c>
      <c r="O931" s="45" t="n">
        <f aca="false">IF(D931="Sale",E931*M931,0)</f>
        <v>0</v>
      </c>
      <c r="P931" s="45" t="n">
        <f aca="false">N931-O931</f>
        <v>0</v>
      </c>
      <c r="Q931" s="45" t="n">
        <f aca="false">IF(D931="Purchase",E931*M931,0)</f>
        <v>540</v>
      </c>
    </row>
    <row r="932" customFormat="false" ht="15" hidden="false" customHeight="false" outlineLevel="0" collapsed="false">
      <c r="A932" s="39" t="s">
        <v>1256</v>
      </c>
      <c r="B932" s="44" t="n">
        <v>46317</v>
      </c>
      <c r="C932" s="39" t="s">
        <v>145</v>
      </c>
      <c r="D932" s="39" t="s">
        <v>137</v>
      </c>
      <c r="E932" s="39" t="n">
        <v>40</v>
      </c>
      <c r="F932" s="39" t="str">
        <f aca="false">IF(COUNTIF(medicine_master!$A$2:$A$26,C932)&gt;0,"Valid","Invalid")</f>
        <v>Valid</v>
      </c>
      <c r="G932" s="39" t="str">
        <f aca="false">IFERROR(INDEX(medicine_master!$B$2:$B$26,MATCH($C932,medicine_master!$A$2:$A$26,0)),"Not found")</f>
        <v>Clotrimazole Cream</v>
      </c>
      <c r="H932" s="39" t="str">
        <f aca="false">IFERROR(INDEX(medicine_master!$C$2:$C$26,MATCH($C932,medicine_master!$A$2:$A$26,0)),"Not found")</f>
        <v>Dermatology</v>
      </c>
      <c r="I932" s="39" t="n">
        <f aca="false">YEAR(B932)</f>
        <v>2026</v>
      </c>
      <c r="J932" s="39" t="n">
        <f aca="false">MONTH(B932)</f>
        <v>10</v>
      </c>
      <c r="K932" s="39" t="str">
        <f aca="false">TEXT(B932,"mmm")</f>
        <v>Oct</v>
      </c>
      <c r="L932" s="45" t="n">
        <f aca="false">IFERROR(INDEX(medicine_master!$I$2:$I$26,MATCH($C932,medicine_master!$A$2:$A$26,0)),0)</f>
        <v>48</v>
      </c>
      <c r="M932" s="45" t="n">
        <f aca="false">IFERROR(INDEX(medicine_master!$G$2:$G$26,MATCH($C932,medicine_master!$A$2:$A$26,0)),0)</f>
        <v>32</v>
      </c>
      <c r="N932" s="45" t="n">
        <f aca="false">IF(D932="Sale",E932*L932,0)</f>
        <v>1920</v>
      </c>
      <c r="O932" s="45" t="n">
        <f aca="false">IF(D932="Sale",E932*M932,0)</f>
        <v>1280</v>
      </c>
      <c r="P932" s="45" t="n">
        <f aca="false">N932-O932</f>
        <v>640</v>
      </c>
      <c r="Q932" s="45" t="n">
        <f aca="false">IF(D932="Purchase",E932*M932,0)</f>
        <v>0</v>
      </c>
    </row>
    <row r="933" customFormat="false" ht="15" hidden="false" customHeight="false" outlineLevel="0" collapsed="false">
      <c r="A933" s="39" t="s">
        <v>1257</v>
      </c>
      <c r="B933" s="44" t="n">
        <v>46059</v>
      </c>
      <c r="C933" s="39" t="s">
        <v>326</v>
      </c>
      <c r="D933" s="39" t="s">
        <v>138</v>
      </c>
      <c r="E933" s="39" t="n">
        <v>30</v>
      </c>
      <c r="F933" s="39" t="str">
        <f aca="false">IF(COUNTIF(medicine_master!$A$2:$A$26,C933)&gt;0,"Valid","Invalid")</f>
        <v>Valid</v>
      </c>
      <c r="G933" s="39" t="str">
        <f aca="false">IFERROR(INDEX(medicine_master!$B$2:$B$26,MATCH($C933,medicine_master!$A$2:$A$26,0)),"Not found")</f>
        <v>Omeprazole 20mg</v>
      </c>
      <c r="H933" s="39" t="str">
        <f aca="false">IFERROR(INDEX(medicine_master!$C$2:$C$26,MATCH($C933,medicine_master!$A$2:$A$26,0)),"Not found")</f>
        <v>Gastric</v>
      </c>
      <c r="I933" s="39" t="n">
        <f aca="false">YEAR(B933)</f>
        <v>2026</v>
      </c>
      <c r="J933" s="39" t="n">
        <f aca="false">MONTH(B933)</f>
        <v>2</v>
      </c>
      <c r="K933" s="39" t="str">
        <f aca="false">TEXT(B933,"mmm")</f>
        <v>Feb</v>
      </c>
      <c r="L933" s="45" t="n">
        <f aca="false">IFERROR(INDEX(medicine_master!$I$2:$I$26,MATCH($C933,medicine_master!$A$2:$A$26,0)),0)</f>
        <v>26</v>
      </c>
      <c r="M933" s="45" t="n">
        <f aca="false">IFERROR(INDEX(medicine_master!$G$2:$G$26,MATCH($C933,medicine_master!$A$2:$A$26,0)),0)</f>
        <v>18</v>
      </c>
      <c r="N933" s="45" t="n">
        <f aca="false">IF(D933="Sale",E933*L933,0)</f>
        <v>0</v>
      </c>
      <c r="O933" s="45" t="n">
        <f aca="false">IF(D933="Sale",E933*M933,0)</f>
        <v>0</v>
      </c>
      <c r="P933" s="45" t="n">
        <f aca="false">N933-O933</f>
        <v>0</v>
      </c>
      <c r="Q933" s="45" t="n">
        <f aca="false">IF(D933="Purchase",E933*M933,0)</f>
        <v>540</v>
      </c>
    </row>
    <row r="934" customFormat="false" ht="15" hidden="false" customHeight="false" outlineLevel="0" collapsed="false">
      <c r="A934" s="39" t="s">
        <v>1258</v>
      </c>
      <c r="B934" s="44" t="n">
        <v>46280</v>
      </c>
      <c r="C934" s="39" t="s">
        <v>495</v>
      </c>
      <c r="D934" s="39" t="s">
        <v>137</v>
      </c>
      <c r="E934" s="39" t="n">
        <v>30</v>
      </c>
      <c r="F934" s="39" t="str">
        <f aca="false">IF(COUNTIF(medicine_master!$A$2:$A$26,C934)&gt;0,"Valid","Invalid")</f>
        <v>Valid</v>
      </c>
      <c r="G934" s="39" t="str">
        <f aca="false">IFERROR(INDEX(medicine_master!$B$2:$B$26,MATCH($C934,medicine_master!$A$2:$A$26,0)),"Not found")</f>
        <v>Metformin 500mg</v>
      </c>
      <c r="H934" s="39" t="str">
        <f aca="false">IFERROR(INDEX(medicine_master!$C$2:$C$26,MATCH($C934,medicine_master!$A$2:$A$26,0)),"Not found")</f>
        <v>Diabetes</v>
      </c>
      <c r="I934" s="39" t="n">
        <f aca="false">YEAR(B934)</f>
        <v>2026</v>
      </c>
      <c r="J934" s="39" t="n">
        <f aca="false">MONTH(B934)</f>
        <v>9</v>
      </c>
      <c r="K934" s="39" t="str">
        <f aca="false">TEXT(B934,"mmm")</f>
        <v>Sep</v>
      </c>
      <c r="L934" s="45" t="n">
        <f aca="false">IFERROR(INDEX(medicine_master!$I$2:$I$26,MATCH($C934,medicine_master!$A$2:$A$26,0)),0)</f>
        <v>24</v>
      </c>
      <c r="M934" s="45" t="n">
        <f aca="false">IFERROR(INDEX(medicine_master!$G$2:$G$26,MATCH($C934,medicine_master!$A$2:$A$26,0)),0)</f>
        <v>16</v>
      </c>
      <c r="N934" s="45" t="n">
        <f aca="false">IF(D934="Sale",E934*L934,0)</f>
        <v>720</v>
      </c>
      <c r="O934" s="45" t="n">
        <f aca="false">IF(D934="Sale",E934*M934,0)</f>
        <v>480</v>
      </c>
      <c r="P934" s="45" t="n">
        <f aca="false">N934-O934</f>
        <v>240</v>
      </c>
      <c r="Q934" s="45" t="n">
        <f aca="false">IF(D934="Purchase",E934*M934,0)</f>
        <v>0</v>
      </c>
    </row>
    <row r="935" customFormat="false" ht="15" hidden="false" customHeight="false" outlineLevel="0" collapsed="false">
      <c r="A935" s="39" t="s">
        <v>1259</v>
      </c>
      <c r="B935" s="44" t="n">
        <v>46190</v>
      </c>
      <c r="C935" s="39" t="s">
        <v>149</v>
      </c>
      <c r="D935" s="39" t="s">
        <v>137</v>
      </c>
      <c r="E935" s="39" t="n">
        <v>10</v>
      </c>
      <c r="F935" s="39" t="str">
        <f aca="false">IF(COUNTIF(medicine_master!$A$2:$A$26,C935)&gt;0,"Valid","Invalid")</f>
        <v>Valid</v>
      </c>
      <c r="G935" s="39" t="str">
        <f aca="false">IFERROR(INDEX(medicine_master!$B$2:$B$26,MATCH($C935,medicine_master!$A$2:$A$26,0)),"Not found")</f>
        <v>Azithromycin 500mg</v>
      </c>
      <c r="H935" s="39" t="str">
        <f aca="false">IFERROR(INDEX(medicine_master!$C$2:$C$26,MATCH($C935,medicine_master!$A$2:$A$26,0)),"Not found")</f>
        <v>Antibiotic</v>
      </c>
      <c r="I935" s="39" t="n">
        <f aca="false">YEAR(B935)</f>
        <v>2026</v>
      </c>
      <c r="J935" s="39" t="n">
        <f aca="false">MONTH(B935)</f>
        <v>6</v>
      </c>
      <c r="K935" s="39" t="str">
        <f aca="false">TEXT(B935,"mmm")</f>
        <v>Jun</v>
      </c>
      <c r="L935" s="45" t="n">
        <f aca="false">IFERROR(INDEX(medicine_master!$I$2:$I$26,MATCH($C935,medicine_master!$A$2:$A$26,0)),0)</f>
        <v>50</v>
      </c>
      <c r="M935" s="45" t="n">
        <f aca="false">IFERROR(INDEX(medicine_master!$G$2:$G$26,MATCH($C935,medicine_master!$A$2:$A$26,0)),0)</f>
        <v>35</v>
      </c>
      <c r="N935" s="45" t="n">
        <f aca="false">IF(D935="Sale",E935*L935,0)</f>
        <v>500</v>
      </c>
      <c r="O935" s="45" t="n">
        <f aca="false">IF(D935="Sale",E935*M935,0)</f>
        <v>350</v>
      </c>
      <c r="P935" s="45" t="n">
        <f aca="false">N935-O935</f>
        <v>150</v>
      </c>
      <c r="Q935" s="45" t="n">
        <f aca="false">IF(D935="Purchase",E935*M935,0)</f>
        <v>0</v>
      </c>
    </row>
    <row r="936" customFormat="false" ht="15" hidden="false" customHeight="false" outlineLevel="0" collapsed="false">
      <c r="A936" s="39" t="s">
        <v>1260</v>
      </c>
      <c r="B936" s="44" t="n">
        <v>46357</v>
      </c>
      <c r="C936" s="39" t="s">
        <v>160</v>
      </c>
      <c r="D936" s="39" t="s">
        <v>137</v>
      </c>
      <c r="E936" s="39" t="n">
        <v>15</v>
      </c>
      <c r="F936" s="39" t="str">
        <f aca="false">IF(COUNTIF(medicine_master!$A$2:$A$26,C936)&gt;0,"Valid","Invalid")</f>
        <v>Valid</v>
      </c>
      <c r="G936" s="39" t="str">
        <f aca="false">IFERROR(INDEX(medicine_master!$B$2:$B$26,MATCH($C936,medicine_master!$A$2:$A$26,0)),"Not found")</f>
        <v>Calamine Lotion</v>
      </c>
      <c r="H936" s="39" t="str">
        <f aca="false">IFERROR(INDEX(medicine_master!$C$2:$C$26,MATCH($C936,medicine_master!$A$2:$A$26,0)),"Not found")</f>
        <v>Dermatology</v>
      </c>
      <c r="I936" s="39" t="n">
        <f aca="false">YEAR(B936)</f>
        <v>2026</v>
      </c>
      <c r="J936" s="39" t="n">
        <f aca="false">MONTH(B936)</f>
        <v>12</v>
      </c>
      <c r="K936" s="39" t="str">
        <f aca="false">TEXT(B936,"mmm")</f>
        <v>Dec</v>
      </c>
      <c r="L936" s="45" t="n">
        <f aca="false">IFERROR(INDEX(medicine_master!$I$2:$I$26,MATCH($C936,medicine_master!$A$2:$A$26,0)),0)</f>
        <v>60</v>
      </c>
      <c r="M936" s="45" t="n">
        <f aca="false">IFERROR(INDEX(medicine_master!$G$2:$G$26,MATCH($C936,medicine_master!$A$2:$A$26,0)),0)</f>
        <v>42</v>
      </c>
      <c r="N936" s="45" t="n">
        <f aca="false">IF(D936="Sale",E936*L936,0)</f>
        <v>900</v>
      </c>
      <c r="O936" s="45" t="n">
        <f aca="false">IF(D936="Sale",E936*M936,0)</f>
        <v>630</v>
      </c>
      <c r="P936" s="45" t="n">
        <f aca="false">N936-O936</f>
        <v>270</v>
      </c>
      <c r="Q936" s="45" t="n">
        <f aca="false">IF(D936="Purchase",E936*M936,0)</f>
        <v>0</v>
      </c>
    </row>
    <row r="937" customFormat="false" ht="15" hidden="false" customHeight="false" outlineLevel="0" collapsed="false">
      <c r="A937" s="39" t="s">
        <v>1261</v>
      </c>
      <c r="B937" s="44" t="n">
        <v>46161</v>
      </c>
      <c r="C937" s="39" t="s">
        <v>178</v>
      </c>
      <c r="D937" s="39" t="s">
        <v>138</v>
      </c>
      <c r="E937" s="39" t="n">
        <v>25</v>
      </c>
      <c r="F937" s="39" t="str">
        <f aca="false">IF(COUNTIF(medicine_master!$A$2:$A$26,C937)&gt;0,"Valid","Invalid")</f>
        <v>Valid</v>
      </c>
      <c r="G937" s="39" t="str">
        <f aca="false">IFERROR(INDEX(medicine_master!$B$2:$B$26,MATCH($C937,medicine_master!$A$2:$A$26,0)),"Not found")</f>
        <v>Aspirin 75mg</v>
      </c>
      <c r="H937" s="39" t="str">
        <f aca="false">IFERROR(INDEX(medicine_master!$C$2:$C$26,MATCH($C937,medicine_master!$A$2:$A$26,0)),"Not found")</f>
        <v>Cardiac</v>
      </c>
      <c r="I937" s="39" t="n">
        <f aca="false">YEAR(B937)</f>
        <v>2026</v>
      </c>
      <c r="J937" s="39" t="n">
        <f aca="false">MONTH(B937)</f>
        <v>5</v>
      </c>
      <c r="K937" s="39" t="str">
        <f aca="false">TEXT(B937,"mmm")</f>
        <v>May</v>
      </c>
      <c r="L937" s="45" t="n">
        <f aca="false">IFERROR(INDEX(medicine_master!$I$2:$I$26,MATCH($C937,medicine_master!$A$2:$A$26,0)),0)</f>
        <v>15</v>
      </c>
      <c r="M937" s="45" t="n">
        <f aca="false">IFERROR(INDEX(medicine_master!$G$2:$G$26,MATCH($C937,medicine_master!$A$2:$A$26,0)),0)</f>
        <v>10</v>
      </c>
      <c r="N937" s="45" t="n">
        <f aca="false">IF(D937="Sale",E937*L937,0)</f>
        <v>0</v>
      </c>
      <c r="O937" s="45" t="n">
        <f aca="false">IF(D937="Sale",E937*M937,0)</f>
        <v>0</v>
      </c>
      <c r="P937" s="45" t="n">
        <f aca="false">N937-O937</f>
        <v>0</v>
      </c>
      <c r="Q937" s="45" t="n">
        <f aca="false">IF(D937="Purchase",E937*M937,0)</f>
        <v>250</v>
      </c>
    </row>
    <row r="938" customFormat="false" ht="15" hidden="false" customHeight="false" outlineLevel="0" collapsed="false">
      <c r="A938" s="39" t="s">
        <v>1262</v>
      </c>
      <c r="B938" s="44" t="n">
        <v>46157</v>
      </c>
      <c r="C938" s="39" t="s">
        <v>495</v>
      </c>
      <c r="D938" s="39" t="s">
        <v>137</v>
      </c>
      <c r="E938" s="39" t="n">
        <v>40</v>
      </c>
      <c r="F938" s="39" t="str">
        <f aca="false">IF(COUNTIF(medicine_master!$A$2:$A$26,C938)&gt;0,"Valid","Invalid")</f>
        <v>Valid</v>
      </c>
      <c r="G938" s="39" t="str">
        <f aca="false">IFERROR(INDEX(medicine_master!$B$2:$B$26,MATCH($C938,medicine_master!$A$2:$A$26,0)),"Not found")</f>
        <v>Metformin 500mg</v>
      </c>
      <c r="H938" s="39" t="str">
        <f aca="false">IFERROR(INDEX(medicine_master!$C$2:$C$26,MATCH($C938,medicine_master!$A$2:$A$26,0)),"Not found")</f>
        <v>Diabetes</v>
      </c>
      <c r="I938" s="39" t="n">
        <f aca="false">YEAR(B938)</f>
        <v>2026</v>
      </c>
      <c r="J938" s="39" t="n">
        <f aca="false">MONTH(B938)</f>
        <v>5</v>
      </c>
      <c r="K938" s="39" t="str">
        <f aca="false">TEXT(B938,"mmm")</f>
        <v>May</v>
      </c>
      <c r="L938" s="45" t="n">
        <f aca="false">IFERROR(INDEX(medicine_master!$I$2:$I$26,MATCH($C938,medicine_master!$A$2:$A$26,0)),0)</f>
        <v>24</v>
      </c>
      <c r="M938" s="45" t="n">
        <f aca="false">IFERROR(INDEX(medicine_master!$G$2:$G$26,MATCH($C938,medicine_master!$A$2:$A$26,0)),0)</f>
        <v>16</v>
      </c>
      <c r="N938" s="45" t="n">
        <f aca="false">IF(D938="Sale",E938*L938,0)</f>
        <v>960</v>
      </c>
      <c r="O938" s="45" t="n">
        <f aca="false">IF(D938="Sale",E938*M938,0)</f>
        <v>640</v>
      </c>
      <c r="P938" s="45" t="n">
        <f aca="false">N938-O938</f>
        <v>320</v>
      </c>
      <c r="Q938" s="45" t="n">
        <f aca="false">IF(D938="Purchase",E938*M938,0)</f>
        <v>0</v>
      </c>
    </row>
    <row r="939" customFormat="false" ht="15" hidden="false" customHeight="false" outlineLevel="0" collapsed="false">
      <c r="A939" s="39" t="s">
        <v>1263</v>
      </c>
      <c r="B939" s="44" t="n">
        <v>46229</v>
      </c>
      <c r="C939" s="39" t="s">
        <v>345</v>
      </c>
      <c r="D939" s="39" t="s">
        <v>137</v>
      </c>
      <c r="E939" s="39" t="n">
        <v>20</v>
      </c>
      <c r="F939" s="39" t="str">
        <f aca="false">IF(COUNTIF(medicine_master!$A$2:$A$26,C939)&gt;0,"Valid","Invalid")</f>
        <v>Valid</v>
      </c>
      <c r="G939" s="39" t="str">
        <f aca="false">IFERROR(INDEX(medicine_master!$B$2:$B$26,MATCH($C939,medicine_master!$A$2:$A$26,0)),"Not found")</f>
        <v>Paracetamol 500mg</v>
      </c>
      <c r="H939" s="39" t="str">
        <f aca="false">IFERROR(INDEX(medicine_master!$C$2:$C$26,MATCH($C939,medicine_master!$A$2:$A$26,0)),"Not found")</f>
        <v>Pain Relief</v>
      </c>
      <c r="I939" s="39" t="n">
        <f aca="false">YEAR(B939)</f>
        <v>2026</v>
      </c>
      <c r="J939" s="39" t="n">
        <f aca="false">MONTH(B939)</f>
        <v>7</v>
      </c>
      <c r="K939" s="39" t="str">
        <f aca="false">TEXT(B939,"mmm")</f>
        <v>Jul</v>
      </c>
      <c r="L939" s="45" t="n">
        <f aca="false">IFERROR(INDEX(medicine_master!$I$2:$I$26,MATCH($C939,medicine_master!$A$2:$A$26,0)),0)</f>
        <v>18</v>
      </c>
      <c r="M939" s="45" t="n">
        <f aca="false">IFERROR(INDEX(medicine_master!$G$2:$G$26,MATCH($C939,medicine_master!$A$2:$A$26,0)),0)</f>
        <v>12</v>
      </c>
      <c r="N939" s="45" t="n">
        <f aca="false">IF(D939="Sale",E939*L939,0)</f>
        <v>360</v>
      </c>
      <c r="O939" s="45" t="n">
        <f aca="false">IF(D939="Sale",E939*M939,0)</f>
        <v>240</v>
      </c>
      <c r="P939" s="45" t="n">
        <f aca="false">N939-O939</f>
        <v>120</v>
      </c>
      <c r="Q939" s="45" t="n">
        <f aca="false">IF(D939="Purchase",E939*M939,0)</f>
        <v>0</v>
      </c>
    </row>
    <row r="940" customFormat="false" ht="15" hidden="false" customHeight="false" outlineLevel="0" collapsed="false">
      <c r="A940" s="39" t="s">
        <v>1264</v>
      </c>
      <c r="B940" s="44" t="n">
        <v>46264</v>
      </c>
      <c r="C940" s="39" t="s">
        <v>178</v>
      </c>
      <c r="D940" s="39" t="s">
        <v>138</v>
      </c>
      <c r="E940" s="39" t="n">
        <v>10</v>
      </c>
      <c r="F940" s="39" t="str">
        <f aca="false">IF(COUNTIF(medicine_master!$A$2:$A$26,C940)&gt;0,"Valid","Invalid")</f>
        <v>Valid</v>
      </c>
      <c r="G940" s="39" t="str">
        <f aca="false">IFERROR(INDEX(medicine_master!$B$2:$B$26,MATCH($C940,medicine_master!$A$2:$A$26,0)),"Not found")</f>
        <v>Aspirin 75mg</v>
      </c>
      <c r="H940" s="39" t="str">
        <f aca="false">IFERROR(INDEX(medicine_master!$C$2:$C$26,MATCH($C940,medicine_master!$A$2:$A$26,0)),"Not found")</f>
        <v>Cardiac</v>
      </c>
      <c r="I940" s="39" t="n">
        <f aca="false">YEAR(B940)</f>
        <v>2026</v>
      </c>
      <c r="J940" s="39" t="n">
        <f aca="false">MONTH(B940)</f>
        <v>8</v>
      </c>
      <c r="K940" s="39" t="str">
        <f aca="false">TEXT(B940,"mmm")</f>
        <v>Aug</v>
      </c>
      <c r="L940" s="45" t="n">
        <f aca="false">IFERROR(INDEX(medicine_master!$I$2:$I$26,MATCH($C940,medicine_master!$A$2:$A$26,0)),0)</f>
        <v>15</v>
      </c>
      <c r="M940" s="45" t="n">
        <f aca="false">IFERROR(INDEX(medicine_master!$G$2:$G$26,MATCH($C940,medicine_master!$A$2:$A$26,0)),0)</f>
        <v>10</v>
      </c>
      <c r="N940" s="45" t="n">
        <f aca="false">IF(D940="Sale",E940*L940,0)</f>
        <v>0</v>
      </c>
      <c r="O940" s="45" t="n">
        <f aca="false">IF(D940="Sale",E940*M940,0)</f>
        <v>0</v>
      </c>
      <c r="P940" s="45" t="n">
        <f aca="false">N940-O940</f>
        <v>0</v>
      </c>
      <c r="Q940" s="45" t="n">
        <f aca="false">IF(D940="Purchase",E940*M940,0)</f>
        <v>100</v>
      </c>
    </row>
    <row r="941" customFormat="false" ht="15" hidden="false" customHeight="false" outlineLevel="0" collapsed="false">
      <c r="A941" s="39" t="s">
        <v>1265</v>
      </c>
      <c r="B941" s="44" t="n">
        <v>46155</v>
      </c>
      <c r="C941" s="39" t="s">
        <v>145</v>
      </c>
      <c r="D941" s="39" t="s">
        <v>138</v>
      </c>
      <c r="E941" s="39" t="n">
        <v>25</v>
      </c>
      <c r="F941" s="39" t="str">
        <f aca="false">IF(COUNTIF(medicine_master!$A$2:$A$26,C941)&gt;0,"Valid","Invalid")</f>
        <v>Valid</v>
      </c>
      <c r="G941" s="39" t="str">
        <f aca="false">IFERROR(INDEX(medicine_master!$B$2:$B$26,MATCH($C941,medicine_master!$A$2:$A$26,0)),"Not found")</f>
        <v>Clotrimazole Cream</v>
      </c>
      <c r="H941" s="39" t="str">
        <f aca="false">IFERROR(INDEX(medicine_master!$C$2:$C$26,MATCH($C941,medicine_master!$A$2:$A$26,0)),"Not found")</f>
        <v>Dermatology</v>
      </c>
      <c r="I941" s="39" t="n">
        <f aca="false">YEAR(B941)</f>
        <v>2026</v>
      </c>
      <c r="J941" s="39" t="n">
        <f aca="false">MONTH(B941)</f>
        <v>5</v>
      </c>
      <c r="K941" s="39" t="str">
        <f aca="false">TEXT(B941,"mmm")</f>
        <v>May</v>
      </c>
      <c r="L941" s="45" t="n">
        <f aca="false">IFERROR(INDEX(medicine_master!$I$2:$I$26,MATCH($C941,medicine_master!$A$2:$A$26,0)),0)</f>
        <v>48</v>
      </c>
      <c r="M941" s="45" t="n">
        <f aca="false">IFERROR(INDEX(medicine_master!$G$2:$G$26,MATCH($C941,medicine_master!$A$2:$A$26,0)),0)</f>
        <v>32</v>
      </c>
      <c r="N941" s="45" t="n">
        <f aca="false">IF(D941="Sale",E941*L941,0)</f>
        <v>0</v>
      </c>
      <c r="O941" s="45" t="n">
        <f aca="false">IF(D941="Sale",E941*M941,0)</f>
        <v>0</v>
      </c>
      <c r="P941" s="45" t="n">
        <f aca="false">N941-O941</f>
        <v>0</v>
      </c>
      <c r="Q941" s="45" t="n">
        <f aca="false">IF(D941="Purchase",E941*M941,0)</f>
        <v>800</v>
      </c>
    </row>
    <row r="942" customFormat="false" ht="15" hidden="false" customHeight="false" outlineLevel="0" collapsed="false">
      <c r="A942" s="39" t="s">
        <v>1266</v>
      </c>
      <c r="B942" s="44" t="n">
        <v>46131</v>
      </c>
      <c r="C942" s="39" t="s">
        <v>159</v>
      </c>
      <c r="D942" s="39" t="s">
        <v>137</v>
      </c>
      <c r="E942" s="39" t="n">
        <v>10</v>
      </c>
      <c r="F942" s="39" t="str">
        <f aca="false">IF(COUNTIF(medicine_master!$A$2:$A$26,C942)&gt;0,"Valid","Invalid")</f>
        <v>Valid</v>
      </c>
      <c r="G942" s="39" t="str">
        <f aca="false">IFERROR(INDEX(medicine_master!$B$2:$B$26,MATCH($C942,medicine_master!$A$2:$A$26,0)),"Not found")</f>
        <v>Antiseptic Liquid 100ml</v>
      </c>
      <c r="H942" s="39" t="str">
        <f aca="false">IFERROR(INDEX(medicine_master!$C$2:$C$26,MATCH($C942,medicine_master!$A$2:$A$26,0)),"Not found")</f>
        <v>First Aid</v>
      </c>
      <c r="I942" s="39" t="n">
        <f aca="false">YEAR(B942)</f>
        <v>2026</v>
      </c>
      <c r="J942" s="39" t="n">
        <f aca="false">MONTH(B942)</f>
        <v>4</v>
      </c>
      <c r="K942" s="39" t="str">
        <f aca="false">TEXT(B942,"mmm")</f>
        <v>Apr</v>
      </c>
      <c r="L942" s="45" t="n">
        <f aca="false">IFERROR(INDEX(medicine_master!$I$2:$I$26,MATCH($C942,medicine_master!$A$2:$A$26,0)),0)</f>
        <v>65</v>
      </c>
      <c r="M942" s="45" t="n">
        <f aca="false">IFERROR(INDEX(medicine_master!$G$2:$G$26,MATCH($C942,medicine_master!$A$2:$A$26,0)),0)</f>
        <v>48</v>
      </c>
      <c r="N942" s="45" t="n">
        <f aca="false">IF(D942="Sale",E942*L942,0)</f>
        <v>650</v>
      </c>
      <c r="O942" s="45" t="n">
        <f aca="false">IF(D942="Sale",E942*M942,0)</f>
        <v>480</v>
      </c>
      <c r="P942" s="45" t="n">
        <f aca="false">N942-O942</f>
        <v>170</v>
      </c>
      <c r="Q942" s="45" t="n">
        <f aca="false">IF(D942="Purchase",E942*M942,0)</f>
        <v>0</v>
      </c>
    </row>
    <row r="943" customFormat="false" ht="15" hidden="false" customHeight="false" outlineLevel="0" collapsed="false">
      <c r="A943" s="39" t="s">
        <v>1267</v>
      </c>
      <c r="B943" s="44" t="n">
        <v>46091</v>
      </c>
      <c r="C943" s="39" t="s">
        <v>345</v>
      </c>
      <c r="D943" s="39" t="s">
        <v>138</v>
      </c>
      <c r="E943" s="39" t="n">
        <v>15</v>
      </c>
      <c r="F943" s="39" t="str">
        <f aca="false">IF(COUNTIF(medicine_master!$A$2:$A$26,C943)&gt;0,"Valid","Invalid")</f>
        <v>Valid</v>
      </c>
      <c r="G943" s="39" t="str">
        <f aca="false">IFERROR(INDEX(medicine_master!$B$2:$B$26,MATCH($C943,medicine_master!$A$2:$A$26,0)),"Not found")</f>
        <v>Paracetamol 500mg</v>
      </c>
      <c r="H943" s="39" t="str">
        <f aca="false">IFERROR(INDEX(medicine_master!$C$2:$C$26,MATCH($C943,medicine_master!$A$2:$A$26,0)),"Not found")</f>
        <v>Pain Relief</v>
      </c>
      <c r="I943" s="39" t="n">
        <f aca="false">YEAR(B943)</f>
        <v>2026</v>
      </c>
      <c r="J943" s="39" t="n">
        <f aca="false">MONTH(B943)</f>
        <v>3</v>
      </c>
      <c r="K943" s="39" t="str">
        <f aca="false">TEXT(B943,"mmm")</f>
        <v>Mar</v>
      </c>
      <c r="L943" s="45" t="n">
        <f aca="false">IFERROR(INDEX(medicine_master!$I$2:$I$26,MATCH($C943,medicine_master!$A$2:$A$26,0)),0)</f>
        <v>18</v>
      </c>
      <c r="M943" s="45" t="n">
        <f aca="false">IFERROR(INDEX(medicine_master!$G$2:$G$26,MATCH($C943,medicine_master!$A$2:$A$26,0)),0)</f>
        <v>12</v>
      </c>
      <c r="N943" s="45" t="n">
        <f aca="false">IF(D943="Sale",E943*L943,0)</f>
        <v>0</v>
      </c>
      <c r="O943" s="45" t="n">
        <f aca="false">IF(D943="Sale",E943*M943,0)</f>
        <v>0</v>
      </c>
      <c r="P943" s="45" t="n">
        <f aca="false">N943-O943</f>
        <v>0</v>
      </c>
      <c r="Q943" s="45" t="n">
        <f aca="false">IF(D943="Purchase",E943*M943,0)</f>
        <v>180</v>
      </c>
    </row>
    <row r="944" customFormat="false" ht="15" hidden="false" customHeight="false" outlineLevel="0" collapsed="false">
      <c r="A944" s="39" t="s">
        <v>1268</v>
      </c>
      <c r="B944" s="44" t="n">
        <v>46334</v>
      </c>
      <c r="C944" s="39" t="s">
        <v>150</v>
      </c>
      <c r="D944" s="39" t="s">
        <v>137</v>
      </c>
      <c r="E944" s="39" t="n">
        <v>15</v>
      </c>
      <c r="F944" s="39" t="str">
        <f aca="false">IF(COUNTIF(medicine_master!$A$2:$A$26,C944)&gt;0,"Valid","Invalid")</f>
        <v>Valid</v>
      </c>
      <c r="G944" s="39" t="str">
        <f aca="false">IFERROR(INDEX(medicine_master!$B$2:$B$26,MATCH($C944,medicine_master!$A$2:$A$26,0)),"Not found")</f>
        <v>Pantoprazole 40mg</v>
      </c>
      <c r="H944" s="39" t="str">
        <f aca="false">IFERROR(INDEX(medicine_master!$C$2:$C$26,MATCH($C944,medicine_master!$A$2:$A$26,0)),"Not found")</f>
        <v>Gastric</v>
      </c>
      <c r="I944" s="39" t="n">
        <f aca="false">YEAR(B944)</f>
        <v>2026</v>
      </c>
      <c r="J944" s="39" t="n">
        <f aca="false">MONTH(B944)</f>
        <v>11</v>
      </c>
      <c r="K944" s="39" t="str">
        <f aca="false">TEXT(B944,"mmm")</f>
        <v>Nov</v>
      </c>
      <c r="L944" s="45" t="n">
        <f aca="false">IFERROR(INDEX(medicine_master!$I$2:$I$26,MATCH($C944,medicine_master!$A$2:$A$26,0)),0)</f>
        <v>35</v>
      </c>
      <c r="M944" s="45" t="n">
        <f aca="false">IFERROR(INDEX(medicine_master!$G$2:$G$26,MATCH($C944,medicine_master!$A$2:$A$26,0)),0)</f>
        <v>24</v>
      </c>
      <c r="N944" s="45" t="n">
        <f aca="false">IF(D944="Sale",E944*L944,0)</f>
        <v>525</v>
      </c>
      <c r="O944" s="45" t="n">
        <f aca="false">IF(D944="Sale",E944*M944,0)</f>
        <v>360</v>
      </c>
      <c r="P944" s="45" t="n">
        <f aca="false">N944-O944</f>
        <v>165</v>
      </c>
      <c r="Q944" s="45" t="n">
        <f aca="false">IF(D944="Purchase",E944*M944,0)</f>
        <v>0</v>
      </c>
    </row>
    <row r="945" customFormat="false" ht="15" hidden="false" customHeight="false" outlineLevel="0" collapsed="false">
      <c r="A945" s="39" t="s">
        <v>1269</v>
      </c>
      <c r="B945" s="44" t="n">
        <v>46341</v>
      </c>
      <c r="C945" s="39" t="s">
        <v>146</v>
      </c>
      <c r="D945" s="39" t="s">
        <v>137</v>
      </c>
      <c r="E945" s="39" t="n">
        <v>30</v>
      </c>
      <c r="F945" s="39" t="str">
        <f aca="false">IF(COUNTIF(medicine_master!$A$2:$A$26,C945)&gt;0,"Valid","Invalid")</f>
        <v>Valid</v>
      </c>
      <c r="G945" s="39" t="str">
        <f aca="false">IFERROR(INDEX(medicine_master!$B$2:$B$26,MATCH($C945,medicine_master!$A$2:$A$26,0)),"Not found")</f>
        <v>Diclofenac Gel</v>
      </c>
      <c r="H945" s="39" t="str">
        <f aca="false">IFERROR(INDEX(medicine_master!$C$2:$C$26,MATCH($C945,medicine_master!$A$2:$A$26,0)),"Not found")</f>
        <v>Pain Relief</v>
      </c>
      <c r="I945" s="39" t="n">
        <f aca="false">YEAR(B945)</f>
        <v>2026</v>
      </c>
      <c r="J945" s="39" t="n">
        <f aca="false">MONTH(B945)</f>
        <v>11</v>
      </c>
      <c r="K945" s="39" t="str">
        <f aca="false">TEXT(B945,"mmm")</f>
        <v>Nov</v>
      </c>
      <c r="L945" s="45" t="n">
        <f aca="false">IFERROR(INDEX(medicine_master!$I$2:$I$26,MATCH($C945,medicine_master!$A$2:$A$26,0)),0)</f>
        <v>55</v>
      </c>
      <c r="M945" s="45" t="n">
        <f aca="false">IFERROR(INDEX(medicine_master!$G$2:$G$26,MATCH($C945,medicine_master!$A$2:$A$26,0)),0)</f>
        <v>38</v>
      </c>
      <c r="N945" s="45" t="n">
        <f aca="false">IF(D945="Sale",E945*L945,0)</f>
        <v>1650</v>
      </c>
      <c r="O945" s="45" t="n">
        <f aca="false">IF(D945="Sale",E945*M945,0)</f>
        <v>1140</v>
      </c>
      <c r="P945" s="45" t="n">
        <f aca="false">N945-O945</f>
        <v>510</v>
      </c>
      <c r="Q945" s="45" t="n">
        <f aca="false">IF(D945="Purchase",E945*M945,0)</f>
        <v>0</v>
      </c>
    </row>
    <row r="946" customFormat="false" ht="15" hidden="false" customHeight="false" outlineLevel="0" collapsed="false">
      <c r="A946" s="39" t="s">
        <v>1270</v>
      </c>
      <c r="B946" s="44" t="n">
        <v>46324</v>
      </c>
      <c r="C946" s="39" t="s">
        <v>148</v>
      </c>
      <c r="D946" s="39" t="s">
        <v>137</v>
      </c>
      <c r="E946" s="39" t="n">
        <v>15</v>
      </c>
      <c r="F946" s="39" t="str">
        <f aca="false">IF(COUNTIF(medicine_master!$A$2:$A$26,C946)&gt;0,"Valid","Invalid")</f>
        <v>Valid</v>
      </c>
      <c r="G946" s="39" t="str">
        <f aca="false">IFERROR(INDEX(medicine_master!$B$2:$B$26,MATCH($C946,medicine_master!$A$2:$A$26,0)),"Not found")</f>
        <v>Dextromethorphan Syrup</v>
      </c>
      <c r="H946" s="39" t="str">
        <f aca="false">IFERROR(INDEX(medicine_master!$C$2:$C$26,MATCH($C946,medicine_master!$A$2:$A$26,0)),"Not found")</f>
        <v>Cold &amp; Cough</v>
      </c>
      <c r="I946" s="39" t="n">
        <f aca="false">YEAR(B946)</f>
        <v>2026</v>
      </c>
      <c r="J946" s="39" t="n">
        <f aca="false">MONTH(B946)</f>
        <v>10</v>
      </c>
      <c r="K946" s="39" t="str">
        <f aca="false">TEXT(B946,"mmm")</f>
        <v>Oct</v>
      </c>
      <c r="L946" s="45" t="n">
        <f aca="false">IFERROR(INDEX(medicine_master!$I$2:$I$26,MATCH($C946,medicine_master!$A$2:$A$26,0)),0)</f>
        <v>80</v>
      </c>
      <c r="M946" s="45" t="n">
        <f aca="false">IFERROR(INDEX(medicine_master!$G$2:$G$26,MATCH($C946,medicine_master!$A$2:$A$26,0)),0)</f>
        <v>58</v>
      </c>
      <c r="N946" s="45" t="n">
        <f aca="false">IF(D946="Sale",E946*L946,0)</f>
        <v>1200</v>
      </c>
      <c r="O946" s="45" t="n">
        <f aca="false">IF(D946="Sale",E946*M946,0)</f>
        <v>870</v>
      </c>
      <c r="P946" s="45" t="n">
        <f aca="false">N946-O946</f>
        <v>330</v>
      </c>
      <c r="Q946" s="45" t="n">
        <f aca="false">IF(D946="Purchase",E946*M946,0)</f>
        <v>0</v>
      </c>
    </row>
    <row r="947" customFormat="false" ht="15" hidden="false" customHeight="false" outlineLevel="0" collapsed="false">
      <c r="A947" s="39" t="s">
        <v>1271</v>
      </c>
      <c r="B947" s="44" t="n">
        <v>46199</v>
      </c>
      <c r="C947" s="39" t="s">
        <v>150</v>
      </c>
      <c r="D947" s="39" t="s">
        <v>138</v>
      </c>
      <c r="E947" s="39" t="n">
        <v>15</v>
      </c>
      <c r="F947" s="39" t="str">
        <f aca="false">IF(COUNTIF(medicine_master!$A$2:$A$26,C947)&gt;0,"Valid","Invalid")</f>
        <v>Valid</v>
      </c>
      <c r="G947" s="39" t="str">
        <f aca="false">IFERROR(INDEX(medicine_master!$B$2:$B$26,MATCH($C947,medicine_master!$A$2:$A$26,0)),"Not found")</f>
        <v>Pantoprazole 40mg</v>
      </c>
      <c r="H947" s="39" t="str">
        <f aca="false">IFERROR(INDEX(medicine_master!$C$2:$C$26,MATCH($C947,medicine_master!$A$2:$A$26,0)),"Not found")</f>
        <v>Gastric</v>
      </c>
      <c r="I947" s="39" t="n">
        <f aca="false">YEAR(B947)</f>
        <v>2026</v>
      </c>
      <c r="J947" s="39" t="n">
        <f aca="false">MONTH(B947)</f>
        <v>6</v>
      </c>
      <c r="K947" s="39" t="str">
        <f aca="false">TEXT(B947,"mmm")</f>
        <v>Jun</v>
      </c>
      <c r="L947" s="45" t="n">
        <f aca="false">IFERROR(INDEX(medicine_master!$I$2:$I$26,MATCH($C947,medicine_master!$A$2:$A$26,0)),0)</f>
        <v>35</v>
      </c>
      <c r="M947" s="45" t="n">
        <f aca="false">IFERROR(INDEX(medicine_master!$G$2:$G$26,MATCH($C947,medicine_master!$A$2:$A$26,0)),0)</f>
        <v>24</v>
      </c>
      <c r="N947" s="45" t="n">
        <f aca="false">IF(D947="Sale",E947*L947,0)</f>
        <v>0</v>
      </c>
      <c r="O947" s="45" t="n">
        <f aca="false">IF(D947="Sale",E947*M947,0)</f>
        <v>0</v>
      </c>
      <c r="P947" s="45" t="n">
        <f aca="false">N947-O947</f>
        <v>0</v>
      </c>
      <c r="Q947" s="45" t="n">
        <f aca="false">IF(D947="Purchase",E947*M947,0)</f>
        <v>360</v>
      </c>
    </row>
    <row r="948" customFormat="false" ht="15" hidden="false" customHeight="false" outlineLevel="0" collapsed="false">
      <c r="A948" s="39" t="s">
        <v>1272</v>
      </c>
      <c r="B948" s="44" t="n">
        <v>46235</v>
      </c>
      <c r="C948" s="39" t="s">
        <v>326</v>
      </c>
      <c r="D948" s="39" t="s">
        <v>138</v>
      </c>
      <c r="E948" s="39" t="n">
        <v>30</v>
      </c>
      <c r="F948" s="39" t="str">
        <f aca="false">IF(COUNTIF(medicine_master!$A$2:$A$26,C948)&gt;0,"Valid","Invalid")</f>
        <v>Valid</v>
      </c>
      <c r="G948" s="39" t="str">
        <f aca="false">IFERROR(INDEX(medicine_master!$B$2:$B$26,MATCH($C948,medicine_master!$A$2:$A$26,0)),"Not found")</f>
        <v>Omeprazole 20mg</v>
      </c>
      <c r="H948" s="39" t="str">
        <f aca="false">IFERROR(INDEX(medicine_master!$C$2:$C$26,MATCH($C948,medicine_master!$A$2:$A$26,0)),"Not found")</f>
        <v>Gastric</v>
      </c>
      <c r="I948" s="39" t="n">
        <f aca="false">YEAR(B948)</f>
        <v>2026</v>
      </c>
      <c r="J948" s="39" t="n">
        <f aca="false">MONTH(B948)</f>
        <v>8</v>
      </c>
      <c r="K948" s="39" t="str">
        <f aca="false">TEXT(B948,"mmm")</f>
        <v>Aug</v>
      </c>
      <c r="L948" s="45" t="n">
        <f aca="false">IFERROR(INDEX(medicine_master!$I$2:$I$26,MATCH($C948,medicine_master!$A$2:$A$26,0)),0)</f>
        <v>26</v>
      </c>
      <c r="M948" s="45" t="n">
        <f aca="false">IFERROR(INDEX(medicine_master!$G$2:$G$26,MATCH($C948,medicine_master!$A$2:$A$26,0)),0)</f>
        <v>18</v>
      </c>
      <c r="N948" s="45" t="n">
        <f aca="false">IF(D948="Sale",E948*L948,0)</f>
        <v>0</v>
      </c>
      <c r="O948" s="45" t="n">
        <f aca="false">IF(D948="Sale",E948*M948,0)</f>
        <v>0</v>
      </c>
      <c r="P948" s="45" t="n">
        <f aca="false">N948-O948</f>
        <v>0</v>
      </c>
      <c r="Q948" s="45" t="n">
        <f aca="false">IF(D948="Purchase",E948*M948,0)</f>
        <v>540</v>
      </c>
    </row>
    <row r="949" customFormat="false" ht="15" hidden="false" customHeight="false" outlineLevel="0" collapsed="false">
      <c r="A949" s="39" t="s">
        <v>1273</v>
      </c>
      <c r="B949" s="44" t="n">
        <v>46061</v>
      </c>
      <c r="C949" s="39" t="s">
        <v>321</v>
      </c>
      <c r="D949" s="39" t="s">
        <v>137</v>
      </c>
      <c r="E949" s="39" t="n">
        <v>30</v>
      </c>
      <c r="F949" s="39" t="str">
        <f aca="false">IF(COUNTIF(medicine_master!$A$2:$A$26,C949)&gt;0,"Valid","Invalid")</f>
        <v>Valid</v>
      </c>
      <c r="G949" s="39" t="str">
        <f aca="false">IFERROR(INDEX(medicine_master!$B$2:$B$26,MATCH($C949,medicine_master!$A$2:$A$26,0)),"Not found")</f>
        <v>Levocetirizine 5mg</v>
      </c>
      <c r="H949" s="39" t="str">
        <f aca="false">IFERROR(INDEX(medicine_master!$C$2:$C$26,MATCH($C949,medicine_master!$A$2:$A$26,0)),"Not found")</f>
        <v>Allergy</v>
      </c>
      <c r="I949" s="39" t="n">
        <f aca="false">YEAR(B949)</f>
        <v>2026</v>
      </c>
      <c r="J949" s="39" t="n">
        <f aca="false">MONTH(B949)</f>
        <v>2</v>
      </c>
      <c r="K949" s="39" t="str">
        <f aca="false">TEXT(B949,"mmm")</f>
        <v>Feb</v>
      </c>
      <c r="L949" s="45" t="n">
        <f aca="false">IFERROR(INDEX(medicine_master!$I$2:$I$26,MATCH($C949,medicine_master!$A$2:$A$26,0)),0)</f>
        <v>22</v>
      </c>
      <c r="M949" s="45" t="n">
        <f aca="false">IFERROR(INDEX(medicine_master!$G$2:$G$26,MATCH($C949,medicine_master!$A$2:$A$26,0)),0)</f>
        <v>14</v>
      </c>
      <c r="N949" s="45" t="n">
        <f aca="false">IF(D949="Sale",E949*L949,0)</f>
        <v>660</v>
      </c>
      <c r="O949" s="45" t="n">
        <f aca="false">IF(D949="Sale",E949*M949,0)</f>
        <v>420</v>
      </c>
      <c r="P949" s="45" t="n">
        <f aca="false">N949-O949</f>
        <v>240</v>
      </c>
      <c r="Q949" s="45" t="n">
        <f aca="false">IF(D949="Purchase",E949*M949,0)</f>
        <v>0</v>
      </c>
    </row>
    <row r="950" customFormat="false" ht="15" hidden="false" customHeight="false" outlineLevel="0" collapsed="false">
      <c r="A950" s="39" t="s">
        <v>1274</v>
      </c>
      <c r="B950" s="44" t="n">
        <v>46109</v>
      </c>
      <c r="C950" s="39" t="s">
        <v>145</v>
      </c>
      <c r="D950" s="39" t="s">
        <v>138</v>
      </c>
      <c r="E950" s="39" t="n">
        <v>20</v>
      </c>
      <c r="F950" s="39" t="str">
        <f aca="false">IF(COUNTIF(medicine_master!$A$2:$A$26,C950)&gt;0,"Valid","Invalid")</f>
        <v>Valid</v>
      </c>
      <c r="G950" s="39" t="str">
        <f aca="false">IFERROR(INDEX(medicine_master!$B$2:$B$26,MATCH($C950,medicine_master!$A$2:$A$26,0)),"Not found")</f>
        <v>Clotrimazole Cream</v>
      </c>
      <c r="H950" s="39" t="str">
        <f aca="false">IFERROR(INDEX(medicine_master!$C$2:$C$26,MATCH($C950,medicine_master!$A$2:$A$26,0)),"Not found")</f>
        <v>Dermatology</v>
      </c>
      <c r="I950" s="39" t="n">
        <f aca="false">YEAR(B950)</f>
        <v>2026</v>
      </c>
      <c r="J950" s="39" t="n">
        <f aca="false">MONTH(B950)</f>
        <v>3</v>
      </c>
      <c r="K950" s="39" t="str">
        <f aca="false">TEXT(B950,"mmm")</f>
        <v>Mar</v>
      </c>
      <c r="L950" s="45" t="n">
        <f aca="false">IFERROR(INDEX(medicine_master!$I$2:$I$26,MATCH($C950,medicine_master!$A$2:$A$26,0)),0)</f>
        <v>48</v>
      </c>
      <c r="M950" s="45" t="n">
        <f aca="false">IFERROR(INDEX(medicine_master!$G$2:$G$26,MATCH($C950,medicine_master!$A$2:$A$26,0)),0)</f>
        <v>32</v>
      </c>
      <c r="N950" s="45" t="n">
        <f aca="false">IF(D950="Sale",E950*L950,0)</f>
        <v>0</v>
      </c>
      <c r="O950" s="45" t="n">
        <f aca="false">IF(D950="Sale",E950*M950,0)</f>
        <v>0</v>
      </c>
      <c r="P950" s="45" t="n">
        <f aca="false">N950-O950</f>
        <v>0</v>
      </c>
      <c r="Q950" s="45" t="n">
        <f aca="false">IF(D950="Purchase",E950*M950,0)</f>
        <v>640</v>
      </c>
    </row>
    <row r="951" customFormat="false" ht="15" hidden="false" customHeight="false" outlineLevel="0" collapsed="false">
      <c r="A951" s="39" t="s">
        <v>1275</v>
      </c>
      <c r="B951" s="44" t="n">
        <v>46335</v>
      </c>
      <c r="C951" s="39" t="s">
        <v>321</v>
      </c>
      <c r="D951" s="39" t="s">
        <v>138</v>
      </c>
      <c r="E951" s="39" t="n">
        <v>20</v>
      </c>
      <c r="F951" s="39" t="str">
        <f aca="false">IF(COUNTIF(medicine_master!$A$2:$A$26,C951)&gt;0,"Valid","Invalid")</f>
        <v>Valid</v>
      </c>
      <c r="G951" s="39" t="str">
        <f aca="false">IFERROR(INDEX(medicine_master!$B$2:$B$26,MATCH($C951,medicine_master!$A$2:$A$26,0)),"Not found")</f>
        <v>Levocetirizine 5mg</v>
      </c>
      <c r="H951" s="39" t="str">
        <f aca="false">IFERROR(INDEX(medicine_master!$C$2:$C$26,MATCH($C951,medicine_master!$A$2:$A$26,0)),"Not found")</f>
        <v>Allergy</v>
      </c>
      <c r="I951" s="39" t="n">
        <f aca="false">YEAR(B951)</f>
        <v>2026</v>
      </c>
      <c r="J951" s="39" t="n">
        <f aca="false">MONTH(B951)</f>
        <v>11</v>
      </c>
      <c r="K951" s="39" t="str">
        <f aca="false">TEXT(B951,"mmm")</f>
        <v>Nov</v>
      </c>
      <c r="L951" s="45" t="n">
        <f aca="false">IFERROR(INDEX(medicine_master!$I$2:$I$26,MATCH($C951,medicine_master!$A$2:$A$26,0)),0)</f>
        <v>22</v>
      </c>
      <c r="M951" s="45" t="n">
        <f aca="false">IFERROR(INDEX(medicine_master!$G$2:$G$26,MATCH($C951,medicine_master!$A$2:$A$26,0)),0)</f>
        <v>14</v>
      </c>
      <c r="N951" s="45" t="n">
        <f aca="false">IF(D951="Sale",E951*L951,0)</f>
        <v>0</v>
      </c>
      <c r="O951" s="45" t="n">
        <f aca="false">IF(D951="Sale",E951*M951,0)</f>
        <v>0</v>
      </c>
      <c r="P951" s="45" t="n">
        <f aca="false">N951-O951</f>
        <v>0</v>
      </c>
      <c r="Q951" s="45" t="n">
        <f aca="false">IF(D951="Purchase",E951*M951,0)</f>
        <v>280</v>
      </c>
    </row>
    <row r="952" customFormat="false" ht="15" hidden="false" customHeight="false" outlineLevel="0" collapsed="false">
      <c r="A952" s="39" t="s">
        <v>1276</v>
      </c>
      <c r="B952" s="44" t="n">
        <v>46109</v>
      </c>
      <c r="C952" s="39" t="s">
        <v>167</v>
      </c>
      <c r="D952" s="39" t="s">
        <v>137</v>
      </c>
      <c r="E952" s="39" t="n">
        <v>20</v>
      </c>
      <c r="F952" s="39" t="str">
        <f aca="false">IF(COUNTIF(medicine_master!$A$2:$A$26,C952)&gt;0,"Valid","Invalid")</f>
        <v>Valid</v>
      </c>
      <c r="G952" s="39" t="str">
        <f aca="false">IFERROR(INDEX(medicine_master!$B$2:$B$26,MATCH($C952,medicine_master!$A$2:$A$26,0)),"Not found")</f>
        <v>Amlodipine 5mg</v>
      </c>
      <c r="H952" s="39" t="str">
        <f aca="false">IFERROR(INDEX(medicine_master!$C$2:$C$26,MATCH($C952,medicine_master!$A$2:$A$26,0)),"Not found")</f>
        <v>Cardiac</v>
      </c>
      <c r="I952" s="39" t="n">
        <f aca="false">YEAR(B952)</f>
        <v>2026</v>
      </c>
      <c r="J952" s="39" t="n">
        <f aca="false">MONTH(B952)</f>
        <v>3</v>
      </c>
      <c r="K952" s="39" t="str">
        <f aca="false">TEXT(B952,"mmm")</f>
        <v>Mar</v>
      </c>
      <c r="L952" s="45" t="n">
        <f aca="false">IFERROR(INDEX(medicine_master!$I$2:$I$26,MATCH($C952,medicine_master!$A$2:$A$26,0)),0)</f>
        <v>19</v>
      </c>
      <c r="M952" s="45" t="n">
        <f aca="false">IFERROR(INDEX(medicine_master!$G$2:$G$26,MATCH($C952,medicine_master!$A$2:$A$26,0)),0)</f>
        <v>13</v>
      </c>
      <c r="N952" s="45" t="n">
        <f aca="false">IF(D952="Sale",E952*L952,0)</f>
        <v>380</v>
      </c>
      <c r="O952" s="45" t="n">
        <f aca="false">IF(D952="Sale",E952*M952,0)</f>
        <v>260</v>
      </c>
      <c r="P952" s="45" t="n">
        <f aca="false">N952-O952</f>
        <v>120</v>
      </c>
      <c r="Q952" s="45" t="n">
        <f aca="false">IF(D952="Purchase",E952*M952,0)</f>
        <v>0</v>
      </c>
    </row>
    <row r="953" customFormat="false" ht="15" hidden="false" customHeight="false" outlineLevel="0" collapsed="false">
      <c r="A953" s="39" t="s">
        <v>1277</v>
      </c>
      <c r="B953" s="44" t="n">
        <v>46134</v>
      </c>
      <c r="C953" s="39" t="s">
        <v>148</v>
      </c>
      <c r="D953" s="39" t="s">
        <v>137</v>
      </c>
      <c r="E953" s="39" t="n">
        <v>30</v>
      </c>
      <c r="F953" s="39" t="str">
        <f aca="false">IF(COUNTIF(medicine_master!$A$2:$A$26,C953)&gt;0,"Valid","Invalid")</f>
        <v>Valid</v>
      </c>
      <c r="G953" s="39" t="str">
        <f aca="false">IFERROR(INDEX(medicine_master!$B$2:$B$26,MATCH($C953,medicine_master!$A$2:$A$26,0)),"Not found")</f>
        <v>Dextromethorphan Syrup</v>
      </c>
      <c r="H953" s="39" t="str">
        <f aca="false">IFERROR(INDEX(medicine_master!$C$2:$C$26,MATCH($C953,medicine_master!$A$2:$A$26,0)),"Not found")</f>
        <v>Cold &amp; Cough</v>
      </c>
      <c r="I953" s="39" t="n">
        <f aca="false">YEAR(B953)</f>
        <v>2026</v>
      </c>
      <c r="J953" s="39" t="n">
        <f aca="false">MONTH(B953)</f>
        <v>4</v>
      </c>
      <c r="K953" s="39" t="str">
        <f aca="false">TEXT(B953,"mmm")</f>
        <v>Apr</v>
      </c>
      <c r="L953" s="45" t="n">
        <f aca="false">IFERROR(INDEX(medicine_master!$I$2:$I$26,MATCH($C953,medicine_master!$A$2:$A$26,0)),0)</f>
        <v>80</v>
      </c>
      <c r="M953" s="45" t="n">
        <f aca="false">IFERROR(INDEX(medicine_master!$G$2:$G$26,MATCH($C953,medicine_master!$A$2:$A$26,0)),0)</f>
        <v>58</v>
      </c>
      <c r="N953" s="45" t="n">
        <f aca="false">IF(D953="Sale",E953*L953,0)</f>
        <v>2400</v>
      </c>
      <c r="O953" s="45" t="n">
        <f aca="false">IF(D953="Sale",E953*M953,0)</f>
        <v>1740</v>
      </c>
      <c r="P953" s="45" t="n">
        <f aca="false">N953-O953</f>
        <v>660</v>
      </c>
      <c r="Q953" s="45" t="n">
        <f aca="false">IF(D953="Purchase",E953*M953,0)</f>
        <v>0</v>
      </c>
    </row>
    <row r="954" customFormat="false" ht="15" hidden="false" customHeight="false" outlineLevel="0" collapsed="false">
      <c r="A954" s="39" t="s">
        <v>1278</v>
      </c>
      <c r="B954" s="44" t="n">
        <v>46107</v>
      </c>
      <c r="C954" s="39" t="s">
        <v>179</v>
      </c>
      <c r="D954" s="39" t="s">
        <v>137</v>
      </c>
      <c r="E954" s="39" t="n">
        <v>30</v>
      </c>
      <c r="F954" s="39" t="str">
        <f aca="false">IF(COUNTIF(medicine_master!$A$2:$A$26,C954)&gt;0,"Valid","Invalid")</f>
        <v>Valid</v>
      </c>
      <c r="G954" s="39" t="str">
        <f aca="false">IFERROR(INDEX(medicine_master!$B$2:$B$26,MATCH($C954,medicine_master!$A$2:$A$26,0)),"Not found")</f>
        <v>Ibuprofen 400mg</v>
      </c>
      <c r="H954" s="39" t="str">
        <f aca="false">IFERROR(INDEX(medicine_master!$C$2:$C$26,MATCH($C954,medicine_master!$A$2:$A$26,0)),"Not found")</f>
        <v>Pain Relief</v>
      </c>
      <c r="I954" s="39" t="n">
        <f aca="false">YEAR(B954)</f>
        <v>2026</v>
      </c>
      <c r="J954" s="39" t="n">
        <f aca="false">MONTH(B954)</f>
        <v>3</v>
      </c>
      <c r="K954" s="39" t="str">
        <f aca="false">TEXT(B954,"mmm")</f>
        <v>Mar</v>
      </c>
      <c r="L954" s="45" t="n">
        <f aca="false">IFERROR(INDEX(medicine_master!$I$2:$I$26,MATCH($C954,medicine_master!$A$2:$A$26,0)),0)</f>
        <v>30</v>
      </c>
      <c r="M954" s="45" t="n">
        <f aca="false">IFERROR(INDEX(medicine_master!$G$2:$G$26,MATCH($C954,medicine_master!$A$2:$A$26,0)),0)</f>
        <v>22</v>
      </c>
      <c r="N954" s="45" t="n">
        <f aca="false">IF(D954="Sale",E954*L954,0)</f>
        <v>900</v>
      </c>
      <c r="O954" s="45" t="n">
        <f aca="false">IF(D954="Sale",E954*M954,0)</f>
        <v>660</v>
      </c>
      <c r="P954" s="45" t="n">
        <f aca="false">N954-O954</f>
        <v>240</v>
      </c>
      <c r="Q954" s="45" t="n">
        <f aca="false">IF(D954="Purchase",E954*M954,0)</f>
        <v>0</v>
      </c>
    </row>
    <row r="955" customFormat="false" ht="15" hidden="false" customHeight="false" outlineLevel="0" collapsed="false">
      <c r="A955" s="39" t="s">
        <v>1279</v>
      </c>
      <c r="B955" s="44" t="n">
        <v>46116</v>
      </c>
      <c r="C955" s="39" t="s">
        <v>321</v>
      </c>
      <c r="D955" s="39" t="s">
        <v>137</v>
      </c>
      <c r="E955" s="39" t="n">
        <v>15</v>
      </c>
      <c r="F955" s="39" t="str">
        <f aca="false">IF(COUNTIF(medicine_master!$A$2:$A$26,C955)&gt;0,"Valid","Invalid")</f>
        <v>Valid</v>
      </c>
      <c r="G955" s="39" t="str">
        <f aca="false">IFERROR(INDEX(medicine_master!$B$2:$B$26,MATCH($C955,medicine_master!$A$2:$A$26,0)),"Not found")</f>
        <v>Levocetirizine 5mg</v>
      </c>
      <c r="H955" s="39" t="str">
        <f aca="false">IFERROR(INDEX(medicine_master!$C$2:$C$26,MATCH($C955,medicine_master!$A$2:$A$26,0)),"Not found")</f>
        <v>Allergy</v>
      </c>
      <c r="I955" s="39" t="n">
        <f aca="false">YEAR(B955)</f>
        <v>2026</v>
      </c>
      <c r="J955" s="39" t="n">
        <f aca="false">MONTH(B955)</f>
        <v>4</v>
      </c>
      <c r="K955" s="39" t="str">
        <f aca="false">TEXT(B955,"mmm")</f>
        <v>Apr</v>
      </c>
      <c r="L955" s="45" t="n">
        <f aca="false">IFERROR(INDEX(medicine_master!$I$2:$I$26,MATCH($C955,medicine_master!$A$2:$A$26,0)),0)</f>
        <v>22</v>
      </c>
      <c r="M955" s="45" t="n">
        <f aca="false">IFERROR(INDEX(medicine_master!$G$2:$G$26,MATCH($C955,medicine_master!$A$2:$A$26,0)),0)</f>
        <v>14</v>
      </c>
      <c r="N955" s="45" t="n">
        <f aca="false">IF(D955="Sale",E955*L955,0)</f>
        <v>330</v>
      </c>
      <c r="O955" s="45" t="n">
        <f aca="false">IF(D955="Sale",E955*M955,0)</f>
        <v>210</v>
      </c>
      <c r="P955" s="45" t="n">
        <f aca="false">N955-O955</f>
        <v>120</v>
      </c>
      <c r="Q955" s="45" t="n">
        <f aca="false">IF(D955="Purchase",E955*M955,0)</f>
        <v>0</v>
      </c>
    </row>
    <row r="956" customFormat="false" ht="15" hidden="false" customHeight="false" outlineLevel="0" collapsed="false">
      <c r="A956" s="39" t="s">
        <v>1280</v>
      </c>
      <c r="B956" s="44" t="n">
        <v>46148</v>
      </c>
      <c r="C956" s="39" t="s">
        <v>495</v>
      </c>
      <c r="D956" s="39" t="s">
        <v>137</v>
      </c>
      <c r="E956" s="39" t="n">
        <v>40</v>
      </c>
      <c r="F956" s="39" t="str">
        <f aca="false">IF(COUNTIF(medicine_master!$A$2:$A$26,C956)&gt;0,"Valid","Invalid")</f>
        <v>Valid</v>
      </c>
      <c r="G956" s="39" t="str">
        <f aca="false">IFERROR(INDEX(medicine_master!$B$2:$B$26,MATCH($C956,medicine_master!$A$2:$A$26,0)),"Not found")</f>
        <v>Metformin 500mg</v>
      </c>
      <c r="H956" s="39" t="str">
        <f aca="false">IFERROR(INDEX(medicine_master!$C$2:$C$26,MATCH($C956,medicine_master!$A$2:$A$26,0)),"Not found")</f>
        <v>Diabetes</v>
      </c>
      <c r="I956" s="39" t="n">
        <f aca="false">YEAR(B956)</f>
        <v>2026</v>
      </c>
      <c r="J956" s="39" t="n">
        <f aca="false">MONTH(B956)</f>
        <v>5</v>
      </c>
      <c r="K956" s="39" t="str">
        <f aca="false">TEXT(B956,"mmm")</f>
        <v>May</v>
      </c>
      <c r="L956" s="45" t="n">
        <f aca="false">IFERROR(INDEX(medicine_master!$I$2:$I$26,MATCH($C956,medicine_master!$A$2:$A$26,0)),0)</f>
        <v>24</v>
      </c>
      <c r="M956" s="45" t="n">
        <f aca="false">IFERROR(INDEX(medicine_master!$G$2:$G$26,MATCH($C956,medicine_master!$A$2:$A$26,0)),0)</f>
        <v>16</v>
      </c>
      <c r="N956" s="45" t="n">
        <f aca="false">IF(D956="Sale",E956*L956,0)</f>
        <v>960</v>
      </c>
      <c r="O956" s="45" t="n">
        <f aca="false">IF(D956="Sale",E956*M956,0)</f>
        <v>640</v>
      </c>
      <c r="P956" s="45" t="n">
        <f aca="false">N956-O956</f>
        <v>320</v>
      </c>
      <c r="Q956" s="45" t="n">
        <f aca="false">IF(D956="Purchase",E956*M956,0)</f>
        <v>0</v>
      </c>
    </row>
    <row r="957" customFormat="false" ht="15" hidden="false" customHeight="false" outlineLevel="0" collapsed="false">
      <c r="A957" s="39" t="s">
        <v>1281</v>
      </c>
      <c r="B957" s="44" t="n">
        <v>46144</v>
      </c>
      <c r="C957" s="39" t="s">
        <v>150</v>
      </c>
      <c r="D957" s="39" t="s">
        <v>137</v>
      </c>
      <c r="E957" s="39" t="n">
        <v>25</v>
      </c>
      <c r="F957" s="39" t="str">
        <f aca="false">IF(COUNTIF(medicine_master!$A$2:$A$26,C957)&gt;0,"Valid","Invalid")</f>
        <v>Valid</v>
      </c>
      <c r="G957" s="39" t="str">
        <f aca="false">IFERROR(INDEX(medicine_master!$B$2:$B$26,MATCH($C957,medicine_master!$A$2:$A$26,0)),"Not found")</f>
        <v>Pantoprazole 40mg</v>
      </c>
      <c r="H957" s="39" t="str">
        <f aca="false">IFERROR(INDEX(medicine_master!$C$2:$C$26,MATCH($C957,medicine_master!$A$2:$A$26,0)),"Not found")</f>
        <v>Gastric</v>
      </c>
      <c r="I957" s="39" t="n">
        <f aca="false">YEAR(B957)</f>
        <v>2026</v>
      </c>
      <c r="J957" s="39" t="n">
        <f aca="false">MONTH(B957)</f>
        <v>5</v>
      </c>
      <c r="K957" s="39" t="str">
        <f aca="false">TEXT(B957,"mmm")</f>
        <v>May</v>
      </c>
      <c r="L957" s="45" t="n">
        <f aca="false">IFERROR(INDEX(medicine_master!$I$2:$I$26,MATCH($C957,medicine_master!$A$2:$A$26,0)),0)</f>
        <v>35</v>
      </c>
      <c r="M957" s="45" t="n">
        <f aca="false">IFERROR(INDEX(medicine_master!$G$2:$G$26,MATCH($C957,medicine_master!$A$2:$A$26,0)),0)</f>
        <v>24</v>
      </c>
      <c r="N957" s="45" t="n">
        <f aca="false">IF(D957="Sale",E957*L957,0)</f>
        <v>875</v>
      </c>
      <c r="O957" s="45" t="n">
        <f aca="false">IF(D957="Sale",E957*M957,0)</f>
        <v>600</v>
      </c>
      <c r="P957" s="45" t="n">
        <f aca="false">N957-O957</f>
        <v>275</v>
      </c>
      <c r="Q957" s="45" t="n">
        <f aca="false">IF(D957="Purchase",E957*M957,0)</f>
        <v>0</v>
      </c>
    </row>
    <row r="958" customFormat="false" ht="15" hidden="false" customHeight="false" outlineLevel="0" collapsed="false">
      <c r="A958" s="39" t="s">
        <v>1282</v>
      </c>
      <c r="B958" s="44" t="n">
        <v>46184</v>
      </c>
      <c r="C958" s="39" t="s">
        <v>326</v>
      </c>
      <c r="D958" s="39" t="s">
        <v>138</v>
      </c>
      <c r="E958" s="39" t="n">
        <v>15</v>
      </c>
      <c r="F958" s="39" t="str">
        <f aca="false">IF(COUNTIF(medicine_master!$A$2:$A$26,C958)&gt;0,"Valid","Invalid")</f>
        <v>Valid</v>
      </c>
      <c r="G958" s="39" t="str">
        <f aca="false">IFERROR(INDEX(medicine_master!$B$2:$B$26,MATCH($C958,medicine_master!$A$2:$A$26,0)),"Not found")</f>
        <v>Omeprazole 20mg</v>
      </c>
      <c r="H958" s="39" t="str">
        <f aca="false">IFERROR(INDEX(medicine_master!$C$2:$C$26,MATCH($C958,medicine_master!$A$2:$A$26,0)),"Not found")</f>
        <v>Gastric</v>
      </c>
      <c r="I958" s="39" t="n">
        <f aca="false">YEAR(B958)</f>
        <v>2026</v>
      </c>
      <c r="J958" s="39" t="n">
        <f aca="false">MONTH(B958)</f>
        <v>6</v>
      </c>
      <c r="K958" s="39" t="str">
        <f aca="false">TEXT(B958,"mmm")</f>
        <v>Jun</v>
      </c>
      <c r="L958" s="45" t="n">
        <f aca="false">IFERROR(INDEX(medicine_master!$I$2:$I$26,MATCH($C958,medicine_master!$A$2:$A$26,0)),0)</f>
        <v>26</v>
      </c>
      <c r="M958" s="45" t="n">
        <f aca="false">IFERROR(INDEX(medicine_master!$G$2:$G$26,MATCH($C958,medicine_master!$A$2:$A$26,0)),0)</f>
        <v>18</v>
      </c>
      <c r="N958" s="45" t="n">
        <f aca="false">IF(D958="Sale",E958*L958,0)</f>
        <v>0</v>
      </c>
      <c r="O958" s="45" t="n">
        <f aca="false">IF(D958="Sale",E958*M958,0)</f>
        <v>0</v>
      </c>
      <c r="P958" s="45" t="n">
        <f aca="false">N958-O958</f>
        <v>0</v>
      </c>
      <c r="Q958" s="45" t="n">
        <f aca="false">IF(D958="Purchase",E958*M958,0)</f>
        <v>270</v>
      </c>
    </row>
    <row r="959" customFormat="false" ht="15" hidden="false" customHeight="false" outlineLevel="0" collapsed="false">
      <c r="A959" s="39" t="s">
        <v>1283</v>
      </c>
      <c r="B959" s="44" t="n">
        <v>46189</v>
      </c>
      <c r="C959" s="39" t="s">
        <v>148</v>
      </c>
      <c r="D959" s="39" t="s">
        <v>138</v>
      </c>
      <c r="E959" s="39" t="n">
        <v>15</v>
      </c>
      <c r="F959" s="39" t="str">
        <f aca="false">IF(COUNTIF(medicine_master!$A$2:$A$26,C959)&gt;0,"Valid","Invalid")</f>
        <v>Valid</v>
      </c>
      <c r="G959" s="39" t="str">
        <f aca="false">IFERROR(INDEX(medicine_master!$B$2:$B$26,MATCH($C959,medicine_master!$A$2:$A$26,0)),"Not found")</f>
        <v>Dextromethorphan Syrup</v>
      </c>
      <c r="H959" s="39" t="str">
        <f aca="false">IFERROR(INDEX(medicine_master!$C$2:$C$26,MATCH($C959,medicine_master!$A$2:$A$26,0)),"Not found")</f>
        <v>Cold &amp; Cough</v>
      </c>
      <c r="I959" s="39" t="n">
        <f aca="false">YEAR(B959)</f>
        <v>2026</v>
      </c>
      <c r="J959" s="39" t="n">
        <f aca="false">MONTH(B959)</f>
        <v>6</v>
      </c>
      <c r="K959" s="39" t="str">
        <f aca="false">TEXT(B959,"mmm")</f>
        <v>Jun</v>
      </c>
      <c r="L959" s="45" t="n">
        <f aca="false">IFERROR(INDEX(medicine_master!$I$2:$I$26,MATCH($C959,medicine_master!$A$2:$A$26,0)),0)</f>
        <v>80</v>
      </c>
      <c r="M959" s="45" t="n">
        <f aca="false">IFERROR(INDEX(medicine_master!$G$2:$G$26,MATCH($C959,medicine_master!$A$2:$A$26,0)),0)</f>
        <v>58</v>
      </c>
      <c r="N959" s="45" t="n">
        <f aca="false">IF(D959="Sale",E959*L959,0)</f>
        <v>0</v>
      </c>
      <c r="O959" s="45" t="n">
        <f aca="false">IF(D959="Sale",E959*M959,0)</f>
        <v>0</v>
      </c>
      <c r="P959" s="45" t="n">
        <f aca="false">N959-O959</f>
        <v>0</v>
      </c>
      <c r="Q959" s="45" t="n">
        <f aca="false">IF(D959="Purchase",E959*M959,0)</f>
        <v>870</v>
      </c>
    </row>
    <row r="960" customFormat="false" ht="15" hidden="false" customHeight="false" outlineLevel="0" collapsed="false">
      <c r="A960" s="39" t="s">
        <v>1284</v>
      </c>
      <c r="B960" s="44" t="n">
        <v>46140</v>
      </c>
      <c r="C960" s="39" t="s">
        <v>159</v>
      </c>
      <c r="D960" s="39" t="s">
        <v>137</v>
      </c>
      <c r="E960" s="39" t="n">
        <v>25</v>
      </c>
      <c r="F960" s="39" t="str">
        <f aca="false">IF(COUNTIF(medicine_master!$A$2:$A$26,C960)&gt;0,"Valid","Invalid")</f>
        <v>Valid</v>
      </c>
      <c r="G960" s="39" t="str">
        <f aca="false">IFERROR(INDEX(medicine_master!$B$2:$B$26,MATCH($C960,medicine_master!$A$2:$A$26,0)),"Not found")</f>
        <v>Antiseptic Liquid 100ml</v>
      </c>
      <c r="H960" s="39" t="str">
        <f aca="false">IFERROR(INDEX(medicine_master!$C$2:$C$26,MATCH($C960,medicine_master!$A$2:$A$26,0)),"Not found")</f>
        <v>First Aid</v>
      </c>
      <c r="I960" s="39" t="n">
        <f aca="false">YEAR(B960)</f>
        <v>2026</v>
      </c>
      <c r="J960" s="39" t="n">
        <f aca="false">MONTH(B960)</f>
        <v>4</v>
      </c>
      <c r="K960" s="39" t="str">
        <f aca="false">TEXT(B960,"mmm")</f>
        <v>Apr</v>
      </c>
      <c r="L960" s="45" t="n">
        <f aca="false">IFERROR(INDEX(medicine_master!$I$2:$I$26,MATCH($C960,medicine_master!$A$2:$A$26,0)),0)</f>
        <v>65</v>
      </c>
      <c r="M960" s="45" t="n">
        <f aca="false">IFERROR(INDEX(medicine_master!$G$2:$G$26,MATCH($C960,medicine_master!$A$2:$A$26,0)),0)</f>
        <v>48</v>
      </c>
      <c r="N960" s="45" t="n">
        <f aca="false">IF(D960="Sale",E960*L960,0)</f>
        <v>1625</v>
      </c>
      <c r="O960" s="45" t="n">
        <f aca="false">IF(D960="Sale",E960*M960,0)</f>
        <v>1200</v>
      </c>
      <c r="P960" s="45" t="n">
        <f aca="false">N960-O960</f>
        <v>425</v>
      </c>
      <c r="Q960" s="45" t="n">
        <f aca="false">IF(D960="Purchase",E960*M960,0)</f>
        <v>0</v>
      </c>
    </row>
    <row r="961" customFormat="false" ht="15" hidden="false" customHeight="false" outlineLevel="0" collapsed="false">
      <c r="A961" s="39" t="s">
        <v>1285</v>
      </c>
      <c r="B961" s="44" t="n">
        <v>46385</v>
      </c>
      <c r="C961" s="39" t="s">
        <v>326</v>
      </c>
      <c r="D961" s="39" t="s">
        <v>137</v>
      </c>
      <c r="E961" s="39" t="n">
        <v>20</v>
      </c>
      <c r="F961" s="39" t="str">
        <f aca="false">IF(COUNTIF(medicine_master!$A$2:$A$26,C961)&gt;0,"Valid","Invalid")</f>
        <v>Valid</v>
      </c>
      <c r="G961" s="39" t="str">
        <f aca="false">IFERROR(INDEX(medicine_master!$B$2:$B$26,MATCH($C961,medicine_master!$A$2:$A$26,0)),"Not found")</f>
        <v>Omeprazole 20mg</v>
      </c>
      <c r="H961" s="39" t="str">
        <f aca="false">IFERROR(INDEX(medicine_master!$C$2:$C$26,MATCH($C961,medicine_master!$A$2:$A$26,0)),"Not found")</f>
        <v>Gastric</v>
      </c>
      <c r="I961" s="39" t="n">
        <f aca="false">YEAR(B961)</f>
        <v>2026</v>
      </c>
      <c r="J961" s="39" t="n">
        <f aca="false">MONTH(B961)</f>
        <v>12</v>
      </c>
      <c r="K961" s="39" t="str">
        <f aca="false">TEXT(B961,"mmm")</f>
        <v>Dec</v>
      </c>
      <c r="L961" s="45" t="n">
        <f aca="false">IFERROR(INDEX(medicine_master!$I$2:$I$26,MATCH($C961,medicine_master!$A$2:$A$26,0)),0)</f>
        <v>26</v>
      </c>
      <c r="M961" s="45" t="n">
        <f aca="false">IFERROR(INDEX(medicine_master!$G$2:$G$26,MATCH($C961,medicine_master!$A$2:$A$26,0)),0)</f>
        <v>18</v>
      </c>
      <c r="N961" s="45" t="n">
        <f aca="false">IF(D961="Sale",E961*L961,0)</f>
        <v>520</v>
      </c>
      <c r="O961" s="45" t="n">
        <f aca="false">IF(D961="Sale",E961*M961,0)</f>
        <v>360</v>
      </c>
      <c r="P961" s="45" t="n">
        <f aca="false">N961-O961</f>
        <v>160</v>
      </c>
      <c r="Q961" s="45" t="n">
        <f aca="false">IF(D961="Purchase",E961*M961,0)</f>
        <v>0</v>
      </c>
    </row>
    <row r="962" customFormat="false" ht="15" hidden="false" customHeight="false" outlineLevel="0" collapsed="false">
      <c r="A962" s="39" t="s">
        <v>1286</v>
      </c>
      <c r="B962" s="44" t="n">
        <v>46041</v>
      </c>
      <c r="C962" s="39" t="s">
        <v>151</v>
      </c>
      <c r="D962" s="39" t="s">
        <v>137</v>
      </c>
      <c r="E962" s="39" t="n">
        <v>30</v>
      </c>
      <c r="F962" s="39" t="str">
        <f aca="false">IF(COUNTIF(medicine_master!$A$2:$A$26,C962)&gt;0,"Valid","Invalid")</f>
        <v>Valid</v>
      </c>
      <c r="G962" s="39" t="str">
        <f aca="false">IFERROR(INDEX(medicine_master!$B$2:$B$26,MATCH($C962,medicine_master!$A$2:$A$26,0)),"Not found")</f>
        <v>Cetirizine 10mg</v>
      </c>
      <c r="H962" s="39" t="str">
        <f aca="false">IFERROR(INDEX(medicine_master!$C$2:$C$26,MATCH($C962,medicine_master!$A$2:$A$26,0)),"Not found")</f>
        <v>Allergy</v>
      </c>
      <c r="I962" s="39" t="n">
        <f aca="false">YEAR(B962)</f>
        <v>2026</v>
      </c>
      <c r="J962" s="39" t="n">
        <f aca="false">MONTH(B962)</f>
        <v>1</v>
      </c>
      <c r="K962" s="39" t="str">
        <f aca="false">TEXT(B962,"mmm")</f>
        <v>Jan</v>
      </c>
      <c r="L962" s="45" t="n">
        <f aca="false">IFERROR(INDEX(medicine_master!$I$2:$I$26,MATCH($C962,medicine_master!$A$2:$A$26,0)),0)</f>
        <v>13</v>
      </c>
      <c r="M962" s="45" t="n">
        <f aca="false">IFERROR(INDEX(medicine_master!$G$2:$G$26,MATCH($C962,medicine_master!$A$2:$A$26,0)),0)</f>
        <v>8</v>
      </c>
      <c r="N962" s="45" t="n">
        <f aca="false">IF(D962="Sale",E962*L962,0)</f>
        <v>390</v>
      </c>
      <c r="O962" s="45" t="n">
        <f aca="false">IF(D962="Sale",E962*M962,0)</f>
        <v>240</v>
      </c>
      <c r="P962" s="45" t="n">
        <f aca="false">N962-O962</f>
        <v>150</v>
      </c>
      <c r="Q962" s="45" t="n">
        <f aca="false">IF(D962="Purchase",E962*M962,0)</f>
        <v>0</v>
      </c>
    </row>
    <row r="963" customFormat="false" ht="15" hidden="false" customHeight="false" outlineLevel="0" collapsed="false">
      <c r="A963" s="39" t="s">
        <v>1287</v>
      </c>
      <c r="B963" s="44" t="n">
        <v>46376</v>
      </c>
      <c r="C963" s="39" t="s">
        <v>404</v>
      </c>
      <c r="D963" s="39" t="s">
        <v>137</v>
      </c>
      <c r="E963" s="39" t="n">
        <v>25</v>
      </c>
      <c r="F963" s="39" t="str">
        <f aca="false">IF(COUNTIF(medicine_master!$A$2:$A$26,C963)&gt;0,"Valid","Invalid")</f>
        <v>Valid</v>
      </c>
      <c r="G963" s="39" t="str">
        <f aca="false">IFERROR(INDEX(medicine_master!$B$2:$B$26,MATCH($C963,medicine_master!$A$2:$A$26,0)),"Not found")</f>
        <v>ORS Sachet</v>
      </c>
      <c r="H963" s="39" t="str">
        <f aca="false">IFERROR(INDEX(medicine_master!$C$2:$C$26,MATCH($C963,medicine_master!$A$2:$A$26,0)),"Not found")</f>
        <v>First Aid</v>
      </c>
      <c r="I963" s="39" t="n">
        <f aca="false">YEAR(B963)</f>
        <v>2026</v>
      </c>
      <c r="J963" s="39" t="n">
        <f aca="false">MONTH(B963)</f>
        <v>12</v>
      </c>
      <c r="K963" s="39" t="str">
        <f aca="false">TEXT(B963,"mmm")</f>
        <v>Dec</v>
      </c>
      <c r="L963" s="45" t="n">
        <f aca="false">IFERROR(INDEX(medicine_master!$I$2:$I$26,MATCH($C963,medicine_master!$A$2:$A$26,0)),0)</f>
        <v>10</v>
      </c>
      <c r="M963" s="45" t="n">
        <f aca="false">IFERROR(INDEX(medicine_master!$G$2:$G$26,MATCH($C963,medicine_master!$A$2:$A$26,0)),0)</f>
        <v>6</v>
      </c>
      <c r="N963" s="45" t="n">
        <f aca="false">IF(D963="Sale",E963*L963,0)</f>
        <v>250</v>
      </c>
      <c r="O963" s="45" t="n">
        <f aca="false">IF(D963="Sale",E963*M963,0)</f>
        <v>150</v>
      </c>
      <c r="P963" s="45" t="n">
        <f aca="false">N963-O963</f>
        <v>100</v>
      </c>
      <c r="Q963" s="45" t="n">
        <f aca="false">IF(D963="Purchase",E963*M963,0)</f>
        <v>0</v>
      </c>
    </row>
    <row r="964" customFormat="false" ht="15" hidden="false" customHeight="false" outlineLevel="0" collapsed="false">
      <c r="A964" s="39" t="s">
        <v>1288</v>
      </c>
      <c r="B964" s="44" t="n">
        <v>46115</v>
      </c>
      <c r="C964" s="39" t="s">
        <v>177</v>
      </c>
      <c r="D964" s="39" t="s">
        <v>137</v>
      </c>
      <c r="E964" s="39" t="n">
        <v>25</v>
      </c>
      <c r="F964" s="39" t="str">
        <f aca="false">IF(COUNTIF(medicine_master!$A$2:$A$26,C964)&gt;0,"Valid","Invalid")</f>
        <v>Valid</v>
      </c>
      <c r="G964" s="39" t="str">
        <f aca="false">IFERROR(INDEX(medicine_master!$B$2:$B$26,MATCH($C964,medicine_master!$A$2:$A$26,0)),"Not found")</f>
        <v>Bandage Roll</v>
      </c>
      <c r="H964" s="39" t="str">
        <f aca="false">IFERROR(INDEX(medicine_master!$C$2:$C$26,MATCH($C964,medicine_master!$A$2:$A$26,0)),"Not found")</f>
        <v>First Aid</v>
      </c>
      <c r="I964" s="39" t="n">
        <f aca="false">YEAR(B964)</f>
        <v>2026</v>
      </c>
      <c r="J964" s="39" t="n">
        <f aca="false">MONTH(B964)</f>
        <v>4</v>
      </c>
      <c r="K964" s="39" t="str">
        <f aca="false">TEXT(B964,"mmm")</f>
        <v>Apr</v>
      </c>
      <c r="L964" s="45" t="n">
        <f aca="false">IFERROR(INDEX(medicine_master!$I$2:$I$26,MATCH($C964,medicine_master!$A$2:$A$26,0)),0)</f>
        <v>25</v>
      </c>
      <c r="M964" s="45" t="n">
        <f aca="false">IFERROR(INDEX(medicine_master!$G$2:$G$26,MATCH($C964,medicine_master!$A$2:$A$26,0)),0)</f>
        <v>15</v>
      </c>
      <c r="N964" s="45" t="n">
        <f aca="false">IF(D964="Sale",E964*L964,0)</f>
        <v>625</v>
      </c>
      <c r="O964" s="45" t="n">
        <f aca="false">IF(D964="Sale",E964*M964,0)</f>
        <v>375</v>
      </c>
      <c r="P964" s="45" t="n">
        <f aca="false">N964-O964</f>
        <v>250</v>
      </c>
      <c r="Q964" s="45" t="n">
        <f aca="false">IF(D964="Purchase",E964*M964,0)</f>
        <v>0</v>
      </c>
    </row>
    <row r="965" customFormat="false" ht="15" hidden="false" customHeight="false" outlineLevel="0" collapsed="false">
      <c r="A965" s="39" t="s">
        <v>1289</v>
      </c>
      <c r="B965" s="44" t="n">
        <v>46267</v>
      </c>
      <c r="C965" s="39" t="s">
        <v>180</v>
      </c>
      <c r="D965" s="39" t="s">
        <v>138</v>
      </c>
      <c r="E965" s="39" t="n">
        <v>25</v>
      </c>
      <c r="F965" s="39" t="str">
        <f aca="false">IF(COUNTIF(medicine_master!$A$2:$A$26,C965)&gt;0,"Valid","Invalid")</f>
        <v>Valid</v>
      </c>
      <c r="G965" s="39" t="str">
        <f aca="false">IFERROR(INDEX(medicine_master!$B$2:$B$26,MATCH($C965,medicine_master!$A$2:$A$26,0)),"Not found")</f>
        <v>Vitamin C 500mg</v>
      </c>
      <c r="H965" s="39" t="str">
        <f aca="false">IFERROR(INDEX(medicine_master!$C$2:$C$26,MATCH($C965,medicine_master!$A$2:$A$26,0)),"Not found")</f>
        <v>Vitamin</v>
      </c>
      <c r="I965" s="39" t="n">
        <f aca="false">YEAR(B965)</f>
        <v>2026</v>
      </c>
      <c r="J965" s="39" t="n">
        <f aca="false">MONTH(B965)</f>
        <v>9</v>
      </c>
      <c r="K965" s="39" t="str">
        <f aca="false">TEXT(B965,"mmm")</f>
        <v>Sep</v>
      </c>
      <c r="L965" s="45" t="n">
        <f aca="false">IFERROR(INDEX(medicine_master!$I$2:$I$26,MATCH($C965,medicine_master!$A$2:$A$26,0)),0)</f>
        <v>22</v>
      </c>
      <c r="M965" s="45" t="n">
        <f aca="false">IFERROR(INDEX(medicine_master!$G$2:$G$26,MATCH($C965,medicine_master!$A$2:$A$26,0)),0)</f>
        <v>14</v>
      </c>
      <c r="N965" s="45" t="n">
        <f aca="false">IF(D965="Sale",E965*L965,0)</f>
        <v>0</v>
      </c>
      <c r="O965" s="45" t="n">
        <f aca="false">IF(D965="Sale",E965*M965,0)</f>
        <v>0</v>
      </c>
      <c r="P965" s="45" t="n">
        <f aca="false">N965-O965</f>
        <v>0</v>
      </c>
      <c r="Q965" s="45" t="n">
        <f aca="false">IF(D965="Purchase",E965*M965,0)</f>
        <v>350</v>
      </c>
    </row>
    <row r="966" customFormat="false" ht="15" hidden="false" customHeight="false" outlineLevel="0" collapsed="false">
      <c r="A966" s="39" t="s">
        <v>1290</v>
      </c>
      <c r="B966" s="44" t="n">
        <v>46093</v>
      </c>
      <c r="C966" s="39" t="s">
        <v>167</v>
      </c>
      <c r="D966" s="39" t="s">
        <v>137</v>
      </c>
      <c r="E966" s="39" t="n">
        <v>40</v>
      </c>
      <c r="F966" s="39" t="str">
        <f aca="false">IF(COUNTIF(medicine_master!$A$2:$A$26,C966)&gt;0,"Valid","Invalid")</f>
        <v>Valid</v>
      </c>
      <c r="G966" s="39" t="str">
        <f aca="false">IFERROR(INDEX(medicine_master!$B$2:$B$26,MATCH($C966,medicine_master!$A$2:$A$26,0)),"Not found")</f>
        <v>Amlodipine 5mg</v>
      </c>
      <c r="H966" s="39" t="str">
        <f aca="false">IFERROR(INDEX(medicine_master!$C$2:$C$26,MATCH($C966,medicine_master!$A$2:$A$26,0)),"Not found")</f>
        <v>Cardiac</v>
      </c>
      <c r="I966" s="39" t="n">
        <f aca="false">YEAR(B966)</f>
        <v>2026</v>
      </c>
      <c r="J966" s="39" t="n">
        <f aca="false">MONTH(B966)</f>
        <v>3</v>
      </c>
      <c r="K966" s="39" t="str">
        <f aca="false">TEXT(B966,"mmm")</f>
        <v>Mar</v>
      </c>
      <c r="L966" s="45" t="n">
        <f aca="false">IFERROR(INDEX(medicine_master!$I$2:$I$26,MATCH($C966,medicine_master!$A$2:$A$26,0)),0)</f>
        <v>19</v>
      </c>
      <c r="M966" s="45" t="n">
        <f aca="false">IFERROR(INDEX(medicine_master!$G$2:$G$26,MATCH($C966,medicine_master!$A$2:$A$26,0)),0)</f>
        <v>13</v>
      </c>
      <c r="N966" s="45" t="n">
        <f aca="false">IF(D966="Sale",E966*L966,0)</f>
        <v>760</v>
      </c>
      <c r="O966" s="45" t="n">
        <f aca="false">IF(D966="Sale",E966*M966,0)</f>
        <v>520</v>
      </c>
      <c r="P966" s="45" t="n">
        <f aca="false">N966-O966</f>
        <v>240</v>
      </c>
      <c r="Q966" s="45" t="n">
        <f aca="false">IF(D966="Purchase",E966*M966,0)</f>
        <v>0</v>
      </c>
    </row>
    <row r="967" customFormat="false" ht="15" hidden="false" customHeight="false" outlineLevel="0" collapsed="false">
      <c r="A967" s="39" t="s">
        <v>1291</v>
      </c>
      <c r="B967" s="44" t="n">
        <v>46029</v>
      </c>
      <c r="C967" s="39" t="s">
        <v>145</v>
      </c>
      <c r="D967" s="39" t="s">
        <v>137</v>
      </c>
      <c r="E967" s="39" t="n">
        <v>30</v>
      </c>
      <c r="F967" s="39" t="str">
        <f aca="false">IF(COUNTIF(medicine_master!$A$2:$A$26,C967)&gt;0,"Valid","Invalid")</f>
        <v>Valid</v>
      </c>
      <c r="G967" s="39" t="str">
        <f aca="false">IFERROR(INDEX(medicine_master!$B$2:$B$26,MATCH($C967,medicine_master!$A$2:$A$26,0)),"Not found")</f>
        <v>Clotrimazole Cream</v>
      </c>
      <c r="H967" s="39" t="str">
        <f aca="false">IFERROR(INDEX(medicine_master!$C$2:$C$26,MATCH($C967,medicine_master!$A$2:$A$26,0)),"Not found")</f>
        <v>Dermatology</v>
      </c>
      <c r="I967" s="39" t="n">
        <f aca="false">YEAR(B967)</f>
        <v>2026</v>
      </c>
      <c r="J967" s="39" t="n">
        <f aca="false">MONTH(B967)</f>
        <v>1</v>
      </c>
      <c r="K967" s="39" t="str">
        <f aca="false">TEXT(B967,"mmm")</f>
        <v>Jan</v>
      </c>
      <c r="L967" s="45" t="n">
        <f aca="false">IFERROR(INDEX(medicine_master!$I$2:$I$26,MATCH($C967,medicine_master!$A$2:$A$26,0)),0)</f>
        <v>48</v>
      </c>
      <c r="M967" s="45" t="n">
        <f aca="false">IFERROR(INDEX(medicine_master!$G$2:$G$26,MATCH($C967,medicine_master!$A$2:$A$26,0)),0)</f>
        <v>32</v>
      </c>
      <c r="N967" s="45" t="n">
        <f aca="false">IF(D967="Sale",E967*L967,0)</f>
        <v>1440</v>
      </c>
      <c r="O967" s="45" t="n">
        <f aca="false">IF(D967="Sale",E967*M967,0)</f>
        <v>960</v>
      </c>
      <c r="P967" s="45" t="n">
        <f aca="false">N967-O967</f>
        <v>480</v>
      </c>
      <c r="Q967" s="45" t="n">
        <f aca="false">IF(D967="Purchase",E967*M967,0)</f>
        <v>0</v>
      </c>
    </row>
    <row r="968" customFormat="false" ht="15" hidden="false" customHeight="false" outlineLevel="0" collapsed="false">
      <c r="A968" s="39" t="s">
        <v>1292</v>
      </c>
      <c r="B968" s="44" t="n">
        <v>46084</v>
      </c>
      <c r="C968" s="39" t="s">
        <v>145</v>
      </c>
      <c r="D968" s="39" t="s">
        <v>137</v>
      </c>
      <c r="E968" s="39" t="n">
        <v>25</v>
      </c>
      <c r="F968" s="39" t="str">
        <f aca="false">IF(COUNTIF(medicine_master!$A$2:$A$26,C968)&gt;0,"Valid","Invalid")</f>
        <v>Valid</v>
      </c>
      <c r="G968" s="39" t="str">
        <f aca="false">IFERROR(INDEX(medicine_master!$B$2:$B$26,MATCH($C968,medicine_master!$A$2:$A$26,0)),"Not found")</f>
        <v>Clotrimazole Cream</v>
      </c>
      <c r="H968" s="39" t="str">
        <f aca="false">IFERROR(INDEX(medicine_master!$C$2:$C$26,MATCH($C968,medicine_master!$A$2:$A$26,0)),"Not found")</f>
        <v>Dermatology</v>
      </c>
      <c r="I968" s="39" t="n">
        <f aca="false">YEAR(B968)</f>
        <v>2026</v>
      </c>
      <c r="J968" s="39" t="n">
        <f aca="false">MONTH(B968)</f>
        <v>3</v>
      </c>
      <c r="K968" s="39" t="str">
        <f aca="false">TEXT(B968,"mmm")</f>
        <v>Mar</v>
      </c>
      <c r="L968" s="45" t="n">
        <f aca="false">IFERROR(INDEX(medicine_master!$I$2:$I$26,MATCH($C968,medicine_master!$A$2:$A$26,0)),0)</f>
        <v>48</v>
      </c>
      <c r="M968" s="45" t="n">
        <f aca="false">IFERROR(INDEX(medicine_master!$G$2:$G$26,MATCH($C968,medicine_master!$A$2:$A$26,0)),0)</f>
        <v>32</v>
      </c>
      <c r="N968" s="45" t="n">
        <f aca="false">IF(D968="Sale",E968*L968,0)</f>
        <v>1200</v>
      </c>
      <c r="O968" s="45" t="n">
        <f aca="false">IF(D968="Sale",E968*M968,0)</f>
        <v>800</v>
      </c>
      <c r="P968" s="45" t="n">
        <f aca="false">N968-O968</f>
        <v>400</v>
      </c>
      <c r="Q968" s="45" t="n">
        <f aca="false">IF(D968="Purchase",E968*M968,0)</f>
        <v>0</v>
      </c>
    </row>
    <row r="969" customFormat="false" ht="15" hidden="false" customHeight="false" outlineLevel="0" collapsed="false">
      <c r="A969" s="39" t="s">
        <v>1293</v>
      </c>
      <c r="B969" s="44" t="n">
        <v>46229</v>
      </c>
      <c r="C969" s="39" t="s">
        <v>390</v>
      </c>
      <c r="D969" s="39" t="s">
        <v>138</v>
      </c>
      <c r="E969" s="39" t="n">
        <v>30</v>
      </c>
      <c r="F969" s="39" t="str">
        <f aca="false">IF(COUNTIF(medicine_master!$A$2:$A$26,C969)&gt;0,"Valid","Invalid")</f>
        <v>Valid</v>
      </c>
      <c r="G969" s="39" t="str">
        <f aca="false">IFERROR(INDEX(medicine_master!$B$2:$B$26,MATCH($C969,medicine_master!$A$2:$A$26,0)),"Not found")</f>
        <v>Montelukast 10mg</v>
      </c>
      <c r="H969" s="39" t="str">
        <f aca="false">IFERROR(INDEX(medicine_master!$C$2:$C$26,MATCH($C969,medicine_master!$A$2:$A$26,0)),"Not found")</f>
        <v>Allergy</v>
      </c>
      <c r="I969" s="39" t="n">
        <f aca="false">YEAR(B969)</f>
        <v>2026</v>
      </c>
      <c r="J969" s="39" t="n">
        <f aca="false">MONTH(B969)</f>
        <v>7</v>
      </c>
      <c r="K969" s="39" t="str">
        <f aca="false">TEXT(B969,"mmm")</f>
        <v>Jul</v>
      </c>
      <c r="L969" s="45" t="n">
        <f aca="false">IFERROR(INDEX(medicine_master!$I$2:$I$26,MATCH($C969,medicine_master!$A$2:$A$26,0)),0)</f>
        <v>39</v>
      </c>
      <c r="M969" s="45" t="n">
        <f aca="false">IFERROR(INDEX(medicine_master!$G$2:$G$26,MATCH($C969,medicine_master!$A$2:$A$26,0)),0)</f>
        <v>27</v>
      </c>
      <c r="N969" s="45" t="n">
        <f aca="false">IF(D969="Sale",E969*L969,0)</f>
        <v>0</v>
      </c>
      <c r="O969" s="45" t="n">
        <f aca="false">IF(D969="Sale",E969*M969,0)</f>
        <v>0</v>
      </c>
      <c r="P969" s="45" t="n">
        <f aca="false">N969-O969</f>
        <v>0</v>
      </c>
      <c r="Q969" s="45" t="n">
        <f aca="false">IF(D969="Purchase",E969*M969,0)</f>
        <v>810</v>
      </c>
    </row>
    <row r="970" customFormat="false" ht="15" hidden="false" customHeight="false" outlineLevel="0" collapsed="false">
      <c r="A970" s="39" t="s">
        <v>1294</v>
      </c>
      <c r="B970" s="44" t="n">
        <v>46166</v>
      </c>
      <c r="C970" s="39" t="s">
        <v>178</v>
      </c>
      <c r="D970" s="39" t="s">
        <v>137</v>
      </c>
      <c r="E970" s="39" t="n">
        <v>25</v>
      </c>
      <c r="F970" s="39" t="str">
        <f aca="false">IF(COUNTIF(medicine_master!$A$2:$A$26,C970)&gt;0,"Valid","Invalid")</f>
        <v>Valid</v>
      </c>
      <c r="G970" s="39" t="str">
        <f aca="false">IFERROR(INDEX(medicine_master!$B$2:$B$26,MATCH($C970,medicine_master!$A$2:$A$26,0)),"Not found")</f>
        <v>Aspirin 75mg</v>
      </c>
      <c r="H970" s="39" t="str">
        <f aca="false">IFERROR(INDEX(medicine_master!$C$2:$C$26,MATCH($C970,medicine_master!$A$2:$A$26,0)),"Not found")</f>
        <v>Cardiac</v>
      </c>
      <c r="I970" s="39" t="n">
        <f aca="false">YEAR(B970)</f>
        <v>2026</v>
      </c>
      <c r="J970" s="39" t="n">
        <f aca="false">MONTH(B970)</f>
        <v>5</v>
      </c>
      <c r="K970" s="39" t="str">
        <f aca="false">TEXT(B970,"mmm")</f>
        <v>May</v>
      </c>
      <c r="L970" s="45" t="n">
        <f aca="false">IFERROR(INDEX(medicine_master!$I$2:$I$26,MATCH($C970,medicine_master!$A$2:$A$26,0)),0)</f>
        <v>15</v>
      </c>
      <c r="M970" s="45" t="n">
        <f aca="false">IFERROR(INDEX(medicine_master!$G$2:$G$26,MATCH($C970,medicine_master!$A$2:$A$26,0)),0)</f>
        <v>10</v>
      </c>
      <c r="N970" s="45" t="n">
        <f aca="false">IF(D970="Sale",E970*L970,0)</f>
        <v>375</v>
      </c>
      <c r="O970" s="45" t="n">
        <f aca="false">IF(D970="Sale",E970*M970,0)</f>
        <v>250</v>
      </c>
      <c r="P970" s="45" t="n">
        <f aca="false">N970-O970</f>
        <v>125</v>
      </c>
      <c r="Q970" s="45" t="n">
        <f aca="false">IF(D970="Purchase",E970*M970,0)</f>
        <v>0</v>
      </c>
    </row>
    <row r="971" customFormat="false" ht="15" hidden="false" customHeight="false" outlineLevel="0" collapsed="false">
      <c r="A971" s="39" t="s">
        <v>1295</v>
      </c>
      <c r="B971" s="44" t="n">
        <v>46334</v>
      </c>
      <c r="C971" s="39" t="s">
        <v>345</v>
      </c>
      <c r="D971" s="39" t="s">
        <v>137</v>
      </c>
      <c r="E971" s="39" t="n">
        <v>40</v>
      </c>
      <c r="F971" s="39" t="str">
        <f aca="false">IF(COUNTIF(medicine_master!$A$2:$A$26,C971)&gt;0,"Valid","Invalid")</f>
        <v>Valid</v>
      </c>
      <c r="G971" s="39" t="str">
        <f aca="false">IFERROR(INDEX(medicine_master!$B$2:$B$26,MATCH($C971,medicine_master!$A$2:$A$26,0)),"Not found")</f>
        <v>Paracetamol 500mg</v>
      </c>
      <c r="H971" s="39" t="str">
        <f aca="false">IFERROR(INDEX(medicine_master!$C$2:$C$26,MATCH($C971,medicine_master!$A$2:$A$26,0)),"Not found")</f>
        <v>Pain Relief</v>
      </c>
      <c r="I971" s="39" t="n">
        <f aca="false">YEAR(B971)</f>
        <v>2026</v>
      </c>
      <c r="J971" s="39" t="n">
        <f aca="false">MONTH(B971)</f>
        <v>11</v>
      </c>
      <c r="K971" s="39" t="str">
        <f aca="false">TEXT(B971,"mmm")</f>
        <v>Nov</v>
      </c>
      <c r="L971" s="45" t="n">
        <f aca="false">IFERROR(INDEX(medicine_master!$I$2:$I$26,MATCH($C971,medicine_master!$A$2:$A$26,0)),0)</f>
        <v>18</v>
      </c>
      <c r="M971" s="45" t="n">
        <f aca="false">IFERROR(INDEX(medicine_master!$G$2:$G$26,MATCH($C971,medicine_master!$A$2:$A$26,0)),0)</f>
        <v>12</v>
      </c>
      <c r="N971" s="45" t="n">
        <f aca="false">IF(D971="Sale",E971*L971,0)</f>
        <v>720</v>
      </c>
      <c r="O971" s="45" t="n">
        <f aca="false">IF(D971="Sale",E971*M971,0)</f>
        <v>480</v>
      </c>
      <c r="P971" s="45" t="n">
        <f aca="false">N971-O971</f>
        <v>240</v>
      </c>
      <c r="Q971" s="45" t="n">
        <f aca="false">IF(D971="Purchase",E971*M971,0)</f>
        <v>0</v>
      </c>
    </row>
    <row r="972" customFormat="false" ht="15" hidden="false" customHeight="false" outlineLevel="0" collapsed="false">
      <c r="A972" s="39" t="s">
        <v>1296</v>
      </c>
      <c r="B972" s="44" t="n">
        <v>46386</v>
      </c>
      <c r="C972" s="39" t="s">
        <v>404</v>
      </c>
      <c r="D972" s="39" t="s">
        <v>138</v>
      </c>
      <c r="E972" s="39" t="n">
        <v>20</v>
      </c>
      <c r="F972" s="39" t="str">
        <f aca="false">IF(COUNTIF(medicine_master!$A$2:$A$26,C972)&gt;0,"Valid","Invalid")</f>
        <v>Valid</v>
      </c>
      <c r="G972" s="39" t="str">
        <f aca="false">IFERROR(INDEX(medicine_master!$B$2:$B$26,MATCH($C972,medicine_master!$A$2:$A$26,0)),"Not found")</f>
        <v>ORS Sachet</v>
      </c>
      <c r="H972" s="39" t="str">
        <f aca="false">IFERROR(INDEX(medicine_master!$C$2:$C$26,MATCH($C972,medicine_master!$A$2:$A$26,0)),"Not found")</f>
        <v>First Aid</v>
      </c>
      <c r="I972" s="39" t="n">
        <f aca="false">YEAR(B972)</f>
        <v>2026</v>
      </c>
      <c r="J972" s="39" t="n">
        <f aca="false">MONTH(B972)</f>
        <v>12</v>
      </c>
      <c r="K972" s="39" t="str">
        <f aca="false">TEXT(B972,"mmm")</f>
        <v>Dec</v>
      </c>
      <c r="L972" s="45" t="n">
        <f aca="false">IFERROR(INDEX(medicine_master!$I$2:$I$26,MATCH($C972,medicine_master!$A$2:$A$26,0)),0)</f>
        <v>10</v>
      </c>
      <c r="M972" s="45" t="n">
        <f aca="false">IFERROR(INDEX(medicine_master!$G$2:$G$26,MATCH($C972,medicine_master!$A$2:$A$26,0)),0)</f>
        <v>6</v>
      </c>
      <c r="N972" s="45" t="n">
        <f aca="false">IF(D972="Sale",E972*L972,0)</f>
        <v>0</v>
      </c>
      <c r="O972" s="45" t="n">
        <f aca="false">IF(D972="Sale",E972*M972,0)</f>
        <v>0</v>
      </c>
      <c r="P972" s="45" t="n">
        <f aca="false">N972-O972</f>
        <v>0</v>
      </c>
      <c r="Q972" s="45" t="n">
        <f aca="false">IF(D972="Purchase",E972*M972,0)</f>
        <v>120</v>
      </c>
    </row>
    <row r="973" customFormat="false" ht="15" hidden="false" customHeight="false" outlineLevel="0" collapsed="false">
      <c r="A973" s="39" t="s">
        <v>1297</v>
      </c>
      <c r="B973" s="44" t="n">
        <v>46361</v>
      </c>
      <c r="C973" s="39" t="s">
        <v>404</v>
      </c>
      <c r="D973" s="39" t="s">
        <v>137</v>
      </c>
      <c r="E973" s="39" t="n">
        <v>40</v>
      </c>
      <c r="F973" s="39" t="str">
        <f aca="false">IF(COUNTIF(medicine_master!$A$2:$A$26,C973)&gt;0,"Valid","Invalid")</f>
        <v>Valid</v>
      </c>
      <c r="G973" s="39" t="str">
        <f aca="false">IFERROR(INDEX(medicine_master!$B$2:$B$26,MATCH($C973,medicine_master!$A$2:$A$26,0)),"Not found")</f>
        <v>ORS Sachet</v>
      </c>
      <c r="H973" s="39" t="str">
        <f aca="false">IFERROR(INDEX(medicine_master!$C$2:$C$26,MATCH($C973,medicine_master!$A$2:$A$26,0)),"Not found")</f>
        <v>First Aid</v>
      </c>
      <c r="I973" s="39" t="n">
        <f aca="false">YEAR(B973)</f>
        <v>2026</v>
      </c>
      <c r="J973" s="39" t="n">
        <f aca="false">MONTH(B973)</f>
        <v>12</v>
      </c>
      <c r="K973" s="39" t="str">
        <f aca="false">TEXT(B973,"mmm")</f>
        <v>Dec</v>
      </c>
      <c r="L973" s="45" t="n">
        <f aca="false">IFERROR(INDEX(medicine_master!$I$2:$I$26,MATCH($C973,medicine_master!$A$2:$A$26,0)),0)</f>
        <v>10</v>
      </c>
      <c r="M973" s="45" t="n">
        <f aca="false">IFERROR(INDEX(medicine_master!$G$2:$G$26,MATCH($C973,medicine_master!$A$2:$A$26,0)),0)</f>
        <v>6</v>
      </c>
      <c r="N973" s="45" t="n">
        <f aca="false">IF(D973="Sale",E973*L973,0)</f>
        <v>400</v>
      </c>
      <c r="O973" s="45" t="n">
        <f aca="false">IF(D973="Sale",E973*M973,0)</f>
        <v>240</v>
      </c>
      <c r="P973" s="45" t="n">
        <f aca="false">N973-O973</f>
        <v>160</v>
      </c>
      <c r="Q973" s="45" t="n">
        <f aca="false">IF(D973="Purchase",E973*M973,0)</f>
        <v>0</v>
      </c>
    </row>
    <row r="974" customFormat="false" ht="15" hidden="false" customHeight="false" outlineLevel="0" collapsed="false">
      <c r="A974" s="39" t="s">
        <v>1298</v>
      </c>
      <c r="B974" s="44" t="n">
        <v>46161</v>
      </c>
      <c r="C974" s="39" t="s">
        <v>390</v>
      </c>
      <c r="D974" s="39" t="s">
        <v>137</v>
      </c>
      <c r="E974" s="39" t="n">
        <v>25</v>
      </c>
      <c r="F974" s="39" t="str">
        <f aca="false">IF(COUNTIF(medicine_master!$A$2:$A$26,C974)&gt;0,"Valid","Invalid")</f>
        <v>Valid</v>
      </c>
      <c r="G974" s="39" t="str">
        <f aca="false">IFERROR(INDEX(medicine_master!$B$2:$B$26,MATCH($C974,medicine_master!$A$2:$A$26,0)),"Not found")</f>
        <v>Montelukast 10mg</v>
      </c>
      <c r="H974" s="39" t="str">
        <f aca="false">IFERROR(INDEX(medicine_master!$C$2:$C$26,MATCH($C974,medicine_master!$A$2:$A$26,0)),"Not found")</f>
        <v>Allergy</v>
      </c>
      <c r="I974" s="39" t="n">
        <f aca="false">YEAR(B974)</f>
        <v>2026</v>
      </c>
      <c r="J974" s="39" t="n">
        <f aca="false">MONTH(B974)</f>
        <v>5</v>
      </c>
      <c r="K974" s="39" t="str">
        <f aca="false">TEXT(B974,"mmm")</f>
        <v>May</v>
      </c>
      <c r="L974" s="45" t="n">
        <f aca="false">IFERROR(INDEX(medicine_master!$I$2:$I$26,MATCH($C974,medicine_master!$A$2:$A$26,0)),0)</f>
        <v>39</v>
      </c>
      <c r="M974" s="45" t="n">
        <f aca="false">IFERROR(INDEX(medicine_master!$G$2:$G$26,MATCH($C974,medicine_master!$A$2:$A$26,0)),0)</f>
        <v>27</v>
      </c>
      <c r="N974" s="45" t="n">
        <f aca="false">IF(D974="Sale",E974*L974,0)</f>
        <v>975</v>
      </c>
      <c r="O974" s="45" t="n">
        <f aca="false">IF(D974="Sale",E974*M974,0)</f>
        <v>675</v>
      </c>
      <c r="P974" s="45" t="n">
        <f aca="false">N974-O974</f>
        <v>300</v>
      </c>
      <c r="Q974" s="45" t="n">
        <f aca="false">IF(D974="Purchase",E974*M974,0)</f>
        <v>0</v>
      </c>
    </row>
    <row r="975" customFormat="false" ht="15" hidden="false" customHeight="false" outlineLevel="0" collapsed="false">
      <c r="A975" s="39" t="s">
        <v>1299</v>
      </c>
      <c r="B975" s="44" t="n">
        <v>46168</v>
      </c>
      <c r="C975" s="39" t="s">
        <v>404</v>
      </c>
      <c r="D975" s="39" t="s">
        <v>138</v>
      </c>
      <c r="E975" s="39" t="n">
        <v>15</v>
      </c>
      <c r="F975" s="39" t="str">
        <f aca="false">IF(COUNTIF(medicine_master!$A$2:$A$26,C975)&gt;0,"Valid","Invalid")</f>
        <v>Valid</v>
      </c>
      <c r="G975" s="39" t="str">
        <f aca="false">IFERROR(INDEX(medicine_master!$B$2:$B$26,MATCH($C975,medicine_master!$A$2:$A$26,0)),"Not found")</f>
        <v>ORS Sachet</v>
      </c>
      <c r="H975" s="39" t="str">
        <f aca="false">IFERROR(INDEX(medicine_master!$C$2:$C$26,MATCH($C975,medicine_master!$A$2:$A$26,0)),"Not found")</f>
        <v>First Aid</v>
      </c>
      <c r="I975" s="39" t="n">
        <f aca="false">YEAR(B975)</f>
        <v>2026</v>
      </c>
      <c r="J975" s="39" t="n">
        <f aca="false">MONTH(B975)</f>
        <v>5</v>
      </c>
      <c r="K975" s="39" t="str">
        <f aca="false">TEXT(B975,"mmm")</f>
        <v>May</v>
      </c>
      <c r="L975" s="45" t="n">
        <f aca="false">IFERROR(INDEX(medicine_master!$I$2:$I$26,MATCH($C975,medicine_master!$A$2:$A$26,0)),0)</f>
        <v>10</v>
      </c>
      <c r="M975" s="45" t="n">
        <f aca="false">IFERROR(INDEX(medicine_master!$G$2:$G$26,MATCH($C975,medicine_master!$A$2:$A$26,0)),0)</f>
        <v>6</v>
      </c>
      <c r="N975" s="45" t="n">
        <f aca="false">IF(D975="Sale",E975*L975,0)</f>
        <v>0</v>
      </c>
      <c r="O975" s="45" t="n">
        <f aca="false">IF(D975="Sale",E975*M975,0)</f>
        <v>0</v>
      </c>
      <c r="P975" s="45" t="n">
        <f aca="false">N975-O975</f>
        <v>0</v>
      </c>
      <c r="Q975" s="45" t="n">
        <f aca="false">IF(D975="Purchase",E975*M975,0)</f>
        <v>90</v>
      </c>
    </row>
    <row r="976" customFormat="false" ht="15" hidden="false" customHeight="false" outlineLevel="0" collapsed="false">
      <c r="A976" s="39" t="s">
        <v>1300</v>
      </c>
      <c r="B976" s="44" t="n">
        <v>46158</v>
      </c>
      <c r="C976" s="39" t="s">
        <v>321</v>
      </c>
      <c r="D976" s="39" t="s">
        <v>137</v>
      </c>
      <c r="E976" s="39" t="n">
        <v>10</v>
      </c>
      <c r="F976" s="39" t="str">
        <f aca="false">IF(COUNTIF(medicine_master!$A$2:$A$26,C976)&gt;0,"Valid","Invalid")</f>
        <v>Valid</v>
      </c>
      <c r="G976" s="39" t="str">
        <f aca="false">IFERROR(INDEX(medicine_master!$B$2:$B$26,MATCH($C976,medicine_master!$A$2:$A$26,0)),"Not found")</f>
        <v>Levocetirizine 5mg</v>
      </c>
      <c r="H976" s="39" t="str">
        <f aca="false">IFERROR(INDEX(medicine_master!$C$2:$C$26,MATCH($C976,medicine_master!$A$2:$A$26,0)),"Not found")</f>
        <v>Allergy</v>
      </c>
      <c r="I976" s="39" t="n">
        <f aca="false">YEAR(B976)</f>
        <v>2026</v>
      </c>
      <c r="J976" s="39" t="n">
        <f aca="false">MONTH(B976)</f>
        <v>5</v>
      </c>
      <c r="K976" s="39" t="str">
        <f aca="false">TEXT(B976,"mmm")</f>
        <v>May</v>
      </c>
      <c r="L976" s="45" t="n">
        <f aca="false">IFERROR(INDEX(medicine_master!$I$2:$I$26,MATCH($C976,medicine_master!$A$2:$A$26,0)),0)</f>
        <v>22</v>
      </c>
      <c r="M976" s="45" t="n">
        <f aca="false">IFERROR(INDEX(medicine_master!$G$2:$G$26,MATCH($C976,medicine_master!$A$2:$A$26,0)),0)</f>
        <v>14</v>
      </c>
      <c r="N976" s="45" t="n">
        <f aca="false">IF(D976="Sale",E976*L976,0)</f>
        <v>220</v>
      </c>
      <c r="O976" s="45" t="n">
        <f aca="false">IF(D976="Sale",E976*M976,0)</f>
        <v>140</v>
      </c>
      <c r="P976" s="45" t="n">
        <f aca="false">N976-O976</f>
        <v>80</v>
      </c>
      <c r="Q976" s="45" t="n">
        <f aca="false">IF(D976="Purchase",E976*M976,0)</f>
        <v>0</v>
      </c>
    </row>
    <row r="977" customFormat="false" ht="15" hidden="false" customHeight="false" outlineLevel="0" collapsed="false">
      <c r="A977" s="39" t="s">
        <v>1301</v>
      </c>
      <c r="B977" s="44" t="n">
        <v>46382</v>
      </c>
      <c r="C977" s="39" t="s">
        <v>149</v>
      </c>
      <c r="D977" s="39" t="s">
        <v>137</v>
      </c>
      <c r="E977" s="39" t="n">
        <v>25</v>
      </c>
      <c r="F977" s="39" t="str">
        <f aca="false">IF(COUNTIF(medicine_master!$A$2:$A$26,C977)&gt;0,"Valid","Invalid")</f>
        <v>Valid</v>
      </c>
      <c r="G977" s="39" t="str">
        <f aca="false">IFERROR(INDEX(medicine_master!$B$2:$B$26,MATCH($C977,medicine_master!$A$2:$A$26,0)),"Not found")</f>
        <v>Azithromycin 500mg</v>
      </c>
      <c r="H977" s="39" t="str">
        <f aca="false">IFERROR(INDEX(medicine_master!$C$2:$C$26,MATCH($C977,medicine_master!$A$2:$A$26,0)),"Not found")</f>
        <v>Antibiotic</v>
      </c>
      <c r="I977" s="39" t="n">
        <f aca="false">YEAR(B977)</f>
        <v>2026</v>
      </c>
      <c r="J977" s="39" t="n">
        <f aca="false">MONTH(B977)</f>
        <v>12</v>
      </c>
      <c r="K977" s="39" t="str">
        <f aca="false">TEXT(B977,"mmm")</f>
        <v>Dec</v>
      </c>
      <c r="L977" s="45" t="n">
        <f aca="false">IFERROR(INDEX(medicine_master!$I$2:$I$26,MATCH($C977,medicine_master!$A$2:$A$26,0)),0)</f>
        <v>50</v>
      </c>
      <c r="M977" s="45" t="n">
        <f aca="false">IFERROR(INDEX(medicine_master!$G$2:$G$26,MATCH($C977,medicine_master!$A$2:$A$26,0)),0)</f>
        <v>35</v>
      </c>
      <c r="N977" s="45" t="n">
        <f aca="false">IF(D977="Sale",E977*L977,0)</f>
        <v>1250</v>
      </c>
      <c r="O977" s="45" t="n">
        <f aca="false">IF(D977="Sale",E977*M977,0)</f>
        <v>875</v>
      </c>
      <c r="P977" s="45" t="n">
        <f aca="false">N977-O977</f>
        <v>375</v>
      </c>
      <c r="Q977" s="45" t="n">
        <f aca="false">IF(D977="Purchase",E977*M977,0)</f>
        <v>0</v>
      </c>
    </row>
    <row r="978" customFormat="false" ht="15" hidden="false" customHeight="false" outlineLevel="0" collapsed="false">
      <c r="A978" s="39" t="s">
        <v>1302</v>
      </c>
      <c r="B978" s="44" t="n">
        <v>46071</v>
      </c>
      <c r="C978" s="39" t="s">
        <v>167</v>
      </c>
      <c r="D978" s="39" t="s">
        <v>137</v>
      </c>
      <c r="E978" s="39" t="n">
        <v>20</v>
      </c>
      <c r="F978" s="39" t="str">
        <f aca="false">IF(COUNTIF(medicine_master!$A$2:$A$26,C978)&gt;0,"Valid","Invalid")</f>
        <v>Valid</v>
      </c>
      <c r="G978" s="39" t="str">
        <f aca="false">IFERROR(INDEX(medicine_master!$B$2:$B$26,MATCH($C978,medicine_master!$A$2:$A$26,0)),"Not found")</f>
        <v>Amlodipine 5mg</v>
      </c>
      <c r="H978" s="39" t="str">
        <f aca="false">IFERROR(INDEX(medicine_master!$C$2:$C$26,MATCH($C978,medicine_master!$A$2:$A$26,0)),"Not found")</f>
        <v>Cardiac</v>
      </c>
      <c r="I978" s="39" t="n">
        <f aca="false">YEAR(B978)</f>
        <v>2026</v>
      </c>
      <c r="J978" s="39" t="n">
        <f aca="false">MONTH(B978)</f>
        <v>2</v>
      </c>
      <c r="K978" s="39" t="str">
        <f aca="false">TEXT(B978,"mmm")</f>
        <v>Feb</v>
      </c>
      <c r="L978" s="45" t="n">
        <f aca="false">IFERROR(INDEX(medicine_master!$I$2:$I$26,MATCH($C978,medicine_master!$A$2:$A$26,0)),0)</f>
        <v>19</v>
      </c>
      <c r="M978" s="45" t="n">
        <f aca="false">IFERROR(INDEX(medicine_master!$G$2:$G$26,MATCH($C978,medicine_master!$A$2:$A$26,0)),0)</f>
        <v>13</v>
      </c>
      <c r="N978" s="45" t="n">
        <f aca="false">IF(D978="Sale",E978*L978,0)</f>
        <v>380</v>
      </c>
      <c r="O978" s="45" t="n">
        <f aca="false">IF(D978="Sale",E978*M978,0)</f>
        <v>260</v>
      </c>
      <c r="P978" s="45" t="n">
        <f aca="false">N978-O978</f>
        <v>120</v>
      </c>
      <c r="Q978" s="45" t="n">
        <f aca="false">IF(D978="Purchase",E978*M978,0)</f>
        <v>0</v>
      </c>
    </row>
    <row r="979" customFormat="false" ht="15" hidden="false" customHeight="false" outlineLevel="0" collapsed="false">
      <c r="A979" s="39" t="s">
        <v>1303</v>
      </c>
      <c r="B979" s="44" t="n">
        <v>46357</v>
      </c>
      <c r="C979" s="39" t="s">
        <v>146</v>
      </c>
      <c r="D979" s="39" t="s">
        <v>137</v>
      </c>
      <c r="E979" s="39" t="n">
        <v>25</v>
      </c>
      <c r="F979" s="39" t="str">
        <f aca="false">IF(COUNTIF(medicine_master!$A$2:$A$26,C979)&gt;0,"Valid","Invalid")</f>
        <v>Valid</v>
      </c>
      <c r="G979" s="39" t="str">
        <f aca="false">IFERROR(INDEX(medicine_master!$B$2:$B$26,MATCH($C979,medicine_master!$A$2:$A$26,0)),"Not found")</f>
        <v>Diclofenac Gel</v>
      </c>
      <c r="H979" s="39" t="str">
        <f aca="false">IFERROR(INDEX(medicine_master!$C$2:$C$26,MATCH($C979,medicine_master!$A$2:$A$26,0)),"Not found")</f>
        <v>Pain Relief</v>
      </c>
      <c r="I979" s="39" t="n">
        <f aca="false">YEAR(B979)</f>
        <v>2026</v>
      </c>
      <c r="J979" s="39" t="n">
        <f aca="false">MONTH(B979)</f>
        <v>12</v>
      </c>
      <c r="K979" s="39" t="str">
        <f aca="false">TEXT(B979,"mmm")</f>
        <v>Dec</v>
      </c>
      <c r="L979" s="45" t="n">
        <f aca="false">IFERROR(INDEX(medicine_master!$I$2:$I$26,MATCH($C979,medicine_master!$A$2:$A$26,0)),0)</f>
        <v>55</v>
      </c>
      <c r="M979" s="45" t="n">
        <f aca="false">IFERROR(INDEX(medicine_master!$G$2:$G$26,MATCH($C979,medicine_master!$A$2:$A$26,0)),0)</f>
        <v>38</v>
      </c>
      <c r="N979" s="45" t="n">
        <f aca="false">IF(D979="Sale",E979*L979,0)</f>
        <v>1375</v>
      </c>
      <c r="O979" s="45" t="n">
        <f aca="false">IF(D979="Sale",E979*M979,0)</f>
        <v>950</v>
      </c>
      <c r="P979" s="45" t="n">
        <f aca="false">N979-O979</f>
        <v>425</v>
      </c>
      <c r="Q979" s="45" t="n">
        <f aca="false">IF(D979="Purchase",E979*M979,0)</f>
        <v>0</v>
      </c>
    </row>
    <row r="980" customFormat="false" ht="15" hidden="false" customHeight="false" outlineLevel="0" collapsed="false">
      <c r="A980" s="39" t="s">
        <v>1304</v>
      </c>
      <c r="B980" s="44" t="n">
        <v>46243</v>
      </c>
      <c r="C980" s="39" t="s">
        <v>151</v>
      </c>
      <c r="D980" s="39" t="s">
        <v>138</v>
      </c>
      <c r="E980" s="39" t="n">
        <v>15</v>
      </c>
      <c r="F980" s="39" t="str">
        <f aca="false">IF(COUNTIF(medicine_master!$A$2:$A$26,C980)&gt;0,"Valid","Invalid")</f>
        <v>Valid</v>
      </c>
      <c r="G980" s="39" t="str">
        <f aca="false">IFERROR(INDEX(medicine_master!$B$2:$B$26,MATCH($C980,medicine_master!$A$2:$A$26,0)),"Not found")</f>
        <v>Cetirizine 10mg</v>
      </c>
      <c r="H980" s="39" t="str">
        <f aca="false">IFERROR(INDEX(medicine_master!$C$2:$C$26,MATCH($C980,medicine_master!$A$2:$A$26,0)),"Not found")</f>
        <v>Allergy</v>
      </c>
      <c r="I980" s="39" t="n">
        <f aca="false">YEAR(B980)</f>
        <v>2026</v>
      </c>
      <c r="J980" s="39" t="n">
        <f aca="false">MONTH(B980)</f>
        <v>8</v>
      </c>
      <c r="K980" s="39" t="str">
        <f aca="false">TEXT(B980,"mmm")</f>
        <v>Aug</v>
      </c>
      <c r="L980" s="45" t="n">
        <f aca="false">IFERROR(INDEX(medicine_master!$I$2:$I$26,MATCH($C980,medicine_master!$A$2:$A$26,0)),0)</f>
        <v>13</v>
      </c>
      <c r="M980" s="45" t="n">
        <f aca="false">IFERROR(INDEX(medicine_master!$G$2:$G$26,MATCH($C980,medicine_master!$A$2:$A$26,0)),0)</f>
        <v>8</v>
      </c>
      <c r="N980" s="45" t="n">
        <f aca="false">IF(D980="Sale",E980*L980,0)</f>
        <v>0</v>
      </c>
      <c r="O980" s="45" t="n">
        <f aca="false">IF(D980="Sale",E980*M980,0)</f>
        <v>0</v>
      </c>
      <c r="P980" s="45" t="n">
        <f aca="false">N980-O980</f>
        <v>0</v>
      </c>
      <c r="Q980" s="45" t="n">
        <f aca="false">IF(D980="Purchase",E980*M980,0)</f>
        <v>120</v>
      </c>
    </row>
    <row r="981" customFormat="false" ht="15" hidden="false" customHeight="false" outlineLevel="0" collapsed="false">
      <c r="A981" s="39" t="s">
        <v>1305</v>
      </c>
      <c r="B981" s="44" t="n">
        <v>46342</v>
      </c>
      <c r="C981" s="39" t="s">
        <v>157</v>
      </c>
      <c r="D981" s="39" t="s">
        <v>138</v>
      </c>
      <c r="E981" s="39" t="n">
        <v>20</v>
      </c>
      <c r="F981" s="39" t="str">
        <f aca="false">IF(COUNTIF(medicine_master!$A$2:$A$26,C981)&gt;0,"Valid","Invalid")</f>
        <v>Valid</v>
      </c>
      <c r="G981" s="39" t="str">
        <f aca="false">IFERROR(INDEX(medicine_master!$B$2:$B$26,MATCH($C981,medicine_master!$A$2:$A$26,0)),"Not found")</f>
        <v>Multivitamin Tablets</v>
      </c>
      <c r="H981" s="39" t="str">
        <f aca="false">IFERROR(INDEX(medicine_master!$C$2:$C$26,MATCH($C981,medicine_master!$A$2:$A$26,0)),"Not found")</f>
        <v>Vitamin</v>
      </c>
      <c r="I981" s="39" t="n">
        <f aca="false">YEAR(B981)</f>
        <v>2026</v>
      </c>
      <c r="J981" s="39" t="n">
        <f aca="false">MONTH(B981)</f>
        <v>11</v>
      </c>
      <c r="K981" s="39" t="str">
        <f aca="false">TEXT(B981,"mmm")</f>
        <v>Nov</v>
      </c>
      <c r="L981" s="45" t="n">
        <f aca="false">IFERROR(INDEX(medicine_master!$I$2:$I$26,MATCH($C981,medicine_master!$A$2:$A$26,0)),0)</f>
        <v>105</v>
      </c>
      <c r="M981" s="45" t="n">
        <f aca="false">IFERROR(INDEX(medicine_master!$G$2:$G$26,MATCH($C981,medicine_master!$A$2:$A$26,0)),0)</f>
        <v>72</v>
      </c>
      <c r="N981" s="45" t="n">
        <f aca="false">IF(D981="Sale",E981*L981,0)</f>
        <v>0</v>
      </c>
      <c r="O981" s="45" t="n">
        <f aca="false">IF(D981="Sale",E981*M981,0)</f>
        <v>0</v>
      </c>
      <c r="P981" s="45" t="n">
        <f aca="false">N981-O981</f>
        <v>0</v>
      </c>
      <c r="Q981" s="45" t="n">
        <f aca="false">IF(D981="Purchase",E981*M981,0)</f>
        <v>1440</v>
      </c>
    </row>
    <row r="982" customFormat="false" ht="15" hidden="false" customHeight="false" outlineLevel="0" collapsed="false">
      <c r="A982" s="39" t="s">
        <v>1306</v>
      </c>
      <c r="B982" s="44" t="n">
        <v>46082</v>
      </c>
      <c r="C982" s="39" t="s">
        <v>146</v>
      </c>
      <c r="D982" s="39" t="s">
        <v>138</v>
      </c>
      <c r="E982" s="39" t="n">
        <v>15</v>
      </c>
      <c r="F982" s="39" t="str">
        <f aca="false">IF(COUNTIF(medicine_master!$A$2:$A$26,C982)&gt;0,"Valid","Invalid")</f>
        <v>Valid</v>
      </c>
      <c r="G982" s="39" t="str">
        <f aca="false">IFERROR(INDEX(medicine_master!$B$2:$B$26,MATCH($C982,medicine_master!$A$2:$A$26,0)),"Not found")</f>
        <v>Diclofenac Gel</v>
      </c>
      <c r="H982" s="39" t="str">
        <f aca="false">IFERROR(INDEX(medicine_master!$C$2:$C$26,MATCH($C982,medicine_master!$A$2:$A$26,0)),"Not found")</f>
        <v>Pain Relief</v>
      </c>
      <c r="I982" s="39" t="n">
        <f aca="false">YEAR(B982)</f>
        <v>2026</v>
      </c>
      <c r="J982" s="39" t="n">
        <f aca="false">MONTH(B982)</f>
        <v>3</v>
      </c>
      <c r="K982" s="39" t="str">
        <f aca="false">TEXT(B982,"mmm")</f>
        <v>Mar</v>
      </c>
      <c r="L982" s="45" t="n">
        <f aca="false">IFERROR(INDEX(medicine_master!$I$2:$I$26,MATCH($C982,medicine_master!$A$2:$A$26,0)),0)</f>
        <v>55</v>
      </c>
      <c r="M982" s="45" t="n">
        <f aca="false">IFERROR(INDEX(medicine_master!$G$2:$G$26,MATCH($C982,medicine_master!$A$2:$A$26,0)),0)</f>
        <v>38</v>
      </c>
      <c r="N982" s="45" t="n">
        <f aca="false">IF(D982="Sale",E982*L982,0)</f>
        <v>0</v>
      </c>
      <c r="O982" s="45" t="n">
        <f aca="false">IF(D982="Sale",E982*M982,0)</f>
        <v>0</v>
      </c>
      <c r="P982" s="45" t="n">
        <f aca="false">N982-O982</f>
        <v>0</v>
      </c>
      <c r="Q982" s="45" t="n">
        <f aca="false">IF(D982="Purchase",E982*M982,0)</f>
        <v>570</v>
      </c>
    </row>
    <row r="983" customFormat="false" ht="15" hidden="false" customHeight="false" outlineLevel="0" collapsed="false">
      <c r="A983" s="39" t="s">
        <v>1307</v>
      </c>
      <c r="B983" s="44" t="n">
        <v>46118</v>
      </c>
      <c r="C983" s="39" t="s">
        <v>495</v>
      </c>
      <c r="D983" s="39" t="s">
        <v>137</v>
      </c>
      <c r="E983" s="39" t="n">
        <v>40</v>
      </c>
      <c r="F983" s="39" t="str">
        <f aca="false">IF(COUNTIF(medicine_master!$A$2:$A$26,C983)&gt;0,"Valid","Invalid")</f>
        <v>Valid</v>
      </c>
      <c r="G983" s="39" t="str">
        <f aca="false">IFERROR(INDEX(medicine_master!$B$2:$B$26,MATCH($C983,medicine_master!$A$2:$A$26,0)),"Not found")</f>
        <v>Metformin 500mg</v>
      </c>
      <c r="H983" s="39" t="str">
        <f aca="false">IFERROR(INDEX(medicine_master!$C$2:$C$26,MATCH($C983,medicine_master!$A$2:$A$26,0)),"Not found")</f>
        <v>Diabetes</v>
      </c>
      <c r="I983" s="39" t="n">
        <f aca="false">YEAR(B983)</f>
        <v>2026</v>
      </c>
      <c r="J983" s="39" t="n">
        <f aca="false">MONTH(B983)</f>
        <v>4</v>
      </c>
      <c r="K983" s="39" t="str">
        <f aca="false">TEXT(B983,"mmm")</f>
        <v>Apr</v>
      </c>
      <c r="L983" s="45" t="n">
        <f aca="false">IFERROR(INDEX(medicine_master!$I$2:$I$26,MATCH($C983,medicine_master!$A$2:$A$26,0)),0)</f>
        <v>24</v>
      </c>
      <c r="M983" s="45" t="n">
        <f aca="false">IFERROR(INDEX(medicine_master!$G$2:$G$26,MATCH($C983,medicine_master!$A$2:$A$26,0)),0)</f>
        <v>16</v>
      </c>
      <c r="N983" s="45" t="n">
        <f aca="false">IF(D983="Sale",E983*L983,0)</f>
        <v>960</v>
      </c>
      <c r="O983" s="45" t="n">
        <f aca="false">IF(D983="Sale",E983*M983,0)</f>
        <v>640</v>
      </c>
      <c r="P983" s="45" t="n">
        <f aca="false">N983-O983</f>
        <v>320</v>
      </c>
      <c r="Q983" s="45" t="n">
        <f aca="false">IF(D983="Purchase",E983*M983,0)</f>
        <v>0</v>
      </c>
    </row>
    <row r="984" customFormat="false" ht="15" hidden="false" customHeight="false" outlineLevel="0" collapsed="false">
      <c r="A984" s="39" t="s">
        <v>1308</v>
      </c>
      <c r="B984" s="44" t="n">
        <v>46370</v>
      </c>
      <c r="C984" s="39" t="s">
        <v>179</v>
      </c>
      <c r="D984" s="39" t="s">
        <v>137</v>
      </c>
      <c r="E984" s="39" t="n">
        <v>25</v>
      </c>
      <c r="F984" s="39" t="str">
        <f aca="false">IF(COUNTIF(medicine_master!$A$2:$A$26,C984)&gt;0,"Valid","Invalid")</f>
        <v>Valid</v>
      </c>
      <c r="G984" s="39" t="str">
        <f aca="false">IFERROR(INDEX(medicine_master!$B$2:$B$26,MATCH($C984,medicine_master!$A$2:$A$26,0)),"Not found")</f>
        <v>Ibuprofen 400mg</v>
      </c>
      <c r="H984" s="39" t="str">
        <f aca="false">IFERROR(INDEX(medicine_master!$C$2:$C$26,MATCH($C984,medicine_master!$A$2:$A$26,0)),"Not found")</f>
        <v>Pain Relief</v>
      </c>
      <c r="I984" s="39" t="n">
        <f aca="false">YEAR(B984)</f>
        <v>2026</v>
      </c>
      <c r="J984" s="39" t="n">
        <f aca="false">MONTH(B984)</f>
        <v>12</v>
      </c>
      <c r="K984" s="39" t="str">
        <f aca="false">TEXT(B984,"mmm")</f>
        <v>Dec</v>
      </c>
      <c r="L984" s="45" t="n">
        <f aca="false">IFERROR(INDEX(medicine_master!$I$2:$I$26,MATCH($C984,medicine_master!$A$2:$A$26,0)),0)</f>
        <v>30</v>
      </c>
      <c r="M984" s="45" t="n">
        <f aca="false">IFERROR(INDEX(medicine_master!$G$2:$G$26,MATCH($C984,medicine_master!$A$2:$A$26,0)),0)</f>
        <v>22</v>
      </c>
      <c r="N984" s="45" t="n">
        <f aca="false">IF(D984="Sale",E984*L984,0)</f>
        <v>750</v>
      </c>
      <c r="O984" s="45" t="n">
        <f aca="false">IF(D984="Sale",E984*M984,0)</f>
        <v>550</v>
      </c>
      <c r="P984" s="45" t="n">
        <f aca="false">N984-O984</f>
        <v>200</v>
      </c>
      <c r="Q984" s="45" t="n">
        <f aca="false">IF(D984="Purchase",E984*M984,0)</f>
        <v>0</v>
      </c>
    </row>
    <row r="985" customFormat="false" ht="15" hidden="false" customHeight="false" outlineLevel="0" collapsed="false">
      <c r="A985" s="39" t="s">
        <v>1309</v>
      </c>
      <c r="B985" s="44" t="n">
        <v>46158</v>
      </c>
      <c r="C985" s="39" t="s">
        <v>326</v>
      </c>
      <c r="D985" s="39" t="s">
        <v>137</v>
      </c>
      <c r="E985" s="39" t="n">
        <v>30</v>
      </c>
      <c r="F985" s="39" t="str">
        <f aca="false">IF(COUNTIF(medicine_master!$A$2:$A$26,C985)&gt;0,"Valid","Invalid")</f>
        <v>Valid</v>
      </c>
      <c r="G985" s="39" t="str">
        <f aca="false">IFERROR(INDEX(medicine_master!$B$2:$B$26,MATCH($C985,medicine_master!$A$2:$A$26,0)),"Not found")</f>
        <v>Omeprazole 20mg</v>
      </c>
      <c r="H985" s="39" t="str">
        <f aca="false">IFERROR(INDEX(medicine_master!$C$2:$C$26,MATCH($C985,medicine_master!$A$2:$A$26,0)),"Not found")</f>
        <v>Gastric</v>
      </c>
      <c r="I985" s="39" t="n">
        <f aca="false">YEAR(B985)</f>
        <v>2026</v>
      </c>
      <c r="J985" s="39" t="n">
        <f aca="false">MONTH(B985)</f>
        <v>5</v>
      </c>
      <c r="K985" s="39" t="str">
        <f aca="false">TEXT(B985,"mmm")</f>
        <v>May</v>
      </c>
      <c r="L985" s="45" t="n">
        <f aca="false">IFERROR(INDEX(medicine_master!$I$2:$I$26,MATCH($C985,medicine_master!$A$2:$A$26,0)),0)</f>
        <v>26</v>
      </c>
      <c r="M985" s="45" t="n">
        <f aca="false">IFERROR(INDEX(medicine_master!$G$2:$G$26,MATCH($C985,medicine_master!$A$2:$A$26,0)),0)</f>
        <v>18</v>
      </c>
      <c r="N985" s="45" t="n">
        <f aca="false">IF(D985="Sale",E985*L985,0)</f>
        <v>780</v>
      </c>
      <c r="O985" s="45" t="n">
        <f aca="false">IF(D985="Sale",E985*M985,0)</f>
        <v>540</v>
      </c>
      <c r="P985" s="45" t="n">
        <f aca="false">N985-O985</f>
        <v>240</v>
      </c>
      <c r="Q985" s="45" t="n">
        <f aca="false">IF(D985="Purchase",E985*M985,0)</f>
        <v>0</v>
      </c>
    </row>
    <row r="986" customFormat="false" ht="15" hidden="false" customHeight="false" outlineLevel="0" collapsed="false">
      <c r="A986" s="39" t="s">
        <v>1310</v>
      </c>
      <c r="B986" s="44" t="n">
        <v>46340</v>
      </c>
      <c r="C986" s="39" t="s">
        <v>180</v>
      </c>
      <c r="D986" s="39" t="s">
        <v>137</v>
      </c>
      <c r="E986" s="39" t="n">
        <v>30</v>
      </c>
      <c r="F986" s="39" t="str">
        <f aca="false">IF(COUNTIF(medicine_master!$A$2:$A$26,C986)&gt;0,"Valid","Invalid")</f>
        <v>Valid</v>
      </c>
      <c r="G986" s="39" t="str">
        <f aca="false">IFERROR(INDEX(medicine_master!$B$2:$B$26,MATCH($C986,medicine_master!$A$2:$A$26,0)),"Not found")</f>
        <v>Vitamin C 500mg</v>
      </c>
      <c r="H986" s="39" t="str">
        <f aca="false">IFERROR(INDEX(medicine_master!$C$2:$C$26,MATCH($C986,medicine_master!$A$2:$A$26,0)),"Not found")</f>
        <v>Vitamin</v>
      </c>
      <c r="I986" s="39" t="n">
        <f aca="false">YEAR(B986)</f>
        <v>2026</v>
      </c>
      <c r="J986" s="39" t="n">
        <f aca="false">MONTH(B986)</f>
        <v>11</v>
      </c>
      <c r="K986" s="39" t="str">
        <f aca="false">TEXT(B986,"mmm")</f>
        <v>Nov</v>
      </c>
      <c r="L986" s="45" t="n">
        <f aca="false">IFERROR(INDEX(medicine_master!$I$2:$I$26,MATCH($C986,medicine_master!$A$2:$A$26,0)),0)</f>
        <v>22</v>
      </c>
      <c r="M986" s="45" t="n">
        <f aca="false">IFERROR(INDEX(medicine_master!$G$2:$G$26,MATCH($C986,medicine_master!$A$2:$A$26,0)),0)</f>
        <v>14</v>
      </c>
      <c r="N986" s="45" t="n">
        <f aca="false">IF(D986="Sale",E986*L986,0)</f>
        <v>660</v>
      </c>
      <c r="O986" s="45" t="n">
        <f aca="false">IF(D986="Sale",E986*M986,0)</f>
        <v>420</v>
      </c>
      <c r="P986" s="45" t="n">
        <f aca="false">N986-O986</f>
        <v>240</v>
      </c>
      <c r="Q986" s="45" t="n">
        <f aca="false">IF(D986="Purchase",E986*M986,0)</f>
        <v>0</v>
      </c>
    </row>
    <row r="987" customFormat="false" ht="15" hidden="false" customHeight="false" outlineLevel="0" collapsed="false">
      <c r="A987" s="39" t="s">
        <v>1311</v>
      </c>
      <c r="B987" s="44" t="n">
        <v>46377</v>
      </c>
      <c r="C987" s="39" t="s">
        <v>152</v>
      </c>
      <c r="D987" s="39" t="s">
        <v>138</v>
      </c>
      <c r="E987" s="39" t="n">
        <v>30</v>
      </c>
      <c r="F987" s="39" t="str">
        <f aca="false">IF(COUNTIF(medicine_master!$A$2:$A$26,C987)&gt;0,"Valid","Invalid")</f>
        <v>Valid</v>
      </c>
      <c r="G987" s="39" t="str">
        <f aca="false">IFERROR(INDEX(medicine_master!$B$2:$B$26,MATCH($C987,medicine_master!$A$2:$A$26,0)),"Not found")</f>
        <v>Amoxicillin 500mg</v>
      </c>
      <c r="H987" s="39" t="str">
        <f aca="false">IFERROR(INDEX(medicine_master!$C$2:$C$26,MATCH($C987,medicine_master!$A$2:$A$26,0)),"Not found")</f>
        <v>Antibiotic</v>
      </c>
      <c r="I987" s="39" t="n">
        <f aca="false">YEAR(B987)</f>
        <v>2026</v>
      </c>
      <c r="J987" s="39" t="n">
        <f aca="false">MONTH(B987)</f>
        <v>12</v>
      </c>
      <c r="K987" s="39" t="str">
        <f aca="false">TEXT(B987,"mmm")</f>
        <v>Dec</v>
      </c>
      <c r="L987" s="45" t="n">
        <f aca="false">IFERROR(INDEX(medicine_master!$I$2:$I$26,MATCH($C987,medicine_master!$A$2:$A$26,0)),0)</f>
        <v>40</v>
      </c>
      <c r="M987" s="45" t="n">
        <f aca="false">IFERROR(INDEX(medicine_master!$G$2:$G$26,MATCH($C987,medicine_master!$A$2:$A$26,0)),0)</f>
        <v>28</v>
      </c>
      <c r="N987" s="45" t="n">
        <f aca="false">IF(D987="Sale",E987*L987,0)</f>
        <v>0</v>
      </c>
      <c r="O987" s="45" t="n">
        <f aca="false">IF(D987="Sale",E987*M987,0)</f>
        <v>0</v>
      </c>
      <c r="P987" s="45" t="n">
        <f aca="false">N987-O987</f>
        <v>0</v>
      </c>
      <c r="Q987" s="45" t="n">
        <f aca="false">IF(D987="Purchase",E987*M987,0)</f>
        <v>840</v>
      </c>
    </row>
    <row r="988" customFormat="false" ht="15" hidden="false" customHeight="false" outlineLevel="0" collapsed="false">
      <c r="A988" s="39" t="s">
        <v>1312</v>
      </c>
      <c r="B988" s="44" t="n">
        <v>46081</v>
      </c>
      <c r="C988" s="39" t="s">
        <v>180</v>
      </c>
      <c r="D988" s="39" t="s">
        <v>137</v>
      </c>
      <c r="E988" s="39" t="n">
        <v>15</v>
      </c>
      <c r="F988" s="39" t="str">
        <f aca="false">IF(COUNTIF(medicine_master!$A$2:$A$26,C988)&gt;0,"Valid","Invalid")</f>
        <v>Valid</v>
      </c>
      <c r="G988" s="39" t="str">
        <f aca="false">IFERROR(INDEX(medicine_master!$B$2:$B$26,MATCH($C988,medicine_master!$A$2:$A$26,0)),"Not found")</f>
        <v>Vitamin C 500mg</v>
      </c>
      <c r="H988" s="39" t="str">
        <f aca="false">IFERROR(INDEX(medicine_master!$C$2:$C$26,MATCH($C988,medicine_master!$A$2:$A$26,0)),"Not found")</f>
        <v>Vitamin</v>
      </c>
      <c r="I988" s="39" t="n">
        <f aca="false">YEAR(B988)</f>
        <v>2026</v>
      </c>
      <c r="J988" s="39" t="n">
        <f aca="false">MONTH(B988)</f>
        <v>2</v>
      </c>
      <c r="K988" s="39" t="str">
        <f aca="false">TEXT(B988,"mmm")</f>
        <v>Feb</v>
      </c>
      <c r="L988" s="45" t="n">
        <f aca="false">IFERROR(INDEX(medicine_master!$I$2:$I$26,MATCH($C988,medicine_master!$A$2:$A$26,0)),0)</f>
        <v>22</v>
      </c>
      <c r="M988" s="45" t="n">
        <f aca="false">IFERROR(INDEX(medicine_master!$G$2:$G$26,MATCH($C988,medicine_master!$A$2:$A$26,0)),0)</f>
        <v>14</v>
      </c>
      <c r="N988" s="45" t="n">
        <f aca="false">IF(D988="Sale",E988*L988,0)</f>
        <v>330</v>
      </c>
      <c r="O988" s="45" t="n">
        <f aca="false">IF(D988="Sale",E988*M988,0)</f>
        <v>210</v>
      </c>
      <c r="P988" s="45" t="n">
        <f aca="false">N988-O988</f>
        <v>120</v>
      </c>
      <c r="Q988" s="45" t="n">
        <f aca="false">IF(D988="Purchase",E988*M988,0)</f>
        <v>0</v>
      </c>
    </row>
    <row r="989" customFormat="false" ht="15" hidden="false" customHeight="false" outlineLevel="0" collapsed="false">
      <c r="A989" s="39" t="s">
        <v>1313</v>
      </c>
      <c r="B989" s="44" t="n">
        <v>46237</v>
      </c>
      <c r="C989" s="39" t="s">
        <v>151</v>
      </c>
      <c r="D989" s="39" t="s">
        <v>137</v>
      </c>
      <c r="E989" s="39" t="n">
        <v>30</v>
      </c>
      <c r="F989" s="39" t="str">
        <f aca="false">IF(COUNTIF(medicine_master!$A$2:$A$26,C989)&gt;0,"Valid","Invalid")</f>
        <v>Valid</v>
      </c>
      <c r="G989" s="39" t="str">
        <f aca="false">IFERROR(INDEX(medicine_master!$B$2:$B$26,MATCH($C989,medicine_master!$A$2:$A$26,0)),"Not found")</f>
        <v>Cetirizine 10mg</v>
      </c>
      <c r="H989" s="39" t="str">
        <f aca="false">IFERROR(INDEX(medicine_master!$C$2:$C$26,MATCH($C989,medicine_master!$A$2:$A$26,0)),"Not found")</f>
        <v>Allergy</v>
      </c>
      <c r="I989" s="39" t="n">
        <f aca="false">YEAR(B989)</f>
        <v>2026</v>
      </c>
      <c r="J989" s="39" t="n">
        <f aca="false">MONTH(B989)</f>
        <v>8</v>
      </c>
      <c r="K989" s="39" t="str">
        <f aca="false">TEXT(B989,"mmm")</f>
        <v>Aug</v>
      </c>
      <c r="L989" s="45" t="n">
        <f aca="false">IFERROR(INDEX(medicine_master!$I$2:$I$26,MATCH($C989,medicine_master!$A$2:$A$26,0)),0)</f>
        <v>13</v>
      </c>
      <c r="M989" s="45" t="n">
        <f aca="false">IFERROR(INDEX(medicine_master!$G$2:$G$26,MATCH($C989,medicine_master!$A$2:$A$26,0)),0)</f>
        <v>8</v>
      </c>
      <c r="N989" s="45" t="n">
        <f aca="false">IF(D989="Sale",E989*L989,0)</f>
        <v>390</v>
      </c>
      <c r="O989" s="45" t="n">
        <f aca="false">IF(D989="Sale",E989*M989,0)</f>
        <v>240</v>
      </c>
      <c r="P989" s="45" t="n">
        <f aca="false">N989-O989</f>
        <v>150</v>
      </c>
      <c r="Q989" s="45" t="n">
        <f aca="false">IF(D989="Purchase",E989*M989,0)</f>
        <v>0</v>
      </c>
    </row>
    <row r="990" customFormat="false" ht="15" hidden="false" customHeight="false" outlineLevel="0" collapsed="false">
      <c r="A990" s="39" t="s">
        <v>1314</v>
      </c>
      <c r="B990" s="44" t="n">
        <v>46267</v>
      </c>
      <c r="C990" s="39" t="s">
        <v>321</v>
      </c>
      <c r="D990" s="39" t="s">
        <v>137</v>
      </c>
      <c r="E990" s="39" t="n">
        <v>15</v>
      </c>
      <c r="F990" s="39" t="str">
        <f aca="false">IF(COUNTIF(medicine_master!$A$2:$A$26,C990)&gt;0,"Valid","Invalid")</f>
        <v>Valid</v>
      </c>
      <c r="G990" s="39" t="str">
        <f aca="false">IFERROR(INDEX(medicine_master!$B$2:$B$26,MATCH($C990,medicine_master!$A$2:$A$26,0)),"Not found")</f>
        <v>Levocetirizine 5mg</v>
      </c>
      <c r="H990" s="39" t="str">
        <f aca="false">IFERROR(INDEX(medicine_master!$C$2:$C$26,MATCH($C990,medicine_master!$A$2:$A$26,0)),"Not found")</f>
        <v>Allergy</v>
      </c>
      <c r="I990" s="39" t="n">
        <f aca="false">YEAR(B990)</f>
        <v>2026</v>
      </c>
      <c r="J990" s="39" t="n">
        <f aca="false">MONTH(B990)</f>
        <v>9</v>
      </c>
      <c r="K990" s="39" t="str">
        <f aca="false">TEXT(B990,"mmm")</f>
        <v>Sep</v>
      </c>
      <c r="L990" s="45" t="n">
        <f aca="false">IFERROR(INDEX(medicine_master!$I$2:$I$26,MATCH($C990,medicine_master!$A$2:$A$26,0)),0)</f>
        <v>22</v>
      </c>
      <c r="M990" s="45" t="n">
        <f aca="false">IFERROR(INDEX(medicine_master!$G$2:$G$26,MATCH($C990,medicine_master!$A$2:$A$26,0)),0)</f>
        <v>14</v>
      </c>
      <c r="N990" s="45" t="n">
        <f aca="false">IF(D990="Sale",E990*L990,0)</f>
        <v>330</v>
      </c>
      <c r="O990" s="45" t="n">
        <f aca="false">IF(D990="Sale",E990*M990,0)</f>
        <v>210</v>
      </c>
      <c r="P990" s="45" t="n">
        <f aca="false">N990-O990</f>
        <v>120</v>
      </c>
      <c r="Q990" s="45" t="n">
        <f aca="false">IF(D990="Purchase",E990*M990,0)</f>
        <v>0</v>
      </c>
    </row>
    <row r="991" customFormat="false" ht="15" hidden="false" customHeight="false" outlineLevel="0" collapsed="false">
      <c r="A991" s="39" t="s">
        <v>1315</v>
      </c>
      <c r="B991" s="44" t="n">
        <v>46291</v>
      </c>
      <c r="C991" s="39" t="s">
        <v>495</v>
      </c>
      <c r="D991" s="39" t="s">
        <v>138</v>
      </c>
      <c r="E991" s="39" t="n">
        <v>15</v>
      </c>
      <c r="F991" s="39" t="str">
        <f aca="false">IF(COUNTIF(medicine_master!$A$2:$A$26,C991)&gt;0,"Valid","Invalid")</f>
        <v>Valid</v>
      </c>
      <c r="G991" s="39" t="str">
        <f aca="false">IFERROR(INDEX(medicine_master!$B$2:$B$26,MATCH($C991,medicine_master!$A$2:$A$26,0)),"Not found")</f>
        <v>Metformin 500mg</v>
      </c>
      <c r="H991" s="39" t="str">
        <f aca="false">IFERROR(INDEX(medicine_master!$C$2:$C$26,MATCH($C991,medicine_master!$A$2:$A$26,0)),"Not found")</f>
        <v>Diabetes</v>
      </c>
      <c r="I991" s="39" t="n">
        <f aca="false">YEAR(B991)</f>
        <v>2026</v>
      </c>
      <c r="J991" s="39" t="n">
        <f aca="false">MONTH(B991)</f>
        <v>9</v>
      </c>
      <c r="K991" s="39" t="str">
        <f aca="false">TEXT(B991,"mmm")</f>
        <v>Sep</v>
      </c>
      <c r="L991" s="45" t="n">
        <f aca="false">IFERROR(INDEX(medicine_master!$I$2:$I$26,MATCH($C991,medicine_master!$A$2:$A$26,0)),0)</f>
        <v>24</v>
      </c>
      <c r="M991" s="45" t="n">
        <f aca="false">IFERROR(INDEX(medicine_master!$G$2:$G$26,MATCH($C991,medicine_master!$A$2:$A$26,0)),0)</f>
        <v>16</v>
      </c>
      <c r="N991" s="45" t="n">
        <f aca="false">IF(D991="Sale",E991*L991,0)</f>
        <v>0</v>
      </c>
      <c r="O991" s="45" t="n">
        <f aca="false">IF(D991="Sale",E991*M991,0)</f>
        <v>0</v>
      </c>
      <c r="P991" s="45" t="n">
        <f aca="false">N991-O991</f>
        <v>0</v>
      </c>
      <c r="Q991" s="45" t="n">
        <f aca="false">IF(D991="Purchase",E991*M991,0)</f>
        <v>240</v>
      </c>
    </row>
    <row r="992" customFormat="false" ht="15" hidden="false" customHeight="false" outlineLevel="0" collapsed="false">
      <c r="A992" s="39" t="s">
        <v>1316</v>
      </c>
      <c r="B992" s="44" t="n">
        <v>46081</v>
      </c>
      <c r="C992" s="39" t="s">
        <v>178</v>
      </c>
      <c r="D992" s="39" t="s">
        <v>138</v>
      </c>
      <c r="E992" s="39" t="n">
        <v>15</v>
      </c>
      <c r="F992" s="39" t="str">
        <f aca="false">IF(COUNTIF(medicine_master!$A$2:$A$26,C992)&gt;0,"Valid","Invalid")</f>
        <v>Valid</v>
      </c>
      <c r="G992" s="39" t="str">
        <f aca="false">IFERROR(INDEX(medicine_master!$B$2:$B$26,MATCH($C992,medicine_master!$A$2:$A$26,0)),"Not found")</f>
        <v>Aspirin 75mg</v>
      </c>
      <c r="H992" s="39" t="str">
        <f aca="false">IFERROR(INDEX(medicine_master!$C$2:$C$26,MATCH($C992,medicine_master!$A$2:$A$26,0)),"Not found")</f>
        <v>Cardiac</v>
      </c>
      <c r="I992" s="39" t="n">
        <f aca="false">YEAR(B992)</f>
        <v>2026</v>
      </c>
      <c r="J992" s="39" t="n">
        <f aca="false">MONTH(B992)</f>
        <v>2</v>
      </c>
      <c r="K992" s="39" t="str">
        <f aca="false">TEXT(B992,"mmm")</f>
        <v>Feb</v>
      </c>
      <c r="L992" s="45" t="n">
        <f aca="false">IFERROR(INDEX(medicine_master!$I$2:$I$26,MATCH($C992,medicine_master!$A$2:$A$26,0)),0)</f>
        <v>15</v>
      </c>
      <c r="M992" s="45" t="n">
        <f aca="false">IFERROR(INDEX(medicine_master!$G$2:$G$26,MATCH($C992,medicine_master!$A$2:$A$26,0)),0)</f>
        <v>10</v>
      </c>
      <c r="N992" s="45" t="n">
        <f aca="false">IF(D992="Sale",E992*L992,0)</f>
        <v>0</v>
      </c>
      <c r="O992" s="45" t="n">
        <f aca="false">IF(D992="Sale",E992*M992,0)</f>
        <v>0</v>
      </c>
      <c r="P992" s="45" t="n">
        <f aca="false">N992-O992</f>
        <v>0</v>
      </c>
      <c r="Q992" s="45" t="n">
        <f aca="false">IF(D992="Purchase",E992*M992,0)</f>
        <v>150</v>
      </c>
    </row>
    <row r="993" customFormat="false" ht="15" hidden="false" customHeight="false" outlineLevel="0" collapsed="false">
      <c r="A993" s="39" t="s">
        <v>1317</v>
      </c>
      <c r="B993" s="44" t="n">
        <v>46116</v>
      </c>
      <c r="C993" s="39" t="s">
        <v>144</v>
      </c>
      <c r="D993" s="39" t="s">
        <v>137</v>
      </c>
      <c r="E993" s="39" t="n">
        <v>30</v>
      </c>
      <c r="F993" s="39" t="str">
        <f aca="false">IF(COUNTIF(medicine_master!$A$2:$A$26,C993)&gt;0,"Valid","Invalid")</f>
        <v>Valid</v>
      </c>
      <c r="G993" s="39" t="str">
        <f aca="false">IFERROR(INDEX(medicine_master!$B$2:$B$26,MATCH($C993,medicine_master!$A$2:$A$26,0)),"Not found")</f>
        <v>Glimepiride 2mg</v>
      </c>
      <c r="H993" s="39" t="str">
        <f aca="false">IFERROR(INDEX(medicine_master!$C$2:$C$26,MATCH($C993,medicine_master!$A$2:$A$26,0)),"Not found")</f>
        <v>Diabetes</v>
      </c>
      <c r="I993" s="39" t="n">
        <f aca="false">YEAR(B993)</f>
        <v>2026</v>
      </c>
      <c r="J993" s="39" t="n">
        <f aca="false">MONTH(B993)</f>
        <v>4</v>
      </c>
      <c r="K993" s="39" t="str">
        <f aca="false">TEXT(B993,"mmm")</f>
        <v>Apr</v>
      </c>
      <c r="L993" s="45" t="n">
        <f aca="false">IFERROR(INDEX(medicine_master!$I$2:$I$26,MATCH($C993,medicine_master!$A$2:$A$26,0)),0)</f>
        <v>52</v>
      </c>
      <c r="M993" s="45" t="n">
        <f aca="false">IFERROR(INDEX(medicine_master!$G$2:$G$26,MATCH($C993,medicine_master!$A$2:$A$26,0)),0)</f>
        <v>38</v>
      </c>
      <c r="N993" s="45" t="n">
        <f aca="false">IF(D993="Sale",E993*L993,0)</f>
        <v>1560</v>
      </c>
      <c r="O993" s="45" t="n">
        <f aca="false">IF(D993="Sale",E993*M993,0)</f>
        <v>1140</v>
      </c>
      <c r="P993" s="45" t="n">
        <f aca="false">N993-O993</f>
        <v>420</v>
      </c>
      <c r="Q993" s="45" t="n">
        <f aca="false">IF(D993="Purchase",E993*M993,0)</f>
        <v>0</v>
      </c>
    </row>
    <row r="994" customFormat="false" ht="15" hidden="false" customHeight="false" outlineLevel="0" collapsed="false">
      <c r="A994" s="39" t="s">
        <v>1318</v>
      </c>
      <c r="B994" s="44" t="n">
        <v>46358</v>
      </c>
      <c r="C994" s="39" t="s">
        <v>145</v>
      </c>
      <c r="D994" s="39" t="s">
        <v>137</v>
      </c>
      <c r="E994" s="39" t="n">
        <v>10</v>
      </c>
      <c r="F994" s="39" t="str">
        <f aca="false">IF(COUNTIF(medicine_master!$A$2:$A$26,C994)&gt;0,"Valid","Invalid")</f>
        <v>Valid</v>
      </c>
      <c r="G994" s="39" t="str">
        <f aca="false">IFERROR(INDEX(medicine_master!$B$2:$B$26,MATCH($C994,medicine_master!$A$2:$A$26,0)),"Not found")</f>
        <v>Clotrimazole Cream</v>
      </c>
      <c r="H994" s="39" t="str">
        <f aca="false">IFERROR(INDEX(medicine_master!$C$2:$C$26,MATCH($C994,medicine_master!$A$2:$A$26,0)),"Not found")</f>
        <v>Dermatology</v>
      </c>
      <c r="I994" s="39" t="n">
        <f aca="false">YEAR(B994)</f>
        <v>2026</v>
      </c>
      <c r="J994" s="39" t="n">
        <f aca="false">MONTH(B994)</f>
        <v>12</v>
      </c>
      <c r="K994" s="39" t="str">
        <f aca="false">TEXT(B994,"mmm")</f>
        <v>Dec</v>
      </c>
      <c r="L994" s="45" t="n">
        <f aca="false">IFERROR(INDEX(medicine_master!$I$2:$I$26,MATCH($C994,medicine_master!$A$2:$A$26,0)),0)</f>
        <v>48</v>
      </c>
      <c r="M994" s="45" t="n">
        <f aca="false">IFERROR(INDEX(medicine_master!$G$2:$G$26,MATCH($C994,medicine_master!$A$2:$A$26,0)),0)</f>
        <v>32</v>
      </c>
      <c r="N994" s="45" t="n">
        <f aca="false">IF(D994="Sale",E994*L994,0)</f>
        <v>480</v>
      </c>
      <c r="O994" s="45" t="n">
        <f aca="false">IF(D994="Sale",E994*M994,0)</f>
        <v>320</v>
      </c>
      <c r="P994" s="45" t="n">
        <f aca="false">N994-O994</f>
        <v>160</v>
      </c>
      <c r="Q994" s="45" t="n">
        <f aca="false">IF(D994="Purchase",E994*M994,0)</f>
        <v>0</v>
      </c>
    </row>
    <row r="995" customFormat="false" ht="15" hidden="false" customHeight="false" outlineLevel="0" collapsed="false">
      <c r="A995" s="39" t="s">
        <v>1319</v>
      </c>
      <c r="B995" s="44" t="n">
        <v>46368</v>
      </c>
      <c r="C995" s="39" t="s">
        <v>148</v>
      </c>
      <c r="D995" s="39" t="s">
        <v>137</v>
      </c>
      <c r="E995" s="39" t="n">
        <v>30</v>
      </c>
      <c r="F995" s="39" t="str">
        <f aca="false">IF(COUNTIF(medicine_master!$A$2:$A$26,C995)&gt;0,"Valid","Invalid")</f>
        <v>Valid</v>
      </c>
      <c r="G995" s="39" t="str">
        <f aca="false">IFERROR(INDEX(medicine_master!$B$2:$B$26,MATCH($C995,medicine_master!$A$2:$A$26,0)),"Not found")</f>
        <v>Dextromethorphan Syrup</v>
      </c>
      <c r="H995" s="39" t="str">
        <f aca="false">IFERROR(INDEX(medicine_master!$C$2:$C$26,MATCH($C995,medicine_master!$A$2:$A$26,0)),"Not found")</f>
        <v>Cold &amp; Cough</v>
      </c>
      <c r="I995" s="39" t="n">
        <f aca="false">YEAR(B995)</f>
        <v>2026</v>
      </c>
      <c r="J995" s="39" t="n">
        <f aca="false">MONTH(B995)</f>
        <v>12</v>
      </c>
      <c r="K995" s="39" t="str">
        <f aca="false">TEXT(B995,"mmm")</f>
        <v>Dec</v>
      </c>
      <c r="L995" s="45" t="n">
        <f aca="false">IFERROR(INDEX(medicine_master!$I$2:$I$26,MATCH($C995,medicine_master!$A$2:$A$26,0)),0)</f>
        <v>80</v>
      </c>
      <c r="M995" s="45" t="n">
        <f aca="false">IFERROR(INDEX(medicine_master!$G$2:$G$26,MATCH($C995,medicine_master!$A$2:$A$26,0)),0)</f>
        <v>58</v>
      </c>
      <c r="N995" s="45" t="n">
        <f aca="false">IF(D995="Sale",E995*L995,0)</f>
        <v>2400</v>
      </c>
      <c r="O995" s="45" t="n">
        <f aca="false">IF(D995="Sale",E995*M995,0)</f>
        <v>1740</v>
      </c>
      <c r="P995" s="45" t="n">
        <f aca="false">N995-O995</f>
        <v>660</v>
      </c>
      <c r="Q995" s="45" t="n">
        <f aca="false">IF(D995="Purchase",E995*M995,0)</f>
        <v>0</v>
      </c>
    </row>
    <row r="996" customFormat="false" ht="15" hidden="false" customHeight="false" outlineLevel="0" collapsed="false">
      <c r="A996" s="39" t="s">
        <v>1320</v>
      </c>
      <c r="B996" s="44" t="n">
        <v>46084</v>
      </c>
      <c r="C996" s="39" t="s">
        <v>158</v>
      </c>
      <c r="D996" s="39" t="s">
        <v>137</v>
      </c>
      <c r="E996" s="39" t="n">
        <v>25</v>
      </c>
      <c r="F996" s="39" t="str">
        <f aca="false">IF(COUNTIF(medicine_master!$A$2:$A$26,C996)&gt;0,"Valid","Invalid")</f>
        <v>Valid</v>
      </c>
      <c r="G996" s="39" t="str">
        <f aca="false">IFERROR(INDEX(medicine_master!$B$2:$B$26,MATCH($C996,medicine_master!$A$2:$A$26,0)),"Not found")</f>
        <v>Cough Syrup 100ml</v>
      </c>
      <c r="H996" s="39" t="str">
        <f aca="false">IFERROR(INDEX(medicine_master!$C$2:$C$26,MATCH($C996,medicine_master!$A$2:$A$26,0)),"Not found")</f>
        <v>Cold &amp; Cough</v>
      </c>
      <c r="I996" s="39" t="n">
        <f aca="false">YEAR(B996)</f>
        <v>2026</v>
      </c>
      <c r="J996" s="39" t="n">
        <f aca="false">MONTH(B996)</f>
        <v>3</v>
      </c>
      <c r="K996" s="39" t="str">
        <f aca="false">TEXT(B996,"mmm")</f>
        <v>Mar</v>
      </c>
      <c r="L996" s="45" t="n">
        <f aca="false">IFERROR(INDEX(medicine_master!$I$2:$I$26,MATCH($C996,medicine_master!$A$2:$A$26,0)),0)</f>
        <v>72</v>
      </c>
      <c r="M996" s="45" t="n">
        <f aca="false">IFERROR(INDEX(medicine_master!$G$2:$G$26,MATCH($C996,medicine_master!$A$2:$A$26,0)),0)</f>
        <v>52</v>
      </c>
      <c r="N996" s="45" t="n">
        <f aca="false">IF(D996="Sale",E996*L996,0)</f>
        <v>1800</v>
      </c>
      <c r="O996" s="45" t="n">
        <f aca="false">IF(D996="Sale",E996*M996,0)</f>
        <v>1300</v>
      </c>
      <c r="P996" s="45" t="n">
        <f aca="false">N996-O996</f>
        <v>500</v>
      </c>
      <c r="Q996" s="45" t="n">
        <f aca="false">IF(D996="Purchase",E996*M996,0)</f>
        <v>0</v>
      </c>
    </row>
    <row r="997" customFormat="false" ht="15" hidden="false" customHeight="false" outlineLevel="0" collapsed="false">
      <c r="A997" s="39" t="s">
        <v>1321</v>
      </c>
      <c r="B997" s="44" t="n">
        <v>46244</v>
      </c>
      <c r="C997" s="39" t="s">
        <v>345</v>
      </c>
      <c r="D997" s="39" t="s">
        <v>137</v>
      </c>
      <c r="E997" s="39" t="n">
        <v>30</v>
      </c>
      <c r="F997" s="39" t="str">
        <f aca="false">IF(COUNTIF(medicine_master!$A$2:$A$26,C997)&gt;0,"Valid","Invalid")</f>
        <v>Valid</v>
      </c>
      <c r="G997" s="39" t="str">
        <f aca="false">IFERROR(INDEX(medicine_master!$B$2:$B$26,MATCH($C997,medicine_master!$A$2:$A$26,0)),"Not found")</f>
        <v>Paracetamol 500mg</v>
      </c>
      <c r="H997" s="39" t="str">
        <f aca="false">IFERROR(INDEX(medicine_master!$C$2:$C$26,MATCH($C997,medicine_master!$A$2:$A$26,0)),"Not found")</f>
        <v>Pain Relief</v>
      </c>
      <c r="I997" s="39" t="n">
        <f aca="false">YEAR(B997)</f>
        <v>2026</v>
      </c>
      <c r="J997" s="39" t="n">
        <f aca="false">MONTH(B997)</f>
        <v>8</v>
      </c>
      <c r="K997" s="39" t="str">
        <f aca="false">TEXT(B997,"mmm")</f>
        <v>Aug</v>
      </c>
      <c r="L997" s="45" t="n">
        <f aca="false">IFERROR(INDEX(medicine_master!$I$2:$I$26,MATCH($C997,medicine_master!$A$2:$A$26,0)),0)</f>
        <v>18</v>
      </c>
      <c r="M997" s="45" t="n">
        <f aca="false">IFERROR(INDEX(medicine_master!$G$2:$G$26,MATCH($C997,medicine_master!$A$2:$A$26,0)),0)</f>
        <v>12</v>
      </c>
      <c r="N997" s="45" t="n">
        <f aca="false">IF(D997="Sale",E997*L997,0)</f>
        <v>540</v>
      </c>
      <c r="O997" s="45" t="n">
        <f aca="false">IF(D997="Sale",E997*M997,0)</f>
        <v>360</v>
      </c>
      <c r="P997" s="45" t="n">
        <f aca="false">N997-O997</f>
        <v>180</v>
      </c>
      <c r="Q997" s="45" t="n">
        <f aca="false">IF(D997="Purchase",E997*M997,0)</f>
        <v>0</v>
      </c>
    </row>
    <row r="998" customFormat="false" ht="15" hidden="false" customHeight="false" outlineLevel="0" collapsed="false">
      <c r="A998" s="39" t="s">
        <v>1322</v>
      </c>
      <c r="B998" s="44" t="n">
        <v>46132</v>
      </c>
      <c r="C998" s="39" t="s">
        <v>167</v>
      </c>
      <c r="D998" s="39" t="s">
        <v>137</v>
      </c>
      <c r="E998" s="39" t="n">
        <v>30</v>
      </c>
      <c r="F998" s="39" t="str">
        <f aca="false">IF(COUNTIF(medicine_master!$A$2:$A$26,C998)&gt;0,"Valid","Invalid")</f>
        <v>Valid</v>
      </c>
      <c r="G998" s="39" t="str">
        <f aca="false">IFERROR(INDEX(medicine_master!$B$2:$B$26,MATCH($C998,medicine_master!$A$2:$A$26,0)),"Not found")</f>
        <v>Amlodipine 5mg</v>
      </c>
      <c r="H998" s="39" t="str">
        <f aca="false">IFERROR(INDEX(medicine_master!$C$2:$C$26,MATCH($C998,medicine_master!$A$2:$A$26,0)),"Not found")</f>
        <v>Cardiac</v>
      </c>
      <c r="I998" s="39" t="n">
        <f aca="false">YEAR(B998)</f>
        <v>2026</v>
      </c>
      <c r="J998" s="39" t="n">
        <f aca="false">MONTH(B998)</f>
        <v>4</v>
      </c>
      <c r="K998" s="39" t="str">
        <f aca="false">TEXT(B998,"mmm")</f>
        <v>Apr</v>
      </c>
      <c r="L998" s="45" t="n">
        <f aca="false">IFERROR(INDEX(medicine_master!$I$2:$I$26,MATCH($C998,medicine_master!$A$2:$A$26,0)),0)</f>
        <v>19</v>
      </c>
      <c r="M998" s="45" t="n">
        <f aca="false">IFERROR(INDEX(medicine_master!$G$2:$G$26,MATCH($C998,medicine_master!$A$2:$A$26,0)),0)</f>
        <v>13</v>
      </c>
      <c r="N998" s="45" t="n">
        <f aca="false">IF(D998="Sale",E998*L998,0)</f>
        <v>570</v>
      </c>
      <c r="O998" s="45" t="n">
        <f aca="false">IF(D998="Sale",E998*M998,0)</f>
        <v>390</v>
      </c>
      <c r="P998" s="45" t="n">
        <f aca="false">N998-O998</f>
        <v>180</v>
      </c>
      <c r="Q998" s="45" t="n">
        <f aca="false">IF(D998="Purchase",E998*M998,0)</f>
        <v>0</v>
      </c>
    </row>
    <row r="999" customFormat="false" ht="15" hidden="false" customHeight="false" outlineLevel="0" collapsed="false">
      <c r="A999" s="39" t="s">
        <v>1323</v>
      </c>
      <c r="B999" s="44" t="n">
        <v>46096</v>
      </c>
      <c r="C999" s="39" t="s">
        <v>180</v>
      </c>
      <c r="D999" s="39" t="s">
        <v>137</v>
      </c>
      <c r="E999" s="39" t="n">
        <v>30</v>
      </c>
      <c r="F999" s="39" t="str">
        <f aca="false">IF(COUNTIF(medicine_master!$A$2:$A$26,C999)&gt;0,"Valid","Invalid")</f>
        <v>Valid</v>
      </c>
      <c r="G999" s="39" t="str">
        <f aca="false">IFERROR(INDEX(medicine_master!$B$2:$B$26,MATCH($C999,medicine_master!$A$2:$A$26,0)),"Not found")</f>
        <v>Vitamin C 500mg</v>
      </c>
      <c r="H999" s="39" t="str">
        <f aca="false">IFERROR(INDEX(medicine_master!$C$2:$C$26,MATCH($C999,medicine_master!$A$2:$A$26,0)),"Not found")</f>
        <v>Vitamin</v>
      </c>
      <c r="I999" s="39" t="n">
        <f aca="false">YEAR(B999)</f>
        <v>2026</v>
      </c>
      <c r="J999" s="39" t="n">
        <f aca="false">MONTH(B999)</f>
        <v>3</v>
      </c>
      <c r="K999" s="39" t="str">
        <f aca="false">TEXT(B999,"mmm")</f>
        <v>Mar</v>
      </c>
      <c r="L999" s="45" t="n">
        <f aca="false">IFERROR(INDEX(medicine_master!$I$2:$I$26,MATCH($C999,medicine_master!$A$2:$A$26,0)),0)</f>
        <v>22</v>
      </c>
      <c r="M999" s="45" t="n">
        <f aca="false">IFERROR(INDEX(medicine_master!$G$2:$G$26,MATCH($C999,medicine_master!$A$2:$A$26,0)),0)</f>
        <v>14</v>
      </c>
      <c r="N999" s="45" t="n">
        <f aca="false">IF(D999="Sale",E999*L999,0)</f>
        <v>660</v>
      </c>
      <c r="O999" s="45" t="n">
        <f aca="false">IF(D999="Sale",E999*M999,0)</f>
        <v>420</v>
      </c>
      <c r="P999" s="45" t="n">
        <f aca="false">N999-O999</f>
        <v>240</v>
      </c>
      <c r="Q999" s="45" t="n">
        <f aca="false">IF(D999="Purchase",E999*M999,0)</f>
        <v>0</v>
      </c>
    </row>
    <row r="1000" customFormat="false" ht="15" hidden="false" customHeight="false" outlineLevel="0" collapsed="false">
      <c r="A1000" s="39" t="s">
        <v>1324</v>
      </c>
      <c r="B1000" s="44" t="n">
        <v>46301</v>
      </c>
      <c r="C1000" s="39" t="s">
        <v>148</v>
      </c>
      <c r="D1000" s="39" t="s">
        <v>138</v>
      </c>
      <c r="E1000" s="39" t="n">
        <v>10</v>
      </c>
      <c r="F1000" s="39" t="str">
        <f aca="false">IF(COUNTIF(medicine_master!$A$2:$A$26,C1000)&gt;0,"Valid","Invalid")</f>
        <v>Valid</v>
      </c>
      <c r="G1000" s="39" t="str">
        <f aca="false">IFERROR(INDEX(medicine_master!$B$2:$B$26,MATCH($C1000,medicine_master!$A$2:$A$26,0)),"Not found")</f>
        <v>Dextromethorphan Syrup</v>
      </c>
      <c r="H1000" s="39" t="str">
        <f aca="false">IFERROR(INDEX(medicine_master!$C$2:$C$26,MATCH($C1000,medicine_master!$A$2:$A$26,0)),"Not found")</f>
        <v>Cold &amp; Cough</v>
      </c>
      <c r="I1000" s="39" t="n">
        <f aca="false">YEAR(B1000)</f>
        <v>2026</v>
      </c>
      <c r="J1000" s="39" t="n">
        <f aca="false">MONTH(B1000)</f>
        <v>10</v>
      </c>
      <c r="K1000" s="39" t="str">
        <f aca="false">TEXT(B1000,"mmm")</f>
        <v>Oct</v>
      </c>
      <c r="L1000" s="45" t="n">
        <f aca="false">IFERROR(INDEX(medicine_master!$I$2:$I$26,MATCH($C1000,medicine_master!$A$2:$A$26,0)),0)</f>
        <v>80</v>
      </c>
      <c r="M1000" s="45" t="n">
        <f aca="false">IFERROR(INDEX(medicine_master!$G$2:$G$26,MATCH($C1000,medicine_master!$A$2:$A$26,0)),0)</f>
        <v>58</v>
      </c>
      <c r="N1000" s="45" t="n">
        <f aca="false">IF(D1000="Sale",E1000*L1000,0)</f>
        <v>0</v>
      </c>
      <c r="O1000" s="45" t="n">
        <f aca="false">IF(D1000="Sale",E1000*M1000,0)</f>
        <v>0</v>
      </c>
      <c r="P1000" s="45" t="n">
        <f aca="false">N1000-O1000</f>
        <v>0</v>
      </c>
      <c r="Q1000" s="45" t="n">
        <f aca="false">IF(D1000="Purchase",E1000*M1000,0)</f>
        <v>580</v>
      </c>
    </row>
    <row r="1001" customFormat="false" ht="15" hidden="false" customHeight="false" outlineLevel="0" collapsed="false">
      <c r="A1001" s="39" t="s">
        <v>1325</v>
      </c>
      <c r="B1001" s="44" t="n">
        <v>46379</v>
      </c>
      <c r="C1001" s="39" t="s">
        <v>146</v>
      </c>
      <c r="D1001" s="39" t="s">
        <v>138</v>
      </c>
      <c r="E1001" s="39" t="n">
        <v>20</v>
      </c>
      <c r="F1001" s="39" t="str">
        <f aca="false">IF(COUNTIF(medicine_master!$A$2:$A$26,C1001)&gt;0,"Valid","Invalid")</f>
        <v>Valid</v>
      </c>
      <c r="G1001" s="39" t="str">
        <f aca="false">IFERROR(INDEX(medicine_master!$B$2:$B$26,MATCH($C1001,medicine_master!$A$2:$A$26,0)),"Not found")</f>
        <v>Diclofenac Gel</v>
      </c>
      <c r="H1001" s="39" t="str">
        <f aca="false">IFERROR(INDEX(medicine_master!$C$2:$C$26,MATCH($C1001,medicine_master!$A$2:$A$26,0)),"Not found")</f>
        <v>Pain Relief</v>
      </c>
      <c r="I1001" s="39" t="n">
        <f aca="false">YEAR(B1001)</f>
        <v>2026</v>
      </c>
      <c r="J1001" s="39" t="n">
        <f aca="false">MONTH(B1001)</f>
        <v>12</v>
      </c>
      <c r="K1001" s="39" t="str">
        <f aca="false">TEXT(B1001,"mmm")</f>
        <v>Dec</v>
      </c>
      <c r="L1001" s="45" t="n">
        <f aca="false">IFERROR(INDEX(medicine_master!$I$2:$I$26,MATCH($C1001,medicine_master!$A$2:$A$26,0)),0)</f>
        <v>55</v>
      </c>
      <c r="M1001" s="45" t="n">
        <f aca="false">IFERROR(INDEX(medicine_master!$G$2:$G$26,MATCH($C1001,medicine_master!$A$2:$A$26,0)),0)</f>
        <v>38</v>
      </c>
      <c r="N1001" s="45" t="n">
        <f aca="false">IF(D1001="Sale",E1001*L1001,0)</f>
        <v>0</v>
      </c>
      <c r="O1001" s="45" t="n">
        <f aca="false">IF(D1001="Sale",E1001*M1001,0)</f>
        <v>0</v>
      </c>
      <c r="P1001" s="45" t="n">
        <f aca="false">N1001-O1001</f>
        <v>0</v>
      </c>
      <c r="Q1001" s="45" t="n">
        <f aca="false">IF(D1001="Purchase",E1001*M1001,0)</f>
        <v>760</v>
      </c>
    </row>
    <row r="1002" customFormat="false" ht="15" hidden="false" customHeight="false" outlineLevel="0" collapsed="false">
      <c r="A1002" s="39" t="s">
        <v>1326</v>
      </c>
      <c r="B1002" s="44" t="n">
        <v>46279</v>
      </c>
      <c r="C1002" s="39" t="s">
        <v>152</v>
      </c>
      <c r="D1002" s="39" t="s">
        <v>138</v>
      </c>
      <c r="E1002" s="39" t="n">
        <v>5</v>
      </c>
      <c r="F1002" s="39" t="str">
        <f aca="false">IF(COUNTIF(medicine_master!$A$2:$A$26,C1002)&gt;0,"Valid","Invalid")</f>
        <v>Valid</v>
      </c>
      <c r="G1002" s="39" t="str">
        <f aca="false">IFERROR(INDEX(medicine_master!$B$2:$B$26,MATCH($C1002,medicine_master!$A$2:$A$26,0)),"Not found")</f>
        <v>Amoxicillin 500mg</v>
      </c>
      <c r="H1002" s="39" t="str">
        <f aca="false">IFERROR(INDEX(medicine_master!$C$2:$C$26,MATCH($C1002,medicine_master!$A$2:$A$26,0)),"Not found")</f>
        <v>Antibiotic</v>
      </c>
      <c r="I1002" s="39" t="n">
        <f aca="false">YEAR(B1002)</f>
        <v>2026</v>
      </c>
      <c r="J1002" s="39" t="n">
        <f aca="false">MONTH(B1002)</f>
        <v>9</v>
      </c>
      <c r="K1002" s="39" t="str">
        <f aca="false">TEXT(B1002,"mmm")</f>
        <v>Sep</v>
      </c>
      <c r="L1002" s="45" t="n">
        <f aca="false">IFERROR(INDEX(medicine_master!$I$2:$I$26,MATCH($C1002,medicine_master!$A$2:$A$26,0)),0)</f>
        <v>40</v>
      </c>
      <c r="M1002" s="45" t="n">
        <f aca="false">IFERROR(INDEX(medicine_master!$G$2:$G$26,MATCH($C1002,medicine_master!$A$2:$A$26,0)),0)</f>
        <v>28</v>
      </c>
      <c r="N1002" s="45" t="n">
        <f aca="false">IF(D1002="Sale",E1002*L1002,0)</f>
        <v>0</v>
      </c>
      <c r="O1002" s="45" t="n">
        <f aca="false">IF(D1002="Sale",E1002*M1002,0)</f>
        <v>0</v>
      </c>
      <c r="P1002" s="45" t="n">
        <f aca="false">N1002-O1002</f>
        <v>0</v>
      </c>
      <c r="Q1002" s="45" t="n">
        <f aca="false">IF(D1002="Purchase",E1002*M1002,0)</f>
        <v>140</v>
      </c>
    </row>
    <row r="1003" customFormat="false" ht="15" hidden="false" customHeight="false" outlineLevel="0" collapsed="false">
      <c r="A1003" s="39" t="s">
        <v>1327</v>
      </c>
      <c r="B1003" s="44" t="n">
        <v>46118</v>
      </c>
      <c r="C1003" s="39" t="s">
        <v>151</v>
      </c>
      <c r="D1003" s="39" t="s">
        <v>137</v>
      </c>
      <c r="E1003" s="39" t="n">
        <v>25</v>
      </c>
      <c r="F1003" s="39" t="str">
        <f aca="false">IF(COUNTIF(medicine_master!$A$2:$A$26,C1003)&gt;0,"Valid","Invalid")</f>
        <v>Valid</v>
      </c>
      <c r="G1003" s="39" t="str">
        <f aca="false">IFERROR(INDEX(medicine_master!$B$2:$B$26,MATCH($C1003,medicine_master!$A$2:$A$26,0)),"Not found")</f>
        <v>Cetirizine 10mg</v>
      </c>
      <c r="H1003" s="39" t="str">
        <f aca="false">IFERROR(INDEX(medicine_master!$C$2:$C$26,MATCH($C1003,medicine_master!$A$2:$A$26,0)),"Not found")</f>
        <v>Allergy</v>
      </c>
      <c r="I1003" s="39" t="n">
        <f aca="false">YEAR(B1003)</f>
        <v>2026</v>
      </c>
      <c r="J1003" s="39" t="n">
        <f aca="false">MONTH(B1003)</f>
        <v>4</v>
      </c>
      <c r="K1003" s="39" t="str">
        <f aca="false">TEXT(B1003,"mmm")</f>
        <v>Apr</v>
      </c>
      <c r="L1003" s="45" t="n">
        <f aca="false">IFERROR(INDEX(medicine_master!$I$2:$I$26,MATCH($C1003,medicine_master!$A$2:$A$26,0)),0)</f>
        <v>13</v>
      </c>
      <c r="M1003" s="45" t="n">
        <f aca="false">IFERROR(INDEX(medicine_master!$G$2:$G$26,MATCH($C1003,medicine_master!$A$2:$A$26,0)),0)</f>
        <v>8</v>
      </c>
      <c r="N1003" s="45" t="n">
        <f aca="false">IF(D1003="Sale",E1003*L1003,0)</f>
        <v>325</v>
      </c>
      <c r="O1003" s="45" t="n">
        <f aca="false">IF(D1003="Sale",E1003*M1003,0)</f>
        <v>200</v>
      </c>
      <c r="P1003" s="45" t="n">
        <f aca="false">N1003-O1003</f>
        <v>125</v>
      </c>
      <c r="Q1003" s="45" t="n">
        <f aca="false">IF(D1003="Purchase",E1003*M1003,0)</f>
        <v>0</v>
      </c>
    </row>
    <row r="1004" customFormat="false" ht="15" hidden="false" customHeight="false" outlineLevel="0" collapsed="false">
      <c r="A1004" s="39" t="s">
        <v>1328</v>
      </c>
      <c r="B1004" s="44" t="n">
        <v>46324</v>
      </c>
      <c r="C1004" s="39" t="s">
        <v>160</v>
      </c>
      <c r="D1004" s="39" t="s">
        <v>137</v>
      </c>
      <c r="E1004" s="39" t="n">
        <v>20</v>
      </c>
      <c r="F1004" s="39" t="str">
        <f aca="false">IF(COUNTIF(medicine_master!$A$2:$A$26,C1004)&gt;0,"Valid","Invalid")</f>
        <v>Valid</v>
      </c>
      <c r="G1004" s="39" t="str">
        <f aca="false">IFERROR(INDEX(medicine_master!$B$2:$B$26,MATCH($C1004,medicine_master!$A$2:$A$26,0)),"Not found")</f>
        <v>Calamine Lotion</v>
      </c>
      <c r="H1004" s="39" t="str">
        <f aca="false">IFERROR(INDEX(medicine_master!$C$2:$C$26,MATCH($C1004,medicine_master!$A$2:$A$26,0)),"Not found")</f>
        <v>Dermatology</v>
      </c>
      <c r="I1004" s="39" t="n">
        <f aca="false">YEAR(B1004)</f>
        <v>2026</v>
      </c>
      <c r="J1004" s="39" t="n">
        <f aca="false">MONTH(B1004)</f>
        <v>10</v>
      </c>
      <c r="K1004" s="39" t="str">
        <f aca="false">TEXT(B1004,"mmm")</f>
        <v>Oct</v>
      </c>
      <c r="L1004" s="45" t="n">
        <f aca="false">IFERROR(INDEX(medicine_master!$I$2:$I$26,MATCH($C1004,medicine_master!$A$2:$A$26,0)),0)</f>
        <v>60</v>
      </c>
      <c r="M1004" s="45" t="n">
        <f aca="false">IFERROR(INDEX(medicine_master!$G$2:$G$26,MATCH($C1004,medicine_master!$A$2:$A$26,0)),0)</f>
        <v>42</v>
      </c>
      <c r="N1004" s="45" t="n">
        <f aca="false">IF(D1004="Sale",E1004*L1004,0)</f>
        <v>1200</v>
      </c>
      <c r="O1004" s="45" t="n">
        <f aca="false">IF(D1004="Sale",E1004*M1004,0)</f>
        <v>840</v>
      </c>
      <c r="P1004" s="45" t="n">
        <f aca="false">N1004-O1004</f>
        <v>360</v>
      </c>
      <c r="Q1004" s="45" t="n">
        <f aca="false">IF(D1004="Purchase",E1004*M1004,0)</f>
        <v>0</v>
      </c>
    </row>
    <row r="1005" customFormat="false" ht="15" hidden="false" customHeight="false" outlineLevel="0" collapsed="false">
      <c r="A1005" s="39" t="s">
        <v>1329</v>
      </c>
      <c r="B1005" s="44" t="n">
        <v>46209</v>
      </c>
      <c r="C1005" s="39" t="s">
        <v>147</v>
      </c>
      <c r="D1005" s="39" t="s">
        <v>138</v>
      </c>
      <c r="E1005" s="39" t="n">
        <v>40</v>
      </c>
      <c r="F1005" s="39" t="str">
        <f aca="false">IF(COUNTIF(medicine_master!$A$2:$A$26,C1005)&gt;0,"Valid","Invalid")</f>
        <v>Valid</v>
      </c>
      <c r="G1005" s="39" t="str">
        <f aca="false">IFERROR(INDEX(medicine_master!$B$2:$B$26,MATCH($C1005,medicine_master!$A$2:$A$26,0)),"Not found")</f>
        <v>Insulin Injection</v>
      </c>
      <c r="H1005" s="39" t="str">
        <f aca="false">IFERROR(INDEX(medicine_master!$C$2:$C$26,MATCH($C1005,medicine_master!$A$2:$A$26,0)),"Not found")</f>
        <v>Diabetes</v>
      </c>
      <c r="I1005" s="39" t="n">
        <f aca="false">YEAR(B1005)</f>
        <v>2026</v>
      </c>
      <c r="J1005" s="39" t="n">
        <f aca="false">MONTH(B1005)</f>
        <v>7</v>
      </c>
      <c r="K1005" s="39" t="str">
        <f aca="false">TEXT(B1005,"mmm")</f>
        <v>Jul</v>
      </c>
      <c r="L1005" s="45" t="n">
        <f aca="false">IFERROR(INDEX(medicine_master!$I$2:$I$26,MATCH($C1005,medicine_master!$A$2:$A$26,0)),0)</f>
        <v>225</v>
      </c>
      <c r="M1005" s="45" t="n">
        <f aca="false">IFERROR(INDEX(medicine_master!$G$2:$G$26,MATCH($C1005,medicine_master!$A$2:$A$26,0)),0)</f>
        <v>165</v>
      </c>
      <c r="N1005" s="45" t="n">
        <f aca="false">IF(D1005="Sale",E1005*L1005,0)</f>
        <v>0</v>
      </c>
      <c r="O1005" s="45" t="n">
        <f aca="false">IF(D1005="Sale",E1005*M1005,0)</f>
        <v>0</v>
      </c>
      <c r="P1005" s="45" t="n">
        <f aca="false">N1005-O1005</f>
        <v>0</v>
      </c>
      <c r="Q1005" s="45" t="n">
        <f aca="false">IF(D1005="Purchase",E1005*M1005,0)</f>
        <v>6600</v>
      </c>
    </row>
    <row r="1006" customFormat="false" ht="15" hidden="false" customHeight="false" outlineLevel="0" collapsed="false">
      <c r="A1006" s="39" t="s">
        <v>1330</v>
      </c>
      <c r="B1006" s="44" t="n">
        <v>46126</v>
      </c>
      <c r="C1006" s="39" t="s">
        <v>167</v>
      </c>
      <c r="D1006" s="39" t="s">
        <v>137</v>
      </c>
      <c r="E1006" s="39" t="n">
        <v>40</v>
      </c>
      <c r="F1006" s="39" t="str">
        <f aca="false">IF(COUNTIF(medicine_master!$A$2:$A$26,C1006)&gt;0,"Valid","Invalid")</f>
        <v>Valid</v>
      </c>
      <c r="G1006" s="39" t="str">
        <f aca="false">IFERROR(INDEX(medicine_master!$B$2:$B$26,MATCH($C1006,medicine_master!$A$2:$A$26,0)),"Not found")</f>
        <v>Amlodipine 5mg</v>
      </c>
      <c r="H1006" s="39" t="str">
        <f aca="false">IFERROR(INDEX(medicine_master!$C$2:$C$26,MATCH($C1006,medicine_master!$A$2:$A$26,0)),"Not found")</f>
        <v>Cardiac</v>
      </c>
      <c r="I1006" s="39" t="n">
        <f aca="false">YEAR(B1006)</f>
        <v>2026</v>
      </c>
      <c r="J1006" s="39" t="n">
        <f aca="false">MONTH(B1006)</f>
        <v>4</v>
      </c>
      <c r="K1006" s="39" t="str">
        <f aca="false">TEXT(B1006,"mmm")</f>
        <v>Apr</v>
      </c>
      <c r="L1006" s="45" t="n">
        <f aca="false">IFERROR(INDEX(medicine_master!$I$2:$I$26,MATCH($C1006,medicine_master!$A$2:$A$26,0)),0)</f>
        <v>19</v>
      </c>
      <c r="M1006" s="45" t="n">
        <f aca="false">IFERROR(INDEX(medicine_master!$G$2:$G$26,MATCH($C1006,medicine_master!$A$2:$A$26,0)),0)</f>
        <v>13</v>
      </c>
      <c r="N1006" s="45" t="n">
        <f aca="false">IF(D1006="Sale",E1006*L1006,0)</f>
        <v>760</v>
      </c>
      <c r="O1006" s="45" t="n">
        <f aca="false">IF(D1006="Sale",E1006*M1006,0)</f>
        <v>520</v>
      </c>
      <c r="P1006" s="45" t="n">
        <f aca="false">N1006-O1006</f>
        <v>240</v>
      </c>
      <c r="Q1006" s="45" t="n">
        <f aca="false">IF(D1006="Purchase",E1006*M1006,0)</f>
        <v>0</v>
      </c>
    </row>
    <row r="1007" customFormat="false" ht="15" hidden="false" customHeight="false" outlineLevel="0" collapsed="false">
      <c r="A1007" s="39" t="s">
        <v>1331</v>
      </c>
      <c r="B1007" s="44" t="n">
        <v>46353</v>
      </c>
      <c r="C1007" s="39" t="s">
        <v>345</v>
      </c>
      <c r="D1007" s="39" t="s">
        <v>137</v>
      </c>
      <c r="E1007" s="39" t="n">
        <v>5</v>
      </c>
      <c r="F1007" s="39" t="str">
        <f aca="false">IF(COUNTIF(medicine_master!$A$2:$A$26,C1007)&gt;0,"Valid","Invalid")</f>
        <v>Valid</v>
      </c>
      <c r="G1007" s="39" t="str">
        <f aca="false">IFERROR(INDEX(medicine_master!$B$2:$B$26,MATCH($C1007,medicine_master!$A$2:$A$26,0)),"Not found")</f>
        <v>Paracetamol 500mg</v>
      </c>
      <c r="H1007" s="39" t="str">
        <f aca="false">IFERROR(INDEX(medicine_master!$C$2:$C$26,MATCH($C1007,medicine_master!$A$2:$A$26,0)),"Not found")</f>
        <v>Pain Relief</v>
      </c>
      <c r="I1007" s="39" t="n">
        <f aca="false">YEAR(B1007)</f>
        <v>2026</v>
      </c>
      <c r="J1007" s="39" t="n">
        <f aca="false">MONTH(B1007)</f>
        <v>11</v>
      </c>
      <c r="K1007" s="39" t="str">
        <f aca="false">TEXT(B1007,"mmm")</f>
        <v>Nov</v>
      </c>
      <c r="L1007" s="45" t="n">
        <f aca="false">IFERROR(INDEX(medicine_master!$I$2:$I$26,MATCH($C1007,medicine_master!$A$2:$A$26,0)),0)</f>
        <v>18</v>
      </c>
      <c r="M1007" s="45" t="n">
        <f aca="false">IFERROR(INDEX(medicine_master!$G$2:$G$26,MATCH($C1007,medicine_master!$A$2:$A$26,0)),0)</f>
        <v>12</v>
      </c>
      <c r="N1007" s="45" t="n">
        <f aca="false">IF(D1007="Sale",E1007*L1007,0)</f>
        <v>90</v>
      </c>
      <c r="O1007" s="45" t="n">
        <f aca="false">IF(D1007="Sale",E1007*M1007,0)</f>
        <v>60</v>
      </c>
      <c r="P1007" s="45" t="n">
        <f aca="false">N1007-O1007</f>
        <v>30</v>
      </c>
      <c r="Q1007" s="45" t="n">
        <f aca="false">IF(D1007="Purchase",E1007*M1007,0)</f>
        <v>0</v>
      </c>
    </row>
    <row r="1008" customFormat="false" ht="15" hidden="false" customHeight="false" outlineLevel="0" collapsed="false">
      <c r="A1008" s="39" t="s">
        <v>1332</v>
      </c>
      <c r="B1008" s="44" t="n">
        <v>46198</v>
      </c>
      <c r="C1008" s="39" t="s">
        <v>146</v>
      </c>
      <c r="D1008" s="39" t="s">
        <v>137</v>
      </c>
      <c r="E1008" s="39" t="n">
        <v>40</v>
      </c>
      <c r="F1008" s="39" t="str">
        <f aca="false">IF(COUNTIF(medicine_master!$A$2:$A$26,C1008)&gt;0,"Valid","Invalid")</f>
        <v>Valid</v>
      </c>
      <c r="G1008" s="39" t="str">
        <f aca="false">IFERROR(INDEX(medicine_master!$B$2:$B$26,MATCH($C1008,medicine_master!$A$2:$A$26,0)),"Not found")</f>
        <v>Diclofenac Gel</v>
      </c>
      <c r="H1008" s="39" t="str">
        <f aca="false">IFERROR(INDEX(medicine_master!$C$2:$C$26,MATCH($C1008,medicine_master!$A$2:$A$26,0)),"Not found")</f>
        <v>Pain Relief</v>
      </c>
      <c r="I1008" s="39" t="n">
        <f aca="false">YEAR(B1008)</f>
        <v>2026</v>
      </c>
      <c r="J1008" s="39" t="n">
        <f aca="false">MONTH(B1008)</f>
        <v>6</v>
      </c>
      <c r="K1008" s="39" t="str">
        <f aca="false">TEXT(B1008,"mmm")</f>
        <v>Jun</v>
      </c>
      <c r="L1008" s="45" t="n">
        <f aca="false">IFERROR(INDEX(medicine_master!$I$2:$I$26,MATCH($C1008,medicine_master!$A$2:$A$26,0)),0)</f>
        <v>55</v>
      </c>
      <c r="M1008" s="45" t="n">
        <f aca="false">IFERROR(INDEX(medicine_master!$G$2:$G$26,MATCH($C1008,medicine_master!$A$2:$A$26,0)),0)</f>
        <v>38</v>
      </c>
      <c r="N1008" s="45" t="n">
        <f aca="false">IF(D1008="Sale",E1008*L1008,0)</f>
        <v>2200</v>
      </c>
      <c r="O1008" s="45" t="n">
        <f aca="false">IF(D1008="Sale",E1008*M1008,0)</f>
        <v>1520</v>
      </c>
      <c r="P1008" s="45" t="n">
        <f aca="false">N1008-O1008</f>
        <v>680</v>
      </c>
      <c r="Q1008" s="45" t="n">
        <f aca="false">IF(D1008="Purchase",E1008*M1008,0)</f>
        <v>0</v>
      </c>
    </row>
    <row r="1009" customFormat="false" ht="15" hidden="false" customHeight="false" outlineLevel="0" collapsed="false">
      <c r="A1009" s="39" t="s">
        <v>1333</v>
      </c>
      <c r="B1009" s="44" t="n">
        <v>46113</v>
      </c>
      <c r="C1009" s="39" t="s">
        <v>150</v>
      </c>
      <c r="D1009" s="39" t="s">
        <v>138</v>
      </c>
      <c r="E1009" s="39" t="n">
        <v>20</v>
      </c>
      <c r="F1009" s="39" t="str">
        <f aca="false">IF(COUNTIF(medicine_master!$A$2:$A$26,C1009)&gt;0,"Valid","Invalid")</f>
        <v>Valid</v>
      </c>
      <c r="G1009" s="39" t="str">
        <f aca="false">IFERROR(INDEX(medicine_master!$B$2:$B$26,MATCH($C1009,medicine_master!$A$2:$A$26,0)),"Not found")</f>
        <v>Pantoprazole 40mg</v>
      </c>
      <c r="H1009" s="39" t="str">
        <f aca="false">IFERROR(INDEX(medicine_master!$C$2:$C$26,MATCH($C1009,medicine_master!$A$2:$A$26,0)),"Not found")</f>
        <v>Gastric</v>
      </c>
      <c r="I1009" s="39" t="n">
        <f aca="false">YEAR(B1009)</f>
        <v>2026</v>
      </c>
      <c r="J1009" s="39" t="n">
        <f aca="false">MONTH(B1009)</f>
        <v>4</v>
      </c>
      <c r="K1009" s="39" t="str">
        <f aca="false">TEXT(B1009,"mmm")</f>
        <v>Apr</v>
      </c>
      <c r="L1009" s="45" t="n">
        <f aca="false">IFERROR(INDEX(medicine_master!$I$2:$I$26,MATCH($C1009,medicine_master!$A$2:$A$26,0)),0)</f>
        <v>35</v>
      </c>
      <c r="M1009" s="45" t="n">
        <f aca="false">IFERROR(INDEX(medicine_master!$G$2:$G$26,MATCH($C1009,medicine_master!$A$2:$A$26,0)),0)</f>
        <v>24</v>
      </c>
      <c r="N1009" s="45" t="n">
        <f aca="false">IF(D1009="Sale",E1009*L1009,0)</f>
        <v>0</v>
      </c>
      <c r="O1009" s="45" t="n">
        <f aca="false">IF(D1009="Sale",E1009*M1009,0)</f>
        <v>0</v>
      </c>
      <c r="P1009" s="45" t="n">
        <f aca="false">N1009-O1009</f>
        <v>0</v>
      </c>
      <c r="Q1009" s="45" t="n">
        <f aca="false">IF(D1009="Purchase",E1009*M1009,0)</f>
        <v>480</v>
      </c>
    </row>
    <row r="1010" customFormat="false" ht="15" hidden="false" customHeight="false" outlineLevel="0" collapsed="false">
      <c r="A1010" s="39" t="s">
        <v>1334</v>
      </c>
      <c r="B1010" s="44" t="n">
        <v>46373</v>
      </c>
      <c r="C1010" s="39" t="s">
        <v>159</v>
      </c>
      <c r="D1010" s="39" t="s">
        <v>138</v>
      </c>
      <c r="E1010" s="39" t="n">
        <v>15</v>
      </c>
      <c r="F1010" s="39" t="str">
        <f aca="false">IF(COUNTIF(medicine_master!$A$2:$A$26,C1010)&gt;0,"Valid","Invalid")</f>
        <v>Valid</v>
      </c>
      <c r="G1010" s="39" t="str">
        <f aca="false">IFERROR(INDEX(medicine_master!$B$2:$B$26,MATCH($C1010,medicine_master!$A$2:$A$26,0)),"Not found")</f>
        <v>Antiseptic Liquid 100ml</v>
      </c>
      <c r="H1010" s="39" t="str">
        <f aca="false">IFERROR(INDEX(medicine_master!$C$2:$C$26,MATCH($C1010,medicine_master!$A$2:$A$26,0)),"Not found")</f>
        <v>First Aid</v>
      </c>
      <c r="I1010" s="39" t="n">
        <f aca="false">YEAR(B1010)</f>
        <v>2026</v>
      </c>
      <c r="J1010" s="39" t="n">
        <f aca="false">MONTH(B1010)</f>
        <v>12</v>
      </c>
      <c r="K1010" s="39" t="str">
        <f aca="false">TEXT(B1010,"mmm")</f>
        <v>Dec</v>
      </c>
      <c r="L1010" s="45" t="n">
        <f aca="false">IFERROR(INDEX(medicine_master!$I$2:$I$26,MATCH($C1010,medicine_master!$A$2:$A$26,0)),0)</f>
        <v>65</v>
      </c>
      <c r="M1010" s="45" t="n">
        <f aca="false">IFERROR(INDEX(medicine_master!$G$2:$G$26,MATCH($C1010,medicine_master!$A$2:$A$26,0)),0)</f>
        <v>48</v>
      </c>
      <c r="N1010" s="45" t="n">
        <f aca="false">IF(D1010="Sale",E1010*L1010,0)</f>
        <v>0</v>
      </c>
      <c r="O1010" s="45" t="n">
        <f aca="false">IF(D1010="Sale",E1010*M1010,0)</f>
        <v>0</v>
      </c>
      <c r="P1010" s="45" t="n">
        <f aca="false">N1010-O1010</f>
        <v>0</v>
      </c>
      <c r="Q1010" s="45" t="n">
        <f aca="false">IF(D1010="Purchase",E1010*M1010,0)</f>
        <v>720</v>
      </c>
    </row>
    <row r="1011" customFormat="false" ht="15" hidden="false" customHeight="false" outlineLevel="0" collapsed="false">
      <c r="A1011" s="39" t="s">
        <v>1335</v>
      </c>
      <c r="B1011" s="44" t="n">
        <v>46313</v>
      </c>
      <c r="C1011" s="39" t="s">
        <v>146</v>
      </c>
      <c r="D1011" s="39" t="s">
        <v>137</v>
      </c>
      <c r="E1011" s="39" t="n">
        <v>40</v>
      </c>
      <c r="F1011" s="39" t="str">
        <f aca="false">IF(COUNTIF(medicine_master!$A$2:$A$26,C1011)&gt;0,"Valid","Invalid")</f>
        <v>Valid</v>
      </c>
      <c r="G1011" s="39" t="str">
        <f aca="false">IFERROR(INDEX(medicine_master!$B$2:$B$26,MATCH($C1011,medicine_master!$A$2:$A$26,0)),"Not found")</f>
        <v>Diclofenac Gel</v>
      </c>
      <c r="H1011" s="39" t="str">
        <f aca="false">IFERROR(INDEX(medicine_master!$C$2:$C$26,MATCH($C1011,medicine_master!$A$2:$A$26,0)),"Not found")</f>
        <v>Pain Relief</v>
      </c>
      <c r="I1011" s="39" t="n">
        <f aca="false">YEAR(B1011)</f>
        <v>2026</v>
      </c>
      <c r="J1011" s="39" t="n">
        <f aca="false">MONTH(B1011)</f>
        <v>10</v>
      </c>
      <c r="K1011" s="39" t="str">
        <f aca="false">TEXT(B1011,"mmm")</f>
        <v>Oct</v>
      </c>
      <c r="L1011" s="45" t="n">
        <f aca="false">IFERROR(INDEX(medicine_master!$I$2:$I$26,MATCH($C1011,medicine_master!$A$2:$A$26,0)),0)</f>
        <v>55</v>
      </c>
      <c r="M1011" s="45" t="n">
        <f aca="false">IFERROR(INDEX(medicine_master!$G$2:$G$26,MATCH($C1011,medicine_master!$A$2:$A$26,0)),0)</f>
        <v>38</v>
      </c>
      <c r="N1011" s="45" t="n">
        <f aca="false">IF(D1011="Sale",E1011*L1011,0)</f>
        <v>2200</v>
      </c>
      <c r="O1011" s="45" t="n">
        <f aca="false">IF(D1011="Sale",E1011*M1011,0)</f>
        <v>1520</v>
      </c>
      <c r="P1011" s="45" t="n">
        <f aca="false">N1011-O1011</f>
        <v>680</v>
      </c>
      <c r="Q1011" s="45" t="n">
        <f aca="false">IF(D1011="Purchase",E1011*M1011,0)</f>
        <v>0</v>
      </c>
    </row>
    <row r="1012" customFormat="false" ht="15" hidden="false" customHeight="false" outlineLevel="0" collapsed="false">
      <c r="A1012" s="39" t="s">
        <v>1336</v>
      </c>
      <c r="B1012" s="44" t="n">
        <v>46326</v>
      </c>
      <c r="C1012" s="39" t="s">
        <v>390</v>
      </c>
      <c r="D1012" s="39" t="s">
        <v>138</v>
      </c>
      <c r="E1012" s="39" t="n">
        <v>5</v>
      </c>
      <c r="F1012" s="39" t="str">
        <f aca="false">IF(COUNTIF(medicine_master!$A$2:$A$26,C1012)&gt;0,"Valid","Invalid")</f>
        <v>Valid</v>
      </c>
      <c r="G1012" s="39" t="str">
        <f aca="false">IFERROR(INDEX(medicine_master!$B$2:$B$26,MATCH($C1012,medicine_master!$A$2:$A$26,0)),"Not found")</f>
        <v>Montelukast 10mg</v>
      </c>
      <c r="H1012" s="39" t="str">
        <f aca="false">IFERROR(INDEX(medicine_master!$C$2:$C$26,MATCH($C1012,medicine_master!$A$2:$A$26,0)),"Not found")</f>
        <v>Allergy</v>
      </c>
      <c r="I1012" s="39" t="n">
        <f aca="false">YEAR(B1012)</f>
        <v>2026</v>
      </c>
      <c r="J1012" s="39" t="n">
        <f aca="false">MONTH(B1012)</f>
        <v>10</v>
      </c>
      <c r="K1012" s="39" t="str">
        <f aca="false">TEXT(B1012,"mmm")</f>
        <v>Oct</v>
      </c>
      <c r="L1012" s="45" t="n">
        <f aca="false">IFERROR(INDEX(medicine_master!$I$2:$I$26,MATCH($C1012,medicine_master!$A$2:$A$26,0)),0)</f>
        <v>39</v>
      </c>
      <c r="M1012" s="45" t="n">
        <f aca="false">IFERROR(INDEX(medicine_master!$G$2:$G$26,MATCH($C1012,medicine_master!$A$2:$A$26,0)),0)</f>
        <v>27</v>
      </c>
      <c r="N1012" s="45" t="n">
        <f aca="false">IF(D1012="Sale",E1012*L1012,0)</f>
        <v>0</v>
      </c>
      <c r="O1012" s="45" t="n">
        <f aca="false">IF(D1012="Sale",E1012*M1012,0)</f>
        <v>0</v>
      </c>
      <c r="P1012" s="45" t="n">
        <f aca="false">N1012-O1012</f>
        <v>0</v>
      </c>
      <c r="Q1012" s="45" t="n">
        <f aca="false">IF(D1012="Purchase",E1012*M1012,0)</f>
        <v>135</v>
      </c>
    </row>
    <row r="1013" customFormat="false" ht="15" hidden="false" customHeight="false" outlineLevel="0" collapsed="false">
      <c r="A1013" s="39" t="s">
        <v>1337</v>
      </c>
      <c r="B1013" s="44" t="n">
        <v>46136</v>
      </c>
      <c r="C1013" s="39" t="s">
        <v>145</v>
      </c>
      <c r="D1013" s="39" t="s">
        <v>137</v>
      </c>
      <c r="E1013" s="39" t="n">
        <v>5</v>
      </c>
      <c r="F1013" s="39" t="str">
        <f aca="false">IF(COUNTIF(medicine_master!$A$2:$A$26,C1013)&gt;0,"Valid","Invalid")</f>
        <v>Valid</v>
      </c>
      <c r="G1013" s="39" t="str">
        <f aca="false">IFERROR(INDEX(medicine_master!$B$2:$B$26,MATCH($C1013,medicine_master!$A$2:$A$26,0)),"Not found")</f>
        <v>Clotrimazole Cream</v>
      </c>
      <c r="H1013" s="39" t="str">
        <f aca="false">IFERROR(INDEX(medicine_master!$C$2:$C$26,MATCH($C1013,medicine_master!$A$2:$A$26,0)),"Not found")</f>
        <v>Dermatology</v>
      </c>
      <c r="I1013" s="39" t="n">
        <f aca="false">YEAR(B1013)</f>
        <v>2026</v>
      </c>
      <c r="J1013" s="39" t="n">
        <f aca="false">MONTH(B1013)</f>
        <v>4</v>
      </c>
      <c r="K1013" s="39" t="str">
        <f aca="false">TEXT(B1013,"mmm")</f>
        <v>Apr</v>
      </c>
      <c r="L1013" s="45" t="n">
        <f aca="false">IFERROR(INDEX(medicine_master!$I$2:$I$26,MATCH($C1013,medicine_master!$A$2:$A$26,0)),0)</f>
        <v>48</v>
      </c>
      <c r="M1013" s="45" t="n">
        <f aca="false">IFERROR(INDEX(medicine_master!$G$2:$G$26,MATCH($C1013,medicine_master!$A$2:$A$26,0)),0)</f>
        <v>32</v>
      </c>
      <c r="N1013" s="45" t="n">
        <f aca="false">IF(D1013="Sale",E1013*L1013,0)</f>
        <v>240</v>
      </c>
      <c r="O1013" s="45" t="n">
        <f aca="false">IF(D1013="Sale",E1013*M1013,0)</f>
        <v>160</v>
      </c>
      <c r="P1013" s="45" t="n">
        <f aca="false">N1013-O1013</f>
        <v>80</v>
      </c>
      <c r="Q1013" s="45" t="n">
        <f aca="false">IF(D1013="Purchase",E1013*M1013,0)</f>
        <v>0</v>
      </c>
    </row>
    <row r="1014" customFormat="false" ht="15" hidden="false" customHeight="false" outlineLevel="0" collapsed="false">
      <c r="A1014" s="39" t="s">
        <v>1338</v>
      </c>
      <c r="B1014" s="44" t="n">
        <v>46229</v>
      </c>
      <c r="C1014" s="39" t="s">
        <v>495</v>
      </c>
      <c r="D1014" s="39" t="s">
        <v>138</v>
      </c>
      <c r="E1014" s="39" t="n">
        <v>40</v>
      </c>
      <c r="F1014" s="39" t="str">
        <f aca="false">IF(COUNTIF(medicine_master!$A$2:$A$26,C1014)&gt;0,"Valid","Invalid")</f>
        <v>Valid</v>
      </c>
      <c r="G1014" s="39" t="str">
        <f aca="false">IFERROR(INDEX(medicine_master!$B$2:$B$26,MATCH($C1014,medicine_master!$A$2:$A$26,0)),"Not found")</f>
        <v>Metformin 500mg</v>
      </c>
      <c r="H1014" s="39" t="str">
        <f aca="false">IFERROR(INDEX(medicine_master!$C$2:$C$26,MATCH($C1014,medicine_master!$A$2:$A$26,0)),"Not found")</f>
        <v>Diabetes</v>
      </c>
      <c r="I1014" s="39" t="n">
        <f aca="false">YEAR(B1014)</f>
        <v>2026</v>
      </c>
      <c r="J1014" s="39" t="n">
        <f aca="false">MONTH(B1014)</f>
        <v>7</v>
      </c>
      <c r="K1014" s="39" t="str">
        <f aca="false">TEXT(B1014,"mmm")</f>
        <v>Jul</v>
      </c>
      <c r="L1014" s="45" t="n">
        <f aca="false">IFERROR(INDEX(medicine_master!$I$2:$I$26,MATCH($C1014,medicine_master!$A$2:$A$26,0)),0)</f>
        <v>24</v>
      </c>
      <c r="M1014" s="45" t="n">
        <f aca="false">IFERROR(INDEX(medicine_master!$G$2:$G$26,MATCH($C1014,medicine_master!$A$2:$A$26,0)),0)</f>
        <v>16</v>
      </c>
      <c r="N1014" s="45" t="n">
        <f aca="false">IF(D1014="Sale",E1014*L1014,0)</f>
        <v>0</v>
      </c>
      <c r="O1014" s="45" t="n">
        <f aca="false">IF(D1014="Sale",E1014*M1014,0)</f>
        <v>0</v>
      </c>
      <c r="P1014" s="45" t="n">
        <f aca="false">N1014-O1014</f>
        <v>0</v>
      </c>
      <c r="Q1014" s="45" t="n">
        <f aca="false">IF(D1014="Purchase",E1014*M1014,0)</f>
        <v>640</v>
      </c>
    </row>
    <row r="1015" customFormat="false" ht="15" hidden="false" customHeight="false" outlineLevel="0" collapsed="false">
      <c r="A1015" s="39" t="s">
        <v>1339</v>
      </c>
      <c r="B1015" s="44" t="n">
        <v>46219</v>
      </c>
      <c r="C1015" s="39" t="s">
        <v>390</v>
      </c>
      <c r="D1015" s="39" t="s">
        <v>137</v>
      </c>
      <c r="E1015" s="39" t="n">
        <v>20</v>
      </c>
      <c r="F1015" s="39" t="str">
        <f aca="false">IF(COUNTIF(medicine_master!$A$2:$A$26,C1015)&gt;0,"Valid","Invalid")</f>
        <v>Valid</v>
      </c>
      <c r="G1015" s="39" t="str">
        <f aca="false">IFERROR(INDEX(medicine_master!$B$2:$B$26,MATCH($C1015,medicine_master!$A$2:$A$26,0)),"Not found")</f>
        <v>Montelukast 10mg</v>
      </c>
      <c r="H1015" s="39" t="str">
        <f aca="false">IFERROR(INDEX(medicine_master!$C$2:$C$26,MATCH($C1015,medicine_master!$A$2:$A$26,0)),"Not found")</f>
        <v>Allergy</v>
      </c>
      <c r="I1015" s="39" t="n">
        <f aca="false">YEAR(B1015)</f>
        <v>2026</v>
      </c>
      <c r="J1015" s="39" t="n">
        <f aca="false">MONTH(B1015)</f>
        <v>7</v>
      </c>
      <c r="K1015" s="39" t="str">
        <f aca="false">TEXT(B1015,"mmm")</f>
        <v>Jul</v>
      </c>
      <c r="L1015" s="45" t="n">
        <f aca="false">IFERROR(INDEX(medicine_master!$I$2:$I$26,MATCH($C1015,medicine_master!$A$2:$A$26,0)),0)</f>
        <v>39</v>
      </c>
      <c r="M1015" s="45" t="n">
        <f aca="false">IFERROR(INDEX(medicine_master!$G$2:$G$26,MATCH($C1015,medicine_master!$A$2:$A$26,0)),0)</f>
        <v>27</v>
      </c>
      <c r="N1015" s="45" t="n">
        <f aca="false">IF(D1015="Sale",E1015*L1015,0)</f>
        <v>780</v>
      </c>
      <c r="O1015" s="45" t="n">
        <f aca="false">IF(D1015="Sale",E1015*M1015,0)</f>
        <v>540</v>
      </c>
      <c r="P1015" s="45" t="n">
        <f aca="false">N1015-O1015</f>
        <v>240</v>
      </c>
      <c r="Q1015" s="45" t="n">
        <f aca="false">IF(D1015="Purchase",E1015*M1015,0)</f>
        <v>0</v>
      </c>
    </row>
    <row r="1016" customFormat="false" ht="15" hidden="false" customHeight="false" outlineLevel="0" collapsed="false">
      <c r="A1016" s="39" t="s">
        <v>1340</v>
      </c>
      <c r="B1016" s="44" t="n">
        <v>46090</v>
      </c>
      <c r="C1016" s="39" t="s">
        <v>404</v>
      </c>
      <c r="D1016" s="39" t="s">
        <v>137</v>
      </c>
      <c r="E1016" s="39" t="n">
        <v>30</v>
      </c>
      <c r="F1016" s="39" t="str">
        <f aca="false">IF(COUNTIF(medicine_master!$A$2:$A$26,C1016)&gt;0,"Valid","Invalid")</f>
        <v>Valid</v>
      </c>
      <c r="G1016" s="39" t="str">
        <f aca="false">IFERROR(INDEX(medicine_master!$B$2:$B$26,MATCH($C1016,medicine_master!$A$2:$A$26,0)),"Not found")</f>
        <v>ORS Sachet</v>
      </c>
      <c r="H1016" s="39" t="str">
        <f aca="false">IFERROR(INDEX(medicine_master!$C$2:$C$26,MATCH($C1016,medicine_master!$A$2:$A$26,0)),"Not found")</f>
        <v>First Aid</v>
      </c>
      <c r="I1016" s="39" t="n">
        <f aca="false">YEAR(B1016)</f>
        <v>2026</v>
      </c>
      <c r="J1016" s="39" t="n">
        <f aca="false">MONTH(B1016)</f>
        <v>3</v>
      </c>
      <c r="K1016" s="39" t="str">
        <f aca="false">TEXT(B1016,"mmm")</f>
        <v>Mar</v>
      </c>
      <c r="L1016" s="45" t="n">
        <f aca="false">IFERROR(INDEX(medicine_master!$I$2:$I$26,MATCH($C1016,medicine_master!$A$2:$A$26,0)),0)</f>
        <v>10</v>
      </c>
      <c r="M1016" s="45" t="n">
        <f aca="false">IFERROR(INDEX(medicine_master!$G$2:$G$26,MATCH($C1016,medicine_master!$A$2:$A$26,0)),0)</f>
        <v>6</v>
      </c>
      <c r="N1016" s="45" t="n">
        <f aca="false">IF(D1016="Sale",E1016*L1016,0)</f>
        <v>300</v>
      </c>
      <c r="O1016" s="45" t="n">
        <f aca="false">IF(D1016="Sale",E1016*M1016,0)</f>
        <v>180</v>
      </c>
      <c r="P1016" s="45" t="n">
        <f aca="false">N1016-O1016</f>
        <v>120</v>
      </c>
      <c r="Q1016" s="45" t="n">
        <f aca="false">IF(D1016="Purchase",E1016*M1016,0)</f>
        <v>0</v>
      </c>
    </row>
    <row r="1017" customFormat="false" ht="15" hidden="false" customHeight="false" outlineLevel="0" collapsed="false">
      <c r="A1017" s="39" t="s">
        <v>1341</v>
      </c>
      <c r="B1017" s="44" t="n">
        <v>46175</v>
      </c>
      <c r="C1017" s="39" t="s">
        <v>146</v>
      </c>
      <c r="D1017" s="39" t="s">
        <v>137</v>
      </c>
      <c r="E1017" s="39" t="n">
        <v>40</v>
      </c>
      <c r="F1017" s="39" t="str">
        <f aca="false">IF(COUNTIF(medicine_master!$A$2:$A$26,C1017)&gt;0,"Valid","Invalid")</f>
        <v>Valid</v>
      </c>
      <c r="G1017" s="39" t="str">
        <f aca="false">IFERROR(INDEX(medicine_master!$B$2:$B$26,MATCH($C1017,medicine_master!$A$2:$A$26,0)),"Not found")</f>
        <v>Diclofenac Gel</v>
      </c>
      <c r="H1017" s="39" t="str">
        <f aca="false">IFERROR(INDEX(medicine_master!$C$2:$C$26,MATCH($C1017,medicine_master!$A$2:$A$26,0)),"Not found")</f>
        <v>Pain Relief</v>
      </c>
      <c r="I1017" s="39" t="n">
        <f aca="false">YEAR(B1017)</f>
        <v>2026</v>
      </c>
      <c r="J1017" s="39" t="n">
        <f aca="false">MONTH(B1017)</f>
        <v>6</v>
      </c>
      <c r="K1017" s="39" t="str">
        <f aca="false">TEXT(B1017,"mmm")</f>
        <v>Jun</v>
      </c>
      <c r="L1017" s="45" t="n">
        <f aca="false">IFERROR(INDEX(medicine_master!$I$2:$I$26,MATCH($C1017,medicine_master!$A$2:$A$26,0)),0)</f>
        <v>55</v>
      </c>
      <c r="M1017" s="45" t="n">
        <f aca="false">IFERROR(INDEX(medicine_master!$G$2:$G$26,MATCH($C1017,medicine_master!$A$2:$A$26,0)),0)</f>
        <v>38</v>
      </c>
      <c r="N1017" s="45" t="n">
        <f aca="false">IF(D1017="Sale",E1017*L1017,0)</f>
        <v>2200</v>
      </c>
      <c r="O1017" s="45" t="n">
        <f aca="false">IF(D1017="Sale",E1017*M1017,0)</f>
        <v>1520</v>
      </c>
      <c r="P1017" s="45" t="n">
        <f aca="false">N1017-O1017</f>
        <v>680</v>
      </c>
      <c r="Q1017" s="45" t="n">
        <f aca="false">IF(D1017="Purchase",E1017*M1017,0)</f>
        <v>0</v>
      </c>
    </row>
    <row r="1018" customFormat="false" ht="15" hidden="false" customHeight="false" outlineLevel="0" collapsed="false">
      <c r="A1018" s="39" t="s">
        <v>1342</v>
      </c>
      <c r="B1018" s="44" t="n">
        <v>46161</v>
      </c>
      <c r="C1018" s="39" t="s">
        <v>153</v>
      </c>
      <c r="D1018" s="39" t="s">
        <v>138</v>
      </c>
      <c r="E1018" s="39" t="n">
        <v>25</v>
      </c>
      <c r="F1018" s="39" t="str">
        <f aca="false">IF(COUNTIF(medicine_master!$A$2:$A$26,C1018)&gt;0,"Valid","Invalid")</f>
        <v>Valid</v>
      </c>
      <c r="G1018" s="39" t="str">
        <f aca="false">IFERROR(INDEX(medicine_master!$B$2:$B$26,MATCH($C1018,medicine_master!$A$2:$A$26,0)),"Not found")</f>
        <v>Atorvastatin 10mg</v>
      </c>
      <c r="H1018" s="39" t="str">
        <f aca="false">IFERROR(INDEX(medicine_master!$C$2:$C$26,MATCH($C1018,medicine_master!$A$2:$A$26,0)),"Not found")</f>
        <v>Cardiac</v>
      </c>
      <c r="I1018" s="39" t="n">
        <f aca="false">YEAR(B1018)</f>
        <v>2026</v>
      </c>
      <c r="J1018" s="39" t="n">
        <f aca="false">MONTH(B1018)</f>
        <v>5</v>
      </c>
      <c r="K1018" s="39" t="str">
        <f aca="false">TEXT(B1018,"mmm")</f>
        <v>May</v>
      </c>
      <c r="L1018" s="45" t="n">
        <f aca="false">IFERROR(INDEX(medicine_master!$I$2:$I$26,MATCH($C1018,medicine_master!$A$2:$A$26,0)),0)</f>
        <v>28</v>
      </c>
      <c r="M1018" s="45" t="n">
        <f aca="false">IFERROR(INDEX(medicine_master!$G$2:$G$26,MATCH($C1018,medicine_master!$A$2:$A$26,0)),0)</f>
        <v>19</v>
      </c>
      <c r="N1018" s="45" t="n">
        <f aca="false">IF(D1018="Sale",E1018*L1018,0)</f>
        <v>0</v>
      </c>
      <c r="O1018" s="45" t="n">
        <f aca="false">IF(D1018="Sale",E1018*M1018,0)</f>
        <v>0</v>
      </c>
      <c r="P1018" s="45" t="n">
        <f aca="false">N1018-O1018</f>
        <v>0</v>
      </c>
      <c r="Q1018" s="45" t="n">
        <f aca="false">IF(D1018="Purchase",E1018*M1018,0)</f>
        <v>475</v>
      </c>
    </row>
    <row r="1019" customFormat="false" ht="15" hidden="false" customHeight="false" outlineLevel="0" collapsed="false">
      <c r="A1019" s="39" t="s">
        <v>1343</v>
      </c>
      <c r="B1019" s="44" t="n">
        <v>46213</v>
      </c>
      <c r="C1019" s="39" t="s">
        <v>152</v>
      </c>
      <c r="D1019" s="39" t="s">
        <v>137</v>
      </c>
      <c r="E1019" s="39" t="n">
        <v>50</v>
      </c>
      <c r="F1019" s="39" t="str">
        <f aca="false">IF(COUNTIF(medicine_master!$A$2:$A$26,C1019)&gt;0,"Valid","Invalid")</f>
        <v>Valid</v>
      </c>
      <c r="G1019" s="39" t="str">
        <f aca="false">IFERROR(INDEX(medicine_master!$B$2:$B$26,MATCH($C1019,medicine_master!$A$2:$A$26,0)),"Not found")</f>
        <v>Amoxicillin 500mg</v>
      </c>
      <c r="H1019" s="39" t="str">
        <f aca="false">IFERROR(INDEX(medicine_master!$C$2:$C$26,MATCH($C1019,medicine_master!$A$2:$A$26,0)),"Not found")</f>
        <v>Antibiotic</v>
      </c>
      <c r="I1019" s="39" t="n">
        <f aca="false">YEAR(B1019)</f>
        <v>2026</v>
      </c>
      <c r="J1019" s="39" t="n">
        <f aca="false">MONTH(B1019)</f>
        <v>7</v>
      </c>
      <c r="K1019" s="39" t="str">
        <f aca="false">TEXT(B1019,"mmm")</f>
        <v>Jul</v>
      </c>
      <c r="L1019" s="45" t="n">
        <f aca="false">IFERROR(INDEX(medicine_master!$I$2:$I$26,MATCH($C1019,medicine_master!$A$2:$A$26,0)),0)</f>
        <v>40</v>
      </c>
      <c r="M1019" s="45" t="n">
        <f aca="false">IFERROR(INDEX(medicine_master!$G$2:$G$26,MATCH($C1019,medicine_master!$A$2:$A$26,0)),0)</f>
        <v>28</v>
      </c>
      <c r="N1019" s="45" t="n">
        <f aca="false">IF(D1019="Sale",E1019*L1019,0)</f>
        <v>2000</v>
      </c>
      <c r="O1019" s="45" t="n">
        <f aca="false">IF(D1019="Sale",E1019*M1019,0)</f>
        <v>1400</v>
      </c>
      <c r="P1019" s="45" t="n">
        <f aca="false">N1019-O1019</f>
        <v>600</v>
      </c>
      <c r="Q1019" s="45" t="n">
        <f aca="false">IF(D1019="Purchase",E1019*M1019,0)</f>
        <v>0</v>
      </c>
    </row>
    <row r="1020" customFormat="false" ht="15" hidden="false" customHeight="false" outlineLevel="0" collapsed="false">
      <c r="A1020" s="39" t="s">
        <v>1344</v>
      </c>
      <c r="B1020" s="44" t="n">
        <v>46268</v>
      </c>
      <c r="C1020" s="39" t="s">
        <v>145</v>
      </c>
      <c r="D1020" s="39" t="s">
        <v>137</v>
      </c>
      <c r="E1020" s="39" t="n">
        <v>40</v>
      </c>
      <c r="F1020" s="39" t="str">
        <f aca="false">IF(COUNTIF(medicine_master!$A$2:$A$26,C1020)&gt;0,"Valid","Invalid")</f>
        <v>Valid</v>
      </c>
      <c r="G1020" s="39" t="str">
        <f aca="false">IFERROR(INDEX(medicine_master!$B$2:$B$26,MATCH($C1020,medicine_master!$A$2:$A$26,0)),"Not found")</f>
        <v>Clotrimazole Cream</v>
      </c>
      <c r="H1020" s="39" t="str">
        <f aca="false">IFERROR(INDEX(medicine_master!$C$2:$C$26,MATCH($C1020,medicine_master!$A$2:$A$26,0)),"Not found")</f>
        <v>Dermatology</v>
      </c>
      <c r="I1020" s="39" t="n">
        <f aca="false">YEAR(B1020)</f>
        <v>2026</v>
      </c>
      <c r="J1020" s="39" t="n">
        <f aca="false">MONTH(B1020)</f>
        <v>9</v>
      </c>
      <c r="K1020" s="39" t="str">
        <f aca="false">TEXT(B1020,"mmm")</f>
        <v>Sep</v>
      </c>
      <c r="L1020" s="45" t="n">
        <f aca="false">IFERROR(INDEX(medicine_master!$I$2:$I$26,MATCH($C1020,medicine_master!$A$2:$A$26,0)),0)</f>
        <v>48</v>
      </c>
      <c r="M1020" s="45" t="n">
        <f aca="false">IFERROR(INDEX(medicine_master!$G$2:$G$26,MATCH($C1020,medicine_master!$A$2:$A$26,0)),0)</f>
        <v>32</v>
      </c>
      <c r="N1020" s="45" t="n">
        <f aca="false">IF(D1020="Sale",E1020*L1020,0)</f>
        <v>1920</v>
      </c>
      <c r="O1020" s="45" t="n">
        <f aca="false">IF(D1020="Sale",E1020*M1020,0)</f>
        <v>1280</v>
      </c>
      <c r="P1020" s="45" t="n">
        <f aca="false">N1020-O1020</f>
        <v>640</v>
      </c>
      <c r="Q1020" s="45" t="n">
        <f aca="false">IF(D1020="Purchase",E1020*M1020,0)</f>
        <v>0</v>
      </c>
    </row>
    <row r="1021" customFormat="false" ht="15" hidden="false" customHeight="false" outlineLevel="0" collapsed="false">
      <c r="A1021" s="39" t="s">
        <v>1345</v>
      </c>
      <c r="B1021" s="44" t="n">
        <v>46036</v>
      </c>
      <c r="C1021" s="39" t="s">
        <v>495</v>
      </c>
      <c r="D1021" s="39" t="s">
        <v>137</v>
      </c>
      <c r="E1021" s="39" t="n">
        <v>30</v>
      </c>
      <c r="F1021" s="39" t="str">
        <f aca="false">IF(COUNTIF(medicine_master!$A$2:$A$26,C1021)&gt;0,"Valid","Invalid")</f>
        <v>Valid</v>
      </c>
      <c r="G1021" s="39" t="str">
        <f aca="false">IFERROR(INDEX(medicine_master!$B$2:$B$26,MATCH($C1021,medicine_master!$A$2:$A$26,0)),"Not found")</f>
        <v>Metformin 500mg</v>
      </c>
      <c r="H1021" s="39" t="str">
        <f aca="false">IFERROR(INDEX(medicine_master!$C$2:$C$26,MATCH($C1021,medicine_master!$A$2:$A$26,0)),"Not found")</f>
        <v>Diabetes</v>
      </c>
      <c r="I1021" s="39" t="n">
        <f aca="false">YEAR(B1021)</f>
        <v>2026</v>
      </c>
      <c r="J1021" s="39" t="n">
        <f aca="false">MONTH(B1021)</f>
        <v>1</v>
      </c>
      <c r="K1021" s="39" t="str">
        <f aca="false">TEXT(B1021,"mmm")</f>
        <v>Jan</v>
      </c>
      <c r="L1021" s="45" t="n">
        <f aca="false">IFERROR(INDEX(medicine_master!$I$2:$I$26,MATCH($C1021,medicine_master!$A$2:$A$26,0)),0)</f>
        <v>24</v>
      </c>
      <c r="M1021" s="45" t="n">
        <f aca="false">IFERROR(INDEX(medicine_master!$G$2:$G$26,MATCH($C1021,medicine_master!$A$2:$A$26,0)),0)</f>
        <v>16</v>
      </c>
      <c r="N1021" s="45" t="n">
        <f aca="false">IF(D1021="Sale",E1021*L1021,0)</f>
        <v>720</v>
      </c>
      <c r="O1021" s="45" t="n">
        <f aca="false">IF(D1021="Sale",E1021*M1021,0)</f>
        <v>480</v>
      </c>
      <c r="P1021" s="45" t="n">
        <f aca="false">N1021-O1021</f>
        <v>240</v>
      </c>
      <c r="Q1021" s="45" t="n">
        <f aca="false">IF(D1021="Purchase",E1021*M1021,0)</f>
        <v>0</v>
      </c>
    </row>
    <row r="1022" customFormat="false" ht="15" hidden="false" customHeight="false" outlineLevel="0" collapsed="false">
      <c r="A1022" s="39" t="s">
        <v>1346</v>
      </c>
      <c r="B1022" s="44" t="n">
        <v>46177</v>
      </c>
      <c r="C1022" s="39" t="s">
        <v>148</v>
      </c>
      <c r="D1022" s="39" t="s">
        <v>137</v>
      </c>
      <c r="E1022" s="39" t="n">
        <v>10</v>
      </c>
      <c r="F1022" s="39" t="str">
        <f aca="false">IF(COUNTIF(medicine_master!$A$2:$A$26,C1022)&gt;0,"Valid","Invalid")</f>
        <v>Valid</v>
      </c>
      <c r="G1022" s="39" t="str">
        <f aca="false">IFERROR(INDEX(medicine_master!$B$2:$B$26,MATCH($C1022,medicine_master!$A$2:$A$26,0)),"Not found")</f>
        <v>Dextromethorphan Syrup</v>
      </c>
      <c r="H1022" s="39" t="str">
        <f aca="false">IFERROR(INDEX(medicine_master!$C$2:$C$26,MATCH($C1022,medicine_master!$A$2:$A$26,0)),"Not found")</f>
        <v>Cold &amp; Cough</v>
      </c>
      <c r="I1022" s="39" t="n">
        <f aca="false">YEAR(B1022)</f>
        <v>2026</v>
      </c>
      <c r="J1022" s="39" t="n">
        <f aca="false">MONTH(B1022)</f>
        <v>6</v>
      </c>
      <c r="K1022" s="39" t="str">
        <f aca="false">TEXT(B1022,"mmm")</f>
        <v>Jun</v>
      </c>
      <c r="L1022" s="45" t="n">
        <f aca="false">IFERROR(INDEX(medicine_master!$I$2:$I$26,MATCH($C1022,medicine_master!$A$2:$A$26,0)),0)</f>
        <v>80</v>
      </c>
      <c r="M1022" s="45" t="n">
        <f aca="false">IFERROR(INDEX(medicine_master!$G$2:$G$26,MATCH($C1022,medicine_master!$A$2:$A$26,0)),0)</f>
        <v>58</v>
      </c>
      <c r="N1022" s="45" t="n">
        <f aca="false">IF(D1022="Sale",E1022*L1022,0)</f>
        <v>800</v>
      </c>
      <c r="O1022" s="45" t="n">
        <f aca="false">IF(D1022="Sale",E1022*M1022,0)</f>
        <v>580</v>
      </c>
      <c r="P1022" s="45" t="n">
        <f aca="false">N1022-O1022</f>
        <v>220</v>
      </c>
      <c r="Q1022" s="45" t="n">
        <f aca="false">IF(D1022="Purchase",E1022*M1022,0)</f>
        <v>0</v>
      </c>
    </row>
    <row r="1023" customFormat="false" ht="15" hidden="false" customHeight="false" outlineLevel="0" collapsed="false">
      <c r="A1023" s="39" t="s">
        <v>1347</v>
      </c>
      <c r="B1023" s="44" t="n">
        <v>46097</v>
      </c>
      <c r="C1023" s="39" t="s">
        <v>390</v>
      </c>
      <c r="D1023" s="39" t="s">
        <v>137</v>
      </c>
      <c r="E1023" s="39" t="n">
        <v>5</v>
      </c>
      <c r="F1023" s="39" t="str">
        <f aca="false">IF(COUNTIF(medicine_master!$A$2:$A$26,C1023)&gt;0,"Valid","Invalid")</f>
        <v>Valid</v>
      </c>
      <c r="G1023" s="39" t="str">
        <f aca="false">IFERROR(INDEX(medicine_master!$B$2:$B$26,MATCH($C1023,medicine_master!$A$2:$A$26,0)),"Not found")</f>
        <v>Montelukast 10mg</v>
      </c>
      <c r="H1023" s="39" t="str">
        <f aca="false">IFERROR(INDEX(medicine_master!$C$2:$C$26,MATCH($C1023,medicine_master!$A$2:$A$26,0)),"Not found")</f>
        <v>Allergy</v>
      </c>
      <c r="I1023" s="39" t="n">
        <f aca="false">YEAR(B1023)</f>
        <v>2026</v>
      </c>
      <c r="J1023" s="39" t="n">
        <f aca="false">MONTH(B1023)</f>
        <v>3</v>
      </c>
      <c r="K1023" s="39" t="str">
        <f aca="false">TEXT(B1023,"mmm")</f>
        <v>Mar</v>
      </c>
      <c r="L1023" s="45" t="n">
        <f aca="false">IFERROR(INDEX(medicine_master!$I$2:$I$26,MATCH($C1023,medicine_master!$A$2:$A$26,0)),0)</f>
        <v>39</v>
      </c>
      <c r="M1023" s="45" t="n">
        <f aca="false">IFERROR(INDEX(medicine_master!$G$2:$G$26,MATCH($C1023,medicine_master!$A$2:$A$26,0)),0)</f>
        <v>27</v>
      </c>
      <c r="N1023" s="45" t="n">
        <f aca="false">IF(D1023="Sale",E1023*L1023,0)</f>
        <v>195</v>
      </c>
      <c r="O1023" s="45" t="n">
        <f aca="false">IF(D1023="Sale",E1023*M1023,0)</f>
        <v>135</v>
      </c>
      <c r="P1023" s="45" t="n">
        <f aca="false">N1023-O1023</f>
        <v>60</v>
      </c>
      <c r="Q1023" s="45" t="n">
        <f aca="false">IF(D1023="Purchase",E1023*M1023,0)</f>
        <v>0</v>
      </c>
    </row>
    <row r="1024" customFormat="false" ht="15" hidden="false" customHeight="false" outlineLevel="0" collapsed="false">
      <c r="A1024" s="39" t="s">
        <v>1348</v>
      </c>
      <c r="B1024" s="44" t="n">
        <v>46081</v>
      </c>
      <c r="C1024" s="39" t="s">
        <v>178</v>
      </c>
      <c r="D1024" s="39" t="s">
        <v>137</v>
      </c>
      <c r="E1024" s="39" t="n">
        <v>15</v>
      </c>
      <c r="F1024" s="39" t="str">
        <f aca="false">IF(COUNTIF(medicine_master!$A$2:$A$26,C1024)&gt;0,"Valid","Invalid")</f>
        <v>Valid</v>
      </c>
      <c r="G1024" s="39" t="str">
        <f aca="false">IFERROR(INDEX(medicine_master!$B$2:$B$26,MATCH($C1024,medicine_master!$A$2:$A$26,0)),"Not found")</f>
        <v>Aspirin 75mg</v>
      </c>
      <c r="H1024" s="39" t="str">
        <f aca="false">IFERROR(INDEX(medicine_master!$C$2:$C$26,MATCH($C1024,medicine_master!$A$2:$A$26,0)),"Not found")</f>
        <v>Cardiac</v>
      </c>
      <c r="I1024" s="39" t="n">
        <f aca="false">YEAR(B1024)</f>
        <v>2026</v>
      </c>
      <c r="J1024" s="39" t="n">
        <f aca="false">MONTH(B1024)</f>
        <v>2</v>
      </c>
      <c r="K1024" s="39" t="str">
        <f aca="false">TEXT(B1024,"mmm")</f>
        <v>Feb</v>
      </c>
      <c r="L1024" s="45" t="n">
        <f aca="false">IFERROR(INDEX(medicine_master!$I$2:$I$26,MATCH($C1024,medicine_master!$A$2:$A$26,0)),0)</f>
        <v>15</v>
      </c>
      <c r="M1024" s="45" t="n">
        <f aca="false">IFERROR(INDEX(medicine_master!$G$2:$G$26,MATCH($C1024,medicine_master!$A$2:$A$26,0)),0)</f>
        <v>10</v>
      </c>
      <c r="N1024" s="45" t="n">
        <f aca="false">IF(D1024="Sale",E1024*L1024,0)</f>
        <v>225</v>
      </c>
      <c r="O1024" s="45" t="n">
        <f aca="false">IF(D1024="Sale",E1024*M1024,0)</f>
        <v>150</v>
      </c>
      <c r="P1024" s="45" t="n">
        <f aca="false">N1024-O1024</f>
        <v>75</v>
      </c>
      <c r="Q1024" s="45" t="n">
        <f aca="false">IF(D1024="Purchase",E1024*M1024,0)</f>
        <v>0</v>
      </c>
    </row>
    <row r="1025" customFormat="false" ht="15" hidden="false" customHeight="false" outlineLevel="0" collapsed="false">
      <c r="A1025" s="39" t="s">
        <v>1349</v>
      </c>
      <c r="B1025" s="44" t="n">
        <v>46361</v>
      </c>
      <c r="C1025" s="39" t="s">
        <v>345</v>
      </c>
      <c r="D1025" s="39" t="s">
        <v>137</v>
      </c>
      <c r="E1025" s="39" t="n">
        <v>25</v>
      </c>
      <c r="F1025" s="39" t="str">
        <f aca="false">IF(COUNTIF(medicine_master!$A$2:$A$26,C1025)&gt;0,"Valid","Invalid")</f>
        <v>Valid</v>
      </c>
      <c r="G1025" s="39" t="str">
        <f aca="false">IFERROR(INDEX(medicine_master!$B$2:$B$26,MATCH($C1025,medicine_master!$A$2:$A$26,0)),"Not found")</f>
        <v>Paracetamol 500mg</v>
      </c>
      <c r="H1025" s="39" t="str">
        <f aca="false">IFERROR(INDEX(medicine_master!$C$2:$C$26,MATCH($C1025,medicine_master!$A$2:$A$26,0)),"Not found")</f>
        <v>Pain Relief</v>
      </c>
      <c r="I1025" s="39" t="n">
        <f aca="false">YEAR(B1025)</f>
        <v>2026</v>
      </c>
      <c r="J1025" s="39" t="n">
        <f aca="false">MONTH(B1025)</f>
        <v>12</v>
      </c>
      <c r="K1025" s="39" t="str">
        <f aca="false">TEXT(B1025,"mmm")</f>
        <v>Dec</v>
      </c>
      <c r="L1025" s="45" t="n">
        <f aca="false">IFERROR(INDEX(medicine_master!$I$2:$I$26,MATCH($C1025,medicine_master!$A$2:$A$26,0)),0)</f>
        <v>18</v>
      </c>
      <c r="M1025" s="45" t="n">
        <f aca="false">IFERROR(INDEX(medicine_master!$G$2:$G$26,MATCH($C1025,medicine_master!$A$2:$A$26,0)),0)</f>
        <v>12</v>
      </c>
      <c r="N1025" s="45" t="n">
        <f aca="false">IF(D1025="Sale",E1025*L1025,0)</f>
        <v>450</v>
      </c>
      <c r="O1025" s="45" t="n">
        <f aca="false">IF(D1025="Sale",E1025*M1025,0)</f>
        <v>300</v>
      </c>
      <c r="P1025" s="45" t="n">
        <f aca="false">N1025-O1025</f>
        <v>150</v>
      </c>
      <c r="Q1025" s="45" t="n">
        <f aca="false">IF(D1025="Purchase",E1025*M1025,0)</f>
        <v>0</v>
      </c>
    </row>
    <row r="1026" customFormat="false" ht="15" hidden="false" customHeight="false" outlineLevel="0" collapsed="false">
      <c r="A1026" s="39" t="s">
        <v>1350</v>
      </c>
      <c r="B1026" s="44" t="n">
        <v>46165</v>
      </c>
      <c r="C1026" s="39" t="s">
        <v>157</v>
      </c>
      <c r="D1026" s="39" t="s">
        <v>137</v>
      </c>
      <c r="E1026" s="39" t="n">
        <v>20</v>
      </c>
      <c r="F1026" s="39" t="str">
        <f aca="false">IF(COUNTIF(medicine_master!$A$2:$A$26,C1026)&gt;0,"Valid","Invalid")</f>
        <v>Valid</v>
      </c>
      <c r="G1026" s="39" t="str">
        <f aca="false">IFERROR(INDEX(medicine_master!$B$2:$B$26,MATCH($C1026,medicine_master!$A$2:$A$26,0)),"Not found")</f>
        <v>Multivitamin Tablets</v>
      </c>
      <c r="H1026" s="39" t="str">
        <f aca="false">IFERROR(INDEX(medicine_master!$C$2:$C$26,MATCH($C1026,medicine_master!$A$2:$A$26,0)),"Not found")</f>
        <v>Vitamin</v>
      </c>
      <c r="I1026" s="39" t="n">
        <f aca="false">YEAR(B1026)</f>
        <v>2026</v>
      </c>
      <c r="J1026" s="39" t="n">
        <f aca="false">MONTH(B1026)</f>
        <v>5</v>
      </c>
      <c r="K1026" s="39" t="str">
        <f aca="false">TEXT(B1026,"mmm")</f>
        <v>May</v>
      </c>
      <c r="L1026" s="45" t="n">
        <f aca="false">IFERROR(INDEX(medicine_master!$I$2:$I$26,MATCH($C1026,medicine_master!$A$2:$A$26,0)),0)</f>
        <v>105</v>
      </c>
      <c r="M1026" s="45" t="n">
        <f aca="false">IFERROR(INDEX(medicine_master!$G$2:$G$26,MATCH($C1026,medicine_master!$A$2:$A$26,0)),0)</f>
        <v>72</v>
      </c>
      <c r="N1026" s="45" t="n">
        <f aca="false">IF(D1026="Sale",E1026*L1026,0)</f>
        <v>2100</v>
      </c>
      <c r="O1026" s="45" t="n">
        <f aca="false">IF(D1026="Sale",E1026*M1026,0)</f>
        <v>1440</v>
      </c>
      <c r="P1026" s="45" t="n">
        <f aca="false">N1026-O1026</f>
        <v>660</v>
      </c>
      <c r="Q1026" s="45" t="n">
        <f aca="false">IF(D1026="Purchase",E1026*M1026,0)</f>
        <v>0</v>
      </c>
    </row>
    <row r="1027" customFormat="false" ht="15" hidden="false" customHeight="false" outlineLevel="0" collapsed="false">
      <c r="A1027" s="39" t="s">
        <v>1351</v>
      </c>
      <c r="B1027" s="44" t="n">
        <v>46231</v>
      </c>
      <c r="C1027" s="39" t="s">
        <v>153</v>
      </c>
      <c r="D1027" s="39" t="s">
        <v>138</v>
      </c>
      <c r="E1027" s="39" t="n">
        <v>5</v>
      </c>
      <c r="F1027" s="39" t="str">
        <f aca="false">IF(COUNTIF(medicine_master!$A$2:$A$26,C1027)&gt;0,"Valid","Invalid")</f>
        <v>Valid</v>
      </c>
      <c r="G1027" s="39" t="str">
        <f aca="false">IFERROR(INDEX(medicine_master!$B$2:$B$26,MATCH($C1027,medicine_master!$A$2:$A$26,0)),"Not found")</f>
        <v>Atorvastatin 10mg</v>
      </c>
      <c r="H1027" s="39" t="str">
        <f aca="false">IFERROR(INDEX(medicine_master!$C$2:$C$26,MATCH($C1027,medicine_master!$A$2:$A$26,0)),"Not found")</f>
        <v>Cardiac</v>
      </c>
      <c r="I1027" s="39" t="n">
        <f aca="false">YEAR(B1027)</f>
        <v>2026</v>
      </c>
      <c r="J1027" s="39" t="n">
        <f aca="false">MONTH(B1027)</f>
        <v>7</v>
      </c>
      <c r="K1027" s="39" t="str">
        <f aca="false">TEXT(B1027,"mmm")</f>
        <v>Jul</v>
      </c>
      <c r="L1027" s="45" t="n">
        <f aca="false">IFERROR(INDEX(medicine_master!$I$2:$I$26,MATCH($C1027,medicine_master!$A$2:$A$26,0)),0)</f>
        <v>28</v>
      </c>
      <c r="M1027" s="45" t="n">
        <f aca="false">IFERROR(INDEX(medicine_master!$G$2:$G$26,MATCH($C1027,medicine_master!$A$2:$A$26,0)),0)</f>
        <v>19</v>
      </c>
      <c r="N1027" s="45" t="n">
        <f aca="false">IF(D1027="Sale",E1027*L1027,0)</f>
        <v>0</v>
      </c>
      <c r="O1027" s="45" t="n">
        <f aca="false">IF(D1027="Sale",E1027*M1027,0)</f>
        <v>0</v>
      </c>
      <c r="P1027" s="45" t="n">
        <f aca="false">N1027-O1027</f>
        <v>0</v>
      </c>
      <c r="Q1027" s="45" t="n">
        <f aca="false">IF(D1027="Purchase",E1027*M1027,0)</f>
        <v>95</v>
      </c>
    </row>
    <row r="1028" customFormat="false" ht="15" hidden="false" customHeight="false" outlineLevel="0" collapsed="false">
      <c r="A1028" s="39" t="s">
        <v>1352</v>
      </c>
      <c r="B1028" s="44" t="n">
        <v>46134</v>
      </c>
      <c r="C1028" s="39" t="s">
        <v>345</v>
      </c>
      <c r="D1028" s="39" t="s">
        <v>137</v>
      </c>
      <c r="E1028" s="39" t="n">
        <v>25</v>
      </c>
      <c r="F1028" s="39" t="str">
        <f aca="false">IF(COUNTIF(medicine_master!$A$2:$A$26,C1028)&gt;0,"Valid","Invalid")</f>
        <v>Valid</v>
      </c>
      <c r="G1028" s="39" t="str">
        <f aca="false">IFERROR(INDEX(medicine_master!$B$2:$B$26,MATCH($C1028,medicine_master!$A$2:$A$26,0)),"Not found")</f>
        <v>Paracetamol 500mg</v>
      </c>
      <c r="H1028" s="39" t="str">
        <f aca="false">IFERROR(INDEX(medicine_master!$C$2:$C$26,MATCH($C1028,medicine_master!$A$2:$A$26,0)),"Not found")</f>
        <v>Pain Relief</v>
      </c>
      <c r="I1028" s="39" t="n">
        <f aca="false">YEAR(B1028)</f>
        <v>2026</v>
      </c>
      <c r="J1028" s="39" t="n">
        <f aca="false">MONTH(B1028)</f>
        <v>4</v>
      </c>
      <c r="K1028" s="39" t="str">
        <f aca="false">TEXT(B1028,"mmm")</f>
        <v>Apr</v>
      </c>
      <c r="L1028" s="45" t="n">
        <f aca="false">IFERROR(INDEX(medicine_master!$I$2:$I$26,MATCH($C1028,medicine_master!$A$2:$A$26,0)),0)</f>
        <v>18</v>
      </c>
      <c r="M1028" s="45" t="n">
        <f aca="false">IFERROR(INDEX(medicine_master!$G$2:$G$26,MATCH($C1028,medicine_master!$A$2:$A$26,0)),0)</f>
        <v>12</v>
      </c>
      <c r="N1028" s="45" t="n">
        <f aca="false">IF(D1028="Sale",E1028*L1028,0)</f>
        <v>450</v>
      </c>
      <c r="O1028" s="45" t="n">
        <f aca="false">IF(D1028="Sale",E1028*M1028,0)</f>
        <v>300</v>
      </c>
      <c r="P1028" s="45" t="n">
        <f aca="false">N1028-O1028</f>
        <v>150</v>
      </c>
      <c r="Q1028" s="45" t="n">
        <f aca="false">IF(D1028="Purchase",E1028*M1028,0)</f>
        <v>0</v>
      </c>
    </row>
    <row r="1029" customFormat="false" ht="15" hidden="false" customHeight="false" outlineLevel="0" collapsed="false">
      <c r="A1029" s="39" t="s">
        <v>1353</v>
      </c>
      <c r="B1029" s="44" t="n">
        <v>46290</v>
      </c>
      <c r="C1029" s="39" t="s">
        <v>157</v>
      </c>
      <c r="D1029" s="39" t="s">
        <v>137</v>
      </c>
      <c r="E1029" s="39" t="n">
        <v>50</v>
      </c>
      <c r="F1029" s="39" t="str">
        <f aca="false">IF(COUNTIF(medicine_master!$A$2:$A$26,C1029)&gt;0,"Valid","Invalid")</f>
        <v>Valid</v>
      </c>
      <c r="G1029" s="39" t="str">
        <f aca="false">IFERROR(INDEX(medicine_master!$B$2:$B$26,MATCH($C1029,medicine_master!$A$2:$A$26,0)),"Not found")</f>
        <v>Multivitamin Tablets</v>
      </c>
      <c r="H1029" s="39" t="str">
        <f aca="false">IFERROR(INDEX(medicine_master!$C$2:$C$26,MATCH($C1029,medicine_master!$A$2:$A$26,0)),"Not found")</f>
        <v>Vitamin</v>
      </c>
      <c r="I1029" s="39" t="n">
        <f aca="false">YEAR(B1029)</f>
        <v>2026</v>
      </c>
      <c r="J1029" s="39" t="n">
        <f aca="false">MONTH(B1029)</f>
        <v>9</v>
      </c>
      <c r="K1029" s="39" t="str">
        <f aca="false">TEXT(B1029,"mmm")</f>
        <v>Sep</v>
      </c>
      <c r="L1029" s="45" t="n">
        <f aca="false">IFERROR(INDEX(medicine_master!$I$2:$I$26,MATCH($C1029,medicine_master!$A$2:$A$26,0)),0)</f>
        <v>105</v>
      </c>
      <c r="M1029" s="45" t="n">
        <f aca="false">IFERROR(INDEX(medicine_master!$G$2:$G$26,MATCH($C1029,medicine_master!$A$2:$A$26,0)),0)</f>
        <v>72</v>
      </c>
      <c r="N1029" s="45" t="n">
        <f aca="false">IF(D1029="Sale",E1029*L1029,0)</f>
        <v>5250</v>
      </c>
      <c r="O1029" s="45" t="n">
        <f aca="false">IF(D1029="Sale",E1029*M1029,0)</f>
        <v>3600</v>
      </c>
      <c r="P1029" s="45" t="n">
        <f aca="false">N1029-O1029</f>
        <v>1650</v>
      </c>
      <c r="Q1029" s="45" t="n">
        <f aca="false">IF(D1029="Purchase",E1029*M1029,0)</f>
        <v>0</v>
      </c>
    </row>
    <row r="1030" customFormat="false" ht="15" hidden="false" customHeight="false" outlineLevel="0" collapsed="false">
      <c r="A1030" s="39" t="s">
        <v>1354</v>
      </c>
      <c r="B1030" s="44" t="n">
        <v>46153</v>
      </c>
      <c r="C1030" s="39" t="s">
        <v>147</v>
      </c>
      <c r="D1030" s="39" t="s">
        <v>137</v>
      </c>
      <c r="E1030" s="39" t="n">
        <v>40</v>
      </c>
      <c r="F1030" s="39" t="str">
        <f aca="false">IF(COUNTIF(medicine_master!$A$2:$A$26,C1030)&gt;0,"Valid","Invalid")</f>
        <v>Valid</v>
      </c>
      <c r="G1030" s="39" t="str">
        <f aca="false">IFERROR(INDEX(medicine_master!$B$2:$B$26,MATCH($C1030,medicine_master!$A$2:$A$26,0)),"Not found")</f>
        <v>Insulin Injection</v>
      </c>
      <c r="H1030" s="39" t="str">
        <f aca="false">IFERROR(INDEX(medicine_master!$C$2:$C$26,MATCH($C1030,medicine_master!$A$2:$A$26,0)),"Not found")</f>
        <v>Diabetes</v>
      </c>
      <c r="I1030" s="39" t="n">
        <f aca="false">YEAR(B1030)</f>
        <v>2026</v>
      </c>
      <c r="J1030" s="39" t="n">
        <f aca="false">MONTH(B1030)</f>
        <v>5</v>
      </c>
      <c r="K1030" s="39" t="str">
        <f aca="false">TEXT(B1030,"mmm")</f>
        <v>May</v>
      </c>
      <c r="L1030" s="45" t="n">
        <f aca="false">IFERROR(INDEX(medicine_master!$I$2:$I$26,MATCH($C1030,medicine_master!$A$2:$A$26,0)),0)</f>
        <v>225</v>
      </c>
      <c r="M1030" s="45" t="n">
        <f aca="false">IFERROR(INDEX(medicine_master!$G$2:$G$26,MATCH($C1030,medicine_master!$A$2:$A$26,0)),0)</f>
        <v>165</v>
      </c>
      <c r="N1030" s="45" t="n">
        <f aca="false">IF(D1030="Sale",E1030*L1030,0)</f>
        <v>9000</v>
      </c>
      <c r="O1030" s="45" t="n">
        <f aca="false">IF(D1030="Sale",E1030*M1030,0)</f>
        <v>6600</v>
      </c>
      <c r="P1030" s="45" t="n">
        <f aca="false">N1030-O1030</f>
        <v>2400</v>
      </c>
      <c r="Q1030" s="45" t="n">
        <f aca="false">IF(D1030="Purchase",E1030*M1030,0)</f>
        <v>0</v>
      </c>
    </row>
    <row r="1031" customFormat="false" ht="15" hidden="false" customHeight="false" outlineLevel="0" collapsed="false">
      <c r="A1031" s="39" t="s">
        <v>1355</v>
      </c>
      <c r="B1031" s="44" t="n">
        <v>46344</v>
      </c>
      <c r="C1031" s="39" t="s">
        <v>152</v>
      </c>
      <c r="D1031" s="39" t="s">
        <v>137</v>
      </c>
      <c r="E1031" s="39" t="n">
        <v>25</v>
      </c>
      <c r="F1031" s="39" t="str">
        <f aca="false">IF(COUNTIF(medicine_master!$A$2:$A$26,C1031)&gt;0,"Valid","Invalid")</f>
        <v>Valid</v>
      </c>
      <c r="G1031" s="39" t="str">
        <f aca="false">IFERROR(INDEX(medicine_master!$B$2:$B$26,MATCH($C1031,medicine_master!$A$2:$A$26,0)),"Not found")</f>
        <v>Amoxicillin 500mg</v>
      </c>
      <c r="H1031" s="39" t="str">
        <f aca="false">IFERROR(INDEX(medicine_master!$C$2:$C$26,MATCH($C1031,medicine_master!$A$2:$A$26,0)),"Not found")</f>
        <v>Antibiotic</v>
      </c>
      <c r="I1031" s="39" t="n">
        <f aca="false">YEAR(B1031)</f>
        <v>2026</v>
      </c>
      <c r="J1031" s="39" t="n">
        <f aca="false">MONTH(B1031)</f>
        <v>11</v>
      </c>
      <c r="K1031" s="39" t="str">
        <f aca="false">TEXT(B1031,"mmm")</f>
        <v>Nov</v>
      </c>
      <c r="L1031" s="45" t="n">
        <f aca="false">IFERROR(INDEX(medicine_master!$I$2:$I$26,MATCH($C1031,medicine_master!$A$2:$A$26,0)),0)</f>
        <v>40</v>
      </c>
      <c r="M1031" s="45" t="n">
        <f aca="false">IFERROR(INDEX(medicine_master!$G$2:$G$26,MATCH($C1031,medicine_master!$A$2:$A$26,0)),0)</f>
        <v>28</v>
      </c>
      <c r="N1031" s="45" t="n">
        <f aca="false">IF(D1031="Sale",E1031*L1031,0)</f>
        <v>1000</v>
      </c>
      <c r="O1031" s="45" t="n">
        <f aca="false">IF(D1031="Sale",E1031*M1031,0)</f>
        <v>700</v>
      </c>
      <c r="P1031" s="45" t="n">
        <f aca="false">N1031-O1031</f>
        <v>300</v>
      </c>
      <c r="Q1031" s="45" t="n">
        <f aca="false">IF(D1031="Purchase",E1031*M1031,0)</f>
        <v>0</v>
      </c>
    </row>
    <row r="1032" customFormat="false" ht="15" hidden="false" customHeight="false" outlineLevel="0" collapsed="false">
      <c r="A1032" s="39" t="s">
        <v>1356</v>
      </c>
      <c r="B1032" s="44" t="n">
        <v>46048</v>
      </c>
      <c r="C1032" s="39" t="s">
        <v>495</v>
      </c>
      <c r="D1032" s="39" t="s">
        <v>137</v>
      </c>
      <c r="E1032" s="39" t="n">
        <v>15</v>
      </c>
      <c r="F1032" s="39" t="str">
        <f aca="false">IF(COUNTIF(medicine_master!$A$2:$A$26,C1032)&gt;0,"Valid","Invalid")</f>
        <v>Valid</v>
      </c>
      <c r="G1032" s="39" t="str">
        <f aca="false">IFERROR(INDEX(medicine_master!$B$2:$B$26,MATCH($C1032,medicine_master!$A$2:$A$26,0)),"Not found")</f>
        <v>Metformin 500mg</v>
      </c>
      <c r="H1032" s="39" t="str">
        <f aca="false">IFERROR(INDEX(medicine_master!$C$2:$C$26,MATCH($C1032,medicine_master!$A$2:$A$26,0)),"Not found")</f>
        <v>Diabetes</v>
      </c>
      <c r="I1032" s="39" t="n">
        <f aca="false">YEAR(B1032)</f>
        <v>2026</v>
      </c>
      <c r="J1032" s="39" t="n">
        <f aca="false">MONTH(B1032)</f>
        <v>1</v>
      </c>
      <c r="K1032" s="39" t="str">
        <f aca="false">TEXT(B1032,"mmm")</f>
        <v>Jan</v>
      </c>
      <c r="L1032" s="45" t="n">
        <f aca="false">IFERROR(INDEX(medicine_master!$I$2:$I$26,MATCH($C1032,medicine_master!$A$2:$A$26,0)),0)</f>
        <v>24</v>
      </c>
      <c r="M1032" s="45" t="n">
        <f aca="false">IFERROR(INDEX(medicine_master!$G$2:$G$26,MATCH($C1032,medicine_master!$A$2:$A$26,0)),0)</f>
        <v>16</v>
      </c>
      <c r="N1032" s="45" t="n">
        <f aca="false">IF(D1032="Sale",E1032*L1032,0)</f>
        <v>360</v>
      </c>
      <c r="O1032" s="45" t="n">
        <f aca="false">IF(D1032="Sale",E1032*M1032,0)</f>
        <v>240</v>
      </c>
      <c r="P1032" s="45" t="n">
        <f aca="false">N1032-O1032</f>
        <v>120</v>
      </c>
      <c r="Q1032" s="45" t="n">
        <f aca="false">IF(D1032="Purchase",E1032*M1032,0)</f>
        <v>0</v>
      </c>
    </row>
    <row r="1033" customFormat="false" ht="15" hidden="false" customHeight="false" outlineLevel="0" collapsed="false">
      <c r="A1033" s="39" t="s">
        <v>1357</v>
      </c>
      <c r="B1033" s="44" t="n">
        <v>46172</v>
      </c>
      <c r="C1033" s="39" t="s">
        <v>146</v>
      </c>
      <c r="D1033" s="39" t="s">
        <v>138</v>
      </c>
      <c r="E1033" s="39" t="n">
        <v>20</v>
      </c>
      <c r="F1033" s="39" t="str">
        <f aca="false">IF(COUNTIF(medicine_master!$A$2:$A$26,C1033)&gt;0,"Valid","Invalid")</f>
        <v>Valid</v>
      </c>
      <c r="G1033" s="39" t="str">
        <f aca="false">IFERROR(INDEX(medicine_master!$B$2:$B$26,MATCH($C1033,medicine_master!$A$2:$A$26,0)),"Not found")</f>
        <v>Diclofenac Gel</v>
      </c>
      <c r="H1033" s="39" t="str">
        <f aca="false">IFERROR(INDEX(medicine_master!$C$2:$C$26,MATCH($C1033,medicine_master!$A$2:$A$26,0)),"Not found")</f>
        <v>Pain Relief</v>
      </c>
      <c r="I1033" s="39" t="n">
        <f aca="false">YEAR(B1033)</f>
        <v>2026</v>
      </c>
      <c r="J1033" s="39" t="n">
        <f aca="false">MONTH(B1033)</f>
        <v>5</v>
      </c>
      <c r="K1033" s="39" t="str">
        <f aca="false">TEXT(B1033,"mmm")</f>
        <v>May</v>
      </c>
      <c r="L1033" s="45" t="n">
        <f aca="false">IFERROR(INDEX(medicine_master!$I$2:$I$26,MATCH($C1033,medicine_master!$A$2:$A$26,0)),0)</f>
        <v>55</v>
      </c>
      <c r="M1033" s="45" t="n">
        <f aca="false">IFERROR(INDEX(medicine_master!$G$2:$G$26,MATCH($C1033,medicine_master!$A$2:$A$26,0)),0)</f>
        <v>38</v>
      </c>
      <c r="N1033" s="45" t="n">
        <f aca="false">IF(D1033="Sale",E1033*L1033,0)</f>
        <v>0</v>
      </c>
      <c r="O1033" s="45" t="n">
        <f aca="false">IF(D1033="Sale",E1033*M1033,0)</f>
        <v>0</v>
      </c>
      <c r="P1033" s="45" t="n">
        <f aca="false">N1033-O1033</f>
        <v>0</v>
      </c>
      <c r="Q1033" s="45" t="n">
        <f aca="false">IF(D1033="Purchase",E1033*M1033,0)</f>
        <v>760</v>
      </c>
    </row>
    <row r="1034" customFormat="false" ht="15" hidden="false" customHeight="false" outlineLevel="0" collapsed="false">
      <c r="A1034" s="39" t="s">
        <v>1358</v>
      </c>
      <c r="B1034" s="44" t="n">
        <v>46231</v>
      </c>
      <c r="C1034" s="39" t="s">
        <v>146</v>
      </c>
      <c r="D1034" s="39" t="s">
        <v>137</v>
      </c>
      <c r="E1034" s="39" t="n">
        <v>40</v>
      </c>
      <c r="F1034" s="39" t="str">
        <f aca="false">IF(COUNTIF(medicine_master!$A$2:$A$26,C1034)&gt;0,"Valid","Invalid")</f>
        <v>Valid</v>
      </c>
      <c r="G1034" s="39" t="str">
        <f aca="false">IFERROR(INDEX(medicine_master!$B$2:$B$26,MATCH($C1034,medicine_master!$A$2:$A$26,0)),"Not found")</f>
        <v>Diclofenac Gel</v>
      </c>
      <c r="H1034" s="39" t="str">
        <f aca="false">IFERROR(INDEX(medicine_master!$C$2:$C$26,MATCH($C1034,medicine_master!$A$2:$A$26,0)),"Not found")</f>
        <v>Pain Relief</v>
      </c>
      <c r="I1034" s="39" t="n">
        <f aca="false">YEAR(B1034)</f>
        <v>2026</v>
      </c>
      <c r="J1034" s="39" t="n">
        <f aca="false">MONTH(B1034)</f>
        <v>7</v>
      </c>
      <c r="K1034" s="39" t="str">
        <f aca="false">TEXT(B1034,"mmm")</f>
        <v>Jul</v>
      </c>
      <c r="L1034" s="45" t="n">
        <f aca="false">IFERROR(INDEX(medicine_master!$I$2:$I$26,MATCH($C1034,medicine_master!$A$2:$A$26,0)),0)</f>
        <v>55</v>
      </c>
      <c r="M1034" s="45" t="n">
        <f aca="false">IFERROR(INDEX(medicine_master!$G$2:$G$26,MATCH($C1034,medicine_master!$A$2:$A$26,0)),0)</f>
        <v>38</v>
      </c>
      <c r="N1034" s="45" t="n">
        <f aca="false">IF(D1034="Sale",E1034*L1034,0)</f>
        <v>2200</v>
      </c>
      <c r="O1034" s="45" t="n">
        <f aca="false">IF(D1034="Sale",E1034*M1034,0)</f>
        <v>1520</v>
      </c>
      <c r="P1034" s="45" t="n">
        <f aca="false">N1034-O1034</f>
        <v>680</v>
      </c>
      <c r="Q1034" s="45" t="n">
        <f aca="false">IF(D1034="Purchase",E1034*M1034,0)</f>
        <v>0</v>
      </c>
    </row>
    <row r="1035" customFormat="false" ht="15" hidden="false" customHeight="false" outlineLevel="0" collapsed="false">
      <c r="A1035" s="39" t="s">
        <v>1359</v>
      </c>
      <c r="B1035" s="44" t="n">
        <v>46340</v>
      </c>
      <c r="C1035" s="39" t="s">
        <v>495</v>
      </c>
      <c r="D1035" s="39" t="s">
        <v>138</v>
      </c>
      <c r="E1035" s="39" t="n">
        <v>40</v>
      </c>
      <c r="F1035" s="39" t="str">
        <f aca="false">IF(COUNTIF(medicine_master!$A$2:$A$26,C1035)&gt;0,"Valid","Invalid")</f>
        <v>Valid</v>
      </c>
      <c r="G1035" s="39" t="str">
        <f aca="false">IFERROR(INDEX(medicine_master!$B$2:$B$26,MATCH($C1035,medicine_master!$A$2:$A$26,0)),"Not found")</f>
        <v>Metformin 500mg</v>
      </c>
      <c r="H1035" s="39" t="str">
        <f aca="false">IFERROR(INDEX(medicine_master!$C$2:$C$26,MATCH($C1035,medicine_master!$A$2:$A$26,0)),"Not found")</f>
        <v>Diabetes</v>
      </c>
      <c r="I1035" s="39" t="n">
        <f aca="false">YEAR(B1035)</f>
        <v>2026</v>
      </c>
      <c r="J1035" s="39" t="n">
        <f aca="false">MONTH(B1035)</f>
        <v>11</v>
      </c>
      <c r="K1035" s="39" t="str">
        <f aca="false">TEXT(B1035,"mmm")</f>
        <v>Nov</v>
      </c>
      <c r="L1035" s="45" t="n">
        <f aca="false">IFERROR(INDEX(medicine_master!$I$2:$I$26,MATCH($C1035,medicine_master!$A$2:$A$26,0)),0)</f>
        <v>24</v>
      </c>
      <c r="M1035" s="45" t="n">
        <f aca="false">IFERROR(INDEX(medicine_master!$G$2:$G$26,MATCH($C1035,medicine_master!$A$2:$A$26,0)),0)</f>
        <v>16</v>
      </c>
      <c r="N1035" s="45" t="n">
        <f aca="false">IF(D1035="Sale",E1035*L1035,0)</f>
        <v>0</v>
      </c>
      <c r="O1035" s="45" t="n">
        <f aca="false">IF(D1035="Sale",E1035*M1035,0)</f>
        <v>0</v>
      </c>
      <c r="P1035" s="45" t="n">
        <f aca="false">N1035-O1035</f>
        <v>0</v>
      </c>
      <c r="Q1035" s="45" t="n">
        <f aca="false">IF(D1035="Purchase",E1035*M1035,0)</f>
        <v>640</v>
      </c>
    </row>
    <row r="1036" customFormat="false" ht="15" hidden="false" customHeight="false" outlineLevel="0" collapsed="false">
      <c r="A1036" s="39" t="s">
        <v>1360</v>
      </c>
      <c r="B1036" s="44" t="n">
        <v>46261</v>
      </c>
      <c r="C1036" s="39" t="s">
        <v>147</v>
      </c>
      <c r="D1036" s="39" t="s">
        <v>138</v>
      </c>
      <c r="E1036" s="39" t="n">
        <v>30</v>
      </c>
      <c r="F1036" s="39" t="str">
        <f aca="false">IF(COUNTIF(medicine_master!$A$2:$A$26,C1036)&gt;0,"Valid","Invalid")</f>
        <v>Valid</v>
      </c>
      <c r="G1036" s="39" t="str">
        <f aca="false">IFERROR(INDEX(medicine_master!$B$2:$B$26,MATCH($C1036,medicine_master!$A$2:$A$26,0)),"Not found")</f>
        <v>Insulin Injection</v>
      </c>
      <c r="H1036" s="39" t="str">
        <f aca="false">IFERROR(INDEX(medicine_master!$C$2:$C$26,MATCH($C1036,medicine_master!$A$2:$A$26,0)),"Not found")</f>
        <v>Diabetes</v>
      </c>
      <c r="I1036" s="39" t="n">
        <f aca="false">YEAR(B1036)</f>
        <v>2026</v>
      </c>
      <c r="J1036" s="39" t="n">
        <f aca="false">MONTH(B1036)</f>
        <v>8</v>
      </c>
      <c r="K1036" s="39" t="str">
        <f aca="false">TEXT(B1036,"mmm")</f>
        <v>Aug</v>
      </c>
      <c r="L1036" s="45" t="n">
        <f aca="false">IFERROR(INDEX(medicine_master!$I$2:$I$26,MATCH($C1036,medicine_master!$A$2:$A$26,0)),0)</f>
        <v>225</v>
      </c>
      <c r="M1036" s="45" t="n">
        <f aca="false">IFERROR(INDEX(medicine_master!$G$2:$G$26,MATCH($C1036,medicine_master!$A$2:$A$26,0)),0)</f>
        <v>165</v>
      </c>
      <c r="N1036" s="45" t="n">
        <f aca="false">IF(D1036="Sale",E1036*L1036,0)</f>
        <v>0</v>
      </c>
      <c r="O1036" s="45" t="n">
        <f aca="false">IF(D1036="Sale",E1036*M1036,0)</f>
        <v>0</v>
      </c>
      <c r="P1036" s="45" t="n">
        <f aca="false">N1036-O1036</f>
        <v>0</v>
      </c>
      <c r="Q1036" s="45" t="n">
        <f aca="false">IF(D1036="Purchase",E1036*M1036,0)</f>
        <v>4950</v>
      </c>
    </row>
    <row r="1037" customFormat="false" ht="15" hidden="false" customHeight="false" outlineLevel="0" collapsed="false">
      <c r="A1037" s="39" t="s">
        <v>1361</v>
      </c>
      <c r="B1037" s="44" t="n">
        <v>46110</v>
      </c>
      <c r="C1037" s="39" t="s">
        <v>326</v>
      </c>
      <c r="D1037" s="39" t="s">
        <v>137</v>
      </c>
      <c r="E1037" s="39" t="n">
        <v>5</v>
      </c>
      <c r="F1037" s="39" t="str">
        <f aca="false">IF(COUNTIF(medicine_master!$A$2:$A$26,C1037)&gt;0,"Valid","Invalid")</f>
        <v>Valid</v>
      </c>
      <c r="G1037" s="39" t="str">
        <f aca="false">IFERROR(INDEX(medicine_master!$B$2:$B$26,MATCH($C1037,medicine_master!$A$2:$A$26,0)),"Not found")</f>
        <v>Omeprazole 20mg</v>
      </c>
      <c r="H1037" s="39" t="str">
        <f aca="false">IFERROR(INDEX(medicine_master!$C$2:$C$26,MATCH($C1037,medicine_master!$A$2:$A$26,0)),"Not found")</f>
        <v>Gastric</v>
      </c>
      <c r="I1037" s="39" t="n">
        <f aca="false">YEAR(B1037)</f>
        <v>2026</v>
      </c>
      <c r="J1037" s="39" t="n">
        <f aca="false">MONTH(B1037)</f>
        <v>3</v>
      </c>
      <c r="K1037" s="39" t="str">
        <f aca="false">TEXT(B1037,"mmm")</f>
        <v>Mar</v>
      </c>
      <c r="L1037" s="45" t="n">
        <f aca="false">IFERROR(INDEX(medicine_master!$I$2:$I$26,MATCH($C1037,medicine_master!$A$2:$A$26,0)),0)</f>
        <v>26</v>
      </c>
      <c r="M1037" s="45" t="n">
        <f aca="false">IFERROR(INDEX(medicine_master!$G$2:$G$26,MATCH($C1037,medicine_master!$A$2:$A$26,0)),0)</f>
        <v>18</v>
      </c>
      <c r="N1037" s="45" t="n">
        <f aca="false">IF(D1037="Sale",E1037*L1037,0)</f>
        <v>130</v>
      </c>
      <c r="O1037" s="45" t="n">
        <f aca="false">IF(D1037="Sale",E1037*M1037,0)</f>
        <v>90</v>
      </c>
      <c r="P1037" s="45" t="n">
        <f aca="false">N1037-O1037</f>
        <v>40</v>
      </c>
      <c r="Q1037" s="45" t="n">
        <f aca="false">IF(D1037="Purchase",E1037*M1037,0)</f>
        <v>0</v>
      </c>
    </row>
    <row r="1038" customFormat="false" ht="15" hidden="false" customHeight="false" outlineLevel="0" collapsed="false">
      <c r="A1038" s="39" t="s">
        <v>1362</v>
      </c>
      <c r="B1038" s="44" t="n">
        <v>46256</v>
      </c>
      <c r="C1038" s="39" t="s">
        <v>145</v>
      </c>
      <c r="D1038" s="39" t="s">
        <v>137</v>
      </c>
      <c r="E1038" s="39" t="n">
        <v>50</v>
      </c>
      <c r="F1038" s="39" t="str">
        <f aca="false">IF(COUNTIF(medicine_master!$A$2:$A$26,C1038)&gt;0,"Valid","Invalid")</f>
        <v>Valid</v>
      </c>
      <c r="G1038" s="39" t="str">
        <f aca="false">IFERROR(INDEX(medicine_master!$B$2:$B$26,MATCH($C1038,medicine_master!$A$2:$A$26,0)),"Not found")</f>
        <v>Clotrimazole Cream</v>
      </c>
      <c r="H1038" s="39" t="str">
        <f aca="false">IFERROR(INDEX(medicine_master!$C$2:$C$26,MATCH($C1038,medicine_master!$A$2:$A$26,0)),"Not found")</f>
        <v>Dermatology</v>
      </c>
      <c r="I1038" s="39" t="n">
        <f aca="false">YEAR(B1038)</f>
        <v>2026</v>
      </c>
      <c r="J1038" s="39" t="n">
        <f aca="false">MONTH(B1038)</f>
        <v>8</v>
      </c>
      <c r="K1038" s="39" t="str">
        <f aca="false">TEXT(B1038,"mmm")</f>
        <v>Aug</v>
      </c>
      <c r="L1038" s="45" t="n">
        <f aca="false">IFERROR(INDEX(medicine_master!$I$2:$I$26,MATCH($C1038,medicine_master!$A$2:$A$26,0)),0)</f>
        <v>48</v>
      </c>
      <c r="M1038" s="45" t="n">
        <f aca="false">IFERROR(INDEX(medicine_master!$G$2:$G$26,MATCH($C1038,medicine_master!$A$2:$A$26,0)),0)</f>
        <v>32</v>
      </c>
      <c r="N1038" s="45" t="n">
        <f aca="false">IF(D1038="Sale",E1038*L1038,0)</f>
        <v>2400</v>
      </c>
      <c r="O1038" s="45" t="n">
        <f aca="false">IF(D1038="Sale",E1038*M1038,0)</f>
        <v>1600</v>
      </c>
      <c r="P1038" s="45" t="n">
        <f aca="false">N1038-O1038</f>
        <v>800</v>
      </c>
      <c r="Q1038" s="45" t="n">
        <f aca="false">IF(D1038="Purchase",E1038*M1038,0)</f>
        <v>0</v>
      </c>
    </row>
    <row r="1039" customFormat="false" ht="15" hidden="false" customHeight="false" outlineLevel="0" collapsed="false">
      <c r="A1039" s="39" t="s">
        <v>1363</v>
      </c>
      <c r="B1039" s="44" t="n">
        <v>46286</v>
      </c>
      <c r="C1039" s="39" t="s">
        <v>159</v>
      </c>
      <c r="D1039" s="39" t="s">
        <v>137</v>
      </c>
      <c r="E1039" s="39" t="n">
        <v>5</v>
      </c>
      <c r="F1039" s="39" t="str">
        <f aca="false">IF(COUNTIF(medicine_master!$A$2:$A$26,C1039)&gt;0,"Valid","Invalid")</f>
        <v>Valid</v>
      </c>
      <c r="G1039" s="39" t="str">
        <f aca="false">IFERROR(INDEX(medicine_master!$B$2:$B$26,MATCH($C1039,medicine_master!$A$2:$A$26,0)),"Not found")</f>
        <v>Antiseptic Liquid 100ml</v>
      </c>
      <c r="H1039" s="39" t="str">
        <f aca="false">IFERROR(INDEX(medicine_master!$C$2:$C$26,MATCH($C1039,medicine_master!$A$2:$A$26,0)),"Not found")</f>
        <v>First Aid</v>
      </c>
      <c r="I1039" s="39" t="n">
        <f aca="false">YEAR(B1039)</f>
        <v>2026</v>
      </c>
      <c r="J1039" s="39" t="n">
        <f aca="false">MONTH(B1039)</f>
        <v>9</v>
      </c>
      <c r="K1039" s="39" t="str">
        <f aca="false">TEXT(B1039,"mmm")</f>
        <v>Sep</v>
      </c>
      <c r="L1039" s="45" t="n">
        <f aca="false">IFERROR(INDEX(medicine_master!$I$2:$I$26,MATCH($C1039,medicine_master!$A$2:$A$26,0)),0)</f>
        <v>65</v>
      </c>
      <c r="M1039" s="45" t="n">
        <f aca="false">IFERROR(INDEX(medicine_master!$G$2:$G$26,MATCH($C1039,medicine_master!$A$2:$A$26,0)),0)</f>
        <v>48</v>
      </c>
      <c r="N1039" s="45" t="n">
        <f aca="false">IF(D1039="Sale",E1039*L1039,0)</f>
        <v>325</v>
      </c>
      <c r="O1039" s="45" t="n">
        <f aca="false">IF(D1039="Sale",E1039*M1039,0)</f>
        <v>240</v>
      </c>
      <c r="P1039" s="45" t="n">
        <f aca="false">N1039-O1039</f>
        <v>85</v>
      </c>
      <c r="Q1039" s="45" t="n">
        <f aca="false">IF(D1039="Purchase",E1039*M1039,0)</f>
        <v>0</v>
      </c>
    </row>
    <row r="1040" customFormat="false" ht="15" hidden="false" customHeight="false" outlineLevel="0" collapsed="false">
      <c r="A1040" s="39" t="s">
        <v>1364</v>
      </c>
      <c r="B1040" s="44" t="n">
        <v>46298</v>
      </c>
      <c r="C1040" s="39" t="s">
        <v>180</v>
      </c>
      <c r="D1040" s="39" t="s">
        <v>137</v>
      </c>
      <c r="E1040" s="39" t="n">
        <v>20</v>
      </c>
      <c r="F1040" s="39" t="str">
        <f aca="false">IF(COUNTIF(medicine_master!$A$2:$A$26,C1040)&gt;0,"Valid","Invalid")</f>
        <v>Valid</v>
      </c>
      <c r="G1040" s="39" t="str">
        <f aca="false">IFERROR(INDEX(medicine_master!$B$2:$B$26,MATCH($C1040,medicine_master!$A$2:$A$26,0)),"Not found")</f>
        <v>Vitamin C 500mg</v>
      </c>
      <c r="H1040" s="39" t="str">
        <f aca="false">IFERROR(INDEX(medicine_master!$C$2:$C$26,MATCH($C1040,medicine_master!$A$2:$A$26,0)),"Not found")</f>
        <v>Vitamin</v>
      </c>
      <c r="I1040" s="39" t="n">
        <f aca="false">YEAR(B1040)</f>
        <v>2026</v>
      </c>
      <c r="J1040" s="39" t="n">
        <f aca="false">MONTH(B1040)</f>
        <v>10</v>
      </c>
      <c r="K1040" s="39" t="str">
        <f aca="false">TEXT(B1040,"mmm")</f>
        <v>Oct</v>
      </c>
      <c r="L1040" s="45" t="n">
        <f aca="false">IFERROR(INDEX(medicine_master!$I$2:$I$26,MATCH($C1040,medicine_master!$A$2:$A$26,0)),0)</f>
        <v>22</v>
      </c>
      <c r="M1040" s="45" t="n">
        <f aca="false">IFERROR(INDEX(medicine_master!$G$2:$G$26,MATCH($C1040,medicine_master!$A$2:$A$26,0)),0)</f>
        <v>14</v>
      </c>
      <c r="N1040" s="45" t="n">
        <f aca="false">IF(D1040="Sale",E1040*L1040,0)</f>
        <v>440</v>
      </c>
      <c r="O1040" s="45" t="n">
        <f aca="false">IF(D1040="Sale",E1040*M1040,0)</f>
        <v>280</v>
      </c>
      <c r="P1040" s="45" t="n">
        <f aca="false">N1040-O1040</f>
        <v>160</v>
      </c>
      <c r="Q1040" s="45" t="n">
        <f aca="false">IF(D1040="Purchase",E1040*M1040,0)</f>
        <v>0</v>
      </c>
    </row>
    <row r="1041" customFormat="false" ht="15" hidden="false" customHeight="false" outlineLevel="0" collapsed="false">
      <c r="A1041" s="39" t="s">
        <v>1365</v>
      </c>
      <c r="B1041" s="44" t="n">
        <v>46295</v>
      </c>
      <c r="C1041" s="39" t="s">
        <v>150</v>
      </c>
      <c r="D1041" s="39" t="s">
        <v>137</v>
      </c>
      <c r="E1041" s="39" t="n">
        <v>10</v>
      </c>
      <c r="F1041" s="39" t="str">
        <f aca="false">IF(COUNTIF(medicine_master!$A$2:$A$26,C1041)&gt;0,"Valid","Invalid")</f>
        <v>Valid</v>
      </c>
      <c r="G1041" s="39" t="str">
        <f aca="false">IFERROR(INDEX(medicine_master!$B$2:$B$26,MATCH($C1041,medicine_master!$A$2:$A$26,0)),"Not found")</f>
        <v>Pantoprazole 40mg</v>
      </c>
      <c r="H1041" s="39" t="str">
        <f aca="false">IFERROR(INDEX(medicine_master!$C$2:$C$26,MATCH($C1041,medicine_master!$A$2:$A$26,0)),"Not found")</f>
        <v>Gastric</v>
      </c>
      <c r="I1041" s="39" t="n">
        <f aca="false">YEAR(B1041)</f>
        <v>2026</v>
      </c>
      <c r="J1041" s="39" t="n">
        <f aca="false">MONTH(B1041)</f>
        <v>9</v>
      </c>
      <c r="K1041" s="39" t="str">
        <f aca="false">TEXT(B1041,"mmm")</f>
        <v>Sep</v>
      </c>
      <c r="L1041" s="45" t="n">
        <f aca="false">IFERROR(INDEX(medicine_master!$I$2:$I$26,MATCH($C1041,medicine_master!$A$2:$A$26,0)),0)</f>
        <v>35</v>
      </c>
      <c r="M1041" s="45" t="n">
        <f aca="false">IFERROR(INDEX(medicine_master!$G$2:$G$26,MATCH($C1041,medicine_master!$A$2:$A$26,0)),0)</f>
        <v>24</v>
      </c>
      <c r="N1041" s="45" t="n">
        <f aca="false">IF(D1041="Sale",E1041*L1041,0)</f>
        <v>350</v>
      </c>
      <c r="O1041" s="45" t="n">
        <f aca="false">IF(D1041="Sale",E1041*M1041,0)</f>
        <v>240</v>
      </c>
      <c r="P1041" s="45" t="n">
        <f aca="false">N1041-O1041</f>
        <v>110</v>
      </c>
      <c r="Q1041" s="45" t="n">
        <f aca="false">IF(D1041="Purchase",E1041*M1041,0)</f>
        <v>0</v>
      </c>
    </row>
    <row r="1042" customFormat="false" ht="15" hidden="false" customHeight="false" outlineLevel="0" collapsed="false">
      <c r="A1042" s="39" t="s">
        <v>1366</v>
      </c>
      <c r="B1042" s="44" t="n">
        <v>46033</v>
      </c>
      <c r="C1042" s="39" t="s">
        <v>179</v>
      </c>
      <c r="D1042" s="39" t="s">
        <v>138</v>
      </c>
      <c r="E1042" s="39" t="n">
        <v>15</v>
      </c>
      <c r="F1042" s="39" t="str">
        <f aca="false">IF(COUNTIF(medicine_master!$A$2:$A$26,C1042)&gt;0,"Valid","Invalid")</f>
        <v>Valid</v>
      </c>
      <c r="G1042" s="39" t="str">
        <f aca="false">IFERROR(INDEX(medicine_master!$B$2:$B$26,MATCH($C1042,medicine_master!$A$2:$A$26,0)),"Not found")</f>
        <v>Ibuprofen 400mg</v>
      </c>
      <c r="H1042" s="39" t="str">
        <f aca="false">IFERROR(INDEX(medicine_master!$C$2:$C$26,MATCH($C1042,medicine_master!$A$2:$A$26,0)),"Not found")</f>
        <v>Pain Relief</v>
      </c>
      <c r="I1042" s="39" t="n">
        <f aca="false">YEAR(B1042)</f>
        <v>2026</v>
      </c>
      <c r="J1042" s="39" t="n">
        <f aca="false">MONTH(B1042)</f>
        <v>1</v>
      </c>
      <c r="K1042" s="39" t="str">
        <f aca="false">TEXT(B1042,"mmm")</f>
        <v>Jan</v>
      </c>
      <c r="L1042" s="45" t="n">
        <f aca="false">IFERROR(INDEX(medicine_master!$I$2:$I$26,MATCH($C1042,medicine_master!$A$2:$A$26,0)),0)</f>
        <v>30</v>
      </c>
      <c r="M1042" s="45" t="n">
        <f aca="false">IFERROR(INDEX(medicine_master!$G$2:$G$26,MATCH($C1042,medicine_master!$A$2:$A$26,0)),0)</f>
        <v>22</v>
      </c>
      <c r="N1042" s="45" t="n">
        <f aca="false">IF(D1042="Sale",E1042*L1042,0)</f>
        <v>0</v>
      </c>
      <c r="O1042" s="45" t="n">
        <f aca="false">IF(D1042="Sale",E1042*M1042,0)</f>
        <v>0</v>
      </c>
      <c r="P1042" s="45" t="n">
        <f aca="false">N1042-O1042</f>
        <v>0</v>
      </c>
      <c r="Q1042" s="45" t="n">
        <f aca="false">IF(D1042="Purchase",E1042*M1042,0)</f>
        <v>330</v>
      </c>
    </row>
    <row r="1043" customFormat="false" ht="15" hidden="false" customHeight="false" outlineLevel="0" collapsed="false">
      <c r="A1043" s="39" t="s">
        <v>1367</v>
      </c>
      <c r="B1043" s="44" t="n">
        <v>46312</v>
      </c>
      <c r="C1043" s="39" t="s">
        <v>146</v>
      </c>
      <c r="D1043" s="39" t="s">
        <v>138</v>
      </c>
      <c r="E1043" s="39" t="n">
        <v>50</v>
      </c>
      <c r="F1043" s="39" t="str">
        <f aca="false">IF(COUNTIF(medicine_master!$A$2:$A$26,C1043)&gt;0,"Valid","Invalid")</f>
        <v>Valid</v>
      </c>
      <c r="G1043" s="39" t="str">
        <f aca="false">IFERROR(INDEX(medicine_master!$B$2:$B$26,MATCH($C1043,medicine_master!$A$2:$A$26,0)),"Not found")</f>
        <v>Diclofenac Gel</v>
      </c>
      <c r="H1043" s="39" t="str">
        <f aca="false">IFERROR(INDEX(medicine_master!$C$2:$C$26,MATCH($C1043,medicine_master!$A$2:$A$26,0)),"Not found")</f>
        <v>Pain Relief</v>
      </c>
      <c r="I1043" s="39" t="n">
        <f aca="false">YEAR(B1043)</f>
        <v>2026</v>
      </c>
      <c r="J1043" s="39" t="n">
        <f aca="false">MONTH(B1043)</f>
        <v>10</v>
      </c>
      <c r="K1043" s="39" t="str">
        <f aca="false">TEXT(B1043,"mmm")</f>
        <v>Oct</v>
      </c>
      <c r="L1043" s="45" t="n">
        <f aca="false">IFERROR(INDEX(medicine_master!$I$2:$I$26,MATCH($C1043,medicine_master!$A$2:$A$26,0)),0)</f>
        <v>55</v>
      </c>
      <c r="M1043" s="45" t="n">
        <f aca="false">IFERROR(INDEX(medicine_master!$G$2:$G$26,MATCH($C1043,medicine_master!$A$2:$A$26,0)),0)</f>
        <v>38</v>
      </c>
      <c r="N1043" s="45" t="n">
        <f aca="false">IF(D1043="Sale",E1043*L1043,0)</f>
        <v>0</v>
      </c>
      <c r="O1043" s="45" t="n">
        <f aca="false">IF(D1043="Sale",E1043*M1043,0)</f>
        <v>0</v>
      </c>
      <c r="P1043" s="45" t="n">
        <f aca="false">N1043-O1043</f>
        <v>0</v>
      </c>
      <c r="Q1043" s="45" t="n">
        <f aca="false">IF(D1043="Purchase",E1043*M1043,0)</f>
        <v>1900</v>
      </c>
    </row>
    <row r="1044" customFormat="false" ht="15" hidden="false" customHeight="false" outlineLevel="0" collapsed="false">
      <c r="A1044" s="39" t="s">
        <v>1368</v>
      </c>
      <c r="B1044" s="44" t="n">
        <v>46074</v>
      </c>
      <c r="C1044" s="39" t="s">
        <v>159</v>
      </c>
      <c r="D1044" s="39" t="s">
        <v>138</v>
      </c>
      <c r="E1044" s="39" t="n">
        <v>50</v>
      </c>
      <c r="F1044" s="39" t="str">
        <f aca="false">IF(COUNTIF(medicine_master!$A$2:$A$26,C1044)&gt;0,"Valid","Invalid")</f>
        <v>Valid</v>
      </c>
      <c r="G1044" s="39" t="str">
        <f aca="false">IFERROR(INDEX(medicine_master!$B$2:$B$26,MATCH($C1044,medicine_master!$A$2:$A$26,0)),"Not found")</f>
        <v>Antiseptic Liquid 100ml</v>
      </c>
      <c r="H1044" s="39" t="str">
        <f aca="false">IFERROR(INDEX(medicine_master!$C$2:$C$26,MATCH($C1044,medicine_master!$A$2:$A$26,0)),"Not found")</f>
        <v>First Aid</v>
      </c>
      <c r="I1044" s="39" t="n">
        <f aca="false">YEAR(B1044)</f>
        <v>2026</v>
      </c>
      <c r="J1044" s="39" t="n">
        <f aca="false">MONTH(B1044)</f>
        <v>2</v>
      </c>
      <c r="K1044" s="39" t="str">
        <f aca="false">TEXT(B1044,"mmm")</f>
        <v>Feb</v>
      </c>
      <c r="L1044" s="45" t="n">
        <f aca="false">IFERROR(INDEX(medicine_master!$I$2:$I$26,MATCH($C1044,medicine_master!$A$2:$A$26,0)),0)</f>
        <v>65</v>
      </c>
      <c r="M1044" s="45" t="n">
        <f aca="false">IFERROR(INDEX(medicine_master!$G$2:$G$26,MATCH($C1044,medicine_master!$A$2:$A$26,0)),0)</f>
        <v>48</v>
      </c>
      <c r="N1044" s="45" t="n">
        <f aca="false">IF(D1044="Sale",E1044*L1044,0)</f>
        <v>0</v>
      </c>
      <c r="O1044" s="45" t="n">
        <f aca="false">IF(D1044="Sale",E1044*M1044,0)</f>
        <v>0</v>
      </c>
      <c r="P1044" s="45" t="n">
        <f aca="false">N1044-O1044</f>
        <v>0</v>
      </c>
      <c r="Q1044" s="45" t="n">
        <f aca="false">IF(D1044="Purchase",E1044*M1044,0)</f>
        <v>2400</v>
      </c>
    </row>
    <row r="1045" customFormat="false" ht="15" hidden="false" customHeight="false" outlineLevel="0" collapsed="false">
      <c r="A1045" s="39" t="s">
        <v>1369</v>
      </c>
      <c r="B1045" s="44" t="n">
        <v>46148</v>
      </c>
      <c r="C1045" s="39" t="s">
        <v>178</v>
      </c>
      <c r="D1045" s="39" t="s">
        <v>137</v>
      </c>
      <c r="E1045" s="39" t="n">
        <v>20</v>
      </c>
      <c r="F1045" s="39" t="str">
        <f aca="false">IF(COUNTIF(medicine_master!$A$2:$A$26,C1045)&gt;0,"Valid","Invalid")</f>
        <v>Valid</v>
      </c>
      <c r="G1045" s="39" t="str">
        <f aca="false">IFERROR(INDEX(medicine_master!$B$2:$B$26,MATCH($C1045,medicine_master!$A$2:$A$26,0)),"Not found")</f>
        <v>Aspirin 75mg</v>
      </c>
      <c r="H1045" s="39" t="str">
        <f aca="false">IFERROR(INDEX(medicine_master!$C$2:$C$26,MATCH($C1045,medicine_master!$A$2:$A$26,0)),"Not found")</f>
        <v>Cardiac</v>
      </c>
      <c r="I1045" s="39" t="n">
        <f aca="false">YEAR(B1045)</f>
        <v>2026</v>
      </c>
      <c r="J1045" s="39" t="n">
        <f aca="false">MONTH(B1045)</f>
        <v>5</v>
      </c>
      <c r="K1045" s="39" t="str">
        <f aca="false">TEXT(B1045,"mmm")</f>
        <v>May</v>
      </c>
      <c r="L1045" s="45" t="n">
        <f aca="false">IFERROR(INDEX(medicine_master!$I$2:$I$26,MATCH($C1045,medicine_master!$A$2:$A$26,0)),0)</f>
        <v>15</v>
      </c>
      <c r="M1045" s="45" t="n">
        <f aca="false">IFERROR(INDEX(medicine_master!$G$2:$G$26,MATCH($C1045,medicine_master!$A$2:$A$26,0)),0)</f>
        <v>10</v>
      </c>
      <c r="N1045" s="45" t="n">
        <f aca="false">IF(D1045="Sale",E1045*L1045,0)</f>
        <v>300</v>
      </c>
      <c r="O1045" s="45" t="n">
        <f aca="false">IF(D1045="Sale",E1045*M1045,0)</f>
        <v>200</v>
      </c>
      <c r="P1045" s="45" t="n">
        <f aca="false">N1045-O1045</f>
        <v>100</v>
      </c>
      <c r="Q1045" s="45" t="n">
        <f aca="false">IF(D1045="Purchase",E1045*M1045,0)</f>
        <v>0</v>
      </c>
    </row>
    <row r="1046" customFormat="false" ht="15" hidden="false" customHeight="false" outlineLevel="0" collapsed="false">
      <c r="A1046" s="39" t="s">
        <v>1370</v>
      </c>
      <c r="B1046" s="44" t="n">
        <v>46078</v>
      </c>
      <c r="C1046" s="39" t="s">
        <v>148</v>
      </c>
      <c r="D1046" s="39" t="s">
        <v>137</v>
      </c>
      <c r="E1046" s="39" t="n">
        <v>15</v>
      </c>
      <c r="F1046" s="39" t="str">
        <f aca="false">IF(COUNTIF(medicine_master!$A$2:$A$26,C1046)&gt;0,"Valid","Invalid")</f>
        <v>Valid</v>
      </c>
      <c r="G1046" s="39" t="str">
        <f aca="false">IFERROR(INDEX(medicine_master!$B$2:$B$26,MATCH($C1046,medicine_master!$A$2:$A$26,0)),"Not found")</f>
        <v>Dextromethorphan Syrup</v>
      </c>
      <c r="H1046" s="39" t="str">
        <f aca="false">IFERROR(INDEX(medicine_master!$C$2:$C$26,MATCH($C1046,medicine_master!$A$2:$A$26,0)),"Not found")</f>
        <v>Cold &amp; Cough</v>
      </c>
      <c r="I1046" s="39" t="n">
        <f aca="false">YEAR(B1046)</f>
        <v>2026</v>
      </c>
      <c r="J1046" s="39" t="n">
        <f aca="false">MONTH(B1046)</f>
        <v>2</v>
      </c>
      <c r="K1046" s="39" t="str">
        <f aca="false">TEXT(B1046,"mmm")</f>
        <v>Feb</v>
      </c>
      <c r="L1046" s="45" t="n">
        <f aca="false">IFERROR(INDEX(medicine_master!$I$2:$I$26,MATCH($C1046,medicine_master!$A$2:$A$26,0)),0)</f>
        <v>80</v>
      </c>
      <c r="M1046" s="45" t="n">
        <f aca="false">IFERROR(INDEX(medicine_master!$G$2:$G$26,MATCH($C1046,medicine_master!$A$2:$A$26,0)),0)</f>
        <v>58</v>
      </c>
      <c r="N1046" s="45" t="n">
        <f aca="false">IF(D1046="Sale",E1046*L1046,0)</f>
        <v>1200</v>
      </c>
      <c r="O1046" s="45" t="n">
        <f aca="false">IF(D1046="Sale",E1046*M1046,0)</f>
        <v>870</v>
      </c>
      <c r="P1046" s="45" t="n">
        <f aca="false">N1046-O1046</f>
        <v>330</v>
      </c>
      <c r="Q1046" s="45" t="n">
        <f aca="false">IF(D1046="Purchase",E1046*M1046,0)</f>
        <v>0</v>
      </c>
    </row>
    <row r="1047" customFormat="false" ht="15" hidden="false" customHeight="false" outlineLevel="0" collapsed="false">
      <c r="A1047" s="39" t="s">
        <v>1371</v>
      </c>
      <c r="B1047" s="44" t="n">
        <v>46115</v>
      </c>
      <c r="C1047" s="39" t="s">
        <v>147</v>
      </c>
      <c r="D1047" s="39" t="s">
        <v>138</v>
      </c>
      <c r="E1047" s="39" t="n">
        <v>15</v>
      </c>
      <c r="F1047" s="39" t="str">
        <f aca="false">IF(COUNTIF(medicine_master!$A$2:$A$26,C1047)&gt;0,"Valid","Invalid")</f>
        <v>Valid</v>
      </c>
      <c r="G1047" s="39" t="str">
        <f aca="false">IFERROR(INDEX(medicine_master!$B$2:$B$26,MATCH($C1047,medicine_master!$A$2:$A$26,0)),"Not found")</f>
        <v>Insulin Injection</v>
      </c>
      <c r="H1047" s="39" t="str">
        <f aca="false">IFERROR(INDEX(medicine_master!$C$2:$C$26,MATCH($C1047,medicine_master!$A$2:$A$26,0)),"Not found")</f>
        <v>Diabetes</v>
      </c>
      <c r="I1047" s="39" t="n">
        <f aca="false">YEAR(B1047)</f>
        <v>2026</v>
      </c>
      <c r="J1047" s="39" t="n">
        <f aca="false">MONTH(B1047)</f>
        <v>4</v>
      </c>
      <c r="K1047" s="39" t="str">
        <f aca="false">TEXT(B1047,"mmm")</f>
        <v>Apr</v>
      </c>
      <c r="L1047" s="45" t="n">
        <f aca="false">IFERROR(INDEX(medicine_master!$I$2:$I$26,MATCH($C1047,medicine_master!$A$2:$A$26,0)),0)</f>
        <v>225</v>
      </c>
      <c r="M1047" s="45" t="n">
        <f aca="false">IFERROR(INDEX(medicine_master!$G$2:$G$26,MATCH($C1047,medicine_master!$A$2:$A$26,0)),0)</f>
        <v>165</v>
      </c>
      <c r="N1047" s="45" t="n">
        <f aca="false">IF(D1047="Sale",E1047*L1047,0)</f>
        <v>0</v>
      </c>
      <c r="O1047" s="45" t="n">
        <f aca="false">IF(D1047="Sale",E1047*M1047,0)</f>
        <v>0</v>
      </c>
      <c r="P1047" s="45" t="n">
        <f aca="false">N1047-O1047</f>
        <v>0</v>
      </c>
      <c r="Q1047" s="45" t="n">
        <f aca="false">IF(D1047="Purchase",E1047*M1047,0)</f>
        <v>2475</v>
      </c>
    </row>
    <row r="1048" customFormat="false" ht="15" hidden="false" customHeight="false" outlineLevel="0" collapsed="false">
      <c r="A1048" s="39" t="s">
        <v>1372</v>
      </c>
      <c r="B1048" s="44" t="n">
        <v>46071</v>
      </c>
      <c r="C1048" s="39" t="s">
        <v>149</v>
      </c>
      <c r="D1048" s="39" t="s">
        <v>137</v>
      </c>
      <c r="E1048" s="39" t="n">
        <v>5</v>
      </c>
      <c r="F1048" s="39" t="str">
        <f aca="false">IF(COUNTIF(medicine_master!$A$2:$A$26,C1048)&gt;0,"Valid","Invalid")</f>
        <v>Valid</v>
      </c>
      <c r="G1048" s="39" t="str">
        <f aca="false">IFERROR(INDEX(medicine_master!$B$2:$B$26,MATCH($C1048,medicine_master!$A$2:$A$26,0)),"Not found")</f>
        <v>Azithromycin 500mg</v>
      </c>
      <c r="H1048" s="39" t="str">
        <f aca="false">IFERROR(INDEX(medicine_master!$C$2:$C$26,MATCH($C1048,medicine_master!$A$2:$A$26,0)),"Not found")</f>
        <v>Antibiotic</v>
      </c>
      <c r="I1048" s="39" t="n">
        <f aca="false">YEAR(B1048)</f>
        <v>2026</v>
      </c>
      <c r="J1048" s="39" t="n">
        <f aca="false">MONTH(B1048)</f>
        <v>2</v>
      </c>
      <c r="K1048" s="39" t="str">
        <f aca="false">TEXT(B1048,"mmm")</f>
        <v>Feb</v>
      </c>
      <c r="L1048" s="45" t="n">
        <f aca="false">IFERROR(INDEX(medicine_master!$I$2:$I$26,MATCH($C1048,medicine_master!$A$2:$A$26,0)),0)</f>
        <v>50</v>
      </c>
      <c r="M1048" s="45" t="n">
        <f aca="false">IFERROR(INDEX(medicine_master!$G$2:$G$26,MATCH($C1048,medicine_master!$A$2:$A$26,0)),0)</f>
        <v>35</v>
      </c>
      <c r="N1048" s="45" t="n">
        <f aca="false">IF(D1048="Sale",E1048*L1048,0)</f>
        <v>250</v>
      </c>
      <c r="O1048" s="45" t="n">
        <f aca="false">IF(D1048="Sale",E1048*M1048,0)</f>
        <v>175</v>
      </c>
      <c r="P1048" s="45" t="n">
        <f aca="false">N1048-O1048</f>
        <v>75</v>
      </c>
      <c r="Q1048" s="45" t="n">
        <f aca="false">IF(D1048="Purchase",E1048*M1048,0)</f>
        <v>0</v>
      </c>
    </row>
    <row r="1049" customFormat="false" ht="15" hidden="false" customHeight="false" outlineLevel="0" collapsed="false">
      <c r="A1049" s="39" t="s">
        <v>1373</v>
      </c>
      <c r="B1049" s="44" t="n">
        <v>46123</v>
      </c>
      <c r="C1049" s="39" t="s">
        <v>321</v>
      </c>
      <c r="D1049" s="39" t="s">
        <v>137</v>
      </c>
      <c r="E1049" s="39" t="n">
        <v>30</v>
      </c>
      <c r="F1049" s="39" t="str">
        <f aca="false">IF(COUNTIF(medicine_master!$A$2:$A$26,C1049)&gt;0,"Valid","Invalid")</f>
        <v>Valid</v>
      </c>
      <c r="G1049" s="39" t="str">
        <f aca="false">IFERROR(INDEX(medicine_master!$B$2:$B$26,MATCH($C1049,medicine_master!$A$2:$A$26,0)),"Not found")</f>
        <v>Levocetirizine 5mg</v>
      </c>
      <c r="H1049" s="39" t="str">
        <f aca="false">IFERROR(INDEX(medicine_master!$C$2:$C$26,MATCH($C1049,medicine_master!$A$2:$A$26,0)),"Not found")</f>
        <v>Allergy</v>
      </c>
      <c r="I1049" s="39" t="n">
        <f aca="false">YEAR(B1049)</f>
        <v>2026</v>
      </c>
      <c r="J1049" s="39" t="n">
        <f aca="false">MONTH(B1049)</f>
        <v>4</v>
      </c>
      <c r="K1049" s="39" t="str">
        <f aca="false">TEXT(B1049,"mmm")</f>
        <v>Apr</v>
      </c>
      <c r="L1049" s="45" t="n">
        <f aca="false">IFERROR(INDEX(medicine_master!$I$2:$I$26,MATCH($C1049,medicine_master!$A$2:$A$26,0)),0)</f>
        <v>22</v>
      </c>
      <c r="M1049" s="45" t="n">
        <f aca="false">IFERROR(INDEX(medicine_master!$G$2:$G$26,MATCH($C1049,medicine_master!$A$2:$A$26,0)),0)</f>
        <v>14</v>
      </c>
      <c r="N1049" s="45" t="n">
        <f aca="false">IF(D1049="Sale",E1049*L1049,0)</f>
        <v>660</v>
      </c>
      <c r="O1049" s="45" t="n">
        <f aca="false">IF(D1049="Sale",E1049*M1049,0)</f>
        <v>420</v>
      </c>
      <c r="P1049" s="45" t="n">
        <f aca="false">N1049-O1049</f>
        <v>240</v>
      </c>
      <c r="Q1049" s="45" t="n">
        <f aca="false">IF(D1049="Purchase",E1049*M1049,0)</f>
        <v>0</v>
      </c>
    </row>
    <row r="1050" customFormat="false" ht="15" hidden="false" customHeight="false" outlineLevel="0" collapsed="false">
      <c r="A1050" s="39" t="s">
        <v>1374</v>
      </c>
      <c r="B1050" s="44" t="n">
        <v>46188</v>
      </c>
      <c r="C1050" s="39" t="s">
        <v>147</v>
      </c>
      <c r="D1050" s="39" t="s">
        <v>138</v>
      </c>
      <c r="E1050" s="39" t="n">
        <v>10</v>
      </c>
      <c r="F1050" s="39" t="str">
        <f aca="false">IF(COUNTIF(medicine_master!$A$2:$A$26,C1050)&gt;0,"Valid","Invalid")</f>
        <v>Valid</v>
      </c>
      <c r="G1050" s="39" t="str">
        <f aca="false">IFERROR(INDEX(medicine_master!$B$2:$B$26,MATCH($C1050,medicine_master!$A$2:$A$26,0)),"Not found")</f>
        <v>Insulin Injection</v>
      </c>
      <c r="H1050" s="39" t="str">
        <f aca="false">IFERROR(INDEX(medicine_master!$C$2:$C$26,MATCH($C1050,medicine_master!$A$2:$A$26,0)),"Not found")</f>
        <v>Diabetes</v>
      </c>
      <c r="I1050" s="39" t="n">
        <f aca="false">YEAR(B1050)</f>
        <v>2026</v>
      </c>
      <c r="J1050" s="39" t="n">
        <f aca="false">MONTH(B1050)</f>
        <v>6</v>
      </c>
      <c r="K1050" s="39" t="str">
        <f aca="false">TEXT(B1050,"mmm")</f>
        <v>Jun</v>
      </c>
      <c r="L1050" s="45" t="n">
        <f aca="false">IFERROR(INDEX(medicine_master!$I$2:$I$26,MATCH($C1050,medicine_master!$A$2:$A$26,0)),0)</f>
        <v>225</v>
      </c>
      <c r="M1050" s="45" t="n">
        <f aca="false">IFERROR(INDEX(medicine_master!$G$2:$G$26,MATCH($C1050,medicine_master!$A$2:$A$26,0)),0)</f>
        <v>165</v>
      </c>
      <c r="N1050" s="45" t="n">
        <f aca="false">IF(D1050="Sale",E1050*L1050,0)</f>
        <v>0</v>
      </c>
      <c r="O1050" s="45" t="n">
        <f aca="false">IF(D1050="Sale",E1050*M1050,0)</f>
        <v>0</v>
      </c>
      <c r="P1050" s="45" t="n">
        <f aca="false">N1050-O1050</f>
        <v>0</v>
      </c>
      <c r="Q1050" s="45" t="n">
        <f aca="false">IF(D1050="Purchase",E1050*M1050,0)</f>
        <v>1650</v>
      </c>
    </row>
    <row r="1051" customFormat="false" ht="15" hidden="false" customHeight="false" outlineLevel="0" collapsed="false">
      <c r="A1051" s="39" t="s">
        <v>1375</v>
      </c>
      <c r="B1051" s="44" t="n">
        <v>46152</v>
      </c>
      <c r="C1051" s="39" t="s">
        <v>148</v>
      </c>
      <c r="D1051" s="39" t="s">
        <v>137</v>
      </c>
      <c r="E1051" s="39" t="n">
        <v>25</v>
      </c>
      <c r="F1051" s="39" t="str">
        <f aca="false">IF(COUNTIF(medicine_master!$A$2:$A$26,C1051)&gt;0,"Valid","Invalid")</f>
        <v>Valid</v>
      </c>
      <c r="G1051" s="39" t="str">
        <f aca="false">IFERROR(INDEX(medicine_master!$B$2:$B$26,MATCH($C1051,medicine_master!$A$2:$A$26,0)),"Not found")</f>
        <v>Dextromethorphan Syrup</v>
      </c>
      <c r="H1051" s="39" t="str">
        <f aca="false">IFERROR(INDEX(medicine_master!$C$2:$C$26,MATCH($C1051,medicine_master!$A$2:$A$26,0)),"Not found")</f>
        <v>Cold &amp; Cough</v>
      </c>
      <c r="I1051" s="39" t="n">
        <f aca="false">YEAR(B1051)</f>
        <v>2026</v>
      </c>
      <c r="J1051" s="39" t="n">
        <f aca="false">MONTH(B1051)</f>
        <v>5</v>
      </c>
      <c r="K1051" s="39" t="str">
        <f aca="false">TEXT(B1051,"mmm")</f>
        <v>May</v>
      </c>
      <c r="L1051" s="45" t="n">
        <f aca="false">IFERROR(INDEX(medicine_master!$I$2:$I$26,MATCH($C1051,medicine_master!$A$2:$A$26,0)),0)</f>
        <v>80</v>
      </c>
      <c r="M1051" s="45" t="n">
        <f aca="false">IFERROR(INDEX(medicine_master!$G$2:$G$26,MATCH($C1051,medicine_master!$A$2:$A$26,0)),0)</f>
        <v>58</v>
      </c>
      <c r="N1051" s="45" t="n">
        <f aca="false">IF(D1051="Sale",E1051*L1051,0)</f>
        <v>2000</v>
      </c>
      <c r="O1051" s="45" t="n">
        <f aca="false">IF(D1051="Sale",E1051*M1051,0)</f>
        <v>1450</v>
      </c>
      <c r="P1051" s="45" t="n">
        <f aca="false">N1051-O1051</f>
        <v>550</v>
      </c>
      <c r="Q1051" s="45" t="n">
        <f aca="false">IF(D1051="Purchase",E1051*M1051,0)</f>
        <v>0</v>
      </c>
    </row>
    <row r="1052" customFormat="false" ht="15" hidden="false" customHeight="false" outlineLevel="0" collapsed="false">
      <c r="A1052" s="39" t="s">
        <v>1376</v>
      </c>
      <c r="B1052" s="44" t="n">
        <v>46212</v>
      </c>
      <c r="C1052" s="39" t="s">
        <v>152</v>
      </c>
      <c r="D1052" s="39" t="s">
        <v>137</v>
      </c>
      <c r="E1052" s="39" t="n">
        <v>30</v>
      </c>
      <c r="F1052" s="39" t="str">
        <f aca="false">IF(COUNTIF(medicine_master!$A$2:$A$26,C1052)&gt;0,"Valid","Invalid")</f>
        <v>Valid</v>
      </c>
      <c r="G1052" s="39" t="str">
        <f aca="false">IFERROR(INDEX(medicine_master!$B$2:$B$26,MATCH($C1052,medicine_master!$A$2:$A$26,0)),"Not found")</f>
        <v>Amoxicillin 500mg</v>
      </c>
      <c r="H1052" s="39" t="str">
        <f aca="false">IFERROR(INDEX(medicine_master!$C$2:$C$26,MATCH($C1052,medicine_master!$A$2:$A$26,0)),"Not found")</f>
        <v>Antibiotic</v>
      </c>
      <c r="I1052" s="39" t="n">
        <f aca="false">YEAR(B1052)</f>
        <v>2026</v>
      </c>
      <c r="J1052" s="39" t="n">
        <f aca="false">MONTH(B1052)</f>
        <v>7</v>
      </c>
      <c r="K1052" s="39" t="str">
        <f aca="false">TEXT(B1052,"mmm")</f>
        <v>Jul</v>
      </c>
      <c r="L1052" s="45" t="n">
        <f aca="false">IFERROR(INDEX(medicine_master!$I$2:$I$26,MATCH($C1052,medicine_master!$A$2:$A$26,0)),0)</f>
        <v>40</v>
      </c>
      <c r="M1052" s="45" t="n">
        <f aca="false">IFERROR(INDEX(medicine_master!$G$2:$G$26,MATCH($C1052,medicine_master!$A$2:$A$26,0)),0)</f>
        <v>28</v>
      </c>
      <c r="N1052" s="45" t="n">
        <f aca="false">IF(D1052="Sale",E1052*L1052,0)</f>
        <v>1200</v>
      </c>
      <c r="O1052" s="45" t="n">
        <f aca="false">IF(D1052="Sale",E1052*M1052,0)</f>
        <v>840</v>
      </c>
      <c r="P1052" s="45" t="n">
        <f aca="false">N1052-O1052</f>
        <v>360</v>
      </c>
      <c r="Q1052" s="45" t="n">
        <f aca="false">IF(D1052="Purchase",E1052*M1052,0)</f>
        <v>0</v>
      </c>
    </row>
    <row r="1053" customFormat="false" ht="15" hidden="false" customHeight="false" outlineLevel="0" collapsed="false">
      <c r="A1053" s="39" t="s">
        <v>1377</v>
      </c>
      <c r="B1053" s="44" t="n">
        <v>46150</v>
      </c>
      <c r="C1053" s="39" t="s">
        <v>153</v>
      </c>
      <c r="D1053" s="39" t="s">
        <v>138</v>
      </c>
      <c r="E1053" s="39" t="n">
        <v>5</v>
      </c>
      <c r="F1053" s="39" t="str">
        <f aca="false">IF(COUNTIF(medicine_master!$A$2:$A$26,C1053)&gt;0,"Valid","Invalid")</f>
        <v>Valid</v>
      </c>
      <c r="G1053" s="39" t="str">
        <f aca="false">IFERROR(INDEX(medicine_master!$B$2:$B$26,MATCH($C1053,medicine_master!$A$2:$A$26,0)),"Not found")</f>
        <v>Atorvastatin 10mg</v>
      </c>
      <c r="H1053" s="39" t="str">
        <f aca="false">IFERROR(INDEX(medicine_master!$C$2:$C$26,MATCH($C1053,medicine_master!$A$2:$A$26,0)),"Not found")</f>
        <v>Cardiac</v>
      </c>
      <c r="I1053" s="39" t="n">
        <f aca="false">YEAR(B1053)</f>
        <v>2026</v>
      </c>
      <c r="J1053" s="39" t="n">
        <f aca="false">MONTH(B1053)</f>
        <v>5</v>
      </c>
      <c r="K1053" s="39" t="str">
        <f aca="false">TEXT(B1053,"mmm")</f>
        <v>May</v>
      </c>
      <c r="L1053" s="45" t="n">
        <f aca="false">IFERROR(INDEX(medicine_master!$I$2:$I$26,MATCH($C1053,medicine_master!$A$2:$A$26,0)),0)</f>
        <v>28</v>
      </c>
      <c r="M1053" s="45" t="n">
        <f aca="false">IFERROR(INDEX(medicine_master!$G$2:$G$26,MATCH($C1053,medicine_master!$A$2:$A$26,0)),0)</f>
        <v>19</v>
      </c>
      <c r="N1053" s="45" t="n">
        <f aca="false">IF(D1053="Sale",E1053*L1053,0)</f>
        <v>0</v>
      </c>
      <c r="O1053" s="45" t="n">
        <f aca="false">IF(D1053="Sale",E1053*M1053,0)</f>
        <v>0</v>
      </c>
      <c r="P1053" s="45" t="n">
        <f aca="false">N1053-O1053</f>
        <v>0</v>
      </c>
      <c r="Q1053" s="45" t="n">
        <f aca="false">IF(D1053="Purchase",E1053*M1053,0)</f>
        <v>95</v>
      </c>
    </row>
    <row r="1054" customFormat="false" ht="15" hidden="false" customHeight="false" outlineLevel="0" collapsed="false">
      <c r="A1054" s="39" t="s">
        <v>1378</v>
      </c>
      <c r="B1054" s="44" t="n">
        <v>46338</v>
      </c>
      <c r="C1054" s="39" t="s">
        <v>148</v>
      </c>
      <c r="D1054" s="39" t="s">
        <v>138</v>
      </c>
      <c r="E1054" s="39" t="n">
        <v>20</v>
      </c>
      <c r="F1054" s="39" t="str">
        <f aca="false">IF(COUNTIF(medicine_master!$A$2:$A$26,C1054)&gt;0,"Valid","Invalid")</f>
        <v>Valid</v>
      </c>
      <c r="G1054" s="39" t="str">
        <f aca="false">IFERROR(INDEX(medicine_master!$B$2:$B$26,MATCH($C1054,medicine_master!$A$2:$A$26,0)),"Not found")</f>
        <v>Dextromethorphan Syrup</v>
      </c>
      <c r="H1054" s="39" t="str">
        <f aca="false">IFERROR(INDEX(medicine_master!$C$2:$C$26,MATCH($C1054,medicine_master!$A$2:$A$26,0)),"Not found")</f>
        <v>Cold &amp; Cough</v>
      </c>
      <c r="I1054" s="39" t="n">
        <f aca="false">YEAR(B1054)</f>
        <v>2026</v>
      </c>
      <c r="J1054" s="39" t="n">
        <f aca="false">MONTH(B1054)</f>
        <v>11</v>
      </c>
      <c r="K1054" s="39" t="str">
        <f aca="false">TEXT(B1054,"mmm")</f>
        <v>Nov</v>
      </c>
      <c r="L1054" s="45" t="n">
        <f aca="false">IFERROR(INDEX(medicine_master!$I$2:$I$26,MATCH($C1054,medicine_master!$A$2:$A$26,0)),0)</f>
        <v>80</v>
      </c>
      <c r="M1054" s="45" t="n">
        <f aca="false">IFERROR(INDEX(medicine_master!$G$2:$G$26,MATCH($C1054,medicine_master!$A$2:$A$26,0)),0)</f>
        <v>58</v>
      </c>
      <c r="N1054" s="45" t="n">
        <f aca="false">IF(D1054="Sale",E1054*L1054,0)</f>
        <v>0</v>
      </c>
      <c r="O1054" s="45" t="n">
        <f aca="false">IF(D1054="Sale",E1054*M1054,0)</f>
        <v>0</v>
      </c>
      <c r="P1054" s="45" t="n">
        <f aca="false">N1054-O1054</f>
        <v>0</v>
      </c>
      <c r="Q1054" s="45" t="n">
        <f aca="false">IF(D1054="Purchase",E1054*M1054,0)</f>
        <v>1160</v>
      </c>
    </row>
    <row r="1055" customFormat="false" ht="15" hidden="false" customHeight="false" outlineLevel="0" collapsed="false">
      <c r="A1055" s="39" t="s">
        <v>1379</v>
      </c>
      <c r="B1055" s="44" t="n">
        <v>46335</v>
      </c>
      <c r="C1055" s="39" t="s">
        <v>148</v>
      </c>
      <c r="D1055" s="39" t="s">
        <v>138</v>
      </c>
      <c r="E1055" s="39" t="n">
        <v>20</v>
      </c>
      <c r="F1055" s="39" t="str">
        <f aca="false">IF(COUNTIF(medicine_master!$A$2:$A$26,C1055)&gt;0,"Valid","Invalid")</f>
        <v>Valid</v>
      </c>
      <c r="G1055" s="39" t="str">
        <f aca="false">IFERROR(INDEX(medicine_master!$B$2:$B$26,MATCH($C1055,medicine_master!$A$2:$A$26,0)),"Not found")</f>
        <v>Dextromethorphan Syrup</v>
      </c>
      <c r="H1055" s="39" t="str">
        <f aca="false">IFERROR(INDEX(medicine_master!$C$2:$C$26,MATCH($C1055,medicine_master!$A$2:$A$26,0)),"Not found")</f>
        <v>Cold &amp; Cough</v>
      </c>
      <c r="I1055" s="39" t="n">
        <f aca="false">YEAR(B1055)</f>
        <v>2026</v>
      </c>
      <c r="J1055" s="39" t="n">
        <f aca="false">MONTH(B1055)</f>
        <v>11</v>
      </c>
      <c r="K1055" s="39" t="str">
        <f aca="false">TEXT(B1055,"mmm")</f>
        <v>Nov</v>
      </c>
      <c r="L1055" s="45" t="n">
        <f aca="false">IFERROR(INDEX(medicine_master!$I$2:$I$26,MATCH($C1055,medicine_master!$A$2:$A$26,0)),0)</f>
        <v>80</v>
      </c>
      <c r="M1055" s="45" t="n">
        <f aca="false">IFERROR(INDEX(medicine_master!$G$2:$G$26,MATCH($C1055,medicine_master!$A$2:$A$26,0)),0)</f>
        <v>58</v>
      </c>
      <c r="N1055" s="45" t="n">
        <f aca="false">IF(D1055="Sale",E1055*L1055,0)</f>
        <v>0</v>
      </c>
      <c r="O1055" s="45" t="n">
        <f aca="false">IF(D1055="Sale",E1055*M1055,0)</f>
        <v>0</v>
      </c>
      <c r="P1055" s="45" t="n">
        <f aca="false">N1055-O1055</f>
        <v>0</v>
      </c>
      <c r="Q1055" s="45" t="n">
        <f aca="false">IF(D1055="Purchase",E1055*M1055,0)</f>
        <v>1160</v>
      </c>
    </row>
    <row r="1056" customFormat="false" ht="15" hidden="false" customHeight="false" outlineLevel="0" collapsed="false">
      <c r="A1056" s="39" t="s">
        <v>1380</v>
      </c>
      <c r="B1056" s="44" t="n">
        <v>46287</v>
      </c>
      <c r="C1056" s="39" t="s">
        <v>321</v>
      </c>
      <c r="D1056" s="39" t="s">
        <v>137</v>
      </c>
      <c r="E1056" s="39" t="n">
        <v>25</v>
      </c>
      <c r="F1056" s="39" t="str">
        <f aca="false">IF(COUNTIF(medicine_master!$A$2:$A$26,C1056)&gt;0,"Valid","Invalid")</f>
        <v>Valid</v>
      </c>
      <c r="G1056" s="39" t="str">
        <f aca="false">IFERROR(INDEX(medicine_master!$B$2:$B$26,MATCH($C1056,medicine_master!$A$2:$A$26,0)),"Not found")</f>
        <v>Levocetirizine 5mg</v>
      </c>
      <c r="H1056" s="39" t="str">
        <f aca="false">IFERROR(INDEX(medicine_master!$C$2:$C$26,MATCH($C1056,medicine_master!$A$2:$A$26,0)),"Not found")</f>
        <v>Allergy</v>
      </c>
      <c r="I1056" s="39" t="n">
        <f aca="false">YEAR(B1056)</f>
        <v>2026</v>
      </c>
      <c r="J1056" s="39" t="n">
        <f aca="false">MONTH(B1056)</f>
        <v>9</v>
      </c>
      <c r="K1056" s="39" t="str">
        <f aca="false">TEXT(B1056,"mmm")</f>
        <v>Sep</v>
      </c>
      <c r="L1056" s="45" t="n">
        <f aca="false">IFERROR(INDEX(medicine_master!$I$2:$I$26,MATCH($C1056,medicine_master!$A$2:$A$26,0)),0)</f>
        <v>22</v>
      </c>
      <c r="M1056" s="45" t="n">
        <f aca="false">IFERROR(INDEX(medicine_master!$G$2:$G$26,MATCH($C1056,medicine_master!$A$2:$A$26,0)),0)</f>
        <v>14</v>
      </c>
      <c r="N1056" s="45" t="n">
        <f aca="false">IF(D1056="Sale",E1056*L1056,0)</f>
        <v>550</v>
      </c>
      <c r="O1056" s="45" t="n">
        <f aca="false">IF(D1056="Sale",E1056*M1056,0)</f>
        <v>350</v>
      </c>
      <c r="P1056" s="45" t="n">
        <f aca="false">N1056-O1056</f>
        <v>200</v>
      </c>
      <c r="Q1056" s="45" t="n">
        <f aca="false">IF(D1056="Purchase",E1056*M1056,0)</f>
        <v>0</v>
      </c>
    </row>
    <row r="1057" customFormat="false" ht="15" hidden="false" customHeight="false" outlineLevel="0" collapsed="false">
      <c r="A1057" s="39" t="s">
        <v>1381</v>
      </c>
      <c r="B1057" s="44" t="n">
        <v>46128</v>
      </c>
      <c r="C1057" s="39" t="s">
        <v>159</v>
      </c>
      <c r="D1057" s="39" t="s">
        <v>138</v>
      </c>
      <c r="E1057" s="39" t="n">
        <v>10</v>
      </c>
      <c r="F1057" s="39" t="str">
        <f aca="false">IF(COUNTIF(medicine_master!$A$2:$A$26,C1057)&gt;0,"Valid","Invalid")</f>
        <v>Valid</v>
      </c>
      <c r="G1057" s="39" t="str">
        <f aca="false">IFERROR(INDEX(medicine_master!$B$2:$B$26,MATCH($C1057,medicine_master!$A$2:$A$26,0)),"Not found")</f>
        <v>Antiseptic Liquid 100ml</v>
      </c>
      <c r="H1057" s="39" t="str">
        <f aca="false">IFERROR(INDEX(medicine_master!$C$2:$C$26,MATCH($C1057,medicine_master!$A$2:$A$26,0)),"Not found")</f>
        <v>First Aid</v>
      </c>
      <c r="I1057" s="39" t="n">
        <f aca="false">YEAR(B1057)</f>
        <v>2026</v>
      </c>
      <c r="J1057" s="39" t="n">
        <f aca="false">MONTH(B1057)</f>
        <v>4</v>
      </c>
      <c r="K1057" s="39" t="str">
        <f aca="false">TEXT(B1057,"mmm")</f>
        <v>Apr</v>
      </c>
      <c r="L1057" s="45" t="n">
        <f aca="false">IFERROR(INDEX(medicine_master!$I$2:$I$26,MATCH($C1057,medicine_master!$A$2:$A$26,0)),0)</f>
        <v>65</v>
      </c>
      <c r="M1057" s="45" t="n">
        <f aca="false">IFERROR(INDEX(medicine_master!$G$2:$G$26,MATCH($C1057,medicine_master!$A$2:$A$26,0)),0)</f>
        <v>48</v>
      </c>
      <c r="N1057" s="45" t="n">
        <f aca="false">IF(D1057="Sale",E1057*L1057,0)</f>
        <v>0</v>
      </c>
      <c r="O1057" s="45" t="n">
        <f aca="false">IF(D1057="Sale",E1057*M1057,0)</f>
        <v>0</v>
      </c>
      <c r="P1057" s="45" t="n">
        <f aca="false">N1057-O1057</f>
        <v>0</v>
      </c>
      <c r="Q1057" s="45" t="n">
        <f aca="false">IF(D1057="Purchase",E1057*M1057,0)</f>
        <v>480</v>
      </c>
    </row>
    <row r="1058" customFormat="false" ht="15" hidden="false" customHeight="false" outlineLevel="0" collapsed="false">
      <c r="A1058" s="39" t="s">
        <v>1382</v>
      </c>
      <c r="B1058" s="44" t="n">
        <v>46035</v>
      </c>
      <c r="C1058" s="39" t="s">
        <v>145</v>
      </c>
      <c r="D1058" s="39" t="s">
        <v>137</v>
      </c>
      <c r="E1058" s="39" t="n">
        <v>50</v>
      </c>
      <c r="F1058" s="39" t="str">
        <f aca="false">IF(COUNTIF(medicine_master!$A$2:$A$26,C1058)&gt;0,"Valid","Invalid")</f>
        <v>Valid</v>
      </c>
      <c r="G1058" s="39" t="str">
        <f aca="false">IFERROR(INDEX(medicine_master!$B$2:$B$26,MATCH($C1058,medicine_master!$A$2:$A$26,0)),"Not found")</f>
        <v>Clotrimazole Cream</v>
      </c>
      <c r="H1058" s="39" t="str">
        <f aca="false">IFERROR(INDEX(medicine_master!$C$2:$C$26,MATCH($C1058,medicine_master!$A$2:$A$26,0)),"Not found")</f>
        <v>Dermatology</v>
      </c>
      <c r="I1058" s="39" t="n">
        <f aca="false">YEAR(B1058)</f>
        <v>2026</v>
      </c>
      <c r="J1058" s="39" t="n">
        <f aca="false">MONTH(B1058)</f>
        <v>1</v>
      </c>
      <c r="K1058" s="39" t="str">
        <f aca="false">TEXT(B1058,"mmm")</f>
        <v>Jan</v>
      </c>
      <c r="L1058" s="45" t="n">
        <f aca="false">IFERROR(INDEX(medicine_master!$I$2:$I$26,MATCH($C1058,medicine_master!$A$2:$A$26,0)),0)</f>
        <v>48</v>
      </c>
      <c r="M1058" s="45" t="n">
        <f aca="false">IFERROR(INDEX(medicine_master!$G$2:$G$26,MATCH($C1058,medicine_master!$A$2:$A$26,0)),0)</f>
        <v>32</v>
      </c>
      <c r="N1058" s="45" t="n">
        <f aca="false">IF(D1058="Sale",E1058*L1058,0)</f>
        <v>2400</v>
      </c>
      <c r="O1058" s="45" t="n">
        <f aca="false">IF(D1058="Sale",E1058*M1058,0)</f>
        <v>1600</v>
      </c>
      <c r="P1058" s="45" t="n">
        <f aca="false">N1058-O1058</f>
        <v>800</v>
      </c>
      <c r="Q1058" s="45" t="n">
        <f aca="false">IF(D1058="Purchase",E1058*M1058,0)</f>
        <v>0</v>
      </c>
    </row>
    <row r="1059" customFormat="false" ht="15" hidden="false" customHeight="false" outlineLevel="0" collapsed="false">
      <c r="A1059" s="39" t="s">
        <v>1383</v>
      </c>
      <c r="B1059" s="44" t="n">
        <v>46240</v>
      </c>
      <c r="C1059" s="39" t="s">
        <v>390</v>
      </c>
      <c r="D1059" s="39" t="s">
        <v>137</v>
      </c>
      <c r="E1059" s="39" t="n">
        <v>30</v>
      </c>
      <c r="F1059" s="39" t="str">
        <f aca="false">IF(COUNTIF(medicine_master!$A$2:$A$26,C1059)&gt;0,"Valid","Invalid")</f>
        <v>Valid</v>
      </c>
      <c r="G1059" s="39" t="str">
        <f aca="false">IFERROR(INDEX(medicine_master!$B$2:$B$26,MATCH($C1059,medicine_master!$A$2:$A$26,0)),"Not found")</f>
        <v>Montelukast 10mg</v>
      </c>
      <c r="H1059" s="39" t="str">
        <f aca="false">IFERROR(INDEX(medicine_master!$C$2:$C$26,MATCH($C1059,medicine_master!$A$2:$A$26,0)),"Not found")</f>
        <v>Allergy</v>
      </c>
      <c r="I1059" s="39" t="n">
        <f aca="false">YEAR(B1059)</f>
        <v>2026</v>
      </c>
      <c r="J1059" s="39" t="n">
        <f aca="false">MONTH(B1059)</f>
        <v>8</v>
      </c>
      <c r="K1059" s="39" t="str">
        <f aca="false">TEXT(B1059,"mmm")</f>
        <v>Aug</v>
      </c>
      <c r="L1059" s="45" t="n">
        <f aca="false">IFERROR(INDEX(medicine_master!$I$2:$I$26,MATCH($C1059,medicine_master!$A$2:$A$26,0)),0)</f>
        <v>39</v>
      </c>
      <c r="M1059" s="45" t="n">
        <f aca="false">IFERROR(INDEX(medicine_master!$G$2:$G$26,MATCH($C1059,medicine_master!$A$2:$A$26,0)),0)</f>
        <v>27</v>
      </c>
      <c r="N1059" s="45" t="n">
        <f aca="false">IF(D1059="Sale",E1059*L1059,0)</f>
        <v>1170</v>
      </c>
      <c r="O1059" s="45" t="n">
        <f aca="false">IF(D1059="Sale",E1059*M1059,0)</f>
        <v>810</v>
      </c>
      <c r="P1059" s="45" t="n">
        <f aca="false">N1059-O1059</f>
        <v>360</v>
      </c>
      <c r="Q1059" s="45" t="n">
        <f aca="false">IF(D1059="Purchase",E1059*M1059,0)</f>
        <v>0</v>
      </c>
    </row>
    <row r="1060" customFormat="false" ht="15" hidden="false" customHeight="false" outlineLevel="0" collapsed="false">
      <c r="A1060" s="39" t="s">
        <v>1384</v>
      </c>
      <c r="B1060" s="44" t="n">
        <v>46354</v>
      </c>
      <c r="C1060" s="39" t="s">
        <v>144</v>
      </c>
      <c r="D1060" s="39" t="s">
        <v>137</v>
      </c>
      <c r="E1060" s="39" t="n">
        <v>25</v>
      </c>
      <c r="F1060" s="39" t="str">
        <f aca="false">IF(COUNTIF(medicine_master!$A$2:$A$26,C1060)&gt;0,"Valid","Invalid")</f>
        <v>Valid</v>
      </c>
      <c r="G1060" s="39" t="str">
        <f aca="false">IFERROR(INDEX(medicine_master!$B$2:$B$26,MATCH($C1060,medicine_master!$A$2:$A$26,0)),"Not found")</f>
        <v>Glimepiride 2mg</v>
      </c>
      <c r="H1060" s="39" t="str">
        <f aca="false">IFERROR(INDEX(medicine_master!$C$2:$C$26,MATCH($C1060,medicine_master!$A$2:$A$26,0)),"Not found")</f>
        <v>Diabetes</v>
      </c>
      <c r="I1060" s="39" t="n">
        <f aca="false">YEAR(B1060)</f>
        <v>2026</v>
      </c>
      <c r="J1060" s="39" t="n">
        <f aca="false">MONTH(B1060)</f>
        <v>11</v>
      </c>
      <c r="K1060" s="39" t="str">
        <f aca="false">TEXT(B1060,"mmm")</f>
        <v>Nov</v>
      </c>
      <c r="L1060" s="45" t="n">
        <f aca="false">IFERROR(INDEX(medicine_master!$I$2:$I$26,MATCH($C1060,medicine_master!$A$2:$A$26,0)),0)</f>
        <v>52</v>
      </c>
      <c r="M1060" s="45" t="n">
        <f aca="false">IFERROR(INDEX(medicine_master!$G$2:$G$26,MATCH($C1060,medicine_master!$A$2:$A$26,0)),0)</f>
        <v>38</v>
      </c>
      <c r="N1060" s="45" t="n">
        <f aca="false">IF(D1060="Sale",E1060*L1060,0)</f>
        <v>1300</v>
      </c>
      <c r="O1060" s="45" t="n">
        <f aca="false">IF(D1060="Sale",E1060*M1060,0)</f>
        <v>950</v>
      </c>
      <c r="P1060" s="45" t="n">
        <f aca="false">N1060-O1060</f>
        <v>350</v>
      </c>
      <c r="Q1060" s="45" t="n">
        <f aca="false">IF(D1060="Purchase",E1060*M1060,0)</f>
        <v>0</v>
      </c>
    </row>
    <row r="1061" customFormat="false" ht="15" hidden="false" customHeight="false" outlineLevel="0" collapsed="false">
      <c r="A1061" s="39" t="s">
        <v>1385</v>
      </c>
      <c r="B1061" s="44" t="n">
        <v>46271</v>
      </c>
      <c r="C1061" s="39" t="s">
        <v>151</v>
      </c>
      <c r="D1061" s="39" t="s">
        <v>137</v>
      </c>
      <c r="E1061" s="39" t="n">
        <v>10</v>
      </c>
      <c r="F1061" s="39" t="str">
        <f aca="false">IF(COUNTIF(medicine_master!$A$2:$A$26,C1061)&gt;0,"Valid","Invalid")</f>
        <v>Valid</v>
      </c>
      <c r="G1061" s="39" t="str">
        <f aca="false">IFERROR(INDEX(medicine_master!$B$2:$B$26,MATCH($C1061,medicine_master!$A$2:$A$26,0)),"Not found")</f>
        <v>Cetirizine 10mg</v>
      </c>
      <c r="H1061" s="39" t="str">
        <f aca="false">IFERROR(INDEX(medicine_master!$C$2:$C$26,MATCH($C1061,medicine_master!$A$2:$A$26,0)),"Not found")</f>
        <v>Allergy</v>
      </c>
      <c r="I1061" s="39" t="n">
        <f aca="false">YEAR(B1061)</f>
        <v>2026</v>
      </c>
      <c r="J1061" s="39" t="n">
        <f aca="false">MONTH(B1061)</f>
        <v>9</v>
      </c>
      <c r="K1061" s="39" t="str">
        <f aca="false">TEXT(B1061,"mmm")</f>
        <v>Sep</v>
      </c>
      <c r="L1061" s="45" t="n">
        <f aca="false">IFERROR(INDEX(medicine_master!$I$2:$I$26,MATCH($C1061,medicine_master!$A$2:$A$26,0)),0)</f>
        <v>13</v>
      </c>
      <c r="M1061" s="45" t="n">
        <f aca="false">IFERROR(INDEX(medicine_master!$G$2:$G$26,MATCH($C1061,medicine_master!$A$2:$A$26,0)),0)</f>
        <v>8</v>
      </c>
      <c r="N1061" s="45" t="n">
        <f aca="false">IF(D1061="Sale",E1061*L1061,0)</f>
        <v>130</v>
      </c>
      <c r="O1061" s="45" t="n">
        <f aca="false">IF(D1061="Sale",E1061*M1061,0)</f>
        <v>80</v>
      </c>
      <c r="P1061" s="45" t="n">
        <f aca="false">N1061-O1061</f>
        <v>50</v>
      </c>
      <c r="Q1061" s="45" t="n">
        <f aca="false">IF(D1061="Purchase",E1061*M1061,0)</f>
        <v>0</v>
      </c>
    </row>
    <row r="1062" customFormat="false" ht="15" hidden="false" customHeight="false" outlineLevel="0" collapsed="false">
      <c r="A1062" s="39" t="s">
        <v>1386</v>
      </c>
      <c r="B1062" s="44" t="n">
        <v>46317</v>
      </c>
      <c r="C1062" s="39" t="s">
        <v>149</v>
      </c>
      <c r="D1062" s="39" t="s">
        <v>137</v>
      </c>
      <c r="E1062" s="39" t="n">
        <v>20</v>
      </c>
      <c r="F1062" s="39" t="str">
        <f aca="false">IF(COUNTIF(medicine_master!$A$2:$A$26,C1062)&gt;0,"Valid","Invalid")</f>
        <v>Valid</v>
      </c>
      <c r="G1062" s="39" t="str">
        <f aca="false">IFERROR(INDEX(medicine_master!$B$2:$B$26,MATCH($C1062,medicine_master!$A$2:$A$26,0)),"Not found")</f>
        <v>Azithromycin 500mg</v>
      </c>
      <c r="H1062" s="39" t="str">
        <f aca="false">IFERROR(INDEX(medicine_master!$C$2:$C$26,MATCH($C1062,medicine_master!$A$2:$A$26,0)),"Not found")</f>
        <v>Antibiotic</v>
      </c>
      <c r="I1062" s="39" t="n">
        <f aca="false">YEAR(B1062)</f>
        <v>2026</v>
      </c>
      <c r="J1062" s="39" t="n">
        <f aca="false">MONTH(B1062)</f>
        <v>10</v>
      </c>
      <c r="K1062" s="39" t="str">
        <f aca="false">TEXT(B1062,"mmm")</f>
        <v>Oct</v>
      </c>
      <c r="L1062" s="45" t="n">
        <f aca="false">IFERROR(INDEX(medicine_master!$I$2:$I$26,MATCH($C1062,medicine_master!$A$2:$A$26,0)),0)</f>
        <v>50</v>
      </c>
      <c r="M1062" s="45" t="n">
        <f aca="false">IFERROR(INDEX(medicine_master!$G$2:$G$26,MATCH($C1062,medicine_master!$A$2:$A$26,0)),0)</f>
        <v>35</v>
      </c>
      <c r="N1062" s="45" t="n">
        <f aca="false">IF(D1062="Sale",E1062*L1062,0)</f>
        <v>1000</v>
      </c>
      <c r="O1062" s="45" t="n">
        <f aca="false">IF(D1062="Sale",E1062*M1062,0)</f>
        <v>700</v>
      </c>
      <c r="P1062" s="45" t="n">
        <f aca="false">N1062-O1062</f>
        <v>300</v>
      </c>
      <c r="Q1062" s="45" t="n">
        <f aca="false">IF(D1062="Purchase",E1062*M1062,0)</f>
        <v>0</v>
      </c>
    </row>
    <row r="1063" customFormat="false" ht="15" hidden="false" customHeight="false" outlineLevel="0" collapsed="false">
      <c r="A1063" s="39" t="s">
        <v>1387</v>
      </c>
      <c r="B1063" s="44" t="n">
        <v>46387</v>
      </c>
      <c r="C1063" s="39" t="s">
        <v>145</v>
      </c>
      <c r="D1063" s="39" t="s">
        <v>137</v>
      </c>
      <c r="E1063" s="39" t="n">
        <v>20</v>
      </c>
      <c r="F1063" s="39" t="str">
        <f aca="false">IF(COUNTIF(medicine_master!$A$2:$A$26,C1063)&gt;0,"Valid","Invalid")</f>
        <v>Valid</v>
      </c>
      <c r="G1063" s="39" t="str">
        <f aca="false">IFERROR(INDEX(medicine_master!$B$2:$B$26,MATCH($C1063,medicine_master!$A$2:$A$26,0)),"Not found")</f>
        <v>Clotrimazole Cream</v>
      </c>
      <c r="H1063" s="39" t="str">
        <f aca="false">IFERROR(INDEX(medicine_master!$C$2:$C$26,MATCH($C1063,medicine_master!$A$2:$A$26,0)),"Not found")</f>
        <v>Dermatology</v>
      </c>
      <c r="I1063" s="39" t="n">
        <f aca="false">YEAR(B1063)</f>
        <v>2026</v>
      </c>
      <c r="J1063" s="39" t="n">
        <f aca="false">MONTH(B1063)</f>
        <v>12</v>
      </c>
      <c r="K1063" s="39" t="str">
        <f aca="false">TEXT(B1063,"mmm")</f>
        <v>Dec</v>
      </c>
      <c r="L1063" s="45" t="n">
        <f aca="false">IFERROR(INDEX(medicine_master!$I$2:$I$26,MATCH($C1063,medicine_master!$A$2:$A$26,0)),0)</f>
        <v>48</v>
      </c>
      <c r="M1063" s="45" t="n">
        <f aca="false">IFERROR(INDEX(medicine_master!$G$2:$G$26,MATCH($C1063,medicine_master!$A$2:$A$26,0)),0)</f>
        <v>32</v>
      </c>
      <c r="N1063" s="45" t="n">
        <f aca="false">IF(D1063="Sale",E1063*L1063,0)</f>
        <v>960</v>
      </c>
      <c r="O1063" s="45" t="n">
        <f aca="false">IF(D1063="Sale",E1063*M1063,0)</f>
        <v>640</v>
      </c>
      <c r="P1063" s="45" t="n">
        <f aca="false">N1063-O1063</f>
        <v>320</v>
      </c>
      <c r="Q1063" s="45" t="n">
        <f aca="false">IF(D1063="Purchase",E1063*M1063,0)</f>
        <v>0</v>
      </c>
    </row>
    <row r="1064" customFormat="false" ht="15" hidden="false" customHeight="false" outlineLevel="0" collapsed="false">
      <c r="A1064" s="39" t="s">
        <v>1388</v>
      </c>
      <c r="B1064" s="44" t="n">
        <v>46099</v>
      </c>
      <c r="C1064" s="39" t="s">
        <v>178</v>
      </c>
      <c r="D1064" s="39" t="s">
        <v>137</v>
      </c>
      <c r="E1064" s="39" t="n">
        <v>40</v>
      </c>
      <c r="F1064" s="39" t="str">
        <f aca="false">IF(COUNTIF(medicine_master!$A$2:$A$26,C1064)&gt;0,"Valid","Invalid")</f>
        <v>Valid</v>
      </c>
      <c r="G1064" s="39" t="str">
        <f aca="false">IFERROR(INDEX(medicine_master!$B$2:$B$26,MATCH($C1064,medicine_master!$A$2:$A$26,0)),"Not found")</f>
        <v>Aspirin 75mg</v>
      </c>
      <c r="H1064" s="39" t="str">
        <f aca="false">IFERROR(INDEX(medicine_master!$C$2:$C$26,MATCH($C1064,medicine_master!$A$2:$A$26,0)),"Not found")</f>
        <v>Cardiac</v>
      </c>
      <c r="I1064" s="39" t="n">
        <f aca="false">YEAR(B1064)</f>
        <v>2026</v>
      </c>
      <c r="J1064" s="39" t="n">
        <f aca="false">MONTH(B1064)</f>
        <v>3</v>
      </c>
      <c r="K1064" s="39" t="str">
        <f aca="false">TEXT(B1064,"mmm")</f>
        <v>Mar</v>
      </c>
      <c r="L1064" s="45" t="n">
        <f aca="false">IFERROR(INDEX(medicine_master!$I$2:$I$26,MATCH($C1064,medicine_master!$A$2:$A$26,0)),0)</f>
        <v>15</v>
      </c>
      <c r="M1064" s="45" t="n">
        <f aca="false">IFERROR(INDEX(medicine_master!$G$2:$G$26,MATCH($C1064,medicine_master!$A$2:$A$26,0)),0)</f>
        <v>10</v>
      </c>
      <c r="N1064" s="45" t="n">
        <f aca="false">IF(D1064="Sale",E1064*L1064,0)</f>
        <v>600</v>
      </c>
      <c r="O1064" s="45" t="n">
        <f aca="false">IF(D1064="Sale",E1064*M1064,0)</f>
        <v>400</v>
      </c>
      <c r="P1064" s="45" t="n">
        <f aca="false">N1064-O1064</f>
        <v>200</v>
      </c>
      <c r="Q1064" s="45" t="n">
        <f aca="false">IF(D1064="Purchase",E1064*M1064,0)</f>
        <v>0</v>
      </c>
    </row>
    <row r="1065" customFormat="false" ht="15" hidden="false" customHeight="false" outlineLevel="0" collapsed="false">
      <c r="A1065" s="39" t="s">
        <v>1389</v>
      </c>
      <c r="B1065" s="44" t="n">
        <v>46332</v>
      </c>
      <c r="C1065" s="39" t="s">
        <v>149</v>
      </c>
      <c r="D1065" s="39" t="s">
        <v>137</v>
      </c>
      <c r="E1065" s="39" t="n">
        <v>40</v>
      </c>
      <c r="F1065" s="39" t="str">
        <f aca="false">IF(COUNTIF(medicine_master!$A$2:$A$26,C1065)&gt;0,"Valid","Invalid")</f>
        <v>Valid</v>
      </c>
      <c r="G1065" s="39" t="str">
        <f aca="false">IFERROR(INDEX(medicine_master!$B$2:$B$26,MATCH($C1065,medicine_master!$A$2:$A$26,0)),"Not found")</f>
        <v>Azithromycin 500mg</v>
      </c>
      <c r="H1065" s="39" t="str">
        <f aca="false">IFERROR(INDEX(medicine_master!$C$2:$C$26,MATCH($C1065,medicine_master!$A$2:$A$26,0)),"Not found")</f>
        <v>Antibiotic</v>
      </c>
      <c r="I1065" s="39" t="n">
        <f aca="false">YEAR(B1065)</f>
        <v>2026</v>
      </c>
      <c r="J1065" s="39" t="n">
        <f aca="false">MONTH(B1065)</f>
        <v>11</v>
      </c>
      <c r="K1065" s="39" t="str">
        <f aca="false">TEXT(B1065,"mmm")</f>
        <v>Nov</v>
      </c>
      <c r="L1065" s="45" t="n">
        <f aca="false">IFERROR(INDEX(medicine_master!$I$2:$I$26,MATCH($C1065,medicine_master!$A$2:$A$26,0)),0)</f>
        <v>50</v>
      </c>
      <c r="M1065" s="45" t="n">
        <f aca="false">IFERROR(INDEX(medicine_master!$G$2:$G$26,MATCH($C1065,medicine_master!$A$2:$A$26,0)),0)</f>
        <v>35</v>
      </c>
      <c r="N1065" s="45" t="n">
        <f aca="false">IF(D1065="Sale",E1065*L1065,0)</f>
        <v>2000</v>
      </c>
      <c r="O1065" s="45" t="n">
        <f aca="false">IF(D1065="Sale",E1065*M1065,0)</f>
        <v>1400</v>
      </c>
      <c r="P1065" s="45" t="n">
        <f aca="false">N1065-O1065</f>
        <v>600</v>
      </c>
      <c r="Q1065" s="45" t="n">
        <f aca="false">IF(D1065="Purchase",E1065*M1065,0)</f>
        <v>0</v>
      </c>
    </row>
    <row r="1066" customFormat="false" ht="15" hidden="false" customHeight="false" outlineLevel="0" collapsed="false">
      <c r="A1066" s="39" t="s">
        <v>1390</v>
      </c>
      <c r="B1066" s="44" t="n">
        <v>46355</v>
      </c>
      <c r="C1066" s="39" t="s">
        <v>158</v>
      </c>
      <c r="D1066" s="39" t="s">
        <v>138</v>
      </c>
      <c r="E1066" s="39" t="n">
        <v>40</v>
      </c>
      <c r="F1066" s="39" t="str">
        <f aca="false">IF(COUNTIF(medicine_master!$A$2:$A$26,C1066)&gt;0,"Valid","Invalid")</f>
        <v>Valid</v>
      </c>
      <c r="G1066" s="39" t="str">
        <f aca="false">IFERROR(INDEX(medicine_master!$B$2:$B$26,MATCH($C1066,medicine_master!$A$2:$A$26,0)),"Not found")</f>
        <v>Cough Syrup 100ml</v>
      </c>
      <c r="H1066" s="39" t="str">
        <f aca="false">IFERROR(INDEX(medicine_master!$C$2:$C$26,MATCH($C1066,medicine_master!$A$2:$A$26,0)),"Not found")</f>
        <v>Cold &amp; Cough</v>
      </c>
      <c r="I1066" s="39" t="n">
        <f aca="false">YEAR(B1066)</f>
        <v>2026</v>
      </c>
      <c r="J1066" s="39" t="n">
        <f aca="false">MONTH(B1066)</f>
        <v>11</v>
      </c>
      <c r="K1066" s="39" t="str">
        <f aca="false">TEXT(B1066,"mmm")</f>
        <v>Nov</v>
      </c>
      <c r="L1066" s="45" t="n">
        <f aca="false">IFERROR(INDEX(medicine_master!$I$2:$I$26,MATCH($C1066,medicine_master!$A$2:$A$26,0)),0)</f>
        <v>72</v>
      </c>
      <c r="M1066" s="45" t="n">
        <f aca="false">IFERROR(INDEX(medicine_master!$G$2:$G$26,MATCH($C1066,medicine_master!$A$2:$A$26,0)),0)</f>
        <v>52</v>
      </c>
      <c r="N1066" s="45" t="n">
        <f aca="false">IF(D1066="Sale",E1066*L1066,0)</f>
        <v>0</v>
      </c>
      <c r="O1066" s="45" t="n">
        <f aca="false">IF(D1066="Sale",E1066*M1066,0)</f>
        <v>0</v>
      </c>
      <c r="P1066" s="45" t="n">
        <f aca="false">N1066-O1066</f>
        <v>0</v>
      </c>
      <c r="Q1066" s="45" t="n">
        <f aca="false">IF(D1066="Purchase",E1066*M1066,0)</f>
        <v>2080</v>
      </c>
    </row>
    <row r="1067" customFormat="false" ht="15" hidden="false" customHeight="false" outlineLevel="0" collapsed="false">
      <c r="A1067" s="39" t="s">
        <v>1391</v>
      </c>
      <c r="B1067" s="44" t="n">
        <v>46075</v>
      </c>
      <c r="C1067" s="39" t="s">
        <v>151</v>
      </c>
      <c r="D1067" s="39" t="s">
        <v>138</v>
      </c>
      <c r="E1067" s="39" t="n">
        <v>10</v>
      </c>
      <c r="F1067" s="39" t="str">
        <f aca="false">IF(COUNTIF(medicine_master!$A$2:$A$26,C1067)&gt;0,"Valid","Invalid")</f>
        <v>Valid</v>
      </c>
      <c r="G1067" s="39" t="str">
        <f aca="false">IFERROR(INDEX(medicine_master!$B$2:$B$26,MATCH($C1067,medicine_master!$A$2:$A$26,0)),"Not found")</f>
        <v>Cetirizine 10mg</v>
      </c>
      <c r="H1067" s="39" t="str">
        <f aca="false">IFERROR(INDEX(medicine_master!$C$2:$C$26,MATCH($C1067,medicine_master!$A$2:$A$26,0)),"Not found")</f>
        <v>Allergy</v>
      </c>
      <c r="I1067" s="39" t="n">
        <f aca="false">YEAR(B1067)</f>
        <v>2026</v>
      </c>
      <c r="J1067" s="39" t="n">
        <f aca="false">MONTH(B1067)</f>
        <v>2</v>
      </c>
      <c r="K1067" s="39" t="str">
        <f aca="false">TEXT(B1067,"mmm")</f>
        <v>Feb</v>
      </c>
      <c r="L1067" s="45" t="n">
        <f aca="false">IFERROR(INDEX(medicine_master!$I$2:$I$26,MATCH($C1067,medicine_master!$A$2:$A$26,0)),0)</f>
        <v>13</v>
      </c>
      <c r="M1067" s="45" t="n">
        <f aca="false">IFERROR(INDEX(medicine_master!$G$2:$G$26,MATCH($C1067,medicine_master!$A$2:$A$26,0)),0)</f>
        <v>8</v>
      </c>
      <c r="N1067" s="45" t="n">
        <f aca="false">IF(D1067="Sale",E1067*L1067,0)</f>
        <v>0</v>
      </c>
      <c r="O1067" s="45" t="n">
        <f aca="false">IF(D1067="Sale",E1067*M1067,0)</f>
        <v>0</v>
      </c>
      <c r="P1067" s="45" t="n">
        <f aca="false">N1067-O1067</f>
        <v>0</v>
      </c>
      <c r="Q1067" s="45" t="n">
        <f aca="false">IF(D1067="Purchase",E1067*M1067,0)</f>
        <v>80</v>
      </c>
    </row>
    <row r="1068" customFormat="false" ht="15" hidden="false" customHeight="false" outlineLevel="0" collapsed="false">
      <c r="A1068" s="39" t="s">
        <v>1392</v>
      </c>
      <c r="B1068" s="44" t="n">
        <v>46248</v>
      </c>
      <c r="C1068" s="39" t="s">
        <v>177</v>
      </c>
      <c r="D1068" s="39" t="s">
        <v>138</v>
      </c>
      <c r="E1068" s="39" t="n">
        <v>40</v>
      </c>
      <c r="F1068" s="39" t="str">
        <f aca="false">IF(COUNTIF(medicine_master!$A$2:$A$26,C1068)&gt;0,"Valid","Invalid")</f>
        <v>Valid</v>
      </c>
      <c r="G1068" s="39" t="str">
        <f aca="false">IFERROR(INDEX(medicine_master!$B$2:$B$26,MATCH($C1068,medicine_master!$A$2:$A$26,0)),"Not found")</f>
        <v>Bandage Roll</v>
      </c>
      <c r="H1068" s="39" t="str">
        <f aca="false">IFERROR(INDEX(medicine_master!$C$2:$C$26,MATCH($C1068,medicine_master!$A$2:$A$26,0)),"Not found")</f>
        <v>First Aid</v>
      </c>
      <c r="I1068" s="39" t="n">
        <f aca="false">YEAR(B1068)</f>
        <v>2026</v>
      </c>
      <c r="J1068" s="39" t="n">
        <f aca="false">MONTH(B1068)</f>
        <v>8</v>
      </c>
      <c r="K1068" s="39" t="str">
        <f aca="false">TEXT(B1068,"mmm")</f>
        <v>Aug</v>
      </c>
      <c r="L1068" s="45" t="n">
        <f aca="false">IFERROR(INDEX(medicine_master!$I$2:$I$26,MATCH($C1068,medicine_master!$A$2:$A$26,0)),0)</f>
        <v>25</v>
      </c>
      <c r="M1068" s="45" t="n">
        <f aca="false">IFERROR(INDEX(medicine_master!$G$2:$G$26,MATCH($C1068,medicine_master!$A$2:$A$26,0)),0)</f>
        <v>15</v>
      </c>
      <c r="N1068" s="45" t="n">
        <f aca="false">IF(D1068="Sale",E1068*L1068,0)</f>
        <v>0</v>
      </c>
      <c r="O1068" s="45" t="n">
        <f aca="false">IF(D1068="Sale",E1068*M1068,0)</f>
        <v>0</v>
      </c>
      <c r="P1068" s="45" t="n">
        <f aca="false">N1068-O1068</f>
        <v>0</v>
      </c>
      <c r="Q1068" s="45" t="n">
        <f aca="false">IF(D1068="Purchase",E1068*M1068,0)</f>
        <v>600</v>
      </c>
    </row>
    <row r="1069" customFormat="false" ht="15" hidden="false" customHeight="false" outlineLevel="0" collapsed="false">
      <c r="A1069" s="39" t="s">
        <v>1393</v>
      </c>
      <c r="B1069" s="44" t="n">
        <v>46222</v>
      </c>
      <c r="C1069" s="39" t="s">
        <v>148</v>
      </c>
      <c r="D1069" s="39" t="s">
        <v>137</v>
      </c>
      <c r="E1069" s="39" t="n">
        <v>10</v>
      </c>
      <c r="F1069" s="39" t="str">
        <f aca="false">IF(COUNTIF(medicine_master!$A$2:$A$26,C1069)&gt;0,"Valid","Invalid")</f>
        <v>Valid</v>
      </c>
      <c r="G1069" s="39" t="str">
        <f aca="false">IFERROR(INDEX(medicine_master!$B$2:$B$26,MATCH($C1069,medicine_master!$A$2:$A$26,0)),"Not found")</f>
        <v>Dextromethorphan Syrup</v>
      </c>
      <c r="H1069" s="39" t="str">
        <f aca="false">IFERROR(INDEX(medicine_master!$C$2:$C$26,MATCH($C1069,medicine_master!$A$2:$A$26,0)),"Not found")</f>
        <v>Cold &amp; Cough</v>
      </c>
      <c r="I1069" s="39" t="n">
        <f aca="false">YEAR(B1069)</f>
        <v>2026</v>
      </c>
      <c r="J1069" s="39" t="n">
        <f aca="false">MONTH(B1069)</f>
        <v>7</v>
      </c>
      <c r="K1069" s="39" t="str">
        <f aca="false">TEXT(B1069,"mmm")</f>
        <v>Jul</v>
      </c>
      <c r="L1069" s="45" t="n">
        <f aca="false">IFERROR(INDEX(medicine_master!$I$2:$I$26,MATCH($C1069,medicine_master!$A$2:$A$26,0)),0)</f>
        <v>80</v>
      </c>
      <c r="M1069" s="45" t="n">
        <f aca="false">IFERROR(INDEX(medicine_master!$G$2:$G$26,MATCH($C1069,medicine_master!$A$2:$A$26,0)),0)</f>
        <v>58</v>
      </c>
      <c r="N1069" s="45" t="n">
        <f aca="false">IF(D1069="Sale",E1069*L1069,0)</f>
        <v>800</v>
      </c>
      <c r="O1069" s="45" t="n">
        <f aca="false">IF(D1069="Sale",E1069*M1069,0)</f>
        <v>580</v>
      </c>
      <c r="P1069" s="45" t="n">
        <f aca="false">N1069-O1069</f>
        <v>220</v>
      </c>
      <c r="Q1069" s="45" t="n">
        <f aca="false">IF(D1069="Purchase",E1069*M1069,0)</f>
        <v>0</v>
      </c>
    </row>
    <row r="1070" customFormat="false" ht="15" hidden="false" customHeight="false" outlineLevel="0" collapsed="false">
      <c r="A1070" s="39" t="s">
        <v>1394</v>
      </c>
      <c r="B1070" s="44" t="n">
        <v>46228</v>
      </c>
      <c r="C1070" s="39" t="s">
        <v>151</v>
      </c>
      <c r="D1070" s="39" t="s">
        <v>137</v>
      </c>
      <c r="E1070" s="39" t="n">
        <v>40</v>
      </c>
      <c r="F1070" s="39" t="str">
        <f aca="false">IF(COUNTIF(medicine_master!$A$2:$A$26,C1070)&gt;0,"Valid","Invalid")</f>
        <v>Valid</v>
      </c>
      <c r="G1070" s="39" t="str">
        <f aca="false">IFERROR(INDEX(medicine_master!$B$2:$B$26,MATCH($C1070,medicine_master!$A$2:$A$26,0)),"Not found")</f>
        <v>Cetirizine 10mg</v>
      </c>
      <c r="H1070" s="39" t="str">
        <f aca="false">IFERROR(INDEX(medicine_master!$C$2:$C$26,MATCH($C1070,medicine_master!$A$2:$A$26,0)),"Not found")</f>
        <v>Allergy</v>
      </c>
      <c r="I1070" s="39" t="n">
        <f aca="false">YEAR(B1070)</f>
        <v>2026</v>
      </c>
      <c r="J1070" s="39" t="n">
        <f aca="false">MONTH(B1070)</f>
        <v>7</v>
      </c>
      <c r="K1070" s="39" t="str">
        <f aca="false">TEXT(B1070,"mmm")</f>
        <v>Jul</v>
      </c>
      <c r="L1070" s="45" t="n">
        <f aca="false">IFERROR(INDEX(medicine_master!$I$2:$I$26,MATCH($C1070,medicine_master!$A$2:$A$26,0)),0)</f>
        <v>13</v>
      </c>
      <c r="M1070" s="45" t="n">
        <f aca="false">IFERROR(INDEX(medicine_master!$G$2:$G$26,MATCH($C1070,medicine_master!$A$2:$A$26,0)),0)</f>
        <v>8</v>
      </c>
      <c r="N1070" s="45" t="n">
        <f aca="false">IF(D1070="Sale",E1070*L1070,0)</f>
        <v>520</v>
      </c>
      <c r="O1070" s="45" t="n">
        <f aca="false">IF(D1070="Sale",E1070*M1070,0)</f>
        <v>320</v>
      </c>
      <c r="P1070" s="45" t="n">
        <f aca="false">N1070-O1070</f>
        <v>200</v>
      </c>
      <c r="Q1070" s="45" t="n">
        <f aca="false">IF(D1070="Purchase",E1070*M1070,0)</f>
        <v>0</v>
      </c>
    </row>
    <row r="1071" customFormat="false" ht="15" hidden="false" customHeight="false" outlineLevel="0" collapsed="false">
      <c r="A1071" s="39" t="s">
        <v>1395</v>
      </c>
      <c r="B1071" s="44" t="n">
        <v>46098</v>
      </c>
      <c r="C1071" s="39" t="s">
        <v>145</v>
      </c>
      <c r="D1071" s="39" t="s">
        <v>137</v>
      </c>
      <c r="E1071" s="39" t="n">
        <v>25</v>
      </c>
      <c r="F1071" s="39" t="str">
        <f aca="false">IF(COUNTIF(medicine_master!$A$2:$A$26,C1071)&gt;0,"Valid","Invalid")</f>
        <v>Valid</v>
      </c>
      <c r="G1071" s="39" t="str">
        <f aca="false">IFERROR(INDEX(medicine_master!$B$2:$B$26,MATCH($C1071,medicine_master!$A$2:$A$26,0)),"Not found")</f>
        <v>Clotrimazole Cream</v>
      </c>
      <c r="H1071" s="39" t="str">
        <f aca="false">IFERROR(INDEX(medicine_master!$C$2:$C$26,MATCH($C1071,medicine_master!$A$2:$A$26,0)),"Not found")</f>
        <v>Dermatology</v>
      </c>
      <c r="I1071" s="39" t="n">
        <f aca="false">YEAR(B1071)</f>
        <v>2026</v>
      </c>
      <c r="J1071" s="39" t="n">
        <f aca="false">MONTH(B1071)</f>
        <v>3</v>
      </c>
      <c r="K1071" s="39" t="str">
        <f aca="false">TEXT(B1071,"mmm")</f>
        <v>Mar</v>
      </c>
      <c r="L1071" s="45" t="n">
        <f aca="false">IFERROR(INDEX(medicine_master!$I$2:$I$26,MATCH($C1071,medicine_master!$A$2:$A$26,0)),0)</f>
        <v>48</v>
      </c>
      <c r="M1071" s="45" t="n">
        <f aca="false">IFERROR(INDEX(medicine_master!$G$2:$G$26,MATCH($C1071,medicine_master!$A$2:$A$26,0)),0)</f>
        <v>32</v>
      </c>
      <c r="N1071" s="45" t="n">
        <f aca="false">IF(D1071="Sale",E1071*L1071,0)</f>
        <v>1200</v>
      </c>
      <c r="O1071" s="45" t="n">
        <f aca="false">IF(D1071="Sale",E1071*M1071,0)</f>
        <v>800</v>
      </c>
      <c r="P1071" s="45" t="n">
        <f aca="false">N1071-O1071</f>
        <v>400</v>
      </c>
      <c r="Q1071" s="45" t="n">
        <f aca="false">IF(D1071="Purchase",E1071*M1071,0)</f>
        <v>0</v>
      </c>
    </row>
    <row r="1072" customFormat="false" ht="15" hidden="false" customHeight="false" outlineLevel="0" collapsed="false">
      <c r="A1072" s="39" t="s">
        <v>1396</v>
      </c>
      <c r="B1072" s="44" t="n">
        <v>46347</v>
      </c>
      <c r="C1072" s="39" t="s">
        <v>146</v>
      </c>
      <c r="D1072" s="39" t="s">
        <v>137</v>
      </c>
      <c r="E1072" s="39" t="n">
        <v>15</v>
      </c>
      <c r="F1072" s="39" t="str">
        <f aca="false">IF(COUNTIF(medicine_master!$A$2:$A$26,C1072)&gt;0,"Valid","Invalid")</f>
        <v>Valid</v>
      </c>
      <c r="G1072" s="39" t="str">
        <f aca="false">IFERROR(INDEX(medicine_master!$B$2:$B$26,MATCH($C1072,medicine_master!$A$2:$A$26,0)),"Not found")</f>
        <v>Diclofenac Gel</v>
      </c>
      <c r="H1072" s="39" t="str">
        <f aca="false">IFERROR(INDEX(medicine_master!$C$2:$C$26,MATCH($C1072,medicine_master!$A$2:$A$26,0)),"Not found")</f>
        <v>Pain Relief</v>
      </c>
      <c r="I1072" s="39" t="n">
        <f aca="false">YEAR(B1072)</f>
        <v>2026</v>
      </c>
      <c r="J1072" s="39" t="n">
        <f aca="false">MONTH(B1072)</f>
        <v>11</v>
      </c>
      <c r="K1072" s="39" t="str">
        <f aca="false">TEXT(B1072,"mmm")</f>
        <v>Nov</v>
      </c>
      <c r="L1072" s="45" t="n">
        <f aca="false">IFERROR(INDEX(medicine_master!$I$2:$I$26,MATCH($C1072,medicine_master!$A$2:$A$26,0)),0)</f>
        <v>55</v>
      </c>
      <c r="M1072" s="45" t="n">
        <f aca="false">IFERROR(INDEX(medicine_master!$G$2:$G$26,MATCH($C1072,medicine_master!$A$2:$A$26,0)),0)</f>
        <v>38</v>
      </c>
      <c r="N1072" s="45" t="n">
        <f aca="false">IF(D1072="Sale",E1072*L1072,0)</f>
        <v>825</v>
      </c>
      <c r="O1072" s="45" t="n">
        <f aca="false">IF(D1072="Sale",E1072*M1072,0)</f>
        <v>570</v>
      </c>
      <c r="P1072" s="45" t="n">
        <f aca="false">N1072-O1072</f>
        <v>255</v>
      </c>
      <c r="Q1072" s="45" t="n">
        <f aca="false">IF(D1072="Purchase",E1072*M1072,0)</f>
        <v>0</v>
      </c>
    </row>
    <row r="1073" customFormat="false" ht="15" hidden="false" customHeight="false" outlineLevel="0" collapsed="false">
      <c r="A1073" s="39" t="s">
        <v>1397</v>
      </c>
      <c r="B1073" s="44" t="n">
        <v>46276</v>
      </c>
      <c r="C1073" s="39" t="s">
        <v>390</v>
      </c>
      <c r="D1073" s="39" t="s">
        <v>137</v>
      </c>
      <c r="E1073" s="39" t="n">
        <v>15</v>
      </c>
      <c r="F1073" s="39" t="str">
        <f aca="false">IF(COUNTIF(medicine_master!$A$2:$A$26,C1073)&gt;0,"Valid","Invalid")</f>
        <v>Valid</v>
      </c>
      <c r="G1073" s="39" t="str">
        <f aca="false">IFERROR(INDEX(medicine_master!$B$2:$B$26,MATCH($C1073,medicine_master!$A$2:$A$26,0)),"Not found")</f>
        <v>Montelukast 10mg</v>
      </c>
      <c r="H1073" s="39" t="str">
        <f aca="false">IFERROR(INDEX(medicine_master!$C$2:$C$26,MATCH($C1073,medicine_master!$A$2:$A$26,0)),"Not found")</f>
        <v>Allergy</v>
      </c>
      <c r="I1073" s="39" t="n">
        <f aca="false">YEAR(B1073)</f>
        <v>2026</v>
      </c>
      <c r="J1073" s="39" t="n">
        <f aca="false">MONTH(B1073)</f>
        <v>9</v>
      </c>
      <c r="K1073" s="39" t="str">
        <f aca="false">TEXT(B1073,"mmm")</f>
        <v>Sep</v>
      </c>
      <c r="L1073" s="45" t="n">
        <f aca="false">IFERROR(INDEX(medicine_master!$I$2:$I$26,MATCH($C1073,medicine_master!$A$2:$A$26,0)),0)</f>
        <v>39</v>
      </c>
      <c r="M1073" s="45" t="n">
        <f aca="false">IFERROR(INDEX(medicine_master!$G$2:$G$26,MATCH($C1073,medicine_master!$A$2:$A$26,0)),0)</f>
        <v>27</v>
      </c>
      <c r="N1073" s="45" t="n">
        <f aca="false">IF(D1073="Sale",E1073*L1073,0)</f>
        <v>585</v>
      </c>
      <c r="O1073" s="45" t="n">
        <f aca="false">IF(D1073="Sale",E1073*M1073,0)</f>
        <v>405</v>
      </c>
      <c r="P1073" s="45" t="n">
        <f aca="false">N1073-O1073</f>
        <v>180</v>
      </c>
      <c r="Q1073" s="45" t="n">
        <f aca="false">IF(D1073="Purchase",E1073*M1073,0)</f>
        <v>0</v>
      </c>
    </row>
    <row r="1074" customFormat="false" ht="15" hidden="false" customHeight="false" outlineLevel="0" collapsed="false">
      <c r="A1074" s="39" t="s">
        <v>1398</v>
      </c>
      <c r="B1074" s="44" t="n">
        <v>46035</v>
      </c>
      <c r="C1074" s="39" t="s">
        <v>167</v>
      </c>
      <c r="D1074" s="39" t="s">
        <v>137</v>
      </c>
      <c r="E1074" s="39" t="n">
        <v>30</v>
      </c>
      <c r="F1074" s="39" t="str">
        <f aca="false">IF(COUNTIF(medicine_master!$A$2:$A$26,C1074)&gt;0,"Valid","Invalid")</f>
        <v>Valid</v>
      </c>
      <c r="G1074" s="39" t="str">
        <f aca="false">IFERROR(INDEX(medicine_master!$B$2:$B$26,MATCH($C1074,medicine_master!$A$2:$A$26,0)),"Not found")</f>
        <v>Amlodipine 5mg</v>
      </c>
      <c r="H1074" s="39" t="str">
        <f aca="false">IFERROR(INDEX(medicine_master!$C$2:$C$26,MATCH($C1074,medicine_master!$A$2:$A$26,0)),"Not found")</f>
        <v>Cardiac</v>
      </c>
      <c r="I1074" s="39" t="n">
        <f aca="false">YEAR(B1074)</f>
        <v>2026</v>
      </c>
      <c r="J1074" s="39" t="n">
        <f aca="false">MONTH(B1074)</f>
        <v>1</v>
      </c>
      <c r="K1074" s="39" t="str">
        <f aca="false">TEXT(B1074,"mmm")</f>
        <v>Jan</v>
      </c>
      <c r="L1074" s="45" t="n">
        <f aca="false">IFERROR(INDEX(medicine_master!$I$2:$I$26,MATCH($C1074,medicine_master!$A$2:$A$26,0)),0)</f>
        <v>19</v>
      </c>
      <c r="M1074" s="45" t="n">
        <f aca="false">IFERROR(INDEX(medicine_master!$G$2:$G$26,MATCH($C1074,medicine_master!$A$2:$A$26,0)),0)</f>
        <v>13</v>
      </c>
      <c r="N1074" s="45" t="n">
        <f aca="false">IF(D1074="Sale",E1074*L1074,0)</f>
        <v>570</v>
      </c>
      <c r="O1074" s="45" t="n">
        <f aca="false">IF(D1074="Sale",E1074*M1074,0)</f>
        <v>390</v>
      </c>
      <c r="P1074" s="45" t="n">
        <f aca="false">N1074-O1074</f>
        <v>180</v>
      </c>
      <c r="Q1074" s="45" t="n">
        <f aca="false">IF(D1074="Purchase",E1074*M1074,0)</f>
        <v>0</v>
      </c>
    </row>
    <row r="1075" customFormat="false" ht="15" hidden="false" customHeight="false" outlineLevel="0" collapsed="false">
      <c r="A1075" s="39" t="s">
        <v>1399</v>
      </c>
      <c r="B1075" s="44" t="n">
        <v>46298</v>
      </c>
      <c r="C1075" s="39" t="s">
        <v>146</v>
      </c>
      <c r="D1075" s="39" t="s">
        <v>137</v>
      </c>
      <c r="E1075" s="39" t="n">
        <v>10</v>
      </c>
      <c r="F1075" s="39" t="str">
        <f aca="false">IF(COUNTIF(medicine_master!$A$2:$A$26,C1075)&gt;0,"Valid","Invalid")</f>
        <v>Valid</v>
      </c>
      <c r="G1075" s="39" t="str">
        <f aca="false">IFERROR(INDEX(medicine_master!$B$2:$B$26,MATCH($C1075,medicine_master!$A$2:$A$26,0)),"Not found")</f>
        <v>Diclofenac Gel</v>
      </c>
      <c r="H1075" s="39" t="str">
        <f aca="false">IFERROR(INDEX(medicine_master!$C$2:$C$26,MATCH($C1075,medicine_master!$A$2:$A$26,0)),"Not found")</f>
        <v>Pain Relief</v>
      </c>
      <c r="I1075" s="39" t="n">
        <f aca="false">YEAR(B1075)</f>
        <v>2026</v>
      </c>
      <c r="J1075" s="39" t="n">
        <f aca="false">MONTH(B1075)</f>
        <v>10</v>
      </c>
      <c r="K1075" s="39" t="str">
        <f aca="false">TEXT(B1075,"mmm")</f>
        <v>Oct</v>
      </c>
      <c r="L1075" s="45" t="n">
        <f aca="false">IFERROR(INDEX(medicine_master!$I$2:$I$26,MATCH($C1075,medicine_master!$A$2:$A$26,0)),0)</f>
        <v>55</v>
      </c>
      <c r="M1075" s="45" t="n">
        <f aca="false">IFERROR(INDEX(medicine_master!$G$2:$G$26,MATCH($C1075,medicine_master!$A$2:$A$26,0)),0)</f>
        <v>38</v>
      </c>
      <c r="N1075" s="45" t="n">
        <f aca="false">IF(D1075="Sale",E1075*L1075,0)</f>
        <v>550</v>
      </c>
      <c r="O1075" s="45" t="n">
        <f aca="false">IF(D1075="Sale",E1075*M1075,0)</f>
        <v>380</v>
      </c>
      <c r="P1075" s="45" t="n">
        <f aca="false">N1075-O1075</f>
        <v>170</v>
      </c>
      <c r="Q1075" s="45" t="n">
        <f aca="false">IF(D1075="Purchase",E1075*M1075,0)</f>
        <v>0</v>
      </c>
    </row>
    <row r="1076" customFormat="false" ht="15" hidden="false" customHeight="false" outlineLevel="0" collapsed="false">
      <c r="A1076" s="39" t="s">
        <v>1400</v>
      </c>
      <c r="B1076" s="44" t="n">
        <v>46295</v>
      </c>
      <c r="C1076" s="39" t="s">
        <v>147</v>
      </c>
      <c r="D1076" s="39" t="s">
        <v>137</v>
      </c>
      <c r="E1076" s="39" t="n">
        <v>40</v>
      </c>
      <c r="F1076" s="39" t="str">
        <f aca="false">IF(COUNTIF(medicine_master!$A$2:$A$26,C1076)&gt;0,"Valid","Invalid")</f>
        <v>Valid</v>
      </c>
      <c r="G1076" s="39" t="str">
        <f aca="false">IFERROR(INDEX(medicine_master!$B$2:$B$26,MATCH($C1076,medicine_master!$A$2:$A$26,0)),"Not found")</f>
        <v>Insulin Injection</v>
      </c>
      <c r="H1076" s="39" t="str">
        <f aca="false">IFERROR(INDEX(medicine_master!$C$2:$C$26,MATCH($C1076,medicine_master!$A$2:$A$26,0)),"Not found")</f>
        <v>Diabetes</v>
      </c>
      <c r="I1076" s="39" t="n">
        <f aca="false">YEAR(B1076)</f>
        <v>2026</v>
      </c>
      <c r="J1076" s="39" t="n">
        <f aca="false">MONTH(B1076)</f>
        <v>9</v>
      </c>
      <c r="K1076" s="39" t="str">
        <f aca="false">TEXT(B1076,"mmm")</f>
        <v>Sep</v>
      </c>
      <c r="L1076" s="45" t="n">
        <f aca="false">IFERROR(INDEX(medicine_master!$I$2:$I$26,MATCH($C1076,medicine_master!$A$2:$A$26,0)),0)</f>
        <v>225</v>
      </c>
      <c r="M1076" s="45" t="n">
        <f aca="false">IFERROR(INDEX(medicine_master!$G$2:$G$26,MATCH($C1076,medicine_master!$A$2:$A$26,0)),0)</f>
        <v>165</v>
      </c>
      <c r="N1076" s="45" t="n">
        <f aca="false">IF(D1076="Sale",E1076*L1076,0)</f>
        <v>9000</v>
      </c>
      <c r="O1076" s="45" t="n">
        <f aca="false">IF(D1076="Sale",E1076*M1076,0)</f>
        <v>6600</v>
      </c>
      <c r="P1076" s="45" t="n">
        <f aca="false">N1076-O1076</f>
        <v>2400</v>
      </c>
      <c r="Q1076" s="45" t="n">
        <f aca="false">IF(D1076="Purchase",E1076*M1076,0)</f>
        <v>0</v>
      </c>
    </row>
    <row r="1077" customFormat="false" ht="15" hidden="false" customHeight="false" outlineLevel="0" collapsed="false">
      <c r="A1077" s="39" t="s">
        <v>1401</v>
      </c>
      <c r="B1077" s="44" t="n">
        <v>46131</v>
      </c>
      <c r="C1077" s="39" t="s">
        <v>148</v>
      </c>
      <c r="D1077" s="39" t="s">
        <v>138</v>
      </c>
      <c r="E1077" s="39" t="n">
        <v>15</v>
      </c>
      <c r="F1077" s="39" t="str">
        <f aca="false">IF(COUNTIF(medicine_master!$A$2:$A$26,C1077)&gt;0,"Valid","Invalid")</f>
        <v>Valid</v>
      </c>
      <c r="G1077" s="39" t="str">
        <f aca="false">IFERROR(INDEX(medicine_master!$B$2:$B$26,MATCH($C1077,medicine_master!$A$2:$A$26,0)),"Not found")</f>
        <v>Dextromethorphan Syrup</v>
      </c>
      <c r="H1077" s="39" t="str">
        <f aca="false">IFERROR(INDEX(medicine_master!$C$2:$C$26,MATCH($C1077,medicine_master!$A$2:$A$26,0)),"Not found")</f>
        <v>Cold &amp; Cough</v>
      </c>
      <c r="I1077" s="39" t="n">
        <f aca="false">YEAR(B1077)</f>
        <v>2026</v>
      </c>
      <c r="J1077" s="39" t="n">
        <f aca="false">MONTH(B1077)</f>
        <v>4</v>
      </c>
      <c r="K1077" s="39" t="str">
        <f aca="false">TEXT(B1077,"mmm")</f>
        <v>Apr</v>
      </c>
      <c r="L1077" s="45" t="n">
        <f aca="false">IFERROR(INDEX(medicine_master!$I$2:$I$26,MATCH($C1077,medicine_master!$A$2:$A$26,0)),0)</f>
        <v>80</v>
      </c>
      <c r="M1077" s="45" t="n">
        <f aca="false">IFERROR(INDEX(medicine_master!$G$2:$G$26,MATCH($C1077,medicine_master!$A$2:$A$26,0)),0)</f>
        <v>58</v>
      </c>
      <c r="N1077" s="45" t="n">
        <f aca="false">IF(D1077="Sale",E1077*L1077,0)</f>
        <v>0</v>
      </c>
      <c r="O1077" s="45" t="n">
        <f aca="false">IF(D1077="Sale",E1077*M1077,0)</f>
        <v>0</v>
      </c>
      <c r="P1077" s="45" t="n">
        <f aca="false">N1077-O1077</f>
        <v>0</v>
      </c>
      <c r="Q1077" s="45" t="n">
        <f aca="false">IF(D1077="Purchase",E1077*M1077,0)</f>
        <v>870</v>
      </c>
    </row>
    <row r="1078" customFormat="false" ht="15" hidden="false" customHeight="false" outlineLevel="0" collapsed="false">
      <c r="A1078" s="39" t="s">
        <v>1402</v>
      </c>
      <c r="B1078" s="44" t="n">
        <v>46133</v>
      </c>
      <c r="C1078" s="39" t="s">
        <v>167</v>
      </c>
      <c r="D1078" s="39" t="s">
        <v>137</v>
      </c>
      <c r="E1078" s="39" t="n">
        <v>20</v>
      </c>
      <c r="F1078" s="39" t="str">
        <f aca="false">IF(COUNTIF(medicine_master!$A$2:$A$26,C1078)&gt;0,"Valid","Invalid")</f>
        <v>Valid</v>
      </c>
      <c r="G1078" s="39" t="str">
        <f aca="false">IFERROR(INDEX(medicine_master!$B$2:$B$26,MATCH($C1078,medicine_master!$A$2:$A$26,0)),"Not found")</f>
        <v>Amlodipine 5mg</v>
      </c>
      <c r="H1078" s="39" t="str">
        <f aca="false">IFERROR(INDEX(medicine_master!$C$2:$C$26,MATCH($C1078,medicine_master!$A$2:$A$26,0)),"Not found")</f>
        <v>Cardiac</v>
      </c>
      <c r="I1078" s="39" t="n">
        <f aca="false">YEAR(B1078)</f>
        <v>2026</v>
      </c>
      <c r="J1078" s="39" t="n">
        <f aca="false">MONTH(B1078)</f>
        <v>4</v>
      </c>
      <c r="K1078" s="39" t="str">
        <f aca="false">TEXT(B1078,"mmm")</f>
        <v>Apr</v>
      </c>
      <c r="L1078" s="45" t="n">
        <f aca="false">IFERROR(INDEX(medicine_master!$I$2:$I$26,MATCH($C1078,medicine_master!$A$2:$A$26,0)),0)</f>
        <v>19</v>
      </c>
      <c r="M1078" s="45" t="n">
        <f aca="false">IFERROR(INDEX(medicine_master!$G$2:$G$26,MATCH($C1078,medicine_master!$A$2:$A$26,0)),0)</f>
        <v>13</v>
      </c>
      <c r="N1078" s="45" t="n">
        <f aca="false">IF(D1078="Sale",E1078*L1078,0)</f>
        <v>380</v>
      </c>
      <c r="O1078" s="45" t="n">
        <f aca="false">IF(D1078="Sale",E1078*M1078,0)</f>
        <v>260</v>
      </c>
      <c r="P1078" s="45" t="n">
        <f aca="false">N1078-O1078</f>
        <v>120</v>
      </c>
      <c r="Q1078" s="45" t="n">
        <f aca="false">IF(D1078="Purchase",E1078*M1078,0)</f>
        <v>0</v>
      </c>
    </row>
    <row r="1079" customFormat="false" ht="15" hidden="false" customHeight="false" outlineLevel="0" collapsed="false">
      <c r="A1079" s="39" t="s">
        <v>1403</v>
      </c>
      <c r="B1079" s="44" t="n">
        <v>46211</v>
      </c>
      <c r="C1079" s="39" t="s">
        <v>177</v>
      </c>
      <c r="D1079" s="39" t="s">
        <v>137</v>
      </c>
      <c r="E1079" s="39" t="n">
        <v>30</v>
      </c>
      <c r="F1079" s="39" t="str">
        <f aca="false">IF(COUNTIF(medicine_master!$A$2:$A$26,C1079)&gt;0,"Valid","Invalid")</f>
        <v>Valid</v>
      </c>
      <c r="G1079" s="39" t="str">
        <f aca="false">IFERROR(INDEX(medicine_master!$B$2:$B$26,MATCH($C1079,medicine_master!$A$2:$A$26,0)),"Not found")</f>
        <v>Bandage Roll</v>
      </c>
      <c r="H1079" s="39" t="str">
        <f aca="false">IFERROR(INDEX(medicine_master!$C$2:$C$26,MATCH($C1079,medicine_master!$A$2:$A$26,0)),"Not found")</f>
        <v>First Aid</v>
      </c>
      <c r="I1079" s="39" t="n">
        <f aca="false">YEAR(B1079)</f>
        <v>2026</v>
      </c>
      <c r="J1079" s="39" t="n">
        <f aca="false">MONTH(B1079)</f>
        <v>7</v>
      </c>
      <c r="K1079" s="39" t="str">
        <f aca="false">TEXT(B1079,"mmm")</f>
        <v>Jul</v>
      </c>
      <c r="L1079" s="45" t="n">
        <f aca="false">IFERROR(INDEX(medicine_master!$I$2:$I$26,MATCH($C1079,medicine_master!$A$2:$A$26,0)),0)</f>
        <v>25</v>
      </c>
      <c r="M1079" s="45" t="n">
        <f aca="false">IFERROR(INDEX(medicine_master!$G$2:$G$26,MATCH($C1079,medicine_master!$A$2:$A$26,0)),0)</f>
        <v>15</v>
      </c>
      <c r="N1079" s="45" t="n">
        <f aca="false">IF(D1079="Sale",E1079*L1079,0)</f>
        <v>750</v>
      </c>
      <c r="O1079" s="45" t="n">
        <f aca="false">IF(D1079="Sale",E1079*M1079,0)</f>
        <v>450</v>
      </c>
      <c r="P1079" s="45" t="n">
        <f aca="false">N1079-O1079</f>
        <v>300</v>
      </c>
      <c r="Q1079" s="45" t="n">
        <f aca="false">IF(D1079="Purchase",E1079*M1079,0)</f>
        <v>0</v>
      </c>
    </row>
    <row r="1080" customFormat="false" ht="15" hidden="false" customHeight="false" outlineLevel="0" collapsed="false">
      <c r="A1080" s="39" t="s">
        <v>1404</v>
      </c>
      <c r="B1080" s="44" t="n">
        <v>46308</v>
      </c>
      <c r="C1080" s="39" t="s">
        <v>180</v>
      </c>
      <c r="D1080" s="39" t="s">
        <v>137</v>
      </c>
      <c r="E1080" s="39" t="n">
        <v>20</v>
      </c>
      <c r="F1080" s="39" t="str">
        <f aca="false">IF(COUNTIF(medicine_master!$A$2:$A$26,C1080)&gt;0,"Valid","Invalid")</f>
        <v>Valid</v>
      </c>
      <c r="G1080" s="39" t="str">
        <f aca="false">IFERROR(INDEX(medicine_master!$B$2:$B$26,MATCH($C1080,medicine_master!$A$2:$A$26,0)),"Not found")</f>
        <v>Vitamin C 500mg</v>
      </c>
      <c r="H1080" s="39" t="str">
        <f aca="false">IFERROR(INDEX(medicine_master!$C$2:$C$26,MATCH($C1080,medicine_master!$A$2:$A$26,0)),"Not found")</f>
        <v>Vitamin</v>
      </c>
      <c r="I1080" s="39" t="n">
        <f aca="false">YEAR(B1080)</f>
        <v>2026</v>
      </c>
      <c r="J1080" s="39" t="n">
        <f aca="false">MONTH(B1080)</f>
        <v>10</v>
      </c>
      <c r="K1080" s="39" t="str">
        <f aca="false">TEXT(B1080,"mmm")</f>
        <v>Oct</v>
      </c>
      <c r="L1080" s="45" t="n">
        <f aca="false">IFERROR(INDEX(medicine_master!$I$2:$I$26,MATCH($C1080,medicine_master!$A$2:$A$26,0)),0)</f>
        <v>22</v>
      </c>
      <c r="M1080" s="45" t="n">
        <f aca="false">IFERROR(INDEX(medicine_master!$G$2:$G$26,MATCH($C1080,medicine_master!$A$2:$A$26,0)),0)</f>
        <v>14</v>
      </c>
      <c r="N1080" s="45" t="n">
        <f aca="false">IF(D1080="Sale",E1080*L1080,0)</f>
        <v>440</v>
      </c>
      <c r="O1080" s="45" t="n">
        <f aca="false">IF(D1080="Sale",E1080*M1080,0)</f>
        <v>280</v>
      </c>
      <c r="P1080" s="45" t="n">
        <f aca="false">N1080-O1080</f>
        <v>160</v>
      </c>
      <c r="Q1080" s="45" t="n">
        <f aca="false">IF(D1080="Purchase",E1080*M1080,0)</f>
        <v>0</v>
      </c>
    </row>
    <row r="1081" customFormat="false" ht="15" hidden="false" customHeight="false" outlineLevel="0" collapsed="false">
      <c r="A1081" s="39" t="s">
        <v>1405</v>
      </c>
      <c r="B1081" s="44" t="n">
        <v>46260</v>
      </c>
      <c r="C1081" s="39" t="s">
        <v>160</v>
      </c>
      <c r="D1081" s="39" t="s">
        <v>138</v>
      </c>
      <c r="E1081" s="39" t="n">
        <v>5</v>
      </c>
      <c r="F1081" s="39" t="str">
        <f aca="false">IF(COUNTIF(medicine_master!$A$2:$A$26,C1081)&gt;0,"Valid","Invalid")</f>
        <v>Valid</v>
      </c>
      <c r="G1081" s="39" t="str">
        <f aca="false">IFERROR(INDEX(medicine_master!$B$2:$B$26,MATCH($C1081,medicine_master!$A$2:$A$26,0)),"Not found")</f>
        <v>Calamine Lotion</v>
      </c>
      <c r="H1081" s="39" t="str">
        <f aca="false">IFERROR(INDEX(medicine_master!$C$2:$C$26,MATCH($C1081,medicine_master!$A$2:$A$26,0)),"Not found")</f>
        <v>Dermatology</v>
      </c>
      <c r="I1081" s="39" t="n">
        <f aca="false">YEAR(B1081)</f>
        <v>2026</v>
      </c>
      <c r="J1081" s="39" t="n">
        <f aca="false">MONTH(B1081)</f>
        <v>8</v>
      </c>
      <c r="K1081" s="39" t="str">
        <f aca="false">TEXT(B1081,"mmm")</f>
        <v>Aug</v>
      </c>
      <c r="L1081" s="45" t="n">
        <f aca="false">IFERROR(INDEX(medicine_master!$I$2:$I$26,MATCH($C1081,medicine_master!$A$2:$A$26,0)),0)</f>
        <v>60</v>
      </c>
      <c r="M1081" s="45" t="n">
        <f aca="false">IFERROR(INDEX(medicine_master!$G$2:$G$26,MATCH($C1081,medicine_master!$A$2:$A$26,0)),0)</f>
        <v>42</v>
      </c>
      <c r="N1081" s="45" t="n">
        <f aca="false">IF(D1081="Sale",E1081*L1081,0)</f>
        <v>0</v>
      </c>
      <c r="O1081" s="45" t="n">
        <f aca="false">IF(D1081="Sale",E1081*M1081,0)</f>
        <v>0</v>
      </c>
      <c r="P1081" s="45" t="n">
        <f aca="false">N1081-O1081</f>
        <v>0</v>
      </c>
      <c r="Q1081" s="45" t="n">
        <f aca="false">IF(D1081="Purchase",E1081*M1081,0)</f>
        <v>210</v>
      </c>
    </row>
    <row r="1082" customFormat="false" ht="15" hidden="false" customHeight="false" outlineLevel="0" collapsed="false">
      <c r="A1082" s="39" t="s">
        <v>1406</v>
      </c>
      <c r="B1082" s="44" t="n">
        <v>46171</v>
      </c>
      <c r="C1082" s="39" t="s">
        <v>177</v>
      </c>
      <c r="D1082" s="39" t="s">
        <v>138</v>
      </c>
      <c r="E1082" s="39" t="n">
        <v>20</v>
      </c>
      <c r="F1082" s="39" t="str">
        <f aca="false">IF(COUNTIF(medicine_master!$A$2:$A$26,C1082)&gt;0,"Valid","Invalid")</f>
        <v>Valid</v>
      </c>
      <c r="G1082" s="39" t="str">
        <f aca="false">IFERROR(INDEX(medicine_master!$B$2:$B$26,MATCH($C1082,medicine_master!$A$2:$A$26,0)),"Not found")</f>
        <v>Bandage Roll</v>
      </c>
      <c r="H1082" s="39" t="str">
        <f aca="false">IFERROR(INDEX(medicine_master!$C$2:$C$26,MATCH($C1082,medicine_master!$A$2:$A$26,0)),"Not found")</f>
        <v>First Aid</v>
      </c>
      <c r="I1082" s="39" t="n">
        <f aca="false">YEAR(B1082)</f>
        <v>2026</v>
      </c>
      <c r="J1082" s="39" t="n">
        <f aca="false">MONTH(B1082)</f>
        <v>5</v>
      </c>
      <c r="K1082" s="39" t="str">
        <f aca="false">TEXT(B1082,"mmm")</f>
        <v>May</v>
      </c>
      <c r="L1082" s="45" t="n">
        <f aca="false">IFERROR(INDEX(medicine_master!$I$2:$I$26,MATCH($C1082,medicine_master!$A$2:$A$26,0)),0)</f>
        <v>25</v>
      </c>
      <c r="M1082" s="45" t="n">
        <f aca="false">IFERROR(INDEX(medicine_master!$G$2:$G$26,MATCH($C1082,medicine_master!$A$2:$A$26,0)),0)</f>
        <v>15</v>
      </c>
      <c r="N1082" s="45" t="n">
        <f aca="false">IF(D1082="Sale",E1082*L1082,0)</f>
        <v>0</v>
      </c>
      <c r="O1082" s="45" t="n">
        <f aca="false">IF(D1082="Sale",E1082*M1082,0)</f>
        <v>0</v>
      </c>
      <c r="P1082" s="45" t="n">
        <f aca="false">N1082-O1082</f>
        <v>0</v>
      </c>
      <c r="Q1082" s="45" t="n">
        <f aca="false">IF(D1082="Purchase",E1082*M1082,0)</f>
        <v>300</v>
      </c>
    </row>
    <row r="1083" customFormat="false" ht="15" hidden="false" customHeight="false" outlineLevel="0" collapsed="false">
      <c r="A1083" s="39" t="s">
        <v>1407</v>
      </c>
      <c r="B1083" s="44" t="n">
        <v>46138</v>
      </c>
      <c r="C1083" s="39" t="s">
        <v>159</v>
      </c>
      <c r="D1083" s="39" t="s">
        <v>137</v>
      </c>
      <c r="E1083" s="39" t="n">
        <v>20</v>
      </c>
      <c r="F1083" s="39" t="str">
        <f aca="false">IF(COUNTIF(medicine_master!$A$2:$A$26,C1083)&gt;0,"Valid","Invalid")</f>
        <v>Valid</v>
      </c>
      <c r="G1083" s="39" t="str">
        <f aca="false">IFERROR(INDEX(medicine_master!$B$2:$B$26,MATCH($C1083,medicine_master!$A$2:$A$26,0)),"Not found")</f>
        <v>Antiseptic Liquid 100ml</v>
      </c>
      <c r="H1083" s="39" t="str">
        <f aca="false">IFERROR(INDEX(medicine_master!$C$2:$C$26,MATCH($C1083,medicine_master!$A$2:$A$26,0)),"Not found")</f>
        <v>First Aid</v>
      </c>
      <c r="I1083" s="39" t="n">
        <f aca="false">YEAR(B1083)</f>
        <v>2026</v>
      </c>
      <c r="J1083" s="39" t="n">
        <f aca="false">MONTH(B1083)</f>
        <v>4</v>
      </c>
      <c r="K1083" s="39" t="str">
        <f aca="false">TEXT(B1083,"mmm")</f>
        <v>Apr</v>
      </c>
      <c r="L1083" s="45" t="n">
        <f aca="false">IFERROR(INDEX(medicine_master!$I$2:$I$26,MATCH($C1083,medicine_master!$A$2:$A$26,0)),0)</f>
        <v>65</v>
      </c>
      <c r="M1083" s="45" t="n">
        <f aca="false">IFERROR(INDEX(medicine_master!$G$2:$G$26,MATCH($C1083,medicine_master!$A$2:$A$26,0)),0)</f>
        <v>48</v>
      </c>
      <c r="N1083" s="45" t="n">
        <f aca="false">IF(D1083="Sale",E1083*L1083,0)</f>
        <v>1300</v>
      </c>
      <c r="O1083" s="45" t="n">
        <f aca="false">IF(D1083="Sale",E1083*M1083,0)</f>
        <v>960</v>
      </c>
      <c r="P1083" s="45" t="n">
        <f aca="false">N1083-O1083</f>
        <v>340</v>
      </c>
      <c r="Q1083" s="45" t="n">
        <f aca="false">IF(D1083="Purchase",E1083*M1083,0)</f>
        <v>0</v>
      </c>
    </row>
    <row r="1084" customFormat="false" ht="15" hidden="false" customHeight="false" outlineLevel="0" collapsed="false">
      <c r="A1084" s="39" t="s">
        <v>1408</v>
      </c>
      <c r="B1084" s="44" t="n">
        <v>46075</v>
      </c>
      <c r="C1084" s="39" t="s">
        <v>148</v>
      </c>
      <c r="D1084" s="39" t="s">
        <v>137</v>
      </c>
      <c r="E1084" s="39" t="n">
        <v>15</v>
      </c>
      <c r="F1084" s="39" t="str">
        <f aca="false">IF(COUNTIF(medicine_master!$A$2:$A$26,C1084)&gt;0,"Valid","Invalid")</f>
        <v>Valid</v>
      </c>
      <c r="G1084" s="39" t="str">
        <f aca="false">IFERROR(INDEX(medicine_master!$B$2:$B$26,MATCH($C1084,medicine_master!$A$2:$A$26,0)),"Not found")</f>
        <v>Dextromethorphan Syrup</v>
      </c>
      <c r="H1084" s="39" t="str">
        <f aca="false">IFERROR(INDEX(medicine_master!$C$2:$C$26,MATCH($C1084,medicine_master!$A$2:$A$26,0)),"Not found")</f>
        <v>Cold &amp; Cough</v>
      </c>
      <c r="I1084" s="39" t="n">
        <f aca="false">YEAR(B1084)</f>
        <v>2026</v>
      </c>
      <c r="J1084" s="39" t="n">
        <f aca="false">MONTH(B1084)</f>
        <v>2</v>
      </c>
      <c r="K1084" s="39" t="str">
        <f aca="false">TEXT(B1084,"mmm")</f>
        <v>Feb</v>
      </c>
      <c r="L1084" s="45" t="n">
        <f aca="false">IFERROR(INDEX(medicine_master!$I$2:$I$26,MATCH($C1084,medicine_master!$A$2:$A$26,0)),0)</f>
        <v>80</v>
      </c>
      <c r="M1084" s="45" t="n">
        <f aca="false">IFERROR(INDEX(medicine_master!$G$2:$G$26,MATCH($C1084,medicine_master!$A$2:$A$26,0)),0)</f>
        <v>58</v>
      </c>
      <c r="N1084" s="45" t="n">
        <f aca="false">IF(D1084="Sale",E1084*L1084,0)</f>
        <v>1200</v>
      </c>
      <c r="O1084" s="45" t="n">
        <f aca="false">IF(D1084="Sale",E1084*M1084,0)</f>
        <v>870</v>
      </c>
      <c r="P1084" s="45" t="n">
        <f aca="false">N1084-O1084</f>
        <v>330</v>
      </c>
      <c r="Q1084" s="45" t="n">
        <f aca="false">IF(D1084="Purchase",E1084*M1084,0)</f>
        <v>0</v>
      </c>
    </row>
    <row r="1085" customFormat="false" ht="15" hidden="false" customHeight="false" outlineLevel="0" collapsed="false">
      <c r="A1085" s="39" t="s">
        <v>1409</v>
      </c>
      <c r="B1085" s="44" t="n">
        <v>46335</v>
      </c>
      <c r="C1085" s="39" t="s">
        <v>146</v>
      </c>
      <c r="D1085" s="39" t="s">
        <v>137</v>
      </c>
      <c r="E1085" s="39" t="n">
        <v>50</v>
      </c>
      <c r="F1085" s="39" t="str">
        <f aca="false">IF(COUNTIF(medicine_master!$A$2:$A$26,C1085)&gt;0,"Valid","Invalid")</f>
        <v>Valid</v>
      </c>
      <c r="G1085" s="39" t="str">
        <f aca="false">IFERROR(INDEX(medicine_master!$B$2:$B$26,MATCH($C1085,medicine_master!$A$2:$A$26,0)),"Not found")</f>
        <v>Diclofenac Gel</v>
      </c>
      <c r="H1085" s="39" t="str">
        <f aca="false">IFERROR(INDEX(medicine_master!$C$2:$C$26,MATCH($C1085,medicine_master!$A$2:$A$26,0)),"Not found")</f>
        <v>Pain Relief</v>
      </c>
      <c r="I1085" s="39" t="n">
        <f aca="false">YEAR(B1085)</f>
        <v>2026</v>
      </c>
      <c r="J1085" s="39" t="n">
        <f aca="false">MONTH(B1085)</f>
        <v>11</v>
      </c>
      <c r="K1085" s="39" t="str">
        <f aca="false">TEXT(B1085,"mmm")</f>
        <v>Nov</v>
      </c>
      <c r="L1085" s="45" t="n">
        <f aca="false">IFERROR(INDEX(medicine_master!$I$2:$I$26,MATCH($C1085,medicine_master!$A$2:$A$26,0)),0)</f>
        <v>55</v>
      </c>
      <c r="M1085" s="45" t="n">
        <f aca="false">IFERROR(INDEX(medicine_master!$G$2:$G$26,MATCH($C1085,medicine_master!$A$2:$A$26,0)),0)</f>
        <v>38</v>
      </c>
      <c r="N1085" s="45" t="n">
        <f aca="false">IF(D1085="Sale",E1085*L1085,0)</f>
        <v>2750</v>
      </c>
      <c r="O1085" s="45" t="n">
        <f aca="false">IF(D1085="Sale",E1085*M1085,0)</f>
        <v>1900</v>
      </c>
      <c r="P1085" s="45" t="n">
        <f aca="false">N1085-O1085</f>
        <v>850</v>
      </c>
      <c r="Q1085" s="45" t="n">
        <f aca="false">IF(D1085="Purchase",E1085*M1085,0)</f>
        <v>0</v>
      </c>
    </row>
    <row r="1086" customFormat="false" ht="15" hidden="false" customHeight="false" outlineLevel="0" collapsed="false">
      <c r="A1086" s="39" t="s">
        <v>1410</v>
      </c>
      <c r="B1086" s="44" t="n">
        <v>46066</v>
      </c>
      <c r="C1086" s="39" t="s">
        <v>151</v>
      </c>
      <c r="D1086" s="39" t="s">
        <v>137</v>
      </c>
      <c r="E1086" s="39" t="n">
        <v>15</v>
      </c>
      <c r="F1086" s="39" t="str">
        <f aca="false">IF(COUNTIF(medicine_master!$A$2:$A$26,C1086)&gt;0,"Valid","Invalid")</f>
        <v>Valid</v>
      </c>
      <c r="G1086" s="39" t="str">
        <f aca="false">IFERROR(INDEX(medicine_master!$B$2:$B$26,MATCH($C1086,medicine_master!$A$2:$A$26,0)),"Not found")</f>
        <v>Cetirizine 10mg</v>
      </c>
      <c r="H1086" s="39" t="str">
        <f aca="false">IFERROR(INDEX(medicine_master!$C$2:$C$26,MATCH($C1086,medicine_master!$A$2:$A$26,0)),"Not found")</f>
        <v>Allergy</v>
      </c>
      <c r="I1086" s="39" t="n">
        <f aca="false">YEAR(B1086)</f>
        <v>2026</v>
      </c>
      <c r="J1086" s="39" t="n">
        <f aca="false">MONTH(B1086)</f>
        <v>2</v>
      </c>
      <c r="K1086" s="39" t="str">
        <f aca="false">TEXT(B1086,"mmm")</f>
        <v>Feb</v>
      </c>
      <c r="L1086" s="45" t="n">
        <f aca="false">IFERROR(INDEX(medicine_master!$I$2:$I$26,MATCH($C1086,medicine_master!$A$2:$A$26,0)),0)</f>
        <v>13</v>
      </c>
      <c r="M1086" s="45" t="n">
        <f aca="false">IFERROR(INDEX(medicine_master!$G$2:$G$26,MATCH($C1086,medicine_master!$A$2:$A$26,0)),0)</f>
        <v>8</v>
      </c>
      <c r="N1086" s="45" t="n">
        <f aca="false">IF(D1086="Sale",E1086*L1086,0)</f>
        <v>195</v>
      </c>
      <c r="O1086" s="45" t="n">
        <f aca="false">IF(D1086="Sale",E1086*M1086,0)</f>
        <v>120</v>
      </c>
      <c r="P1086" s="45" t="n">
        <f aca="false">N1086-O1086</f>
        <v>75</v>
      </c>
      <c r="Q1086" s="45" t="n">
        <f aca="false">IF(D1086="Purchase",E1086*M1086,0)</f>
        <v>0</v>
      </c>
    </row>
    <row r="1087" customFormat="false" ht="15" hidden="false" customHeight="false" outlineLevel="0" collapsed="false">
      <c r="A1087" s="39" t="s">
        <v>1411</v>
      </c>
      <c r="B1087" s="44" t="n">
        <v>46310</v>
      </c>
      <c r="C1087" s="39" t="s">
        <v>159</v>
      </c>
      <c r="D1087" s="39" t="s">
        <v>137</v>
      </c>
      <c r="E1087" s="39" t="n">
        <v>30</v>
      </c>
      <c r="F1087" s="39" t="str">
        <f aca="false">IF(COUNTIF(medicine_master!$A$2:$A$26,C1087)&gt;0,"Valid","Invalid")</f>
        <v>Valid</v>
      </c>
      <c r="G1087" s="39" t="str">
        <f aca="false">IFERROR(INDEX(medicine_master!$B$2:$B$26,MATCH($C1087,medicine_master!$A$2:$A$26,0)),"Not found")</f>
        <v>Antiseptic Liquid 100ml</v>
      </c>
      <c r="H1087" s="39" t="str">
        <f aca="false">IFERROR(INDEX(medicine_master!$C$2:$C$26,MATCH($C1087,medicine_master!$A$2:$A$26,0)),"Not found")</f>
        <v>First Aid</v>
      </c>
      <c r="I1087" s="39" t="n">
        <f aca="false">YEAR(B1087)</f>
        <v>2026</v>
      </c>
      <c r="J1087" s="39" t="n">
        <f aca="false">MONTH(B1087)</f>
        <v>10</v>
      </c>
      <c r="K1087" s="39" t="str">
        <f aca="false">TEXT(B1087,"mmm")</f>
        <v>Oct</v>
      </c>
      <c r="L1087" s="45" t="n">
        <f aca="false">IFERROR(INDEX(medicine_master!$I$2:$I$26,MATCH($C1087,medicine_master!$A$2:$A$26,0)),0)</f>
        <v>65</v>
      </c>
      <c r="M1087" s="45" t="n">
        <f aca="false">IFERROR(INDEX(medicine_master!$G$2:$G$26,MATCH($C1087,medicine_master!$A$2:$A$26,0)),0)</f>
        <v>48</v>
      </c>
      <c r="N1087" s="45" t="n">
        <f aca="false">IF(D1087="Sale",E1087*L1087,0)</f>
        <v>1950</v>
      </c>
      <c r="O1087" s="45" t="n">
        <f aca="false">IF(D1087="Sale",E1087*M1087,0)</f>
        <v>1440</v>
      </c>
      <c r="P1087" s="45" t="n">
        <f aca="false">N1087-O1087</f>
        <v>510</v>
      </c>
      <c r="Q1087" s="45" t="n">
        <f aca="false">IF(D1087="Purchase",E1087*M1087,0)</f>
        <v>0</v>
      </c>
    </row>
    <row r="1088" customFormat="false" ht="15" hidden="false" customHeight="false" outlineLevel="0" collapsed="false">
      <c r="A1088" s="39" t="s">
        <v>1412</v>
      </c>
      <c r="B1088" s="44" t="n">
        <v>46094</v>
      </c>
      <c r="C1088" s="39" t="s">
        <v>144</v>
      </c>
      <c r="D1088" s="39" t="s">
        <v>138</v>
      </c>
      <c r="E1088" s="39" t="n">
        <v>30</v>
      </c>
      <c r="F1088" s="39" t="str">
        <f aca="false">IF(COUNTIF(medicine_master!$A$2:$A$26,C1088)&gt;0,"Valid","Invalid")</f>
        <v>Valid</v>
      </c>
      <c r="G1088" s="39" t="str">
        <f aca="false">IFERROR(INDEX(medicine_master!$B$2:$B$26,MATCH($C1088,medicine_master!$A$2:$A$26,0)),"Not found")</f>
        <v>Glimepiride 2mg</v>
      </c>
      <c r="H1088" s="39" t="str">
        <f aca="false">IFERROR(INDEX(medicine_master!$C$2:$C$26,MATCH($C1088,medicine_master!$A$2:$A$26,0)),"Not found")</f>
        <v>Diabetes</v>
      </c>
      <c r="I1088" s="39" t="n">
        <f aca="false">YEAR(B1088)</f>
        <v>2026</v>
      </c>
      <c r="J1088" s="39" t="n">
        <f aca="false">MONTH(B1088)</f>
        <v>3</v>
      </c>
      <c r="K1088" s="39" t="str">
        <f aca="false">TEXT(B1088,"mmm")</f>
        <v>Mar</v>
      </c>
      <c r="L1088" s="45" t="n">
        <f aca="false">IFERROR(INDEX(medicine_master!$I$2:$I$26,MATCH($C1088,medicine_master!$A$2:$A$26,0)),0)</f>
        <v>52</v>
      </c>
      <c r="M1088" s="45" t="n">
        <f aca="false">IFERROR(INDEX(medicine_master!$G$2:$G$26,MATCH($C1088,medicine_master!$A$2:$A$26,0)),0)</f>
        <v>38</v>
      </c>
      <c r="N1088" s="45" t="n">
        <f aca="false">IF(D1088="Sale",E1088*L1088,0)</f>
        <v>0</v>
      </c>
      <c r="O1088" s="45" t="n">
        <f aca="false">IF(D1088="Sale",E1088*M1088,0)</f>
        <v>0</v>
      </c>
      <c r="P1088" s="45" t="n">
        <f aca="false">N1088-O1088</f>
        <v>0</v>
      </c>
      <c r="Q1088" s="45" t="n">
        <f aca="false">IF(D1088="Purchase",E1088*M1088,0)</f>
        <v>1140</v>
      </c>
    </row>
    <row r="1089" customFormat="false" ht="15" hidden="false" customHeight="false" outlineLevel="0" collapsed="false">
      <c r="A1089" s="39" t="s">
        <v>1413</v>
      </c>
      <c r="B1089" s="44" t="n">
        <v>46212</v>
      </c>
      <c r="C1089" s="39" t="s">
        <v>404</v>
      </c>
      <c r="D1089" s="39" t="s">
        <v>137</v>
      </c>
      <c r="E1089" s="39" t="n">
        <v>10</v>
      </c>
      <c r="F1089" s="39" t="str">
        <f aca="false">IF(COUNTIF(medicine_master!$A$2:$A$26,C1089)&gt;0,"Valid","Invalid")</f>
        <v>Valid</v>
      </c>
      <c r="G1089" s="39" t="str">
        <f aca="false">IFERROR(INDEX(medicine_master!$B$2:$B$26,MATCH($C1089,medicine_master!$A$2:$A$26,0)),"Not found")</f>
        <v>ORS Sachet</v>
      </c>
      <c r="H1089" s="39" t="str">
        <f aca="false">IFERROR(INDEX(medicine_master!$C$2:$C$26,MATCH($C1089,medicine_master!$A$2:$A$26,0)),"Not found")</f>
        <v>First Aid</v>
      </c>
      <c r="I1089" s="39" t="n">
        <f aca="false">YEAR(B1089)</f>
        <v>2026</v>
      </c>
      <c r="J1089" s="39" t="n">
        <f aca="false">MONTH(B1089)</f>
        <v>7</v>
      </c>
      <c r="K1089" s="39" t="str">
        <f aca="false">TEXT(B1089,"mmm")</f>
        <v>Jul</v>
      </c>
      <c r="L1089" s="45" t="n">
        <f aca="false">IFERROR(INDEX(medicine_master!$I$2:$I$26,MATCH($C1089,medicine_master!$A$2:$A$26,0)),0)</f>
        <v>10</v>
      </c>
      <c r="M1089" s="45" t="n">
        <f aca="false">IFERROR(INDEX(medicine_master!$G$2:$G$26,MATCH($C1089,medicine_master!$A$2:$A$26,0)),0)</f>
        <v>6</v>
      </c>
      <c r="N1089" s="45" t="n">
        <f aca="false">IF(D1089="Sale",E1089*L1089,0)</f>
        <v>100</v>
      </c>
      <c r="O1089" s="45" t="n">
        <f aca="false">IF(D1089="Sale",E1089*M1089,0)</f>
        <v>60</v>
      </c>
      <c r="P1089" s="45" t="n">
        <f aca="false">N1089-O1089</f>
        <v>40</v>
      </c>
      <c r="Q1089" s="45" t="n">
        <f aca="false">IF(D1089="Purchase",E1089*M1089,0)</f>
        <v>0</v>
      </c>
    </row>
    <row r="1090" customFormat="false" ht="15" hidden="false" customHeight="false" outlineLevel="0" collapsed="false">
      <c r="A1090" s="39" t="s">
        <v>1414</v>
      </c>
      <c r="B1090" s="44" t="n">
        <v>46295</v>
      </c>
      <c r="C1090" s="39" t="s">
        <v>345</v>
      </c>
      <c r="D1090" s="39" t="s">
        <v>138</v>
      </c>
      <c r="E1090" s="39" t="n">
        <v>25</v>
      </c>
      <c r="F1090" s="39" t="str">
        <f aca="false">IF(COUNTIF(medicine_master!$A$2:$A$26,C1090)&gt;0,"Valid","Invalid")</f>
        <v>Valid</v>
      </c>
      <c r="G1090" s="39" t="str">
        <f aca="false">IFERROR(INDEX(medicine_master!$B$2:$B$26,MATCH($C1090,medicine_master!$A$2:$A$26,0)),"Not found")</f>
        <v>Paracetamol 500mg</v>
      </c>
      <c r="H1090" s="39" t="str">
        <f aca="false">IFERROR(INDEX(medicine_master!$C$2:$C$26,MATCH($C1090,medicine_master!$A$2:$A$26,0)),"Not found")</f>
        <v>Pain Relief</v>
      </c>
      <c r="I1090" s="39" t="n">
        <f aca="false">YEAR(B1090)</f>
        <v>2026</v>
      </c>
      <c r="J1090" s="39" t="n">
        <f aca="false">MONTH(B1090)</f>
        <v>9</v>
      </c>
      <c r="K1090" s="39" t="str">
        <f aca="false">TEXT(B1090,"mmm")</f>
        <v>Sep</v>
      </c>
      <c r="L1090" s="45" t="n">
        <f aca="false">IFERROR(INDEX(medicine_master!$I$2:$I$26,MATCH($C1090,medicine_master!$A$2:$A$26,0)),0)</f>
        <v>18</v>
      </c>
      <c r="M1090" s="45" t="n">
        <f aca="false">IFERROR(INDEX(medicine_master!$G$2:$G$26,MATCH($C1090,medicine_master!$A$2:$A$26,0)),0)</f>
        <v>12</v>
      </c>
      <c r="N1090" s="45" t="n">
        <f aca="false">IF(D1090="Sale",E1090*L1090,0)</f>
        <v>0</v>
      </c>
      <c r="O1090" s="45" t="n">
        <f aca="false">IF(D1090="Sale",E1090*M1090,0)</f>
        <v>0</v>
      </c>
      <c r="P1090" s="45" t="n">
        <f aca="false">N1090-O1090</f>
        <v>0</v>
      </c>
      <c r="Q1090" s="45" t="n">
        <f aca="false">IF(D1090="Purchase",E1090*M1090,0)</f>
        <v>300</v>
      </c>
    </row>
    <row r="1091" customFormat="false" ht="15" hidden="false" customHeight="false" outlineLevel="0" collapsed="false">
      <c r="A1091" s="39" t="s">
        <v>1415</v>
      </c>
      <c r="B1091" s="44" t="n">
        <v>46363</v>
      </c>
      <c r="C1091" s="39" t="s">
        <v>157</v>
      </c>
      <c r="D1091" s="39" t="s">
        <v>137</v>
      </c>
      <c r="E1091" s="39" t="n">
        <v>20</v>
      </c>
      <c r="F1091" s="39" t="str">
        <f aca="false">IF(COUNTIF(medicine_master!$A$2:$A$26,C1091)&gt;0,"Valid","Invalid")</f>
        <v>Valid</v>
      </c>
      <c r="G1091" s="39" t="str">
        <f aca="false">IFERROR(INDEX(medicine_master!$B$2:$B$26,MATCH($C1091,medicine_master!$A$2:$A$26,0)),"Not found")</f>
        <v>Multivitamin Tablets</v>
      </c>
      <c r="H1091" s="39" t="str">
        <f aca="false">IFERROR(INDEX(medicine_master!$C$2:$C$26,MATCH($C1091,medicine_master!$A$2:$A$26,0)),"Not found")</f>
        <v>Vitamin</v>
      </c>
      <c r="I1091" s="39" t="n">
        <f aca="false">YEAR(B1091)</f>
        <v>2026</v>
      </c>
      <c r="J1091" s="39" t="n">
        <f aca="false">MONTH(B1091)</f>
        <v>12</v>
      </c>
      <c r="K1091" s="39" t="str">
        <f aca="false">TEXT(B1091,"mmm")</f>
        <v>Dec</v>
      </c>
      <c r="L1091" s="45" t="n">
        <f aca="false">IFERROR(INDEX(medicine_master!$I$2:$I$26,MATCH($C1091,medicine_master!$A$2:$A$26,0)),0)</f>
        <v>105</v>
      </c>
      <c r="M1091" s="45" t="n">
        <f aca="false">IFERROR(INDEX(medicine_master!$G$2:$G$26,MATCH($C1091,medicine_master!$A$2:$A$26,0)),0)</f>
        <v>72</v>
      </c>
      <c r="N1091" s="45" t="n">
        <f aca="false">IF(D1091="Sale",E1091*L1091,0)</f>
        <v>2100</v>
      </c>
      <c r="O1091" s="45" t="n">
        <f aca="false">IF(D1091="Sale",E1091*M1091,0)</f>
        <v>1440</v>
      </c>
      <c r="P1091" s="45" t="n">
        <f aca="false">N1091-O1091</f>
        <v>660</v>
      </c>
      <c r="Q1091" s="45" t="n">
        <f aca="false">IF(D1091="Purchase",E1091*M1091,0)</f>
        <v>0</v>
      </c>
    </row>
    <row r="1092" customFormat="false" ht="15" hidden="false" customHeight="false" outlineLevel="0" collapsed="false">
      <c r="A1092" s="39" t="s">
        <v>1416</v>
      </c>
      <c r="B1092" s="44" t="n">
        <v>46124</v>
      </c>
      <c r="C1092" s="39" t="s">
        <v>152</v>
      </c>
      <c r="D1092" s="39" t="s">
        <v>137</v>
      </c>
      <c r="E1092" s="39" t="n">
        <v>20</v>
      </c>
      <c r="F1092" s="39" t="str">
        <f aca="false">IF(COUNTIF(medicine_master!$A$2:$A$26,C1092)&gt;0,"Valid","Invalid")</f>
        <v>Valid</v>
      </c>
      <c r="G1092" s="39" t="str">
        <f aca="false">IFERROR(INDEX(medicine_master!$B$2:$B$26,MATCH($C1092,medicine_master!$A$2:$A$26,0)),"Not found")</f>
        <v>Amoxicillin 500mg</v>
      </c>
      <c r="H1092" s="39" t="str">
        <f aca="false">IFERROR(INDEX(medicine_master!$C$2:$C$26,MATCH($C1092,medicine_master!$A$2:$A$26,0)),"Not found")</f>
        <v>Antibiotic</v>
      </c>
      <c r="I1092" s="39" t="n">
        <f aca="false">YEAR(B1092)</f>
        <v>2026</v>
      </c>
      <c r="J1092" s="39" t="n">
        <f aca="false">MONTH(B1092)</f>
        <v>4</v>
      </c>
      <c r="K1092" s="39" t="str">
        <f aca="false">TEXT(B1092,"mmm")</f>
        <v>Apr</v>
      </c>
      <c r="L1092" s="45" t="n">
        <f aca="false">IFERROR(INDEX(medicine_master!$I$2:$I$26,MATCH($C1092,medicine_master!$A$2:$A$26,0)),0)</f>
        <v>40</v>
      </c>
      <c r="M1092" s="45" t="n">
        <f aca="false">IFERROR(INDEX(medicine_master!$G$2:$G$26,MATCH($C1092,medicine_master!$A$2:$A$26,0)),0)</f>
        <v>28</v>
      </c>
      <c r="N1092" s="45" t="n">
        <f aca="false">IF(D1092="Sale",E1092*L1092,0)</f>
        <v>800</v>
      </c>
      <c r="O1092" s="45" t="n">
        <f aca="false">IF(D1092="Sale",E1092*M1092,0)</f>
        <v>560</v>
      </c>
      <c r="P1092" s="45" t="n">
        <f aca="false">N1092-O1092</f>
        <v>240</v>
      </c>
      <c r="Q1092" s="45" t="n">
        <f aca="false">IF(D1092="Purchase",E1092*M1092,0)</f>
        <v>0</v>
      </c>
    </row>
    <row r="1093" customFormat="false" ht="15" hidden="false" customHeight="false" outlineLevel="0" collapsed="false">
      <c r="A1093" s="39" t="s">
        <v>1417</v>
      </c>
      <c r="B1093" s="44" t="n">
        <v>46222</v>
      </c>
      <c r="C1093" s="39" t="s">
        <v>326</v>
      </c>
      <c r="D1093" s="39" t="s">
        <v>138</v>
      </c>
      <c r="E1093" s="39" t="n">
        <v>20</v>
      </c>
      <c r="F1093" s="39" t="str">
        <f aca="false">IF(COUNTIF(medicine_master!$A$2:$A$26,C1093)&gt;0,"Valid","Invalid")</f>
        <v>Valid</v>
      </c>
      <c r="G1093" s="39" t="str">
        <f aca="false">IFERROR(INDEX(medicine_master!$B$2:$B$26,MATCH($C1093,medicine_master!$A$2:$A$26,0)),"Not found")</f>
        <v>Omeprazole 20mg</v>
      </c>
      <c r="H1093" s="39" t="str">
        <f aca="false">IFERROR(INDEX(medicine_master!$C$2:$C$26,MATCH($C1093,medicine_master!$A$2:$A$26,0)),"Not found")</f>
        <v>Gastric</v>
      </c>
      <c r="I1093" s="39" t="n">
        <f aca="false">YEAR(B1093)</f>
        <v>2026</v>
      </c>
      <c r="J1093" s="39" t="n">
        <f aca="false">MONTH(B1093)</f>
        <v>7</v>
      </c>
      <c r="K1093" s="39" t="str">
        <f aca="false">TEXT(B1093,"mmm")</f>
        <v>Jul</v>
      </c>
      <c r="L1093" s="45" t="n">
        <f aca="false">IFERROR(INDEX(medicine_master!$I$2:$I$26,MATCH($C1093,medicine_master!$A$2:$A$26,0)),0)</f>
        <v>26</v>
      </c>
      <c r="M1093" s="45" t="n">
        <f aca="false">IFERROR(INDEX(medicine_master!$G$2:$G$26,MATCH($C1093,medicine_master!$A$2:$A$26,0)),0)</f>
        <v>18</v>
      </c>
      <c r="N1093" s="45" t="n">
        <f aca="false">IF(D1093="Sale",E1093*L1093,0)</f>
        <v>0</v>
      </c>
      <c r="O1093" s="45" t="n">
        <f aca="false">IF(D1093="Sale",E1093*M1093,0)</f>
        <v>0</v>
      </c>
      <c r="P1093" s="45" t="n">
        <f aca="false">N1093-O1093</f>
        <v>0</v>
      </c>
      <c r="Q1093" s="45" t="n">
        <f aca="false">IF(D1093="Purchase",E1093*M1093,0)</f>
        <v>360</v>
      </c>
    </row>
    <row r="1094" customFormat="false" ht="15" hidden="false" customHeight="false" outlineLevel="0" collapsed="false">
      <c r="A1094" s="39" t="s">
        <v>1418</v>
      </c>
      <c r="B1094" s="44" t="n">
        <v>46366</v>
      </c>
      <c r="C1094" s="39" t="s">
        <v>145</v>
      </c>
      <c r="D1094" s="39" t="s">
        <v>138</v>
      </c>
      <c r="E1094" s="39" t="n">
        <v>15</v>
      </c>
      <c r="F1094" s="39" t="str">
        <f aca="false">IF(COUNTIF(medicine_master!$A$2:$A$26,C1094)&gt;0,"Valid","Invalid")</f>
        <v>Valid</v>
      </c>
      <c r="G1094" s="39" t="str">
        <f aca="false">IFERROR(INDEX(medicine_master!$B$2:$B$26,MATCH($C1094,medicine_master!$A$2:$A$26,0)),"Not found")</f>
        <v>Clotrimazole Cream</v>
      </c>
      <c r="H1094" s="39" t="str">
        <f aca="false">IFERROR(INDEX(medicine_master!$C$2:$C$26,MATCH($C1094,medicine_master!$A$2:$A$26,0)),"Not found")</f>
        <v>Dermatology</v>
      </c>
      <c r="I1094" s="39" t="n">
        <f aca="false">YEAR(B1094)</f>
        <v>2026</v>
      </c>
      <c r="J1094" s="39" t="n">
        <f aca="false">MONTH(B1094)</f>
        <v>12</v>
      </c>
      <c r="K1094" s="39" t="str">
        <f aca="false">TEXT(B1094,"mmm")</f>
        <v>Dec</v>
      </c>
      <c r="L1094" s="45" t="n">
        <f aca="false">IFERROR(INDEX(medicine_master!$I$2:$I$26,MATCH($C1094,medicine_master!$A$2:$A$26,0)),0)</f>
        <v>48</v>
      </c>
      <c r="M1094" s="45" t="n">
        <f aca="false">IFERROR(INDEX(medicine_master!$G$2:$G$26,MATCH($C1094,medicine_master!$A$2:$A$26,0)),0)</f>
        <v>32</v>
      </c>
      <c r="N1094" s="45" t="n">
        <f aca="false">IF(D1094="Sale",E1094*L1094,0)</f>
        <v>0</v>
      </c>
      <c r="O1094" s="45" t="n">
        <f aca="false">IF(D1094="Sale",E1094*M1094,0)</f>
        <v>0</v>
      </c>
      <c r="P1094" s="45" t="n">
        <f aca="false">N1094-O1094</f>
        <v>0</v>
      </c>
      <c r="Q1094" s="45" t="n">
        <f aca="false">IF(D1094="Purchase",E1094*M1094,0)</f>
        <v>480</v>
      </c>
    </row>
    <row r="1095" customFormat="false" ht="15" hidden="false" customHeight="false" outlineLevel="0" collapsed="false">
      <c r="A1095" s="39" t="s">
        <v>1419</v>
      </c>
      <c r="B1095" s="44" t="n">
        <v>46126</v>
      </c>
      <c r="C1095" s="39" t="s">
        <v>404</v>
      </c>
      <c r="D1095" s="39" t="s">
        <v>137</v>
      </c>
      <c r="E1095" s="39" t="n">
        <v>25</v>
      </c>
      <c r="F1095" s="39" t="str">
        <f aca="false">IF(COUNTIF(medicine_master!$A$2:$A$26,C1095)&gt;0,"Valid","Invalid")</f>
        <v>Valid</v>
      </c>
      <c r="G1095" s="39" t="str">
        <f aca="false">IFERROR(INDEX(medicine_master!$B$2:$B$26,MATCH($C1095,medicine_master!$A$2:$A$26,0)),"Not found")</f>
        <v>ORS Sachet</v>
      </c>
      <c r="H1095" s="39" t="str">
        <f aca="false">IFERROR(INDEX(medicine_master!$C$2:$C$26,MATCH($C1095,medicine_master!$A$2:$A$26,0)),"Not found")</f>
        <v>First Aid</v>
      </c>
      <c r="I1095" s="39" t="n">
        <f aca="false">YEAR(B1095)</f>
        <v>2026</v>
      </c>
      <c r="J1095" s="39" t="n">
        <f aca="false">MONTH(B1095)</f>
        <v>4</v>
      </c>
      <c r="K1095" s="39" t="str">
        <f aca="false">TEXT(B1095,"mmm")</f>
        <v>Apr</v>
      </c>
      <c r="L1095" s="45" t="n">
        <f aca="false">IFERROR(INDEX(medicine_master!$I$2:$I$26,MATCH($C1095,medicine_master!$A$2:$A$26,0)),0)</f>
        <v>10</v>
      </c>
      <c r="M1095" s="45" t="n">
        <f aca="false">IFERROR(INDEX(medicine_master!$G$2:$G$26,MATCH($C1095,medicine_master!$A$2:$A$26,0)),0)</f>
        <v>6</v>
      </c>
      <c r="N1095" s="45" t="n">
        <f aca="false">IF(D1095="Sale",E1095*L1095,0)</f>
        <v>250</v>
      </c>
      <c r="O1095" s="45" t="n">
        <f aca="false">IF(D1095="Sale",E1095*M1095,0)</f>
        <v>150</v>
      </c>
      <c r="P1095" s="45" t="n">
        <f aca="false">N1095-O1095</f>
        <v>100</v>
      </c>
      <c r="Q1095" s="45" t="n">
        <f aca="false">IF(D1095="Purchase",E1095*M1095,0)</f>
        <v>0</v>
      </c>
    </row>
    <row r="1096" customFormat="false" ht="15" hidden="false" customHeight="false" outlineLevel="0" collapsed="false">
      <c r="A1096" s="39" t="s">
        <v>1420</v>
      </c>
      <c r="B1096" s="44" t="n">
        <v>46028</v>
      </c>
      <c r="C1096" s="39" t="s">
        <v>404</v>
      </c>
      <c r="D1096" s="39" t="s">
        <v>138</v>
      </c>
      <c r="E1096" s="39" t="n">
        <v>15</v>
      </c>
      <c r="F1096" s="39" t="str">
        <f aca="false">IF(COUNTIF(medicine_master!$A$2:$A$26,C1096)&gt;0,"Valid","Invalid")</f>
        <v>Valid</v>
      </c>
      <c r="G1096" s="39" t="str">
        <f aca="false">IFERROR(INDEX(medicine_master!$B$2:$B$26,MATCH($C1096,medicine_master!$A$2:$A$26,0)),"Not found")</f>
        <v>ORS Sachet</v>
      </c>
      <c r="H1096" s="39" t="str">
        <f aca="false">IFERROR(INDEX(medicine_master!$C$2:$C$26,MATCH($C1096,medicine_master!$A$2:$A$26,0)),"Not found")</f>
        <v>First Aid</v>
      </c>
      <c r="I1096" s="39" t="n">
        <f aca="false">YEAR(B1096)</f>
        <v>2026</v>
      </c>
      <c r="J1096" s="39" t="n">
        <f aca="false">MONTH(B1096)</f>
        <v>1</v>
      </c>
      <c r="K1096" s="39" t="str">
        <f aca="false">TEXT(B1096,"mmm")</f>
        <v>Jan</v>
      </c>
      <c r="L1096" s="45" t="n">
        <f aca="false">IFERROR(INDEX(medicine_master!$I$2:$I$26,MATCH($C1096,medicine_master!$A$2:$A$26,0)),0)</f>
        <v>10</v>
      </c>
      <c r="M1096" s="45" t="n">
        <f aca="false">IFERROR(INDEX(medicine_master!$G$2:$G$26,MATCH($C1096,medicine_master!$A$2:$A$26,0)),0)</f>
        <v>6</v>
      </c>
      <c r="N1096" s="45" t="n">
        <f aca="false">IF(D1096="Sale",E1096*L1096,0)</f>
        <v>0</v>
      </c>
      <c r="O1096" s="45" t="n">
        <f aca="false">IF(D1096="Sale",E1096*M1096,0)</f>
        <v>0</v>
      </c>
      <c r="P1096" s="45" t="n">
        <f aca="false">N1096-O1096</f>
        <v>0</v>
      </c>
      <c r="Q1096" s="45" t="n">
        <f aca="false">IF(D1096="Purchase",E1096*M1096,0)</f>
        <v>90</v>
      </c>
    </row>
    <row r="1097" customFormat="false" ht="15" hidden="false" customHeight="false" outlineLevel="0" collapsed="false">
      <c r="A1097" s="39" t="s">
        <v>1421</v>
      </c>
      <c r="B1097" s="44" t="n">
        <v>46060</v>
      </c>
      <c r="C1097" s="39" t="s">
        <v>148</v>
      </c>
      <c r="D1097" s="39" t="s">
        <v>137</v>
      </c>
      <c r="E1097" s="39" t="n">
        <v>20</v>
      </c>
      <c r="F1097" s="39" t="str">
        <f aca="false">IF(COUNTIF(medicine_master!$A$2:$A$26,C1097)&gt;0,"Valid","Invalid")</f>
        <v>Valid</v>
      </c>
      <c r="G1097" s="39" t="str">
        <f aca="false">IFERROR(INDEX(medicine_master!$B$2:$B$26,MATCH($C1097,medicine_master!$A$2:$A$26,0)),"Not found")</f>
        <v>Dextromethorphan Syrup</v>
      </c>
      <c r="H1097" s="39" t="str">
        <f aca="false">IFERROR(INDEX(medicine_master!$C$2:$C$26,MATCH($C1097,medicine_master!$A$2:$A$26,0)),"Not found")</f>
        <v>Cold &amp; Cough</v>
      </c>
      <c r="I1097" s="39" t="n">
        <f aca="false">YEAR(B1097)</f>
        <v>2026</v>
      </c>
      <c r="J1097" s="39" t="n">
        <f aca="false">MONTH(B1097)</f>
        <v>2</v>
      </c>
      <c r="K1097" s="39" t="str">
        <f aca="false">TEXT(B1097,"mmm")</f>
        <v>Feb</v>
      </c>
      <c r="L1097" s="45" t="n">
        <f aca="false">IFERROR(INDEX(medicine_master!$I$2:$I$26,MATCH($C1097,medicine_master!$A$2:$A$26,0)),0)</f>
        <v>80</v>
      </c>
      <c r="M1097" s="45" t="n">
        <f aca="false">IFERROR(INDEX(medicine_master!$G$2:$G$26,MATCH($C1097,medicine_master!$A$2:$A$26,0)),0)</f>
        <v>58</v>
      </c>
      <c r="N1097" s="45" t="n">
        <f aca="false">IF(D1097="Sale",E1097*L1097,0)</f>
        <v>1600</v>
      </c>
      <c r="O1097" s="45" t="n">
        <f aca="false">IF(D1097="Sale",E1097*M1097,0)</f>
        <v>1160</v>
      </c>
      <c r="P1097" s="45" t="n">
        <f aca="false">N1097-O1097</f>
        <v>440</v>
      </c>
      <c r="Q1097" s="45" t="n">
        <f aca="false">IF(D1097="Purchase",E1097*M1097,0)</f>
        <v>0</v>
      </c>
    </row>
    <row r="1098" customFormat="false" ht="15" hidden="false" customHeight="false" outlineLevel="0" collapsed="false">
      <c r="A1098" s="39" t="s">
        <v>1422</v>
      </c>
      <c r="B1098" s="44" t="n">
        <v>46236</v>
      </c>
      <c r="C1098" s="39" t="s">
        <v>145</v>
      </c>
      <c r="D1098" s="39" t="s">
        <v>138</v>
      </c>
      <c r="E1098" s="39" t="n">
        <v>50</v>
      </c>
      <c r="F1098" s="39" t="str">
        <f aca="false">IF(COUNTIF(medicine_master!$A$2:$A$26,C1098)&gt;0,"Valid","Invalid")</f>
        <v>Valid</v>
      </c>
      <c r="G1098" s="39" t="str">
        <f aca="false">IFERROR(INDEX(medicine_master!$B$2:$B$26,MATCH($C1098,medicine_master!$A$2:$A$26,0)),"Not found")</f>
        <v>Clotrimazole Cream</v>
      </c>
      <c r="H1098" s="39" t="str">
        <f aca="false">IFERROR(INDEX(medicine_master!$C$2:$C$26,MATCH($C1098,medicine_master!$A$2:$A$26,0)),"Not found")</f>
        <v>Dermatology</v>
      </c>
      <c r="I1098" s="39" t="n">
        <f aca="false">YEAR(B1098)</f>
        <v>2026</v>
      </c>
      <c r="J1098" s="39" t="n">
        <f aca="false">MONTH(B1098)</f>
        <v>8</v>
      </c>
      <c r="K1098" s="39" t="str">
        <f aca="false">TEXT(B1098,"mmm")</f>
        <v>Aug</v>
      </c>
      <c r="L1098" s="45" t="n">
        <f aca="false">IFERROR(INDEX(medicine_master!$I$2:$I$26,MATCH($C1098,medicine_master!$A$2:$A$26,0)),0)</f>
        <v>48</v>
      </c>
      <c r="M1098" s="45" t="n">
        <f aca="false">IFERROR(INDEX(medicine_master!$G$2:$G$26,MATCH($C1098,medicine_master!$A$2:$A$26,0)),0)</f>
        <v>32</v>
      </c>
      <c r="N1098" s="45" t="n">
        <f aca="false">IF(D1098="Sale",E1098*L1098,0)</f>
        <v>0</v>
      </c>
      <c r="O1098" s="45" t="n">
        <f aca="false">IF(D1098="Sale",E1098*M1098,0)</f>
        <v>0</v>
      </c>
      <c r="P1098" s="45" t="n">
        <f aca="false">N1098-O1098</f>
        <v>0</v>
      </c>
      <c r="Q1098" s="45" t="n">
        <f aca="false">IF(D1098="Purchase",E1098*M1098,0)</f>
        <v>1600</v>
      </c>
    </row>
    <row r="1099" customFormat="false" ht="15" hidden="false" customHeight="false" outlineLevel="0" collapsed="false">
      <c r="A1099" s="39" t="s">
        <v>1423</v>
      </c>
      <c r="B1099" s="44" t="n">
        <v>46330</v>
      </c>
      <c r="C1099" s="39" t="s">
        <v>145</v>
      </c>
      <c r="D1099" s="39" t="s">
        <v>137</v>
      </c>
      <c r="E1099" s="39" t="n">
        <v>25</v>
      </c>
      <c r="F1099" s="39" t="str">
        <f aca="false">IF(COUNTIF(medicine_master!$A$2:$A$26,C1099)&gt;0,"Valid","Invalid")</f>
        <v>Valid</v>
      </c>
      <c r="G1099" s="39" t="str">
        <f aca="false">IFERROR(INDEX(medicine_master!$B$2:$B$26,MATCH($C1099,medicine_master!$A$2:$A$26,0)),"Not found")</f>
        <v>Clotrimazole Cream</v>
      </c>
      <c r="H1099" s="39" t="str">
        <f aca="false">IFERROR(INDEX(medicine_master!$C$2:$C$26,MATCH($C1099,medicine_master!$A$2:$A$26,0)),"Not found")</f>
        <v>Dermatology</v>
      </c>
      <c r="I1099" s="39" t="n">
        <f aca="false">YEAR(B1099)</f>
        <v>2026</v>
      </c>
      <c r="J1099" s="39" t="n">
        <f aca="false">MONTH(B1099)</f>
        <v>11</v>
      </c>
      <c r="K1099" s="39" t="str">
        <f aca="false">TEXT(B1099,"mmm")</f>
        <v>Nov</v>
      </c>
      <c r="L1099" s="45" t="n">
        <f aca="false">IFERROR(INDEX(medicine_master!$I$2:$I$26,MATCH($C1099,medicine_master!$A$2:$A$26,0)),0)</f>
        <v>48</v>
      </c>
      <c r="M1099" s="45" t="n">
        <f aca="false">IFERROR(INDEX(medicine_master!$G$2:$G$26,MATCH($C1099,medicine_master!$A$2:$A$26,0)),0)</f>
        <v>32</v>
      </c>
      <c r="N1099" s="45" t="n">
        <f aca="false">IF(D1099="Sale",E1099*L1099,0)</f>
        <v>1200</v>
      </c>
      <c r="O1099" s="45" t="n">
        <f aca="false">IF(D1099="Sale",E1099*M1099,0)</f>
        <v>800</v>
      </c>
      <c r="P1099" s="45" t="n">
        <f aca="false">N1099-O1099</f>
        <v>400</v>
      </c>
      <c r="Q1099" s="45" t="n">
        <f aca="false">IF(D1099="Purchase",E1099*M1099,0)</f>
        <v>0</v>
      </c>
    </row>
    <row r="1100" customFormat="false" ht="15" hidden="false" customHeight="false" outlineLevel="0" collapsed="false">
      <c r="A1100" s="39" t="s">
        <v>1424</v>
      </c>
      <c r="B1100" s="44" t="n">
        <v>46105</v>
      </c>
      <c r="C1100" s="39" t="s">
        <v>151</v>
      </c>
      <c r="D1100" s="39" t="s">
        <v>138</v>
      </c>
      <c r="E1100" s="39" t="n">
        <v>15</v>
      </c>
      <c r="F1100" s="39" t="str">
        <f aca="false">IF(COUNTIF(medicine_master!$A$2:$A$26,C1100)&gt;0,"Valid","Invalid")</f>
        <v>Valid</v>
      </c>
      <c r="G1100" s="39" t="str">
        <f aca="false">IFERROR(INDEX(medicine_master!$B$2:$B$26,MATCH($C1100,medicine_master!$A$2:$A$26,0)),"Not found")</f>
        <v>Cetirizine 10mg</v>
      </c>
      <c r="H1100" s="39" t="str">
        <f aca="false">IFERROR(INDEX(medicine_master!$C$2:$C$26,MATCH($C1100,medicine_master!$A$2:$A$26,0)),"Not found")</f>
        <v>Allergy</v>
      </c>
      <c r="I1100" s="39" t="n">
        <f aca="false">YEAR(B1100)</f>
        <v>2026</v>
      </c>
      <c r="J1100" s="39" t="n">
        <f aca="false">MONTH(B1100)</f>
        <v>3</v>
      </c>
      <c r="K1100" s="39" t="str">
        <f aca="false">TEXT(B1100,"mmm")</f>
        <v>Mar</v>
      </c>
      <c r="L1100" s="45" t="n">
        <f aca="false">IFERROR(INDEX(medicine_master!$I$2:$I$26,MATCH($C1100,medicine_master!$A$2:$A$26,0)),0)</f>
        <v>13</v>
      </c>
      <c r="M1100" s="45" t="n">
        <f aca="false">IFERROR(INDEX(medicine_master!$G$2:$G$26,MATCH($C1100,medicine_master!$A$2:$A$26,0)),0)</f>
        <v>8</v>
      </c>
      <c r="N1100" s="45" t="n">
        <f aca="false">IF(D1100="Sale",E1100*L1100,0)</f>
        <v>0</v>
      </c>
      <c r="O1100" s="45" t="n">
        <f aca="false">IF(D1100="Sale",E1100*M1100,0)</f>
        <v>0</v>
      </c>
      <c r="P1100" s="45" t="n">
        <f aca="false">N1100-O1100</f>
        <v>0</v>
      </c>
      <c r="Q1100" s="45" t="n">
        <f aca="false">IF(D1100="Purchase",E1100*M1100,0)</f>
        <v>120</v>
      </c>
    </row>
    <row r="1101" customFormat="false" ht="15" hidden="false" customHeight="false" outlineLevel="0" collapsed="false">
      <c r="A1101" s="39" t="s">
        <v>1425</v>
      </c>
      <c r="B1101" s="44" t="n">
        <v>46306</v>
      </c>
      <c r="C1101" s="39" t="s">
        <v>345</v>
      </c>
      <c r="D1101" s="39" t="s">
        <v>138</v>
      </c>
      <c r="E1101" s="39" t="n">
        <v>50</v>
      </c>
      <c r="F1101" s="39" t="str">
        <f aca="false">IF(COUNTIF(medicine_master!$A$2:$A$26,C1101)&gt;0,"Valid","Invalid")</f>
        <v>Valid</v>
      </c>
      <c r="G1101" s="39" t="str">
        <f aca="false">IFERROR(INDEX(medicine_master!$B$2:$B$26,MATCH($C1101,medicine_master!$A$2:$A$26,0)),"Not found")</f>
        <v>Paracetamol 500mg</v>
      </c>
      <c r="H1101" s="39" t="str">
        <f aca="false">IFERROR(INDEX(medicine_master!$C$2:$C$26,MATCH($C1101,medicine_master!$A$2:$A$26,0)),"Not found")</f>
        <v>Pain Relief</v>
      </c>
      <c r="I1101" s="39" t="n">
        <f aca="false">YEAR(B1101)</f>
        <v>2026</v>
      </c>
      <c r="J1101" s="39" t="n">
        <f aca="false">MONTH(B1101)</f>
        <v>10</v>
      </c>
      <c r="K1101" s="39" t="str">
        <f aca="false">TEXT(B1101,"mmm")</f>
        <v>Oct</v>
      </c>
      <c r="L1101" s="45" t="n">
        <f aca="false">IFERROR(INDEX(medicine_master!$I$2:$I$26,MATCH($C1101,medicine_master!$A$2:$A$26,0)),0)</f>
        <v>18</v>
      </c>
      <c r="M1101" s="45" t="n">
        <f aca="false">IFERROR(INDEX(medicine_master!$G$2:$G$26,MATCH($C1101,medicine_master!$A$2:$A$26,0)),0)</f>
        <v>12</v>
      </c>
      <c r="N1101" s="45" t="n">
        <f aca="false">IF(D1101="Sale",E1101*L1101,0)</f>
        <v>0</v>
      </c>
      <c r="O1101" s="45" t="n">
        <f aca="false">IF(D1101="Sale",E1101*M1101,0)</f>
        <v>0</v>
      </c>
      <c r="P1101" s="45" t="n">
        <f aca="false">N1101-O1101</f>
        <v>0</v>
      </c>
      <c r="Q1101" s="45" t="n">
        <f aca="false">IF(D1101="Purchase",E1101*M1101,0)</f>
        <v>600</v>
      </c>
    </row>
    <row r="1102" customFormat="false" ht="15" hidden="false" customHeight="false" outlineLevel="0" collapsed="false">
      <c r="A1102" s="39" t="s">
        <v>1426</v>
      </c>
      <c r="B1102" s="44" t="n">
        <v>46119</v>
      </c>
      <c r="C1102" s="39" t="s">
        <v>144</v>
      </c>
      <c r="D1102" s="39" t="s">
        <v>138</v>
      </c>
      <c r="E1102" s="39" t="n">
        <v>20</v>
      </c>
      <c r="F1102" s="39" t="str">
        <f aca="false">IF(COUNTIF(medicine_master!$A$2:$A$26,C1102)&gt;0,"Valid","Invalid")</f>
        <v>Valid</v>
      </c>
      <c r="G1102" s="39" t="str">
        <f aca="false">IFERROR(INDEX(medicine_master!$B$2:$B$26,MATCH($C1102,medicine_master!$A$2:$A$26,0)),"Not found")</f>
        <v>Glimepiride 2mg</v>
      </c>
      <c r="H1102" s="39" t="str">
        <f aca="false">IFERROR(INDEX(medicine_master!$C$2:$C$26,MATCH($C1102,medicine_master!$A$2:$A$26,0)),"Not found")</f>
        <v>Diabetes</v>
      </c>
      <c r="I1102" s="39" t="n">
        <f aca="false">YEAR(B1102)</f>
        <v>2026</v>
      </c>
      <c r="J1102" s="39" t="n">
        <f aca="false">MONTH(B1102)</f>
        <v>4</v>
      </c>
      <c r="K1102" s="39" t="str">
        <f aca="false">TEXT(B1102,"mmm")</f>
        <v>Apr</v>
      </c>
      <c r="L1102" s="45" t="n">
        <f aca="false">IFERROR(INDEX(medicine_master!$I$2:$I$26,MATCH($C1102,medicine_master!$A$2:$A$26,0)),0)</f>
        <v>52</v>
      </c>
      <c r="M1102" s="45" t="n">
        <f aca="false">IFERROR(INDEX(medicine_master!$G$2:$G$26,MATCH($C1102,medicine_master!$A$2:$A$26,0)),0)</f>
        <v>38</v>
      </c>
      <c r="N1102" s="45" t="n">
        <f aca="false">IF(D1102="Sale",E1102*L1102,0)</f>
        <v>0</v>
      </c>
      <c r="O1102" s="45" t="n">
        <f aca="false">IF(D1102="Sale",E1102*M1102,0)</f>
        <v>0</v>
      </c>
      <c r="P1102" s="45" t="n">
        <f aca="false">N1102-O1102</f>
        <v>0</v>
      </c>
      <c r="Q1102" s="45" t="n">
        <f aca="false">IF(D1102="Purchase",E1102*M1102,0)</f>
        <v>760</v>
      </c>
    </row>
    <row r="1103" customFormat="false" ht="15" hidden="false" customHeight="false" outlineLevel="0" collapsed="false">
      <c r="A1103" s="39" t="s">
        <v>1427</v>
      </c>
      <c r="B1103" s="44" t="n">
        <v>46159</v>
      </c>
      <c r="C1103" s="39" t="s">
        <v>159</v>
      </c>
      <c r="D1103" s="39" t="s">
        <v>138</v>
      </c>
      <c r="E1103" s="39" t="n">
        <v>25</v>
      </c>
      <c r="F1103" s="39" t="str">
        <f aca="false">IF(COUNTIF(medicine_master!$A$2:$A$26,C1103)&gt;0,"Valid","Invalid")</f>
        <v>Valid</v>
      </c>
      <c r="G1103" s="39" t="str">
        <f aca="false">IFERROR(INDEX(medicine_master!$B$2:$B$26,MATCH($C1103,medicine_master!$A$2:$A$26,0)),"Not found")</f>
        <v>Antiseptic Liquid 100ml</v>
      </c>
      <c r="H1103" s="39" t="str">
        <f aca="false">IFERROR(INDEX(medicine_master!$C$2:$C$26,MATCH($C1103,medicine_master!$A$2:$A$26,0)),"Not found")</f>
        <v>First Aid</v>
      </c>
      <c r="I1103" s="39" t="n">
        <f aca="false">YEAR(B1103)</f>
        <v>2026</v>
      </c>
      <c r="J1103" s="39" t="n">
        <f aca="false">MONTH(B1103)</f>
        <v>5</v>
      </c>
      <c r="K1103" s="39" t="str">
        <f aca="false">TEXT(B1103,"mmm")</f>
        <v>May</v>
      </c>
      <c r="L1103" s="45" t="n">
        <f aca="false">IFERROR(INDEX(medicine_master!$I$2:$I$26,MATCH($C1103,medicine_master!$A$2:$A$26,0)),0)</f>
        <v>65</v>
      </c>
      <c r="M1103" s="45" t="n">
        <f aca="false">IFERROR(INDEX(medicine_master!$G$2:$G$26,MATCH($C1103,medicine_master!$A$2:$A$26,0)),0)</f>
        <v>48</v>
      </c>
      <c r="N1103" s="45" t="n">
        <f aca="false">IF(D1103="Sale",E1103*L1103,0)</f>
        <v>0</v>
      </c>
      <c r="O1103" s="45" t="n">
        <f aca="false">IF(D1103="Sale",E1103*M1103,0)</f>
        <v>0</v>
      </c>
      <c r="P1103" s="45" t="n">
        <f aca="false">N1103-O1103</f>
        <v>0</v>
      </c>
      <c r="Q1103" s="45" t="n">
        <f aca="false">IF(D1103="Purchase",E1103*M1103,0)</f>
        <v>1200</v>
      </c>
    </row>
    <row r="1104" customFormat="false" ht="15" hidden="false" customHeight="false" outlineLevel="0" collapsed="false">
      <c r="A1104" s="39" t="s">
        <v>1428</v>
      </c>
      <c r="B1104" s="44" t="n">
        <v>46164</v>
      </c>
      <c r="C1104" s="39" t="s">
        <v>167</v>
      </c>
      <c r="D1104" s="39" t="s">
        <v>137</v>
      </c>
      <c r="E1104" s="39" t="n">
        <v>20</v>
      </c>
      <c r="F1104" s="39" t="str">
        <f aca="false">IF(COUNTIF(medicine_master!$A$2:$A$26,C1104)&gt;0,"Valid","Invalid")</f>
        <v>Valid</v>
      </c>
      <c r="G1104" s="39" t="str">
        <f aca="false">IFERROR(INDEX(medicine_master!$B$2:$B$26,MATCH($C1104,medicine_master!$A$2:$A$26,0)),"Not found")</f>
        <v>Amlodipine 5mg</v>
      </c>
      <c r="H1104" s="39" t="str">
        <f aca="false">IFERROR(INDEX(medicine_master!$C$2:$C$26,MATCH($C1104,medicine_master!$A$2:$A$26,0)),"Not found")</f>
        <v>Cardiac</v>
      </c>
      <c r="I1104" s="39" t="n">
        <f aca="false">YEAR(B1104)</f>
        <v>2026</v>
      </c>
      <c r="J1104" s="39" t="n">
        <f aca="false">MONTH(B1104)</f>
        <v>5</v>
      </c>
      <c r="K1104" s="39" t="str">
        <f aca="false">TEXT(B1104,"mmm")</f>
        <v>May</v>
      </c>
      <c r="L1104" s="45" t="n">
        <f aca="false">IFERROR(INDEX(medicine_master!$I$2:$I$26,MATCH($C1104,medicine_master!$A$2:$A$26,0)),0)</f>
        <v>19</v>
      </c>
      <c r="M1104" s="45" t="n">
        <f aca="false">IFERROR(INDEX(medicine_master!$G$2:$G$26,MATCH($C1104,medicine_master!$A$2:$A$26,0)),0)</f>
        <v>13</v>
      </c>
      <c r="N1104" s="45" t="n">
        <f aca="false">IF(D1104="Sale",E1104*L1104,0)</f>
        <v>380</v>
      </c>
      <c r="O1104" s="45" t="n">
        <f aca="false">IF(D1104="Sale",E1104*M1104,0)</f>
        <v>260</v>
      </c>
      <c r="P1104" s="45" t="n">
        <f aca="false">N1104-O1104</f>
        <v>120</v>
      </c>
      <c r="Q1104" s="45" t="n">
        <f aca="false">IF(D1104="Purchase",E1104*M1104,0)</f>
        <v>0</v>
      </c>
    </row>
    <row r="1105" customFormat="false" ht="15" hidden="false" customHeight="false" outlineLevel="0" collapsed="false">
      <c r="A1105" s="39" t="s">
        <v>1429</v>
      </c>
      <c r="B1105" s="44" t="n">
        <v>46272</v>
      </c>
      <c r="C1105" s="39" t="s">
        <v>147</v>
      </c>
      <c r="D1105" s="39" t="s">
        <v>137</v>
      </c>
      <c r="E1105" s="39" t="n">
        <v>25</v>
      </c>
      <c r="F1105" s="39" t="str">
        <f aca="false">IF(COUNTIF(medicine_master!$A$2:$A$26,C1105)&gt;0,"Valid","Invalid")</f>
        <v>Valid</v>
      </c>
      <c r="G1105" s="39" t="str">
        <f aca="false">IFERROR(INDEX(medicine_master!$B$2:$B$26,MATCH($C1105,medicine_master!$A$2:$A$26,0)),"Not found")</f>
        <v>Insulin Injection</v>
      </c>
      <c r="H1105" s="39" t="str">
        <f aca="false">IFERROR(INDEX(medicine_master!$C$2:$C$26,MATCH($C1105,medicine_master!$A$2:$A$26,0)),"Not found")</f>
        <v>Diabetes</v>
      </c>
      <c r="I1105" s="39" t="n">
        <f aca="false">YEAR(B1105)</f>
        <v>2026</v>
      </c>
      <c r="J1105" s="39" t="n">
        <f aca="false">MONTH(B1105)</f>
        <v>9</v>
      </c>
      <c r="K1105" s="39" t="str">
        <f aca="false">TEXT(B1105,"mmm")</f>
        <v>Sep</v>
      </c>
      <c r="L1105" s="45" t="n">
        <f aca="false">IFERROR(INDEX(medicine_master!$I$2:$I$26,MATCH($C1105,medicine_master!$A$2:$A$26,0)),0)</f>
        <v>225</v>
      </c>
      <c r="M1105" s="45" t="n">
        <f aca="false">IFERROR(INDEX(medicine_master!$G$2:$G$26,MATCH($C1105,medicine_master!$A$2:$A$26,0)),0)</f>
        <v>165</v>
      </c>
      <c r="N1105" s="45" t="n">
        <f aca="false">IF(D1105="Sale",E1105*L1105,0)</f>
        <v>5625</v>
      </c>
      <c r="O1105" s="45" t="n">
        <f aca="false">IF(D1105="Sale",E1105*M1105,0)</f>
        <v>4125</v>
      </c>
      <c r="P1105" s="45" t="n">
        <f aca="false">N1105-O1105</f>
        <v>1500</v>
      </c>
      <c r="Q1105" s="45" t="n">
        <f aca="false">IF(D1105="Purchase",E1105*M1105,0)</f>
        <v>0</v>
      </c>
    </row>
    <row r="1106" customFormat="false" ht="15" hidden="false" customHeight="false" outlineLevel="0" collapsed="false">
      <c r="A1106" s="39" t="s">
        <v>1430</v>
      </c>
      <c r="B1106" s="44" t="n">
        <v>46304</v>
      </c>
      <c r="C1106" s="39" t="s">
        <v>146</v>
      </c>
      <c r="D1106" s="39" t="s">
        <v>137</v>
      </c>
      <c r="E1106" s="39" t="n">
        <v>25</v>
      </c>
      <c r="F1106" s="39" t="str">
        <f aca="false">IF(COUNTIF(medicine_master!$A$2:$A$26,C1106)&gt;0,"Valid","Invalid")</f>
        <v>Valid</v>
      </c>
      <c r="G1106" s="39" t="str">
        <f aca="false">IFERROR(INDEX(medicine_master!$B$2:$B$26,MATCH($C1106,medicine_master!$A$2:$A$26,0)),"Not found")</f>
        <v>Diclofenac Gel</v>
      </c>
      <c r="H1106" s="39" t="str">
        <f aca="false">IFERROR(INDEX(medicine_master!$C$2:$C$26,MATCH($C1106,medicine_master!$A$2:$A$26,0)),"Not found")</f>
        <v>Pain Relief</v>
      </c>
      <c r="I1106" s="39" t="n">
        <f aca="false">YEAR(B1106)</f>
        <v>2026</v>
      </c>
      <c r="J1106" s="39" t="n">
        <f aca="false">MONTH(B1106)</f>
        <v>10</v>
      </c>
      <c r="K1106" s="39" t="str">
        <f aca="false">TEXT(B1106,"mmm")</f>
        <v>Oct</v>
      </c>
      <c r="L1106" s="45" t="n">
        <f aca="false">IFERROR(INDEX(medicine_master!$I$2:$I$26,MATCH($C1106,medicine_master!$A$2:$A$26,0)),0)</f>
        <v>55</v>
      </c>
      <c r="M1106" s="45" t="n">
        <f aca="false">IFERROR(INDEX(medicine_master!$G$2:$G$26,MATCH($C1106,medicine_master!$A$2:$A$26,0)),0)</f>
        <v>38</v>
      </c>
      <c r="N1106" s="45" t="n">
        <f aca="false">IF(D1106="Sale",E1106*L1106,0)</f>
        <v>1375</v>
      </c>
      <c r="O1106" s="45" t="n">
        <f aca="false">IF(D1106="Sale",E1106*M1106,0)</f>
        <v>950</v>
      </c>
      <c r="P1106" s="45" t="n">
        <f aca="false">N1106-O1106</f>
        <v>425</v>
      </c>
      <c r="Q1106" s="45" t="n">
        <f aca="false">IF(D1106="Purchase",E1106*M1106,0)</f>
        <v>0</v>
      </c>
    </row>
    <row r="1107" customFormat="false" ht="15" hidden="false" customHeight="false" outlineLevel="0" collapsed="false">
      <c r="A1107" s="39" t="s">
        <v>1431</v>
      </c>
      <c r="B1107" s="44" t="n">
        <v>46345</v>
      </c>
      <c r="C1107" s="39" t="s">
        <v>147</v>
      </c>
      <c r="D1107" s="39" t="s">
        <v>137</v>
      </c>
      <c r="E1107" s="39" t="n">
        <v>30</v>
      </c>
      <c r="F1107" s="39" t="str">
        <f aca="false">IF(COUNTIF(medicine_master!$A$2:$A$26,C1107)&gt;0,"Valid","Invalid")</f>
        <v>Valid</v>
      </c>
      <c r="G1107" s="39" t="str">
        <f aca="false">IFERROR(INDEX(medicine_master!$B$2:$B$26,MATCH($C1107,medicine_master!$A$2:$A$26,0)),"Not found")</f>
        <v>Insulin Injection</v>
      </c>
      <c r="H1107" s="39" t="str">
        <f aca="false">IFERROR(INDEX(medicine_master!$C$2:$C$26,MATCH($C1107,medicine_master!$A$2:$A$26,0)),"Not found")</f>
        <v>Diabetes</v>
      </c>
      <c r="I1107" s="39" t="n">
        <f aca="false">YEAR(B1107)</f>
        <v>2026</v>
      </c>
      <c r="J1107" s="39" t="n">
        <f aca="false">MONTH(B1107)</f>
        <v>11</v>
      </c>
      <c r="K1107" s="39" t="str">
        <f aca="false">TEXT(B1107,"mmm")</f>
        <v>Nov</v>
      </c>
      <c r="L1107" s="45" t="n">
        <f aca="false">IFERROR(INDEX(medicine_master!$I$2:$I$26,MATCH($C1107,medicine_master!$A$2:$A$26,0)),0)</f>
        <v>225</v>
      </c>
      <c r="M1107" s="45" t="n">
        <f aca="false">IFERROR(INDEX(medicine_master!$G$2:$G$26,MATCH($C1107,medicine_master!$A$2:$A$26,0)),0)</f>
        <v>165</v>
      </c>
      <c r="N1107" s="45" t="n">
        <f aca="false">IF(D1107="Sale",E1107*L1107,0)</f>
        <v>6750</v>
      </c>
      <c r="O1107" s="45" t="n">
        <f aca="false">IF(D1107="Sale",E1107*M1107,0)</f>
        <v>4950</v>
      </c>
      <c r="P1107" s="45" t="n">
        <f aca="false">N1107-O1107</f>
        <v>1800</v>
      </c>
      <c r="Q1107" s="45" t="n">
        <f aca="false">IF(D1107="Purchase",E1107*M1107,0)</f>
        <v>0</v>
      </c>
    </row>
    <row r="1108" customFormat="false" ht="15" hidden="false" customHeight="false" outlineLevel="0" collapsed="false">
      <c r="A1108" s="39" t="s">
        <v>1432</v>
      </c>
      <c r="B1108" s="44" t="n">
        <v>46135</v>
      </c>
      <c r="C1108" s="39" t="s">
        <v>159</v>
      </c>
      <c r="D1108" s="39" t="s">
        <v>137</v>
      </c>
      <c r="E1108" s="39" t="n">
        <v>40</v>
      </c>
      <c r="F1108" s="39" t="str">
        <f aca="false">IF(COUNTIF(medicine_master!$A$2:$A$26,C1108)&gt;0,"Valid","Invalid")</f>
        <v>Valid</v>
      </c>
      <c r="G1108" s="39" t="str">
        <f aca="false">IFERROR(INDEX(medicine_master!$B$2:$B$26,MATCH($C1108,medicine_master!$A$2:$A$26,0)),"Not found")</f>
        <v>Antiseptic Liquid 100ml</v>
      </c>
      <c r="H1108" s="39" t="str">
        <f aca="false">IFERROR(INDEX(medicine_master!$C$2:$C$26,MATCH($C1108,medicine_master!$A$2:$A$26,0)),"Not found")</f>
        <v>First Aid</v>
      </c>
      <c r="I1108" s="39" t="n">
        <f aca="false">YEAR(B1108)</f>
        <v>2026</v>
      </c>
      <c r="J1108" s="39" t="n">
        <f aca="false">MONTH(B1108)</f>
        <v>4</v>
      </c>
      <c r="K1108" s="39" t="str">
        <f aca="false">TEXT(B1108,"mmm")</f>
        <v>Apr</v>
      </c>
      <c r="L1108" s="45" t="n">
        <f aca="false">IFERROR(INDEX(medicine_master!$I$2:$I$26,MATCH($C1108,medicine_master!$A$2:$A$26,0)),0)</f>
        <v>65</v>
      </c>
      <c r="M1108" s="45" t="n">
        <f aca="false">IFERROR(INDEX(medicine_master!$G$2:$G$26,MATCH($C1108,medicine_master!$A$2:$A$26,0)),0)</f>
        <v>48</v>
      </c>
      <c r="N1108" s="45" t="n">
        <f aca="false">IF(D1108="Sale",E1108*L1108,0)</f>
        <v>2600</v>
      </c>
      <c r="O1108" s="45" t="n">
        <f aca="false">IF(D1108="Sale",E1108*M1108,0)</f>
        <v>1920</v>
      </c>
      <c r="P1108" s="45" t="n">
        <f aca="false">N1108-O1108</f>
        <v>680</v>
      </c>
      <c r="Q1108" s="45" t="n">
        <f aca="false">IF(D1108="Purchase",E1108*M1108,0)</f>
        <v>0</v>
      </c>
    </row>
    <row r="1109" customFormat="false" ht="15" hidden="false" customHeight="false" outlineLevel="0" collapsed="false">
      <c r="A1109" s="39" t="s">
        <v>1433</v>
      </c>
      <c r="B1109" s="44" t="n">
        <v>46066</v>
      </c>
      <c r="C1109" s="39" t="s">
        <v>159</v>
      </c>
      <c r="D1109" s="39" t="s">
        <v>137</v>
      </c>
      <c r="E1109" s="39" t="n">
        <v>40</v>
      </c>
      <c r="F1109" s="39" t="str">
        <f aca="false">IF(COUNTIF(medicine_master!$A$2:$A$26,C1109)&gt;0,"Valid","Invalid")</f>
        <v>Valid</v>
      </c>
      <c r="G1109" s="39" t="str">
        <f aca="false">IFERROR(INDEX(medicine_master!$B$2:$B$26,MATCH($C1109,medicine_master!$A$2:$A$26,0)),"Not found")</f>
        <v>Antiseptic Liquid 100ml</v>
      </c>
      <c r="H1109" s="39" t="str">
        <f aca="false">IFERROR(INDEX(medicine_master!$C$2:$C$26,MATCH($C1109,medicine_master!$A$2:$A$26,0)),"Not found")</f>
        <v>First Aid</v>
      </c>
      <c r="I1109" s="39" t="n">
        <f aca="false">YEAR(B1109)</f>
        <v>2026</v>
      </c>
      <c r="J1109" s="39" t="n">
        <f aca="false">MONTH(B1109)</f>
        <v>2</v>
      </c>
      <c r="K1109" s="39" t="str">
        <f aca="false">TEXT(B1109,"mmm")</f>
        <v>Feb</v>
      </c>
      <c r="L1109" s="45" t="n">
        <f aca="false">IFERROR(INDEX(medicine_master!$I$2:$I$26,MATCH($C1109,medicine_master!$A$2:$A$26,0)),0)</f>
        <v>65</v>
      </c>
      <c r="M1109" s="45" t="n">
        <f aca="false">IFERROR(INDEX(medicine_master!$G$2:$G$26,MATCH($C1109,medicine_master!$A$2:$A$26,0)),0)</f>
        <v>48</v>
      </c>
      <c r="N1109" s="45" t="n">
        <f aca="false">IF(D1109="Sale",E1109*L1109,0)</f>
        <v>2600</v>
      </c>
      <c r="O1109" s="45" t="n">
        <f aca="false">IF(D1109="Sale",E1109*M1109,0)</f>
        <v>1920</v>
      </c>
      <c r="P1109" s="45" t="n">
        <f aca="false">N1109-O1109</f>
        <v>680</v>
      </c>
      <c r="Q1109" s="45" t="n">
        <f aca="false">IF(D1109="Purchase",E1109*M1109,0)</f>
        <v>0</v>
      </c>
    </row>
    <row r="1110" customFormat="false" ht="15" hidden="false" customHeight="false" outlineLevel="0" collapsed="false">
      <c r="A1110" s="39" t="s">
        <v>1434</v>
      </c>
      <c r="B1110" s="44" t="n">
        <v>46362</v>
      </c>
      <c r="C1110" s="39" t="s">
        <v>144</v>
      </c>
      <c r="D1110" s="39" t="s">
        <v>137</v>
      </c>
      <c r="E1110" s="39" t="n">
        <v>15</v>
      </c>
      <c r="F1110" s="39" t="str">
        <f aca="false">IF(COUNTIF(medicine_master!$A$2:$A$26,C1110)&gt;0,"Valid","Invalid")</f>
        <v>Valid</v>
      </c>
      <c r="G1110" s="39" t="str">
        <f aca="false">IFERROR(INDEX(medicine_master!$B$2:$B$26,MATCH($C1110,medicine_master!$A$2:$A$26,0)),"Not found")</f>
        <v>Glimepiride 2mg</v>
      </c>
      <c r="H1110" s="39" t="str">
        <f aca="false">IFERROR(INDEX(medicine_master!$C$2:$C$26,MATCH($C1110,medicine_master!$A$2:$A$26,0)),"Not found")</f>
        <v>Diabetes</v>
      </c>
      <c r="I1110" s="39" t="n">
        <f aca="false">YEAR(B1110)</f>
        <v>2026</v>
      </c>
      <c r="J1110" s="39" t="n">
        <f aca="false">MONTH(B1110)</f>
        <v>12</v>
      </c>
      <c r="K1110" s="39" t="str">
        <f aca="false">TEXT(B1110,"mmm")</f>
        <v>Dec</v>
      </c>
      <c r="L1110" s="45" t="n">
        <f aca="false">IFERROR(INDEX(medicine_master!$I$2:$I$26,MATCH($C1110,medicine_master!$A$2:$A$26,0)),0)</f>
        <v>52</v>
      </c>
      <c r="M1110" s="45" t="n">
        <f aca="false">IFERROR(INDEX(medicine_master!$G$2:$G$26,MATCH($C1110,medicine_master!$A$2:$A$26,0)),0)</f>
        <v>38</v>
      </c>
      <c r="N1110" s="45" t="n">
        <f aca="false">IF(D1110="Sale",E1110*L1110,0)</f>
        <v>780</v>
      </c>
      <c r="O1110" s="45" t="n">
        <f aca="false">IF(D1110="Sale",E1110*M1110,0)</f>
        <v>570</v>
      </c>
      <c r="P1110" s="45" t="n">
        <f aca="false">N1110-O1110</f>
        <v>210</v>
      </c>
      <c r="Q1110" s="45" t="n">
        <f aca="false">IF(D1110="Purchase",E1110*M1110,0)</f>
        <v>0</v>
      </c>
    </row>
    <row r="1111" customFormat="false" ht="15" hidden="false" customHeight="false" outlineLevel="0" collapsed="false">
      <c r="A1111" s="39" t="s">
        <v>1435</v>
      </c>
      <c r="B1111" s="44" t="n">
        <v>46205</v>
      </c>
      <c r="C1111" s="39" t="s">
        <v>177</v>
      </c>
      <c r="D1111" s="39" t="s">
        <v>138</v>
      </c>
      <c r="E1111" s="39" t="n">
        <v>10</v>
      </c>
      <c r="F1111" s="39" t="str">
        <f aca="false">IF(COUNTIF(medicine_master!$A$2:$A$26,C1111)&gt;0,"Valid","Invalid")</f>
        <v>Valid</v>
      </c>
      <c r="G1111" s="39" t="str">
        <f aca="false">IFERROR(INDEX(medicine_master!$B$2:$B$26,MATCH($C1111,medicine_master!$A$2:$A$26,0)),"Not found")</f>
        <v>Bandage Roll</v>
      </c>
      <c r="H1111" s="39" t="str">
        <f aca="false">IFERROR(INDEX(medicine_master!$C$2:$C$26,MATCH($C1111,medicine_master!$A$2:$A$26,0)),"Not found")</f>
        <v>First Aid</v>
      </c>
      <c r="I1111" s="39" t="n">
        <f aca="false">YEAR(B1111)</f>
        <v>2026</v>
      </c>
      <c r="J1111" s="39" t="n">
        <f aca="false">MONTH(B1111)</f>
        <v>7</v>
      </c>
      <c r="K1111" s="39" t="str">
        <f aca="false">TEXT(B1111,"mmm")</f>
        <v>Jul</v>
      </c>
      <c r="L1111" s="45" t="n">
        <f aca="false">IFERROR(INDEX(medicine_master!$I$2:$I$26,MATCH($C1111,medicine_master!$A$2:$A$26,0)),0)</f>
        <v>25</v>
      </c>
      <c r="M1111" s="45" t="n">
        <f aca="false">IFERROR(INDEX(medicine_master!$G$2:$G$26,MATCH($C1111,medicine_master!$A$2:$A$26,0)),0)</f>
        <v>15</v>
      </c>
      <c r="N1111" s="45" t="n">
        <f aca="false">IF(D1111="Sale",E1111*L1111,0)</f>
        <v>0</v>
      </c>
      <c r="O1111" s="45" t="n">
        <f aca="false">IF(D1111="Sale",E1111*M1111,0)</f>
        <v>0</v>
      </c>
      <c r="P1111" s="45" t="n">
        <f aca="false">N1111-O1111</f>
        <v>0</v>
      </c>
      <c r="Q1111" s="45" t="n">
        <f aca="false">IF(D1111="Purchase",E1111*M1111,0)</f>
        <v>150</v>
      </c>
    </row>
    <row r="1112" customFormat="false" ht="15" hidden="false" customHeight="false" outlineLevel="0" collapsed="false">
      <c r="A1112" s="39" t="s">
        <v>1436</v>
      </c>
      <c r="B1112" s="44" t="n">
        <v>46180</v>
      </c>
      <c r="C1112" s="39" t="s">
        <v>151</v>
      </c>
      <c r="D1112" s="39" t="s">
        <v>138</v>
      </c>
      <c r="E1112" s="39" t="n">
        <v>20</v>
      </c>
      <c r="F1112" s="39" t="str">
        <f aca="false">IF(COUNTIF(medicine_master!$A$2:$A$26,C1112)&gt;0,"Valid","Invalid")</f>
        <v>Valid</v>
      </c>
      <c r="G1112" s="39" t="str">
        <f aca="false">IFERROR(INDEX(medicine_master!$B$2:$B$26,MATCH($C1112,medicine_master!$A$2:$A$26,0)),"Not found")</f>
        <v>Cetirizine 10mg</v>
      </c>
      <c r="H1112" s="39" t="str">
        <f aca="false">IFERROR(INDEX(medicine_master!$C$2:$C$26,MATCH($C1112,medicine_master!$A$2:$A$26,0)),"Not found")</f>
        <v>Allergy</v>
      </c>
      <c r="I1112" s="39" t="n">
        <f aca="false">YEAR(B1112)</f>
        <v>2026</v>
      </c>
      <c r="J1112" s="39" t="n">
        <f aca="false">MONTH(B1112)</f>
        <v>6</v>
      </c>
      <c r="K1112" s="39" t="str">
        <f aca="false">TEXT(B1112,"mmm")</f>
        <v>Jun</v>
      </c>
      <c r="L1112" s="45" t="n">
        <f aca="false">IFERROR(INDEX(medicine_master!$I$2:$I$26,MATCH($C1112,medicine_master!$A$2:$A$26,0)),0)</f>
        <v>13</v>
      </c>
      <c r="M1112" s="45" t="n">
        <f aca="false">IFERROR(INDEX(medicine_master!$G$2:$G$26,MATCH($C1112,medicine_master!$A$2:$A$26,0)),0)</f>
        <v>8</v>
      </c>
      <c r="N1112" s="45" t="n">
        <f aca="false">IF(D1112="Sale",E1112*L1112,0)</f>
        <v>0</v>
      </c>
      <c r="O1112" s="45" t="n">
        <f aca="false">IF(D1112="Sale",E1112*M1112,0)</f>
        <v>0</v>
      </c>
      <c r="P1112" s="45" t="n">
        <f aca="false">N1112-O1112</f>
        <v>0</v>
      </c>
      <c r="Q1112" s="45" t="n">
        <f aca="false">IF(D1112="Purchase",E1112*M1112,0)</f>
        <v>160</v>
      </c>
    </row>
    <row r="1113" customFormat="false" ht="15" hidden="false" customHeight="false" outlineLevel="0" collapsed="false">
      <c r="A1113" s="39" t="s">
        <v>1437</v>
      </c>
      <c r="B1113" s="44" t="n">
        <v>46138</v>
      </c>
      <c r="C1113" s="39" t="s">
        <v>321</v>
      </c>
      <c r="D1113" s="39" t="s">
        <v>138</v>
      </c>
      <c r="E1113" s="39" t="n">
        <v>20</v>
      </c>
      <c r="F1113" s="39" t="str">
        <f aca="false">IF(COUNTIF(medicine_master!$A$2:$A$26,C1113)&gt;0,"Valid","Invalid")</f>
        <v>Valid</v>
      </c>
      <c r="G1113" s="39" t="str">
        <f aca="false">IFERROR(INDEX(medicine_master!$B$2:$B$26,MATCH($C1113,medicine_master!$A$2:$A$26,0)),"Not found")</f>
        <v>Levocetirizine 5mg</v>
      </c>
      <c r="H1113" s="39" t="str">
        <f aca="false">IFERROR(INDEX(medicine_master!$C$2:$C$26,MATCH($C1113,medicine_master!$A$2:$A$26,0)),"Not found")</f>
        <v>Allergy</v>
      </c>
      <c r="I1113" s="39" t="n">
        <f aca="false">YEAR(B1113)</f>
        <v>2026</v>
      </c>
      <c r="J1113" s="39" t="n">
        <f aca="false">MONTH(B1113)</f>
        <v>4</v>
      </c>
      <c r="K1113" s="39" t="str">
        <f aca="false">TEXT(B1113,"mmm")</f>
        <v>Apr</v>
      </c>
      <c r="L1113" s="45" t="n">
        <f aca="false">IFERROR(INDEX(medicine_master!$I$2:$I$26,MATCH($C1113,medicine_master!$A$2:$A$26,0)),0)</f>
        <v>22</v>
      </c>
      <c r="M1113" s="45" t="n">
        <f aca="false">IFERROR(INDEX(medicine_master!$G$2:$G$26,MATCH($C1113,medicine_master!$A$2:$A$26,0)),0)</f>
        <v>14</v>
      </c>
      <c r="N1113" s="45" t="n">
        <f aca="false">IF(D1113="Sale",E1113*L1113,0)</f>
        <v>0</v>
      </c>
      <c r="O1113" s="45" t="n">
        <f aca="false">IF(D1113="Sale",E1113*M1113,0)</f>
        <v>0</v>
      </c>
      <c r="P1113" s="45" t="n">
        <f aca="false">N1113-O1113</f>
        <v>0</v>
      </c>
      <c r="Q1113" s="45" t="n">
        <f aca="false">IF(D1113="Purchase",E1113*M1113,0)</f>
        <v>280</v>
      </c>
    </row>
    <row r="1114" customFormat="false" ht="15" hidden="false" customHeight="false" outlineLevel="0" collapsed="false">
      <c r="A1114" s="39" t="s">
        <v>1438</v>
      </c>
      <c r="B1114" s="44" t="n">
        <v>46316</v>
      </c>
      <c r="C1114" s="39" t="s">
        <v>159</v>
      </c>
      <c r="D1114" s="39" t="s">
        <v>137</v>
      </c>
      <c r="E1114" s="39" t="n">
        <v>10</v>
      </c>
      <c r="F1114" s="39" t="str">
        <f aca="false">IF(COUNTIF(medicine_master!$A$2:$A$26,C1114)&gt;0,"Valid","Invalid")</f>
        <v>Valid</v>
      </c>
      <c r="G1114" s="39" t="str">
        <f aca="false">IFERROR(INDEX(medicine_master!$B$2:$B$26,MATCH($C1114,medicine_master!$A$2:$A$26,0)),"Not found")</f>
        <v>Antiseptic Liquid 100ml</v>
      </c>
      <c r="H1114" s="39" t="str">
        <f aca="false">IFERROR(INDEX(medicine_master!$C$2:$C$26,MATCH($C1114,medicine_master!$A$2:$A$26,0)),"Not found")</f>
        <v>First Aid</v>
      </c>
      <c r="I1114" s="39" t="n">
        <f aca="false">YEAR(B1114)</f>
        <v>2026</v>
      </c>
      <c r="J1114" s="39" t="n">
        <f aca="false">MONTH(B1114)</f>
        <v>10</v>
      </c>
      <c r="K1114" s="39" t="str">
        <f aca="false">TEXT(B1114,"mmm")</f>
        <v>Oct</v>
      </c>
      <c r="L1114" s="45" t="n">
        <f aca="false">IFERROR(INDEX(medicine_master!$I$2:$I$26,MATCH($C1114,medicine_master!$A$2:$A$26,0)),0)</f>
        <v>65</v>
      </c>
      <c r="M1114" s="45" t="n">
        <f aca="false">IFERROR(INDEX(medicine_master!$G$2:$G$26,MATCH($C1114,medicine_master!$A$2:$A$26,0)),0)</f>
        <v>48</v>
      </c>
      <c r="N1114" s="45" t="n">
        <f aca="false">IF(D1114="Sale",E1114*L1114,0)</f>
        <v>650</v>
      </c>
      <c r="O1114" s="45" t="n">
        <f aca="false">IF(D1114="Sale",E1114*M1114,0)</f>
        <v>480</v>
      </c>
      <c r="P1114" s="45" t="n">
        <f aca="false">N1114-O1114</f>
        <v>170</v>
      </c>
      <c r="Q1114" s="45" t="n">
        <f aca="false">IF(D1114="Purchase",E1114*M1114,0)</f>
        <v>0</v>
      </c>
    </row>
    <row r="1115" customFormat="false" ht="15" hidden="false" customHeight="false" outlineLevel="0" collapsed="false">
      <c r="A1115" s="39" t="s">
        <v>1439</v>
      </c>
      <c r="B1115" s="44" t="n">
        <v>46324</v>
      </c>
      <c r="C1115" s="39" t="s">
        <v>178</v>
      </c>
      <c r="D1115" s="39" t="s">
        <v>138</v>
      </c>
      <c r="E1115" s="39" t="n">
        <v>10</v>
      </c>
      <c r="F1115" s="39" t="str">
        <f aca="false">IF(COUNTIF(medicine_master!$A$2:$A$26,C1115)&gt;0,"Valid","Invalid")</f>
        <v>Valid</v>
      </c>
      <c r="G1115" s="39" t="str">
        <f aca="false">IFERROR(INDEX(medicine_master!$B$2:$B$26,MATCH($C1115,medicine_master!$A$2:$A$26,0)),"Not found")</f>
        <v>Aspirin 75mg</v>
      </c>
      <c r="H1115" s="39" t="str">
        <f aca="false">IFERROR(INDEX(medicine_master!$C$2:$C$26,MATCH($C1115,medicine_master!$A$2:$A$26,0)),"Not found")</f>
        <v>Cardiac</v>
      </c>
      <c r="I1115" s="39" t="n">
        <f aca="false">YEAR(B1115)</f>
        <v>2026</v>
      </c>
      <c r="J1115" s="39" t="n">
        <f aca="false">MONTH(B1115)</f>
        <v>10</v>
      </c>
      <c r="K1115" s="39" t="str">
        <f aca="false">TEXT(B1115,"mmm")</f>
        <v>Oct</v>
      </c>
      <c r="L1115" s="45" t="n">
        <f aca="false">IFERROR(INDEX(medicine_master!$I$2:$I$26,MATCH($C1115,medicine_master!$A$2:$A$26,0)),0)</f>
        <v>15</v>
      </c>
      <c r="M1115" s="45" t="n">
        <f aca="false">IFERROR(INDEX(medicine_master!$G$2:$G$26,MATCH($C1115,medicine_master!$A$2:$A$26,0)),0)</f>
        <v>10</v>
      </c>
      <c r="N1115" s="45" t="n">
        <f aca="false">IF(D1115="Sale",E1115*L1115,0)</f>
        <v>0</v>
      </c>
      <c r="O1115" s="45" t="n">
        <f aca="false">IF(D1115="Sale",E1115*M1115,0)</f>
        <v>0</v>
      </c>
      <c r="P1115" s="45" t="n">
        <f aca="false">N1115-O1115</f>
        <v>0</v>
      </c>
      <c r="Q1115" s="45" t="n">
        <f aca="false">IF(D1115="Purchase",E1115*M1115,0)</f>
        <v>100</v>
      </c>
    </row>
    <row r="1116" customFormat="false" ht="15" hidden="false" customHeight="false" outlineLevel="0" collapsed="false">
      <c r="A1116" s="39" t="s">
        <v>1440</v>
      </c>
      <c r="B1116" s="44" t="n">
        <v>46092</v>
      </c>
      <c r="C1116" s="39" t="s">
        <v>145</v>
      </c>
      <c r="D1116" s="39" t="s">
        <v>138</v>
      </c>
      <c r="E1116" s="39" t="n">
        <v>15</v>
      </c>
      <c r="F1116" s="39" t="str">
        <f aca="false">IF(COUNTIF(medicine_master!$A$2:$A$26,C1116)&gt;0,"Valid","Invalid")</f>
        <v>Valid</v>
      </c>
      <c r="G1116" s="39" t="str">
        <f aca="false">IFERROR(INDEX(medicine_master!$B$2:$B$26,MATCH($C1116,medicine_master!$A$2:$A$26,0)),"Not found")</f>
        <v>Clotrimazole Cream</v>
      </c>
      <c r="H1116" s="39" t="str">
        <f aca="false">IFERROR(INDEX(medicine_master!$C$2:$C$26,MATCH($C1116,medicine_master!$A$2:$A$26,0)),"Not found")</f>
        <v>Dermatology</v>
      </c>
      <c r="I1116" s="39" t="n">
        <f aca="false">YEAR(B1116)</f>
        <v>2026</v>
      </c>
      <c r="J1116" s="39" t="n">
        <f aca="false">MONTH(B1116)</f>
        <v>3</v>
      </c>
      <c r="K1116" s="39" t="str">
        <f aca="false">TEXT(B1116,"mmm")</f>
        <v>Mar</v>
      </c>
      <c r="L1116" s="45" t="n">
        <f aca="false">IFERROR(INDEX(medicine_master!$I$2:$I$26,MATCH($C1116,medicine_master!$A$2:$A$26,0)),0)</f>
        <v>48</v>
      </c>
      <c r="M1116" s="45" t="n">
        <f aca="false">IFERROR(INDEX(medicine_master!$G$2:$G$26,MATCH($C1116,medicine_master!$A$2:$A$26,0)),0)</f>
        <v>32</v>
      </c>
      <c r="N1116" s="45" t="n">
        <f aca="false">IF(D1116="Sale",E1116*L1116,0)</f>
        <v>0</v>
      </c>
      <c r="O1116" s="45" t="n">
        <f aca="false">IF(D1116="Sale",E1116*M1116,0)</f>
        <v>0</v>
      </c>
      <c r="P1116" s="45" t="n">
        <f aca="false">N1116-O1116</f>
        <v>0</v>
      </c>
      <c r="Q1116" s="45" t="n">
        <f aca="false">IF(D1116="Purchase",E1116*M1116,0)</f>
        <v>480</v>
      </c>
    </row>
    <row r="1117" customFormat="false" ht="15" hidden="false" customHeight="false" outlineLevel="0" collapsed="false">
      <c r="A1117" s="39" t="s">
        <v>1441</v>
      </c>
      <c r="B1117" s="44" t="n">
        <v>46113</v>
      </c>
      <c r="C1117" s="39" t="s">
        <v>160</v>
      </c>
      <c r="D1117" s="39" t="s">
        <v>138</v>
      </c>
      <c r="E1117" s="39" t="n">
        <v>40</v>
      </c>
      <c r="F1117" s="39" t="str">
        <f aca="false">IF(COUNTIF(medicine_master!$A$2:$A$26,C1117)&gt;0,"Valid","Invalid")</f>
        <v>Valid</v>
      </c>
      <c r="G1117" s="39" t="str">
        <f aca="false">IFERROR(INDEX(medicine_master!$B$2:$B$26,MATCH($C1117,medicine_master!$A$2:$A$26,0)),"Not found")</f>
        <v>Calamine Lotion</v>
      </c>
      <c r="H1117" s="39" t="str">
        <f aca="false">IFERROR(INDEX(medicine_master!$C$2:$C$26,MATCH($C1117,medicine_master!$A$2:$A$26,0)),"Not found")</f>
        <v>Dermatology</v>
      </c>
      <c r="I1117" s="39" t="n">
        <f aca="false">YEAR(B1117)</f>
        <v>2026</v>
      </c>
      <c r="J1117" s="39" t="n">
        <f aca="false">MONTH(B1117)</f>
        <v>4</v>
      </c>
      <c r="K1117" s="39" t="str">
        <f aca="false">TEXT(B1117,"mmm")</f>
        <v>Apr</v>
      </c>
      <c r="L1117" s="45" t="n">
        <f aca="false">IFERROR(INDEX(medicine_master!$I$2:$I$26,MATCH($C1117,medicine_master!$A$2:$A$26,0)),0)</f>
        <v>60</v>
      </c>
      <c r="M1117" s="45" t="n">
        <f aca="false">IFERROR(INDEX(medicine_master!$G$2:$G$26,MATCH($C1117,medicine_master!$A$2:$A$26,0)),0)</f>
        <v>42</v>
      </c>
      <c r="N1117" s="45" t="n">
        <f aca="false">IF(D1117="Sale",E1117*L1117,0)</f>
        <v>0</v>
      </c>
      <c r="O1117" s="45" t="n">
        <f aca="false">IF(D1117="Sale",E1117*M1117,0)</f>
        <v>0</v>
      </c>
      <c r="P1117" s="45" t="n">
        <f aca="false">N1117-O1117</f>
        <v>0</v>
      </c>
      <c r="Q1117" s="45" t="n">
        <f aca="false">IF(D1117="Purchase",E1117*M1117,0)</f>
        <v>1680</v>
      </c>
    </row>
    <row r="1118" customFormat="false" ht="15" hidden="false" customHeight="false" outlineLevel="0" collapsed="false">
      <c r="A1118" s="39" t="s">
        <v>1442</v>
      </c>
      <c r="B1118" s="44" t="n">
        <v>46382</v>
      </c>
      <c r="C1118" s="39" t="s">
        <v>148</v>
      </c>
      <c r="D1118" s="39" t="s">
        <v>137</v>
      </c>
      <c r="E1118" s="39" t="n">
        <v>20</v>
      </c>
      <c r="F1118" s="39" t="str">
        <f aca="false">IF(COUNTIF(medicine_master!$A$2:$A$26,C1118)&gt;0,"Valid","Invalid")</f>
        <v>Valid</v>
      </c>
      <c r="G1118" s="39" t="str">
        <f aca="false">IFERROR(INDEX(medicine_master!$B$2:$B$26,MATCH($C1118,medicine_master!$A$2:$A$26,0)),"Not found")</f>
        <v>Dextromethorphan Syrup</v>
      </c>
      <c r="H1118" s="39" t="str">
        <f aca="false">IFERROR(INDEX(medicine_master!$C$2:$C$26,MATCH($C1118,medicine_master!$A$2:$A$26,0)),"Not found")</f>
        <v>Cold &amp; Cough</v>
      </c>
      <c r="I1118" s="39" t="n">
        <f aca="false">YEAR(B1118)</f>
        <v>2026</v>
      </c>
      <c r="J1118" s="39" t="n">
        <f aca="false">MONTH(B1118)</f>
        <v>12</v>
      </c>
      <c r="K1118" s="39" t="str">
        <f aca="false">TEXT(B1118,"mmm")</f>
        <v>Dec</v>
      </c>
      <c r="L1118" s="45" t="n">
        <f aca="false">IFERROR(INDEX(medicine_master!$I$2:$I$26,MATCH($C1118,medicine_master!$A$2:$A$26,0)),0)</f>
        <v>80</v>
      </c>
      <c r="M1118" s="45" t="n">
        <f aca="false">IFERROR(INDEX(medicine_master!$G$2:$G$26,MATCH($C1118,medicine_master!$A$2:$A$26,0)),0)</f>
        <v>58</v>
      </c>
      <c r="N1118" s="45" t="n">
        <f aca="false">IF(D1118="Sale",E1118*L1118,0)</f>
        <v>1600</v>
      </c>
      <c r="O1118" s="45" t="n">
        <f aca="false">IF(D1118="Sale",E1118*M1118,0)</f>
        <v>1160</v>
      </c>
      <c r="P1118" s="45" t="n">
        <f aca="false">N1118-O1118</f>
        <v>440</v>
      </c>
      <c r="Q1118" s="45" t="n">
        <f aca="false">IF(D1118="Purchase",E1118*M1118,0)</f>
        <v>0</v>
      </c>
    </row>
    <row r="1119" customFormat="false" ht="15" hidden="false" customHeight="false" outlineLevel="0" collapsed="false">
      <c r="A1119" s="39" t="s">
        <v>1443</v>
      </c>
      <c r="B1119" s="44" t="n">
        <v>46160</v>
      </c>
      <c r="C1119" s="39" t="s">
        <v>178</v>
      </c>
      <c r="D1119" s="39" t="s">
        <v>137</v>
      </c>
      <c r="E1119" s="39" t="n">
        <v>10</v>
      </c>
      <c r="F1119" s="39" t="str">
        <f aca="false">IF(COUNTIF(medicine_master!$A$2:$A$26,C1119)&gt;0,"Valid","Invalid")</f>
        <v>Valid</v>
      </c>
      <c r="G1119" s="39" t="str">
        <f aca="false">IFERROR(INDEX(medicine_master!$B$2:$B$26,MATCH($C1119,medicine_master!$A$2:$A$26,0)),"Not found")</f>
        <v>Aspirin 75mg</v>
      </c>
      <c r="H1119" s="39" t="str">
        <f aca="false">IFERROR(INDEX(medicine_master!$C$2:$C$26,MATCH($C1119,medicine_master!$A$2:$A$26,0)),"Not found")</f>
        <v>Cardiac</v>
      </c>
      <c r="I1119" s="39" t="n">
        <f aca="false">YEAR(B1119)</f>
        <v>2026</v>
      </c>
      <c r="J1119" s="39" t="n">
        <f aca="false">MONTH(B1119)</f>
        <v>5</v>
      </c>
      <c r="K1119" s="39" t="str">
        <f aca="false">TEXT(B1119,"mmm")</f>
        <v>May</v>
      </c>
      <c r="L1119" s="45" t="n">
        <f aca="false">IFERROR(INDEX(medicine_master!$I$2:$I$26,MATCH($C1119,medicine_master!$A$2:$A$26,0)),0)</f>
        <v>15</v>
      </c>
      <c r="M1119" s="45" t="n">
        <f aca="false">IFERROR(INDEX(medicine_master!$G$2:$G$26,MATCH($C1119,medicine_master!$A$2:$A$26,0)),0)</f>
        <v>10</v>
      </c>
      <c r="N1119" s="45" t="n">
        <f aca="false">IF(D1119="Sale",E1119*L1119,0)</f>
        <v>150</v>
      </c>
      <c r="O1119" s="45" t="n">
        <f aca="false">IF(D1119="Sale",E1119*M1119,0)</f>
        <v>100</v>
      </c>
      <c r="P1119" s="45" t="n">
        <f aca="false">N1119-O1119</f>
        <v>50</v>
      </c>
      <c r="Q1119" s="45" t="n">
        <f aca="false">IF(D1119="Purchase",E1119*M1119,0)</f>
        <v>0</v>
      </c>
    </row>
    <row r="1120" customFormat="false" ht="15" hidden="false" customHeight="false" outlineLevel="0" collapsed="false">
      <c r="A1120" s="39" t="s">
        <v>1444</v>
      </c>
      <c r="B1120" s="44" t="n">
        <v>46225</v>
      </c>
      <c r="C1120" s="39" t="s">
        <v>152</v>
      </c>
      <c r="D1120" s="39" t="s">
        <v>138</v>
      </c>
      <c r="E1120" s="39" t="n">
        <v>5</v>
      </c>
      <c r="F1120" s="39" t="str">
        <f aca="false">IF(COUNTIF(medicine_master!$A$2:$A$26,C1120)&gt;0,"Valid","Invalid")</f>
        <v>Valid</v>
      </c>
      <c r="G1120" s="39" t="str">
        <f aca="false">IFERROR(INDEX(medicine_master!$B$2:$B$26,MATCH($C1120,medicine_master!$A$2:$A$26,0)),"Not found")</f>
        <v>Amoxicillin 500mg</v>
      </c>
      <c r="H1120" s="39" t="str">
        <f aca="false">IFERROR(INDEX(medicine_master!$C$2:$C$26,MATCH($C1120,medicine_master!$A$2:$A$26,0)),"Not found")</f>
        <v>Antibiotic</v>
      </c>
      <c r="I1120" s="39" t="n">
        <f aca="false">YEAR(B1120)</f>
        <v>2026</v>
      </c>
      <c r="J1120" s="39" t="n">
        <f aca="false">MONTH(B1120)</f>
        <v>7</v>
      </c>
      <c r="K1120" s="39" t="str">
        <f aca="false">TEXT(B1120,"mmm")</f>
        <v>Jul</v>
      </c>
      <c r="L1120" s="45" t="n">
        <f aca="false">IFERROR(INDEX(medicine_master!$I$2:$I$26,MATCH($C1120,medicine_master!$A$2:$A$26,0)),0)</f>
        <v>40</v>
      </c>
      <c r="M1120" s="45" t="n">
        <f aca="false">IFERROR(INDEX(medicine_master!$G$2:$G$26,MATCH($C1120,medicine_master!$A$2:$A$26,0)),0)</f>
        <v>28</v>
      </c>
      <c r="N1120" s="45" t="n">
        <f aca="false">IF(D1120="Sale",E1120*L1120,0)</f>
        <v>0</v>
      </c>
      <c r="O1120" s="45" t="n">
        <f aca="false">IF(D1120="Sale",E1120*M1120,0)</f>
        <v>0</v>
      </c>
      <c r="P1120" s="45" t="n">
        <f aca="false">N1120-O1120</f>
        <v>0</v>
      </c>
      <c r="Q1120" s="45" t="n">
        <f aca="false">IF(D1120="Purchase",E1120*M1120,0)</f>
        <v>140</v>
      </c>
    </row>
    <row r="1121" customFormat="false" ht="15" hidden="false" customHeight="false" outlineLevel="0" collapsed="false">
      <c r="A1121" s="39" t="s">
        <v>1445</v>
      </c>
      <c r="B1121" s="44" t="n">
        <v>46059</v>
      </c>
      <c r="C1121" s="39" t="s">
        <v>147</v>
      </c>
      <c r="D1121" s="39" t="s">
        <v>138</v>
      </c>
      <c r="E1121" s="39" t="n">
        <v>25</v>
      </c>
      <c r="F1121" s="39" t="str">
        <f aca="false">IF(COUNTIF(medicine_master!$A$2:$A$26,C1121)&gt;0,"Valid","Invalid")</f>
        <v>Valid</v>
      </c>
      <c r="G1121" s="39" t="str">
        <f aca="false">IFERROR(INDEX(medicine_master!$B$2:$B$26,MATCH($C1121,medicine_master!$A$2:$A$26,0)),"Not found")</f>
        <v>Insulin Injection</v>
      </c>
      <c r="H1121" s="39" t="str">
        <f aca="false">IFERROR(INDEX(medicine_master!$C$2:$C$26,MATCH($C1121,medicine_master!$A$2:$A$26,0)),"Not found")</f>
        <v>Diabetes</v>
      </c>
      <c r="I1121" s="39" t="n">
        <f aca="false">YEAR(B1121)</f>
        <v>2026</v>
      </c>
      <c r="J1121" s="39" t="n">
        <f aca="false">MONTH(B1121)</f>
        <v>2</v>
      </c>
      <c r="K1121" s="39" t="str">
        <f aca="false">TEXT(B1121,"mmm")</f>
        <v>Feb</v>
      </c>
      <c r="L1121" s="45" t="n">
        <f aca="false">IFERROR(INDEX(medicine_master!$I$2:$I$26,MATCH($C1121,medicine_master!$A$2:$A$26,0)),0)</f>
        <v>225</v>
      </c>
      <c r="M1121" s="45" t="n">
        <f aca="false">IFERROR(INDEX(medicine_master!$G$2:$G$26,MATCH($C1121,medicine_master!$A$2:$A$26,0)),0)</f>
        <v>165</v>
      </c>
      <c r="N1121" s="45" t="n">
        <f aca="false">IF(D1121="Sale",E1121*L1121,0)</f>
        <v>0</v>
      </c>
      <c r="O1121" s="45" t="n">
        <f aca="false">IF(D1121="Sale",E1121*M1121,0)</f>
        <v>0</v>
      </c>
      <c r="P1121" s="45" t="n">
        <f aca="false">N1121-O1121</f>
        <v>0</v>
      </c>
      <c r="Q1121" s="45" t="n">
        <f aca="false">IF(D1121="Purchase",E1121*M1121,0)</f>
        <v>4125</v>
      </c>
    </row>
    <row r="1122" customFormat="false" ht="15" hidden="false" customHeight="false" outlineLevel="0" collapsed="false">
      <c r="A1122" s="39" t="s">
        <v>1446</v>
      </c>
      <c r="B1122" s="44" t="n">
        <v>46219</v>
      </c>
      <c r="C1122" s="39" t="s">
        <v>326</v>
      </c>
      <c r="D1122" s="39" t="s">
        <v>137</v>
      </c>
      <c r="E1122" s="39" t="n">
        <v>30</v>
      </c>
      <c r="F1122" s="39" t="str">
        <f aca="false">IF(COUNTIF(medicine_master!$A$2:$A$26,C1122)&gt;0,"Valid","Invalid")</f>
        <v>Valid</v>
      </c>
      <c r="G1122" s="39" t="str">
        <f aca="false">IFERROR(INDEX(medicine_master!$B$2:$B$26,MATCH($C1122,medicine_master!$A$2:$A$26,0)),"Not found")</f>
        <v>Omeprazole 20mg</v>
      </c>
      <c r="H1122" s="39" t="str">
        <f aca="false">IFERROR(INDEX(medicine_master!$C$2:$C$26,MATCH($C1122,medicine_master!$A$2:$A$26,0)),"Not found")</f>
        <v>Gastric</v>
      </c>
      <c r="I1122" s="39" t="n">
        <f aca="false">YEAR(B1122)</f>
        <v>2026</v>
      </c>
      <c r="J1122" s="39" t="n">
        <f aca="false">MONTH(B1122)</f>
        <v>7</v>
      </c>
      <c r="K1122" s="39" t="str">
        <f aca="false">TEXT(B1122,"mmm")</f>
        <v>Jul</v>
      </c>
      <c r="L1122" s="45" t="n">
        <f aca="false">IFERROR(INDEX(medicine_master!$I$2:$I$26,MATCH($C1122,medicine_master!$A$2:$A$26,0)),0)</f>
        <v>26</v>
      </c>
      <c r="M1122" s="45" t="n">
        <f aca="false">IFERROR(INDEX(medicine_master!$G$2:$G$26,MATCH($C1122,medicine_master!$A$2:$A$26,0)),0)</f>
        <v>18</v>
      </c>
      <c r="N1122" s="45" t="n">
        <f aca="false">IF(D1122="Sale",E1122*L1122,0)</f>
        <v>780</v>
      </c>
      <c r="O1122" s="45" t="n">
        <f aca="false">IF(D1122="Sale",E1122*M1122,0)</f>
        <v>540</v>
      </c>
      <c r="P1122" s="45" t="n">
        <f aca="false">N1122-O1122</f>
        <v>240</v>
      </c>
      <c r="Q1122" s="45" t="n">
        <f aca="false">IF(D1122="Purchase",E1122*M1122,0)</f>
        <v>0</v>
      </c>
    </row>
    <row r="1123" customFormat="false" ht="15" hidden="false" customHeight="false" outlineLevel="0" collapsed="false">
      <c r="A1123" s="39" t="s">
        <v>1447</v>
      </c>
      <c r="B1123" s="44" t="n">
        <v>46382</v>
      </c>
      <c r="C1123" s="39" t="s">
        <v>404</v>
      </c>
      <c r="D1123" s="39" t="s">
        <v>137</v>
      </c>
      <c r="E1123" s="39" t="n">
        <v>20</v>
      </c>
      <c r="F1123" s="39" t="str">
        <f aca="false">IF(COUNTIF(medicine_master!$A$2:$A$26,C1123)&gt;0,"Valid","Invalid")</f>
        <v>Valid</v>
      </c>
      <c r="G1123" s="39" t="str">
        <f aca="false">IFERROR(INDEX(medicine_master!$B$2:$B$26,MATCH($C1123,medicine_master!$A$2:$A$26,0)),"Not found")</f>
        <v>ORS Sachet</v>
      </c>
      <c r="H1123" s="39" t="str">
        <f aca="false">IFERROR(INDEX(medicine_master!$C$2:$C$26,MATCH($C1123,medicine_master!$A$2:$A$26,0)),"Not found")</f>
        <v>First Aid</v>
      </c>
      <c r="I1123" s="39" t="n">
        <f aca="false">YEAR(B1123)</f>
        <v>2026</v>
      </c>
      <c r="J1123" s="39" t="n">
        <f aca="false">MONTH(B1123)</f>
        <v>12</v>
      </c>
      <c r="K1123" s="39" t="str">
        <f aca="false">TEXT(B1123,"mmm")</f>
        <v>Dec</v>
      </c>
      <c r="L1123" s="45" t="n">
        <f aca="false">IFERROR(INDEX(medicine_master!$I$2:$I$26,MATCH($C1123,medicine_master!$A$2:$A$26,0)),0)</f>
        <v>10</v>
      </c>
      <c r="M1123" s="45" t="n">
        <f aca="false">IFERROR(INDEX(medicine_master!$G$2:$G$26,MATCH($C1123,medicine_master!$A$2:$A$26,0)),0)</f>
        <v>6</v>
      </c>
      <c r="N1123" s="45" t="n">
        <f aca="false">IF(D1123="Sale",E1123*L1123,0)</f>
        <v>200</v>
      </c>
      <c r="O1123" s="45" t="n">
        <f aca="false">IF(D1123="Sale",E1123*M1123,0)</f>
        <v>120</v>
      </c>
      <c r="P1123" s="45" t="n">
        <f aca="false">N1123-O1123</f>
        <v>80</v>
      </c>
      <c r="Q1123" s="45" t="n">
        <f aca="false">IF(D1123="Purchase",E1123*M1123,0)</f>
        <v>0</v>
      </c>
    </row>
    <row r="1124" customFormat="false" ht="15" hidden="false" customHeight="false" outlineLevel="0" collapsed="false">
      <c r="A1124" s="39" t="s">
        <v>1448</v>
      </c>
      <c r="B1124" s="44" t="n">
        <v>46354</v>
      </c>
      <c r="C1124" s="39" t="s">
        <v>180</v>
      </c>
      <c r="D1124" s="39" t="s">
        <v>138</v>
      </c>
      <c r="E1124" s="39" t="n">
        <v>25</v>
      </c>
      <c r="F1124" s="39" t="str">
        <f aca="false">IF(COUNTIF(medicine_master!$A$2:$A$26,C1124)&gt;0,"Valid","Invalid")</f>
        <v>Valid</v>
      </c>
      <c r="G1124" s="39" t="str">
        <f aca="false">IFERROR(INDEX(medicine_master!$B$2:$B$26,MATCH($C1124,medicine_master!$A$2:$A$26,0)),"Not found")</f>
        <v>Vitamin C 500mg</v>
      </c>
      <c r="H1124" s="39" t="str">
        <f aca="false">IFERROR(INDEX(medicine_master!$C$2:$C$26,MATCH($C1124,medicine_master!$A$2:$A$26,0)),"Not found")</f>
        <v>Vitamin</v>
      </c>
      <c r="I1124" s="39" t="n">
        <f aca="false">YEAR(B1124)</f>
        <v>2026</v>
      </c>
      <c r="J1124" s="39" t="n">
        <f aca="false">MONTH(B1124)</f>
        <v>11</v>
      </c>
      <c r="K1124" s="39" t="str">
        <f aca="false">TEXT(B1124,"mmm")</f>
        <v>Nov</v>
      </c>
      <c r="L1124" s="45" t="n">
        <f aca="false">IFERROR(INDEX(medicine_master!$I$2:$I$26,MATCH($C1124,medicine_master!$A$2:$A$26,0)),0)</f>
        <v>22</v>
      </c>
      <c r="M1124" s="45" t="n">
        <f aca="false">IFERROR(INDEX(medicine_master!$G$2:$G$26,MATCH($C1124,medicine_master!$A$2:$A$26,0)),0)</f>
        <v>14</v>
      </c>
      <c r="N1124" s="45" t="n">
        <f aca="false">IF(D1124="Sale",E1124*L1124,0)</f>
        <v>0</v>
      </c>
      <c r="O1124" s="45" t="n">
        <f aca="false">IF(D1124="Sale",E1124*M1124,0)</f>
        <v>0</v>
      </c>
      <c r="P1124" s="45" t="n">
        <f aca="false">N1124-O1124</f>
        <v>0</v>
      </c>
      <c r="Q1124" s="45" t="n">
        <f aca="false">IF(D1124="Purchase",E1124*M1124,0)</f>
        <v>350</v>
      </c>
    </row>
    <row r="1125" customFormat="false" ht="15" hidden="false" customHeight="false" outlineLevel="0" collapsed="false">
      <c r="A1125" s="39" t="s">
        <v>1449</v>
      </c>
      <c r="B1125" s="44" t="n">
        <v>46242</v>
      </c>
      <c r="C1125" s="39" t="s">
        <v>326</v>
      </c>
      <c r="D1125" s="39" t="s">
        <v>138</v>
      </c>
      <c r="E1125" s="39" t="n">
        <v>30</v>
      </c>
      <c r="F1125" s="39" t="str">
        <f aca="false">IF(COUNTIF(medicine_master!$A$2:$A$26,C1125)&gt;0,"Valid","Invalid")</f>
        <v>Valid</v>
      </c>
      <c r="G1125" s="39" t="str">
        <f aca="false">IFERROR(INDEX(medicine_master!$B$2:$B$26,MATCH($C1125,medicine_master!$A$2:$A$26,0)),"Not found")</f>
        <v>Omeprazole 20mg</v>
      </c>
      <c r="H1125" s="39" t="str">
        <f aca="false">IFERROR(INDEX(medicine_master!$C$2:$C$26,MATCH($C1125,medicine_master!$A$2:$A$26,0)),"Not found")</f>
        <v>Gastric</v>
      </c>
      <c r="I1125" s="39" t="n">
        <f aca="false">YEAR(B1125)</f>
        <v>2026</v>
      </c>
      <c r="J1125" s="39" t="n">
        <f aca="false">MONTH(B1125)</f>
        <v>8</v>
      </c>
      <c r="K1125" s="39" t="str">
        <f aca="false">TEXT(B1125,"mmm")</f>
        <v>Aug</v>
      </c>
      <c r="L1125" s="45" t="n">
        <f aca="false">IFERROR(INDEX(medicine_master!$I$2:$I$26,MATCH($C1125,medicine_master!$A$2:$A$26,0)),0)</f>
        <v>26</v>
      </c>
      <c r="M1125" s="45" t="n">
        <f aca="false">IFERROR(INDEX(medicine_master!$G$2:$G$26,MATCH($C1125,medicine_master!$A$2:$A$26,0)),0)</f>
        <v>18</v>
      </c>
      <c r="N1125" s="45" t="n">
        <f aca="false">IF(D1125="Sale",E1125*L1125,0)</f>
        <v>0</v>
      </c>
      <c r="O1125" s="45" t="n">
        <f aca="false">IF(D1125="Sale",E1125*M1125,0)</f>
        <v>0</v>
      </c>
      <c r="P1125" s="45" t="n">
        <f aca="false">N1125-O1125</f>
        <v>0</v>
      </c>
      <c r="Q1125" s="45" t="n">
        <f aca="false">IF(D1125="Purchase",E1125*M1125,0)</f>
        <v>540</v>
      </c>
    </row>
    <row r="1126" customFormat="false" ht="15" hidden="false" customHeight="false" outlineLevel="0" collapsed="false">
      <c r="A1126" s="39" t="s">
        <v>1450</v>
      </c>
      <c r="B1126" s="44" t="n">
        <v>46206</v>
      </c>
      <c r="C1126" s="39" t="s">
        <v>159</v>
      </c>
      <c r="D1126" s="39" t="s">
        <v>138</v>
      </c>
      <c r="E1126" s="39" t="n">
        <v>10</v>
      </c>
      <c r="F1126" s="39" t="str">
        <f aca="false">IF(COUNTIF(medicine_master!$A$2:$A$26,C1126)&gt;0,"Valid","Invalid")</f>
        <v>Valid</v>
      </c>
      <c r="G1126" s="39" t="str">
        <f aca="false">IFERROR(INDEX(medicine_master!$B$2:$B$26,MATCH($C1126,medicine_master!$A$2:$A$26,0)),"Not found")</f>
        <v>Antiseptic Liquid 100ml</v>
      </c>
      <c r="H1126" s="39" t="str">
        <f aca="false">IFERROR(INDEX(medicine_master!$C$2:$C$26,MATCH($C1126,medicine_master!$A$2:$A$26,0)),"Not found")</f>
        <v>First Aid</v>
      </c>
      <c r="I1126" s="39" t="n">
        <f aca="false">YEAR(B1126)</f>
        <v>2026</v>
      </c>
      <c r="J1126" s="39" t="n">
        <f aca="false">MONTH(B1126)</f>
        <v>7</v>
      </c>
      <c r="K1126" s="39" t="str">
        <f aca="false">TEXT(B1126,"mmm")</f>
        <v>Jul</v>
      </c>
      <c r="L1126" s="45" t="n">
        <f aca="false">IFERROR(INDEX(medicine_master!$I$2:$I$26,MATCH($C1126,medicine_master!$A$2:$A$26,0)),0)</f>
        <v>65</v>
      </c>
      <c r="M1126" s="45" t="n">
        <f aca="false">IFERROR(INDEX(medicine_master!$G$2:$G$26,MATCH($C1126,medicine_master!$A$2:$A$26,0)),0)</f>
        <v>48</v>
      </c>
      <c r="N1126" s="45" t="n">
        <f aca="false">IF(D1126="Sale",E1126*L1126,0)</f>
        <v>0</v>
      </c>
      <c r="O1126" s="45" t="n">
        <f aca="false">IF(D1126="Sale",E1126*M1126,0)</f>
        <v>0</v>
      </c>
      <c r="P1126" s="45" t="n">
        <f aca="false">N1126-O1126</f>
        <v>0</v>
      </c>
      <c r="Q1126" s="45" t="n">
        <f aca="false">IF(D1126="Purchase",E1126*M1126,0)</f>
        <v>480</v>
      </c>
    </row>
    <row r="1127" customFormat="false" ht="15" hidden="false" customHeight="false" outlineLevel="0" collapsed="false">
      <c r="A1127" s="39" t="s">
        <v>1451</v>
      </c>
      <c r="B1127" s="44" t="n">
        <v>46367</v>
      </c>
      <c r="C1127" s="39" t="s">
        <v>144</v>
      </c>
      <c r="D1127" s="39" t="s">
        <v>137</v>
      </c>
      <c r="E1127" s="39" t="n">
        <v>15</v>
      </c>
      <c r="F1127" s="39" t="str">
        <f aca="false">IF(COUNTIF(medicine_master!$A$2:$A$26,C1127)&gt;0,"Valid","Invalid")</f>
        <v>Valid</v>
      </c>
      <c r="G1127" s="39" t="str">
        <f aca="false">IFERROR(INDEX(medicine_master!$B$2:$B$26,MATCH($C1127,medicine_master!$A$2:$A$26,0)),"Not found")</f>
        <v>Glimepiride 2mg</v>
      </c>
      <c r="H1127" s="39" t="str">
        <f aca="false">IFERROR(INDEX(medicine_master!$C$2:$C$26,MATCH($C1127,medicine_master!$A$2:$A$26,0)),"Not found")</f>
        <v>Diabetes</v>
      </c>
      <c r="I1127" s="39" t="n">
        <f aca="false">YEAR(B1127)</f>
        <v>2026</v>
      </c>
      <c r="J1127" s="39" t="n">
        <f aca="false">MONTH(B1127)</f>
        <v>12</v>
      </c>
      <c r="K1127" s="39" t="str">
        <f aca="false">TEXT(B1127,"mmm")</f>
        <v>Dec</v>
      </c>
      <c r="L1127" s="45" t="n">
        <f aca="false">IFERROR(INDEX(medicine_master!$I$2:$I$26,MATCH($C1127,medicine_master!$A$2:$A$26,0)),0)</f>
        <v>52</v>
      </c>
      <c r="M1127" s="45" t="n">
        <f aca="false">IFERROR(INDEX(medicine_master!$G$2:$G$26,MATCH($C1127,medicine_master!$A$2:$A$26,0)),0)</f>
        <v>38</v>
      </c>
      <c r="N1127" s="45" t="n">
        <f aca="false">IF(D1127="Sale",E1127*L1127,0)</f>
        <v>780</v>
      </c>
      <c r="O1127" s="45" t="n">
        <f aca="false">IF(D1127="Sale",E1127*M1127,0)</f>
        <v>570</v>
      </c>
      <c r="P1127" s="45" t="n">
        <f aca="false">N1127-O1127</f>
        <v>210</v>
      </c>
      <c r="Q1127" s="45" t="n">
        <f aca="false">IF(D1127="Purchase",E1127*M1127,0)</f>
        <v>0</v>
      </c>
    </row>
    <row r="1128" customFormat="false" ht="15" hidden="false" customHeight="false" outlineLevel="0" collapsed="false">
      <c r="A1128" s="39" t="s">
        <v>1452</v>
      </c>
      <c r="B1128" s="44" t="n">
        <v>46123</v>
      </c>
      <c r="C1128" s="39" t="s">
        <v>159</v>
      </c>
      <c r="D1128" s="39" t="s">
        <v>137</v>
      </c>
      <c r="E1128" s="39" t="n">
        <v>10</v>
      </c>
      <c r="F1128" s="39" t="str">
        <f aca="false">IF(COUNTIF(medicine_master!$A$2:$A$26,C1128)&gt;0,"Valid","Invalid")</f>
        <v>Valid</v>
      </c>
      <c r="G1128" s="39" t="str">
        <f aca="false">IFERROR(INDEX(medicine_master!$B$2:$B$26,MATCH($C1128,medicine_master!$A$2:$A$26,0)),"Not found")</f>
        <v>Antiseptic Liquid 100ml</v>
      </c>
      <c r="H1128" s="39" t="str">
        <f aca="false">IFERROR(INDEX(medicine_master!$C$2:$C$26,MATCH($C1128,medicine_master!$A$2:$A$26,0)),"Not found")</f>
        <v>First Aid</v>
      </c>
      <c r="I1128" s="39" t="n">
        <f aca="false">YEAR(B1128)</f>
        <v>2026</v>
      </c>
      <c r="J1128" s="39" t="n">
        <f aca="false">MONTH(B1128)</f>
        <v>4</v>
      </c>
      <c r="K1128" s="39" t="str">
        <f aca="false">TEXT(B1128,"mmm")</f>
        <v>Apr</v>
      </c>
      <c r="L1128" s="45" t="n">
        <f aca="false">IFERROR(INDEX(medicine_master!$I$2:$I$26,MATCH($C1128,medicine_master!$A$2:$A$26,0)),0)</f>
        <v>65</v>
      </c>
      <c r="M1128" s="45" t="n">
        <f aca="false">IFERROR(INDEX(medicine_master!$G$2:$G$26,MATCH($C1128,medicine_master!$A$2:$A$26,0)),0)</f>
        <v>48</v>
      </c>
      <c r="N1128" s="45" t="n">
        <f aca="false">IF(D1128="Sale",E1128*L1128,0)</f>
        <v>650</v>
      </c>
      <c r="O1128" s="45" t="n">
        <f aca="false">IF(D1128="Sale",E1128*M1128,0)</f>
        <v>480</v>
      </c>
      <c r="P1128" s="45" t="n">
        <f aca="false">N1128-O1128</f>
        <v>170</v>
      </c>
      <c r="Q1128" s="45" t="n">
        <f aca="false">IF(D1128="Purchase",E1128*M1128,0)</f>
        <v>0</v>
      </c>
    </row>
    <row r="1129" customFormat="false" ht="15" hidden="false" customHeight="false" outlineLevel="0" collapsed="false">
      <c r="A1129" s="39" t="s">
        <v>1453</v>
      </c>
      <c r="B1129" s="44" t="n">
        <v>46204</v>
      </c>
      <c r="C1129" s="39" t="s">
        <v>150</v>
      </c>
      <c r="D1129" s="39" t="s">
        <v>137</v>
      </c>
      <c r="E1129" s="39" t="n">
        <v>30</v>
      </c>
      <c r="F1129" s="39" t="str">
        <f aca="false">IF(COUNTIF(medicine_master!$A$2:$A$26,C1129)&gt;0,"Valid","Invalid")</f>
        <v>Valid</v>
      </c>
      <c r="G1129" s="39" t="str">
        <f aca="false">IFERROR(INDEX(medicine_master!$B$2:$B$26,MATCH($C1129,medicine_master!$A$2:$A$26,0)),"Not found")</f>
        <v>Pantoprazole 40mg</v>
      </c>
      <c r="H1129" s="39" t="str">
        <f aca="false">IFERROR(INDEX(medicine_master!$C$2:$C$26,MATCH($C1129,medicine_master!$A$2:$A$26,0)),"Not found")</f>
        <v>Gastric</v>
      </c>
      <c r="I1129" s="39" t="n">
        <f aca="false">YEAR(B1129)</f>
        <v>2026</v>
      </c>
      <c r="J1129" s="39" t="n">
        <f aca="false">MONTH(B1129)</f>
        <v>7</v>
      </c>
      <c r="K1129" s="39" t="str">
        <f aca="false">TEXT(B1129,"mmm")</f>
        <v>Jul</v>
      </c>
      <c r="L1129" s="45" t="n">
        <f aca="false">IFERROR(INDEX(medicine_master!$I$2:$I$26,MATCH($C1129,medicine_master!$A$2:$A$26,0)),0)</f>
        <v>35</v>
      </c>
      <c r="M1129" s="45" t="n">
        <f aca="false">IFERROR(INDEX(medicine_master!$G$2:$G$26,MATCH($C1129,medicine_master!$A$2:$A$26,0)),0)</f>
        <v>24</v>
      </c>
      <c r="N1129" s="45" t="n">
        <f aca="false">IF(D1129="Sale",E1129*L1129,0)</f>
        <v>1050</v>
      </c>
      <c r="O1129" s="45" t="n">
        <f aca="false">IF(D1129="Sale",E1129*M1129,0)</f>
        <v>720</v>
      </c>
      <c r="P1129" s="45" t="n">
        <f aca="false">N1129-O1129</f>
        <v>330</v>
      </c>
      <c r="Q1129" s="45" t="n">
        <f aca="false">IF(D1129="Purchase",E1129*M1129,0)</f>
        <v>0</v>
      </c>
    </row>
    <row r="1130" customFormat="false" ht="15" hidden="false" customHeight="false" outlineLevel="0" collapsed="false">
      <c r="A1130" s="39" t="s">
        <v>1454</v>
      </c>
      <c r="B1130" s="44" t="n">
        <v>46188</v>
      </c>
      <c r="C1130" s="39" t="s">
        <v>151</v>
      </c>
      <c r="D1130" s="39" t="s">
        <v>138</v>
      </c>
      <c r="E1130" s="39" t="n">
        <v>20</v>
      </c>
      <c r="F1130" s="39" t="str">
        <f aca="false">IF(COUNTIF(medicine_master!$A$2:$A$26,C1130)&gt;0,"Valid","Invalid")</f>
        <v>Valid</v>
      </c>
      <c r="G1130" s="39" t="str">
        <f aca="false">IFERROR(INDEX(medicine_master!$B$2:$B$26,MATCH($C1130,medicine_master!$A$2:$A$26,0)),"Not found")</f>
        <v>Cetirizine 10mg</v>
      </c>
      <c r="H1130" s="39" t="str">
        <f aca="false">IFERROR(INDEX(medicine_master!$C$2:$C$26,MATCH($C1130,medicine_master!$A$2:$A$26,0)),"Not found")</f>
        <v>Allergy</v>
      </c>
      <c r="I1130" s="39" t="n">
        <f aca="false">YEAR(B1130)</f>
        <v>2026</v>
      </c>
      <c r="J1130" s="39" t="n">
        <f aca="false">MONTH(B1130)</f>
        <v>6</v>
      </c>
      <c r="K1130" s="39" t="str">
        <f aca="false">TEXT(B1130,"mmm")</f>
        <v>Jun</v>
      </c>
      <c r="L1130" s="45" t="n">
        <f aca="false">IFERROR(INDEX(medicine_master!$I$2:$I$26,MATCH($C1130,medicine_master!$A$2:$A$26,0)),0)</f>
        <v>13</v>
      </c>
      <c r="M1130" s="45" t="n">
        <f aca="false">IFERROR(INDEX(medicine_master!$G$2:$G$26,MATCH($C1130,medicine_master!$A$2:$A$26,0)),0)</f>
        <v>8</v>
      </c>
      <c r="N1130" s="45" t="n">
        <f aca="false">IF(D1130="Sale",E1130*L1130,0)</f>
        <v>0</v>
      </c>
      <c r="O1130" s="45" t="n">
        <f aca="false">IF(D1130="Sale",E1130*M1130,0)</f>
        <v>0</v>
      </c>
      <c r="P1130" s="45" t="n">
        <f aca="false">N1130-O1130</f>
        <v>0</v>
      </c>
      <c r="Q1130" s="45" t="n">
        <f aca="false">IF(D1130="Purchase",E1130*M1130,0)</f>
        <v>160</v>
      </c>
    </row>
    <row r="1131" customFormat="false" ht="15" hidden="false" customHeight="false" outlineLevel="0" collapsed="false">
      <c r="A1131" s="39" t="s">
        <v>1455</v>
      </c>
      <c r="B1131" s="44" t="n">
        <v>46197</v>
      </c>
      <c r="C1131" s="39" t="s">
        <v>145</v>
      </c>
      <c r="D1131" s="39" t="s">
        <v>138</v>
      </c>
      <c r="E1131" s="39" t="n">
        <v>15</v>
      </c>
      <c r="F1131" s="39" t="str">
        <f aca="false">IF(COUNTIF(medicine_master!$A$2:$A$26,C1131)&gt;0,"Valid","Invalid")</f>
        <v>Valid</v>
      </c>
      <c r="G1131" s="39" t="str">
        <f aca="false">IFERROR(INDEX(medicine_master!$B$2:$B$26,MATCH($C1131,medicine_master!$A$2:$A$26,0)),"Not found")</f>
        <v>Clotrimazole Cream</v>
      </c>
      <c r="H1131" s="39" t="str">
        <f aca="false">IFERROR(INDEX(medicine_master!$C$2:$C$26,MATCH($C1131,medicine_master!$A$2:$A$26,0)),"Not found")</f>
        <v>Dermatology</v>
      </c>
      <c r="I1131" s="39" t="n">
        <f aca="false">YEAR(B1131)</f>
        <v>2026</v>
      </c>
      <c r="J1131" s="39" t="n">
        <f aca="false">MONTH(B1131)</f>
        <v>6</v>
      </c>
      <c r="K1131" s="39" t="str">
        <f aca="false">TEXT(B1131,"mmm")</f>
        <v>Jun</v>
      </c>
      <c r="L1131" s="45" t="n">
        <f aca="false">IFERROR(INDEX(medicine_master!$I$2:$I$26,MATCH($C1131,medicine_master!$A$2:$A$26,0)),0)</f>
        <v>48</v>
      </c>
      <c r="M1131" s="45" t="n">
        <f aca="false">IFERROR(INDEX(medicine_master!$G$2:$G$26,MATCH($C1131,medicine_master!$A$2:$A$26,0)),0)</f>
        <v>32</v>
      </c>
      <c r="N1131" s="45" t="n">
        <f aca="false">IF(D1131="Sale",E1131*L1131,0)</f>
        <v>0</v>
      </c>
      <c r="O1131" s="45" t="n">
        <f aca="false">IF(D1131="Sale",E1131*M1131,0)</f>
        <v>0</v>
      </c>
      <c r="P1131" s="45" t="n">
        <f aca="false">N1131-O1131</f>
        <v>0</v>
      </c>
      <c r="Q1131" s="45" t="n">
        <f aca="false">IF(D1131="Purchase",E1131*M1131,0)</f>
        <v>480</v>
      </c>
    </row>
    <row r="1132" customFormat="false" ht="15" hidden="false" customHeight="false" outlineLevel="0" collapsed="false">
      <c r="A1132" s="39" t="s">
        <v>1456</v>
      </c>
      <c r="B1132" s="44" t="n">
        <v>46167</v>
      </c>
      <c r="C1132" s="39" t="s">
        <v>158</v>
      </c>
      <c r="D1132" s="39" t="s">
        <v>137</v>
      </c>
      <c r="E1132" s="39" t="n">
        <v>20</v>
      </c>
      <c r="F1132" s="39" t="str">
        <f aca="false">IF(COUNTIF(medicine_master!$A$2:$A$26,C1132)&gt;0,"Valid","Invalid")</f>
        <v>Valid</v>
      </c>
      <c r="G1132" s="39" t="str">
        <f aca="false">IFERROR(INDEX(medicine_master!$B$2:$B$26,MATCH($C1132,medicine_master!$A$2:$A$26,0)),"Not found")</f>
        <v>Cough Syrup 100ml</v>
      </c>
      <c r="H1132" s="39" t="str">
        <f aca="false">IFERROR(INDEX(medicine_master!$C$2:$C$26,MATCH($C1132,medicine_master!$A$2:$A$26,0)),"Not found")</f>
        <v>Cold &amp; Cough</v>
      </c>
      <c r="I1132" s="39" t="n">
        <f aca="false">YEAR(B1132)</f>
        <v>2026</v>
      </c>
      <c r="J1132" s="39" t="n">
        <f aca="false">MONTH(B1132)</f>
        <v>5</v>
      </c>
      <c r="K1132" s="39" t="str">
        <f aca="false">TEXT(B1132,"mmm")</f>
        <v>May</v>
      </c>
      <c r="L1132" s="45" t="n">
        <f aca="false">IFERROR(INDEX(medicine_master!$I$2:$I$26,MATCH($C1132,medicine_master!$A$2:$A$26,0)),0)</f>
        <v>72</v>
      </c>
      <c r="M1132" s="45" t="n">
        <f aca="false">IFERROR(INDEX(medicine_master!$G$2:$G$26,MATCH($C1132,medicine_master!$A$2:$A$26,0)),0)</f>
        <v>52</v>
      </c>
      <c r="N1132" s="45" t="n">
        <f aca="false">IF(D1132="Sale",E1132*L1132,0)</f>
        <v>1440</v>
      </c>
      <c r="O1132" s="45" t="n">
        <f aca="false">IF(D1132="Sale",E1132*M1132,0)</f>
        <v>1040</v>
      </c>
      <c r="P1132" s="45" t="n">
        <f aca="false">N1132-O1132</f>
        <v>400</v>
      </c>
      <c r="Q1132" s="45" t="n">
        <f aca="false">IF(D1132="Purchase",E1132*M1132,0)</f>
        <v>0</v>
      </c>
    </row>
    <row r="1133" customFormat="false" ht="15" hidden="false" customHeight="false" outlineLevel="0" collapsed="false">
      <c r="A1133" s="39" t="s">
        <v>1457</v>
      </c>
      <c r="B1133" s="44" t="n">
        <v>46284</v>
      </c>
      <c r="C1133" s="39" t="s">
        <v>151</v>
      </c>
      <c r="D1133" s="39" t="s">
        <v>138</v>
      </c>
      <c r="E1133" s="39" t="n">
        <v>20</v>
      </c>
      <c r="F1133" s="39" t="str">
        <f aca="false">IF(COUNTIF(medicine_master!$A$2:$A$26,C1133)&gt;0,"Valid","Invalid")</f>
        <v>Valid</v>
      </c>
      <c r="G1133" s="39" t="str">
        <f aca="false">IFERROR(INDEX(medicine_master!$B$2:$B$26,MATCH($C1133,medicine_master!$A$2:$A$26,0)),"Not found")</f>
        <v>Cetirizine 10mg</v>
      </c>
      <c r="H1133" s="39" t="str">
        <f aca="false">IFERROR(INDEX(medicine_master!$C$2:$C$26,MATCH($C1133,medicine_master!$A$2:$A$26,0)),"Not found")</f>
        <v>Allergy</v>
      </c>
      <c r="I1133" s="39" t="n">
        <f aca="false">YEAR(B1133)</f>
        <v>2026</v>
      </c>
      <c r="J1133" s="39" t="n">
        <f aca="false">MONTH(B1133)</f>
        <v>9</v>
      </c>
      <c r="K1133" s="39" t="str">
        <f aca="false">TEXT(B1133,"mmm")</f>
        <v>Sep</v>
      </c>
      <c r="L1133" s="45" t="n">
        <f aca="false">IFERROR(INDEX(medicine_master!$I$2:$I$26,MATCH($C1133,medicine_master!$A$2:$A$26,0)),0)</f>
        <v>13</v>
      </c>
      <c r="M1133" s="45" t="n">
        <f aca="false">IFERROR(INDEX(medicine_master!$G$2:$G$26,MATCH($C1133,medicine_master!$A$2:$A$26,0)),0)</f>
        <v>8</v>
      </c>
      <c r="N1133" s="45" t="n">
        <f aca="false">IF(D1133="Sale",E1133*L1133,0)</f>
        <v>0</v>
      </c>
      <c r="O1133" s="45" t="n">
        <f aca="false">IF(D1133="Sale",E1133*M1133,0)</f>
        <v>0</v>
      </c>
      <c r="P1133" s="45" t="n">
        <f aca="false">N1133-O1133</f>
        <v>0</v>
      </c>
      <c r="Q1133" s="45" t="n">
        <f aca="false">IF(D1133="Purchase",E1133*M1133,0)</f>
        <v>160</v>
      </c>
    </row>
    <row r="1134" customFormat="false" ht="15" hidden="false" customHeight="false" outlineLevel="0" collapsed="false">
      <c r="A1134" s="39" t="s">
        <v>1458</v>
      </c>
      <c r="B1134" s="44" t="n">
        <v>46165</v>
      </c>
      <c r="C1134" s="39" t="s">
        <v>321</v>
      </c>
      <c r="D1134" s="39" t="s">
        <v>137</v>
      </c>
      <c r="E1134" s="39" t="n">
        <v>30</v>
      </c>
      <c r="F1134" s="39" t="str">
        <f aca="false">IF(COUNTIF(medicine_master!$A$2:$A$26,C1134)&gt;0,"Valid","Invalid")</f>
        <v>Valid</v>
      </c>
      <c r="G1134" s="39" t="str">
        <f aca="false">IFERROR(INDEX(medicine_master!$B$2:$B$26,MATCH($C1134,medicine_master!$A$2:$A$26,0)),"Not found")</f>
        <v>Levocetirizine 5mg</v>
      </c>
      <c r="H1134" s="39" t="str">
        <f aca="false">IFERROR(INDEX(medicine_master!$C$2:$C$26,MATCH($C1134,medicine_master!$A$2:$A$26,0)),"Not found")</f>
        <v>Allergy</v>
      </c>
      <c r="I1134" s="39" t="n">
        <f aca="false">YEAR(B1134)</f>
        <v>2026</v>
      </c>
      <c r="J1134" s="39" t="n">
        <f aca="false">MONTH(B1134)</f>
        <v>5</v>
      </c>
      <c r="K1134" s="39" t="str">
        <f aca="false">TEXT(B1134,"mmm")</f>
        <v>May</v>
      </c>
      <c r="L1134" s="45" t="n">
        <f aca="false">IFERROR(INDEX(medicine_master!$I$2:$I$26,MATCH($C1134,medicine_master!$A$2:$A$26,0)),0)</f>
        <v>22</v>
      </c>
      <c r="M1134" s="45" t="n">
        <f aca="false">IFERROR(INDEX(medicine_master!$G$2:$G$26,MATCH($C1134,medicine_master!$A$2:$A$26,0)),0)</f>
        <v>14</v>
      </c>
      <c r="N1134" s="45" t="n">
        <f aca="false">IF(D1134="Sale",E1134*L1134,0)</f>
        <v>660</v>
      </c>
      <c r="O1134" s="45" t="n">
        <f aca="false">IF(D1134="Sale",E1134*M1134,0)</f>
        <v>420</v>
      </c>
      <c r="P1134" s="45" t="n">
        <f aca="false">N1134-O1134</f>
        <v>240</v>
      </c>
      <c r="Q1134" s="45" t="n">
        <f aca="false">IF(D1134="Purchase",E1134*M1134,0)</f>
        <v>0</v>
      </c>
    </row>
    <row r="1135" customFormat="false" ht="15" hidden="false" customHeight="false" outlineLevel="0" collapsed="false">
      <c r="A1135" s="39" t="s">
        <v>1459</v>
      </c>
      <c r="B1135" s="44" t="n">
        <v>46267</v>
      </c>
      <c r="C1135" s="39" t="s">
        <v>147</v>
      </c>
      <c r="D1135" s="39" t="s">
        <v>137</v>
      </c>
      <c r="E1135" s="39" t="n">
        <v>10</v>
      </c>
      <c r="F1135" s="39" t="str">
        <f aca="false">IF(COUNTIF(medicine_master!$A$2:$A$26,C1135)&gt;0,"Valid","Invalid")</f>
        <v>Valid</v>
      </c>
      <c r="G1135" s="39" t="str">
        <f aca="false">IFERROR(INDEX(medicine_master!$B$2:$B$26,MATCH($C1135,medicine_master!$A$2:$A$26,0)),"Not found")</f>
        <v>Insulin Injection</v>
      </c>
      <c r="H1135" s="39" t="str">
        <f aca="false">IFERROR(INDEX(medicine_master!$C$2:$C$26,MATCH($C1135,medicine_master!$A$2:$A$26,0)),"Not found")</f>
        <v>Diabetes</v>
      </c>
      <c r="I1135" s="39" t="n">
        <f aca="false">YEAR(B1135)</f>
        <v>2026</v>
      </c>
      <c r="J1135" s="39" t="n">
        <f aca="false">MONTH(B1135)</f>
        <v>9</v>
      </c>
      <c r="K1135" s="39" t="str">
        <f aca="false">TEXT(B1135,"mmm")</f>
        <v>Sep</v>
      </c>
      <c r="L1135" s="45" t="n">
        <f aca="false">IFERROR(INDEX(medicine_master!$I$2:$I$26,MATCH($C1135,medicine_master!$A$2:$A$26,0)),0)</f>
        <v>225</v>
      </c>
      <c r="M1135" s="45" t="n">
        <f aca="false">IFERROR(INDEX(medicine_master!$G$2:$G$26,MATCH($C1135,medicine_master!$A$2:$A$26,0)),0)</f>
        <v>165</v>
      </c>
      <c r="N1135" s="45" t="n">
        <f aca="false">IF(D1135="Sale",E1135*L1135,0)</f>
        <v>2250</v>
      </c>
      <c r="O1135" s="45" t="n">
        <f aca="false">IF(D1135="Sale",E1135*M1135,0)</f>
        <v>1650</v>
      </c>
      <c r="P1135" s="45" t="n">
        <f aca="false">N1135-O1135</f>
        <v>600</v>
      </c>
      <c r="Q1135" s="45" t="n">
        <f aca="false">IF(D1135="Purchase",E1135*M1135,0)</f>
        <v>0</v>
      </c>
    </row>
    <row r="1136" customFormat="false" ht="15" hidden="false" customHeight="false" outlineLevel="0" collapsed="false">
      <c r="A1136" s="39" t="s">
        <v>1460</v>
      </c>
      <c r="B1136" s="44" t="n">
        <v>46080</v>
      </c>
      <c r="C1136" s="39" t="s">
        <v>145</v>
      </c>
      <c r="D1136" s="39" t="s">
        <v>137</v>
      </c>
      <c r="E1136" s="39" t="n">
        <v>25</v>
      </c>
      <c r="F1136" s="39" t="str">
        <f aca="false">IF(COUNTIF(medicine_master!$A$2:$A$26,C1136)&gt;0,"Valid","Invalid")</f>
        <v>Valid</v>
      </c>
      <c r="G1136" s="39" t="str">
        <f aca="false">IFERROR(INDEX(medicine_master!$B$2:$B$26,MATCH($C1136,medicine_master!$A$2:$A$26,0)),"Not found")</f>
        <v>Clotrimazole Cream</v>
      </c>
      <c r="H1136" s="39" t="str">
        <f aca="false">IFERROR(INDEX(medicine_master!$C$2:$C$26,MATCH($C1136,medicine_master!$A$2:$A$26,0)),"Not found")</f>
        <v>Dermatology</v>
      </c>
      <c r="I1136" s="39" t="n">
        <f aca="false">YEAR(B1136)</f>
        <v>2026</v>
      </c>
      <c r="J1136" s="39" t="n">
        <f aca="false">MONTH(B1136)</f>
        <v>2</v>
      </c>
      <c r="K1136" s="39" t="str">
        <f aca="false">TEXT(B1136,"mmm")</f>
        <v>Feb</v>
      </c>
      <c r="L1136" s="45" t="n">
        <f aca="false">IFERROR(INDEX(medicine_master!$I$2:$I$26,MATCH($C1136,medicine_master!$A$2:$A$26,0)),0)</f>
        <v>48</v>
      </c>
      <c r="M1136" s="45" t="n">
        <f aca="false">IFERROR(INDEX(medicine_master!$G$2:$G$26,MATCH($C1136,medicine_master!$A$2:$A$26,0)),0)</f>
        <v>32</v>
      </c>
      <c r="N1136" s="45" t="n">
        <f aca="false">IF(D1136="Sale",E1136*L1136,0)</f>
        <v>1200</v>
      </c>
      <c r="O1136" s="45" t="n">
        <f aca="false">IF(D1136="Sale",E1136*M1136,0)</f>
        <v>800</v>
      </c>
      <c r="P1136" s="45" t="n">
        <f aca="false">N1136-O1136</f>
        <v>400</v>
      </c>
      <c r="Q1136" s="45" t="n">
        <f aca="false">IF(D1136="Purchase",E1136*M1136,0)</f>
        <v>0</v>
      </c>
    </row>
    <row r="1137" customFormat="false" ht="15" hidden="false" customHeight="false" outlineLevel="0" collapsed="false">
      <c r="A1137" s="39" t="s">
        <v>1461</v>
      </c>
      <c r="B1137" s="44" t="n">
        <v>46325</v>
      </c>
      <c r="C1137" s="39" t="s">
        <v>152</v>
      </c>
      <c r="D1137" s="39" t="s">
        <v>138</v>
      </c>
      <c r="E1137" s="39" t="n">
        <v>15</v>
      </c>
      <c r="F1137" s="39" t="str">
        <f aca="false">IF(COUNTIF(medicine_master!$A$2:$A$26,C1137)&gt;0,"Valid","Invalid")</f>
        <v>Valid</v>
      </c>
      <c r="G1137" s="39" t="str">
        <f aca="false">IFERROR(INDEX(medicine_master!$B$2:$B$26,MATCH($C1137,medicine_master!$A$2:$A$26,0)),"Not found")</f>
        <v>Amoxicillin 500mg</v>
      </c>
      <c r="H1137" s="39" t="str">
        <f aca="false">IFERROR(INDEX(medicine_master!$C$2:$C$26,MATCH($C1137,medicine_master!$A$2:$A$26,0)),"Not found")</f>
        <v>Antibiotic</v>
      </c>
      <c r="I1137" s="39" t="n">
        <f aca="false">YEAR(B1137)</f>
        <v>2026</v>
      </c>
      <c r="J1137" s="39" t="n">
        <f aca="false">MONTH(B1137)</f>
        <v>10</v>
      </c>
      <c r="K1137" s="39" t="str">
        <f aca="false">TEXT(B1137,"mmm")</f>
        <v>Oct</v>
      </c>
      <c r="L1137" s="45" t="n">
        <f aca="false">IFERROR(INDEX(medicine_master!$I$2:$I$26,MATCH($C1137,medicine_master!$A$2:$A$26,0)),0)</f>
        <v>40</v>
      </c>
      <c r="M1137" s="45" t="n">
        <f aca="false">IFERROR(INDEX(medicine_master!$G$2:$G$26,MATCH($C1137,medicine_master!$A$2:$A$26,0)),0)</f>
        <v>28</v>
      </c>
      <c r="N1137" s="45" t="n">
        <f aca="false">IF(D1137="Sale",E1137*L1137,0)</f>
        <v>0</v>
      </c>
      <c r="O1137" s="45" t="n">
        <f aca="false">IF(D1137="Sale",E1137*M1137,0)</f>
        <v>0</v>
      </c>
      <c r="P1137" s="45" t="n">
        <f aca="false">N1137-O1137</f>
        <v>0</v>
      </c>
      <c r="Q1137" s="45" t="n">
        <f aca="false">IF(D1137="Purchase",E1137*M1137,0)</f>
        <v>420</v>
      </c>
    </row>
    <row r="1138" customFormat="false" ht="15" hidden="false" customHeight="false" outlineLevel="0" collapsed="false">
      <c r="A1138" s="39" t="s">
        <v>1462</v>
      </c>
      <c r="B1138" s="44" t="n">
        <v>46081</v>
      </c>
      <c r="C1138" s="39" t="s">
        <v>160</v>
      </c>
      <c r="D1138" s="39" t="s">
        <v>137</v>
      </c>
      <c r="E1138" s="39" t="n">
        <v>25</v>
      </c>
      <c r="F1138" s="39" t="str">
        <f aca="false">IF(COUNTIF(medicine_master!$A$2:$A$26,C1138)&gt;0,"Valid","Invalid")</f>
        <v>Valid</v>
      </c>
      <c r="G1138" s="39" t="str">
        <f aca="false">IFERROR(INDEX(medicine_master!$B$2:$B$26,MATCH($C1138,medicine_master!$A$2:$A$26,0)),"Not found")</f>
        <v>Calamine Lotion</v>
      </c>
      <c r="H1138" s="39" t="str">
        <f aca="false">IFERROR(INDEX(medicine_master!$C$2:$C$26,MATCH($C1138,medicine_master!$A$2:$A$26,0)),"Not found")</f>
        <v>Dermatology</v>
      </c>
      <c r="I1138" s="39" t="n">
        <f aca="false">YEAR(B1138)</f>
        <v>2026</v>
      </c>
      <c r="J1138" s="39" t="n">
        <f aca="false">MONTH(B1138)</f>
        <v>2</v>
      </c>
      <c r="K1138" s="39" t="str">
        <f aca="false">TEXT(B1138,"mmm")</f>
        <v>Feb</v>
      </c>
      <c r="L1138" s="45" t="n">
        <f aca="false">IFERROR(INDEX(medicine_master!$I$2:$I$26,MATCH($C1138,medicine_master!$A$2:$A$26,0)),0)</f>
        <v>60</v>
      </c>
      <c r="M1138" s="45" t="n">
        <f aca="false">IFERROR(INDEX(medicine_master!$G$2:$G$26,MATCH($C1138,medicine_master!$A$2:$A$26,0)),0)</f>
        <v>42</v>
      </c>
      <c r="N1138" s="45" t="n">
        <f aca="false">IF(D1138="Sale",E1138*L1138,0)</f>
        <v>1500</v>
      </c>
      <c r="O1138" s="45" t="n">
        <f aca="false">IF(D1138="Sale",E1138*M1138,0)</f>
        <v>1050</v>
      </c>
      <c r="P1138" s="45" t="n">
        <f aca="false">N1138-O1138</f>
        <v>450</v>
      </c>
      <c r="Q1138" s="45" t="n">
        <f aca="false">IF(D1138="Purchase",E1138*M1138,0)</f>
        <v>0</v>
      </c>
    </row>
    <row r="1139" customFormat="false" ht="15" hidden="false" customHeight="false" outlineLevel="0" collapsed="false">
      <c r="A1139" s="39" t="s">
        <v>1463</v>
      </c>
      <c r="B1139" s="44" t="n">
        <v>46036</v>
      </c>
      <c r="C1139" s="39" t="s">
        <v>153</v>
      </c>
      <c r="D1139" s="39" t="s">
        <v>138</v>
      </c>
      <c r="E1139" s="39" t="n">
        <v>20</v>
      </c>
      <c r="F1139" s="39" t="str">
        <f aca="false">IF(COUNTIF(medicine_master!$A$2:$A$26,C1139)&gt;0,"Valid","Invalid")</f>
        <v>Valid</v>
      </c>
      <c r="G1139" s="39" t="str">
        <f aca="false">IFERROR(INDEX(medicine_master!$B$2:$B$26,MATCH($C1139,medicine_master!$A$2:$A$26,0)),"Not found")</f>
        <v>Atorvastatin 10mg</v>
      </c>
      <c r="H1139" s="39" t="str">
        <f aca="false">IFERROR(INDEX(medicine_master!$C$2:$C$26,MATCH($C1139,medicine_master!$A$2:$A$26,0)),"Not found")</f>
        <v>Cardiac</v>
      </c>
      <c r="I1139" s="39" t="n">
        <f aca="false">YEAR(B1139)</f>
        <v>2026</v>
      </c>
      <c r="J1139" s="39" t="n">
        <f aca="false">MONTH(B1139)</f>
        <v>1</v>
      </c>
      <c r="K1139" s="39" t="str">
        <f aca="false">TEXT(B1139,"mmm")</f>
        <v>Jan</v>
      </c>
      <c r="L1139" s="45" t="n">
        <f aca="false">IFERROR(INDEX(medicine_master!$I$2:$I$26,MATCH($C1139,medicine_master!$A$2:$A$26,0)),0)</f>
        <v>28</v>
      </c>
      <c r="M1139" s="45" t="n">
        <f aca="false">IFERROR(INDEX(medicine_master!$G$2:$G$26,MATCH($C1139,medicine_master!$A$2:$A$26,0)),0)</f>
        <v>19</v>
      </c>
      <c r="N1139" s="45" t="n">
        <f aca="false">IF(D1139="Sale",E1139*L1139,0)</f>
        <v>0</v>
      </c>
      <c r="O1139" s="45" t="n">
        <f aca="false">IF(D1139="Sale",E1139*M1139,0)</f>
        <v>0</v>
      </c>
      <c r="P1139" s="45" t="n">
        <f aca="false">N1139-O1139</f>
        <v>0</v>
      </c>
      <c r="Q1139" s="45" t="n">
        <f aca="false">IF(D1139="Purchase",E1139*M1139,0)</f>
        <v>380</v>
      </c>
    </row>
    <row r="1140" customFormat="false" ht="15" hidden="false" customHeight="false" outlineLevel="0" collapsed="false">
      <c r="A1140" s="39" t="s">
        <v>1464</v>
      </c>
      <c r="B1140" s="44" t="n">
        <v>46041</v>
      </c>
      <c r="C1140" s="39" t="s">
        <v>495</v>
      </c>
      <c r="D1140" s="39" t="s">
        <v>138</v>
      </c>
      <c r="E1140" s="39" t="n">
        <v>25</v>
      </c>
      <c r="F1140" s="39" t="str">
        <f aca="false">IF(COUNTIF(medicine_master!$A$2:$A$26,C1140)&gt;0,"Valid","Invalid")</f>
        <v>Valid</v>
      </c>
      <c r="G1140" s="39" t="str">
        <f aca="false">IFERROR(INDEX(medicine_master!$B$2:$B$26,MATCH($C1140,medicine_master!$A$2:$A$26,0)),"Not found")</f>
        <v>Metformin 500mg</v>
      </c>
      <c r="H1140" s="39" t="str">
        <f aca="false">IFERROR(INDEX(medicine_master!$C$2:$C$26,MATCH($C1140,medicine_master!$A$2:$A$26,0)),"Not found")</f>
        <v>Diabetes</v>
      </c>
      <c r="I1140" s="39" t="n">
        <f aca="false">YEAR(B1140)</f>
        <v>2026</v>
      </c>
      <c r="J1140" s="39" t="n">
        <f aca="false">MONTH(B1140)</f>
        <v>1</v>
      </c>
      <c r="K1140" s="39" t="str">
        <f aca="false">TEXT(B1140,"mmm")</f>
        <v>Jan</v>
      </c>
      <c r="L1140" s="45" t="n">
        <f aca="false">IFERROR(INDEX(medicine_master!$I$2:$I$26,MATCH($C1140,medicine_master!$A$2:$A$26,0)),0)</f>
        <v>24</v>
      </c>
      <c r="M1140" s="45" t="n">
        <f aca="false">IFERROR(INDEX(medicine_master!$G$2:$G$26,MATCH($C1140,medicine_master!$A$2:$A$26,0)),0)</f>
        <v>16</v>
      </c>
      <c r="N1140" s="45" t="n">
        <f aca="false">IF(D1140="Sale",E1140*L1140,0)</f>
        <v>0</v>
      </c>
      <c r="O1140" s="45" t="n">
        <f aca="false">IF(D1140="Sale",E1140*M1140,0)</f>
        <v>0</v>
      </c>
      <c r="P1140" s="45" t="n">
        <f aca="false">N1140-O1140</f>
        <v>0</v>
      </c>
      <c r="Q1140" s="45" t="n">
        <f aca="false">IF(D1140="Purchase",E1140*M1140,0)</f>
        <v>400</v>
      </c>
    </row>
    <row r="1141" customFormat="false" ht="15" hidden="false" customHeight="false" outlineLevel="0" collapsed="false">
      <c r="A1141" s="39" t="s">
        <v>1465</v>
      </c>
      <c r="B1141" s="44" t="n">
        <v>46122</v>
      </c>
      <c r="C1141" s="39" t="s">
        <v>151</v>
      </c>
      <c r="D1141" s="39" t="s">
        <v>137</v>
      </c>
      <c r="E1141" s="39" t="n">
        <v>30</v>
      </c>
      <c r="F1141" s="39" t="str">
        <f aca="false">IF(COUNTIF(medicine_master!$A$2:$A$26,C1141)&gt;0,"Valid","Invalid")</f>
        <v>Valid</v>
      </c>
      <c r="G1141" s="39" t="str">
        <f aca="false">IFERROR(INDEX(medicine_master!$B$2:$B$26,MATCH($C1141,medicine_master!$A$2:$A$26,0)),"Not found")</f>
        <v>Cetirizine 10mg</v>
      </c>
      <c r="H1141" s="39" t="str">
        <f aca="false">IFERROR(INDEX(medicine_master!$C$2:$C$26,MATCH($C1141,medicine_master!$A$2:$A$26,0)),"Not found")</f>
        <v>Allergy</v>
      </c>
      <c r="I1141" s="39" t="n">
        <f aca="false">YEAR(B1141)</f>
        <v>2026</v>
      </c>
      <c r="J1141" s="39" t="n">
        <f aca="false">MONTH(B1141)</f>
        <v>4</v>
      </c>
      <c r="K1141" s="39" t="str">
        <f aca="false">TEXT(B1141,"mmm")</f>
        <v>Apr</v>
      </c>
      <c r="L1141" s="45" t="n">
        <f aca="false">IFERROR(INDEX(medicine_master!$I$2:$I$26,MATCH($C1141,medicine_master!$A$2:$A$26,0)),0)</f>
        <v>13</v>
      </c>
      <c r="M1141" s="45" t="n">
        <f aca="false">IFERROR(INDEX(medicine_master!$G$2:$G$26,MATCH($C1141,medicine_master!$A$2:$A$26,0)),0)</f>
        <v>8</v>
      </c>
      <c r="N1141" s="45" t="n">
        <f aca="false">IF(D1141="Sale",E1141*L1141,0)</f>
        <v>390</v>
      </c>
      <c r="O1141" s="45" t="n">
        <f aca="false">IF(D1141="Sale",E1141*M1141,0)</f>
        <v>240</v>
      </c>
      <c r="P1141" s="45" t="n">
        <f aca="false">N1141-O1141</f>
        <v>150</v>
      </c>
      <c r="Q1141" s="45" t="n">
        <f aca="false">IF(D1141="Purchase",E1141*M1141,0)</f>
        <v>0</v>
      </c>
    </row>
    <row r="1142" customFormat="false" ht="15" hidden="false" customHeight="false" outlineLevel="0" collapsed="false">
      <c r="A1142" s="39" t="s">
        <v>1466</v>
      </c>
      <c r="B1142" s="44" t="n">
        <v>46382</v>
      </c>
      <c r="C1142" s="39" t="s">
        <v>147</v>
      </c>
      <c r="D1142" s="39" t="s">
        <v>137</v>
      </c>
      <c r="E1142" s="39" t="n">
        <v>20</v>
      </c>
      <c r="F1142" s="39" t="str">
        <f aca="false">IF(COUNTIF(medicine_master!$A$2:$A$26,C1142)&gt;0,"Valid","Invalid")</f>
        <v>Valid</v>
      </c>
      <c r="G1142" s="39" t="str">
        <f aca="false">IFERROR(INDEX(medicine_master!$B$2:$B$26,MATCH($C1142,medicine_master!$A$2:$A$26,0)),"Not found")</f>
        <v>Insulin Injection</v>
      </c>
      <c r="H1142" s="39" t="str">
        <f aca="false">IFERROR(INDEX(medicine_master!$C$2:$C$26,MATCH($C1142,medicine_master!$A$2:$A$26,0)),"Not found")</f>
        <v>Diabetes</v>
      </c>
      <c r="I1142" s="39" t="n">
        <f aca="false">YEAR(B1142)</f>
        <v>2026</v>
      </c>
      <c r="J1142" s="39" t="n">
        <f aca="false">MONTH(B1142)</f>
        <v>12</v>
      </c>
      <c r="K1142" s="39" t="str">
        <f aca="false">TEXT(B1142,"mmm")</f>
        <v>Dec</v>
      </c>
      <c r="L1142" s="45" t="n">
        <f aca="false">IFERROR(INDEX(medicine_master!$I$2:$I$26,MATCH($C1142,medicine_master!$A$2:$A$26,0)),0)</f>
        <v>225</v>
      </c>
      <c r="M1142" s="45" t="n">
        <f aca="false">IFERROR(INDEX(medicine_master!$G$2:$G$26,MATCH($C1142,medicine_master!$A$2:$A$26,0)),0)</f>
        <v>165</v>
      </c>
      <c r="N1142" s="45" t="n">
        <f aca="false">IF(D1142="Sale",E1142*L1142,0)</f>
        <v>4500</v>
      </c>
      <c r="O1142" s="45" t="n">
        <f aca="false">IF(D1142="Sale",E1142*M1142,0)</f>
        <v>3300</v>
      </c>
      <c r="P1142" s="45" t="n">
        <f aca="false">N1142-O1142</f>
        <v>1200</v>
      </c>
      <c r="Q1142" s="45" t="n">
        <f aca="false">IF(D1142="Purchase",E1142*M1142,0)</f>
        <v>0</v>
      </c>
    </row>
    <row r="1143" customFormat="false" ht="15" hidden="false" customHeight="false" outlineLevel="0" collapsed="false">
      <c r="A1143" s="39" t="s">
        <v>1467</v>
      </c>
      <c r="B1143" s="44" t="n">
        <v>46385</v>
      </c>
      <c r="C1143" s="39" t="s">
        <v>160</v>
      </c>
      <c r="D1143" s="39" t="s">
        <v>138</v>
      </c>
      <c r="E1143" s="39" t="n">
        <v>15</v>
      </c>
      <c r="F1143" s="39" t="str">
        <f aca="false">IF(COUNTIF(medicine_master!$A$2:$A$26,C1143)&gt;0,"Valid","Invalid")</f>
        <v>Valid</v>
      </c>
      <c r="G1143" s="39" t="str">
        <f aca="false">IFERROR(INDEX(medicine_master!$B$2:$B$26,MATCH($C1143,medicine_master!$A$2:$A$26,0)),"Not found")</f>
        <v>Calamine Lotion</v>
      </c>
      <c r="H1143" s="39" t="str">
        <f aca="false">IFERROR(INDEX(medicine_master!$C$2:$C$26,MATCH($C1143,medicine_master!$A$2:$A$26,0)),"Not found")</f>
        <v>Dermatology</v>
      </c>
      <c r="I1143" s="39" t="n">
        <f aca="false">YEAR(B1143)</f>
        <v>2026</v>
      </c>
      <c r="J1143" s="39" t="n">
        <f aca="false">MONTH(B1143)</f>
        <v>12</v>
      </c>
      <c r="K1143" s="39" t="str">
        <f aca="false">TEXT(B1143,"mmm")</f>
        <v>Dec</v>
      </c>
      <c r="L1143" s="45" t="n">
        <f aca="false">IFERROR(INDEX(medicine_master!$I$2:$I$26,MATCH($C1143,medicine_master!$A$2:$A$26,0)),0)</f>
        <v>60</v>
      </c>
      <c r="M1143" s="45" t="n">
        <f aca="false">IFERROR(INDEX(medicine_master!$G$2:$G$26,MATCH($C1143,medicine_master!$A$2:$A$26,0)),0)</f>
        <v>42</v>
      </c>
      <c r="N1143" s="45" t="n">
        <f aca="false">IF(D1143="Sale",E1143*L1143,0)</f>
        <v>0</v>
      </c>
      <c r="O1143" s="45" t="n">
        <f aca="false">IF(D1143="Sale",E1143*M1143,0)</f>
        <v>0</v>
      </c>
      <c r="P1143" s="45" t="n">
        <f aca="false">N1143-O1143</f>
        <v>0</v>
      </c>
      <c r="Q1143" s="45" t="n">
        <f aca="false">IF(D1143="Purchase",E1143*M1143,0)</f>
        <v>630</v>
      </c>
    </row>
    <row r="1144" customFormat="false" ht="15" hidden="false" customHeight="false" outlineLevel="0" collapsed="false">
      <c r="A1144" s="39" t="s">
        <v>1468</v>
      </c>
      <c r="B1144" s="44" t="n">
        <v>46163</v>
      </c>
      <c r="C1144" s="39" t="s">
        <v>158</v>
      </c>
      <c r="D1144" s="39" t="s">
        <v>137</v>
      </c>
      <c r="E1144" s="39" t="n">
        <v>25</v>
      </c>
      <c r="F1144" s="39" t="str">
        <f aca="false">IF(COUNTIF(medicine_master!$A$2:$A$26,C1144)&gt;0,"Valid","Invalid")</f>
        <v>Valid</v>
      </c>
      <c r="G1144" s="39" t="str">
        <f aca="false">IFERROR(INDEX(medicine_master!$B$2:$B$26,MATCH($C1144,medicine_master!$A$2:$A$26,0)),"Not found")</f>
        <v>Cough Syrup 100ml</v>
      </c>
      <c r="H1144" s="39" t="str">
        <f aca="false">IFERROR(INDEX(medicine_master!$C$2:$C$26,MATCH($C1144,medicine_master!$A$2:$A$26,0)),"Not found")</f>
        <v>Cold &amp; Cough</v>
      </c>
      <c r="I1144" s="39" t="n">
        <f aca="false">YEAR(B1144)</f>
        <v>2026</v>
      </c>
      <c r="J1144" s="39" t="n">
        <f aca="false">MONTH(B1144)</f>
        <v>5</v>
      </c>
      <c r="K1144" s="39" t="str">
        <f aca="false">TEXT(B1144,"mmm")</f>
        <v>May</v>
      </c>
      <c r="L1144" s="45" t="n">
        <f aca="false">IFERROR(INDEX(medicine_master!$I$2:$I$26,MATCH($C1144,medicine_master!$A$2:$A$26,0)),0)</f>
        <v>72</v>
      </c>
      <c r="M1144" s="45" t="n">
        <f aca="false">IFERROR(INDEX(medicine_master!$G$2:$G$26,MATCH($C1144,medicine_master!$A$2:$A$26,0)),0)</f>
        <v>52</v>
      </c>
      <c r="N1144" s="45" t="n">
        <f aca="false">IF(D1144="Sale",E1144*L1144,0)</f>
        <v>1800</v>
      </c>
      <c r="O1144" s="45" t="n">
        <f aca="false">IF(D1144="Sale",E1144*M1144,0)</f>
        <v>1300</v>
      </c>
      <c r="P1144" s="45" t="n">
        <f aca="false">N1144-O1144</f>
        <v>500</v>
      </c>
      <c r="Q1144" s="45" t="n">
        <f aca="false">IF(D1144="Purchase",E1144*M1144,0)</f>
        <v>0</v>
      </c>
    </row>
    <row r="1145" customFormat="false" ht="15" hidden="false" customHeight="false" outlineLevel="0" collapsed="false">
      <c r="A1145" s="39" t="s">
        <v>1469</v>
      </c>
      <c r="B1145" s="44" t="n">
        <v>46261</v>
      </c>
      <c r="C1145" s="39" t="s">
        <v>149</v>
      </c>
      <c r="D1145" s="39" t="s">
        <v>137</v>
      </c>
      <c r="E1145" s="39" t="n">
        <v>5</v>
      </c>
      <c r="F1145" s="39" t="str">
        <f aca="false">IF(COUNTIF(medicine_master!$A$2:$A$26,C1145)&gt;0,"Valid","Invalid")</f>
        <v>Valid</v>
      </c>
      <c r="G1145" s="39" t="str">
        <f aca="false">IFERROR(INDEX(medicine_master!$B$2:$B$26,MATCH($C1145,medicine_master!$A$2:$A$26,0)),"Not found")</f>
        <v>Azithromycin 500mg</v>
      </c>
      <c r="H1145" s="39" t="str">
        <f aca="false">IFERROR(INDEX(medicine_master!$C$2:$C$26,MATCH($C1145,medicine_master!$A$2:$A$26,0)),"Not found")</f>
        <v>Antibiotic</v>
      </c>
      <c r="I1145" s="39" t="n">
        <f aca="false">YEAR(B1145)</f>
        <v>2026</v>
      </c>
      <c r="J1145" s="39" t="n">
        <f aca="false">MONTH(B1145)</f>
        <v>8</v>
      </c>
      <c r="K1145" s="39" t="str">
        <f aca="false">TEXT(B1145,"mmm")</f>
        <v>Aug</v>
      </c>
      <c r="L1145" s="45" t="n">
        <f aca="false">IFERROR(INDEX(medicine_master!$I$2:$I$26,MATCH($C1145,medicine_master!$A$2:$A$26,0)),0)</f>
        <v>50</v>
      </c>
      <c r="M1145" s="45" t="n">
        <f aca="false">IFERROR(INDEX(medicine_master!$G$2:$G$26,MATCH($C1145,medicine_master!$A$2:$A$26,0)),0)</f>
        <v>35</v>
      </c>
      <c r="N1145" s="45" t="n">
        <f aca="false">IF(D1145="Sale",E1145*L1145,0)</f>
        <v>250</v>
      </c>
      <c r="O1145" s="45" t="n">
        <f aca="false">IF(D1145="Sale",E1145*M1145,0)</f>
        <v>175</v>
      </c>
      <c r="P1145" s="45" t="n">
        <f aca="false">N1145-O1145</f>
        <v>75</v>
      </c>
      <c r="Q1145" s="45" t="n">
        <f aca="false">IF(D1145="Purchase",E1145*M1145,0)</f>
        <v>0</v>
      </c>
    </row>
    <row r="1146" customFormat="false" ht="15" hidden="false" customHeight="false" outlineLevel="0" collapsed="false">
      <c r="A1146" s="39" t="s">
        <v>1470</v>
      </c>
      <c r="B1146" s="44" t="n">
        <v>46212</v>
      </c>
      <c r="C1146" s="39" t="s">
        <v>149</v>
      </c>
      <c r="D1146" s="39" t="s">
        <v>137</v>
      </c>
      <c r="E1146" s="39" t="n">
        <v>10</v>
      </c>
      <c r="F1146" s="39" t="str">
        <f aca="false">IF(COUNTIF(medicine_master!$A$2:$A$26,C1146)&gt;0,"Valid","Invalid")</f>
        <v>Valid</v>
      </c>
      <c r="G1146" s="39" t="str">
        <f aca="false">IFERROR(INDEX(medicine_master!$B$2:$B$26,MATCH($C1146,medicine_master!$A$2:$A$26,0)),"Not found")</f>
        <v>Azithromycin 500mg</v>
      </c>
      <c r="H1146" s="39" t="str">
        <f aca="false">IFERROR(INDEX(medicine_master!$C$2:$C$26,MATCH($C1146,medicine_master!$A$2:$A$26,0)),"Not found")</f>
        <v>Antibiotic</v>
      </c>
      <c r="I1146" s="39" t="n">
        <f aca="false">YEAR(B1146)</f>
        <v>2026</v>
      </c>
      <c r="J1146" s="39" t="n">
        <f aca="false">MONTH(B1146)</f>
        <v>7</v>
      </c>
      <c r="K1146" s="39" t="str">
        <f aca="false">TEXT(B1146,"mmm")</f>
        <v>Jul</v>
      </c>
      <c r="L1146" s="45" t="n">
        <f aca="false">IFERROR(INDEX(medicine_master!$I$2:$I$26,MATCH($C1146,medicine_master!$A$2:$A$26,0)),0)</f>
        <v>50</v>
      </c>
      <c r="M1146" s="45" t="n">
        <f aca="false">IFERROR(INDEX(medicine_master!$G$2:$G$26,MATCH($C1146,medicine_master!$A$2:$A$26,0)),0)</f>
        <v>35</v>
      </c>
      <c r="N1146" s="45" t="n">
        <f aca="false">IF(D1146="Sale",E1146*L1146,0)</f>
        <v>500</v>
      </c>
      <c r="O1146" s="45" t="n">
        <f aca="false">IF(D1146="Sale",E1146*M1146,0)</f>
        <v>350</v>
      </c>
      <c r="P1146" s="45" t="n">
        <f aca="false">N1146-O1146</f>
        <v>150</v>
      </c>
      <c r="Q1146" s="45" t="n">
        <f aca="false">IF(D1146="Purchase",E1146*M1146,0)</f>
        <v>0</v>
      </c>
    </row>
    <row r="1147" customFormat="false" ht="15" hidden="false" customHeight="false" outlineLevel="0" collapsed="false">
      <c r="A1147" s="39" t="s">
        <v>1471</v>
      </c>
      <c r="B1147" s="44" t="n">
        <v>46259</v>
      </c>
      <c r="C1147" s="39" t="s">
        <v>179</v>
      </c>
      <c r="D1147" s="39" t="s">
        <v>137</v>
      </c>
      <c r="E1147" s="39" t="n">
        <v>15</v>
      </c>
      <c r="F1147" s="39" t="str">
        <f aca="false">IF(COUNTIF(medicine_master!$A$2:$A$26,C1147)&gt;0,"Valid","Invalid")</f>
        <v>Valid</v>
      </c>
      <c r="G1147" s="39" t="str">
        <f aca="false">IFERROR(INDEX(medicine_master!$B$2:$B$26,MATCH($C1147,medicine_master!$A$2:$A$26,0)),"Not found")</f>
        <v>Ibuprofen 400mg</v>
      </c>
      <c r="H1147" s="39" t="str">
        <f aca="false">IFERROR(INDEX(medicine_master!$C$2:$C$26,MATCH($C1147,medicine_master!$A$2:$A$26,0)),"Not found")</f>
        <v>Pain Relief</v>
      </c>
      <c r="I1147" s="39" t="n">
        <f aca="false">YEAR(B1147)</f>
        <v>2026</v>
      </c>
      <c r="J1147" s="39" t="n">
        <f aca="false">MONTH(B1147)</f>
        <v>8</v>
      </c>
      <c r="K1147" s="39" t="str">
        <f aca="false">TEXT(B1147,"mmm")</f>
        <v>Aug</v>
      </c>
      <c r="L1147" s="45" t="n">
        <f aca="false">IFERROR(INDEX(medicine_master!$I$2:$I$26,MATCH($C1147,medicine_master!$A$2:$A$26,0)),0)</f>
        <v>30</v>
      </c>
      <c r="M1147" s="45" t="n">
        <f aca="false">IFERROR(INDEX(medicine_master!$G$2:$G$26,MATCH($C1147,medicine_master!$A$2:$A$26,0)),0)</f>
        <v>22</v>
      </c>
      <c r="N1147" s="45" t="n">
        <f aca="false">IF(D1147="Sale",E1147*L1147,0)</f>
        <v>450</v>
      </c>
      <c r="O1147" s="45" t="n">
        <f aca="false">IF(D1147="Sale",E1147*M1147,0)</f>
        <v>330</v>
      </c>
      <c r="P1147" s="45" t="n">
        <f aca="false">N1147-O1147</f>
        <v>120</v>
      </c>
      <c r="Q1147" s="45" t="n">
        <f aca="false">IF(D1147="Purchase",E1147*M1147,0)</f>
        <v>0</v>
      </c>
    </row>
    <row r="1148" customFormat="false" ht="15" hidden="false" customHeight="false" outlineLevel="0" collapsed="false">
      <c r="A1148" s="39" t="s">
        <v>1472</v>
      </c>
      <c r="B1148" s="44" t="n">
        <v>46302</v>
      </c>
      <c r="C1148" s="39" t="s">
        <v>159</v>
      </c>
      <c r="D1148" s="39" t="s">
        <v>137</v>
      </c>
      <c r="E1148" s="39" t="n">
        <v>50</v>
      </c>
      <c r="F1148" s="39" t="str">
        <f aca="false">IF(COUNTIF(medicine_master!$A$2:$A$26,C1148)&gt;0,"Valid","Invalid")</f>
        <v>Valid</v>
      </c>
      <c r="G1148" s="39" t="str">
        <f aca="false">IFERROR(INDEX(medicine_master!$B$2:$B$26,MATCH($C1148,medicine_master!$A$2:$A$26,0)),"Not found")</f>
        <v>Antiseptic Liquid 100ml</v>
      </c>
      <c r="H1148" s="39" t="str">
        <f aca="false">IFERROR(INDEX(medicine_master!$C$2:$C$26,MATCH($C1148,medicine_master!$A$2:$A$26,0)),"Not found")</f>
        <v>First Aid</v>
      </c>
      <c r="I1148" s="39" t="n">
        <f aca="false">YEAR(B1148)</f>
        <v>2026</v>
      </c>
      <c r="J1148" s="39" t="n">
        <f aca="false">MONTH(B1148)</f>
        <v>10</v>
      </c>
      <c r="K1148" s="39" t="str">
        <f aca="false">TEXT(B1148,"mmm")</f>
        <v>Oct</v>
      </c>
      <c r="L1148" s="45" t="n">
        <f aca="false">IFERROR(INDEX(medicine_master!$I$2:$I$26,MATCH($C1148,medicine_master!$A$2:$A$26,0)),0)</f>
        <v>65</v>
      </c>
      <c r="M1148" s="45" t="n">
        <f aca="false">IFERROR(INDEX(medicine_master!$G$2:$G$26,MATCH($C1148,medicine_master!$A$2:$A$26,0)),0)</f>
        <v>48</v>
      </c>
      <c r="N1148" s="45" t="n">
        <f aca="false">IF(D1148="Sale",E1148*L1148,0)</f>
        <v>3250</v>
      </c>
      <c r="O1148" s="45" t="n">
        <f aca="false">IF(D1148="Sale",E1148*M1148,0)</f>
        <v>2400</v>
      </c>
      <c r="P1148" s="45" t="n">
        <f aca="false">N1148-O1148</f>
        <v>850</v>
      </c>
      <c r="Q1148" s="45" t="n">
        <f aca="false">IF(D1148="Purchase",E1148*M1148,0)</f>
        <v>0</v>
      </c>
    </row>
    <row r="1149" customFormat="false" ht="15" hidden="false" customHeight="false" outlineLevel="0" collapsed="false">
      <c r="A1149" s="39" t="s">
        <v>1473</v>
      </c>
      <c r="B1149" s="44" t="n">
        <v>46067</v>
      </c>
      <c r="C1149" s="39" t="s">
        <v>179</v>
      </c>
      <c r="D1149" s="39" t="s">
        <v>137</v>
      </c>
      <c r="E1149" s="39" t="n">
        <v>40</v>
      </c>
      <c r="F1149" s="39" t="str">
        <f aca="false">IF(COUNTIF(medicine_master!$A$2:$A$26,C1149)&gt;0,"Valid","Invalid")</f>
        <v>Valid</v>
      </c>
      <c r="G1149" s="39" t="str">
        <f aca="false">IFERROR(INDEX(medicine_master!$B$2:$B$26,MATCH($C1149,medicine_master!$A$2:$A$26,0)),"Not found")</f>
        <v>Ibuprofen 400mg</v>
      </c>
      <c r="H1149" s="39" t="str">
        <f aca="false">IFERROR(INDEX(medicine_master!$C$2:$C$26,MATCH($C1149,medicine_master!$A$2:$A$26,0)),"Not found")</f>
        <v>Pain Relief</v>
      </c>
      <c r="I1149" s="39" t="n">
        <f aca="false">YEAR(B1149)</f>
        <v>2026</v>
      </c>
      <c r="J1149" s="39" t="n">
        <f aca="false">MONTH(B1149)</f>
        <v>2</v>
      </c>
      <c r="K1149" s="39" t="str">
        <f aca="false">TEXT(B1149,"mmm")</f>
        <v>Feb</v>
      </c>
      <c r="L1149" s="45" t="n">
        <f aca="false">IFERROR(INDEX(medicine_master!$I$2:$I$26,MATCH($C1149,medicine_master!$A$2:$A$26,0)),0)</f>
        <v>30</v>
      </c>
      <c r="M1149" s="45" t="n">
        <f aca="false">IFERROR(INDEX(medicine_master!$G$2:$G$26,MATCH($C1149,medicine_master!$A$2:$A$26,0)),0)</f>
        <v>22</v>
      </c>
      <c r="N1149" s="45" t="n">
        <f aca="false">IF(D1149="Sale",E1149*L1149,0)</f>
        <v>1200</v>
      </c>
      <c r="O1149" s="45" t="n">
        <f aca="false">IF(D1149="Sale",E1149*M1149,0)</f>
        <v>880</v>
      </c>
      <c r="P1149" s="45" t="n">
        <f aca="false">N1149-O1149</f>
        <v>320</v>
      </c>
      <c r="Q1149" s="45" t="n">
        <f aca="false">IF(D1149="Purchase",E1149*M1149,0)</f>
        <v>0</v>
      </c>
    </row>
    <row r="1150" customFormat="false" ht="15" hidden="false" customHeight="false" outlineLevel="0" collapsed="false">
      <c r="A1150" s="39" t="s">
        <v>1474</v>
      </c>
      <c r="B1150" s="44" t="n">
        <v>46125</v>
      </c>
      <c r="C1150" s="39" t="s">
        <v>150</v>
      </c>
      <c r="D1150" s="39" t="s">
        <v>138</v>
      </c>
      <c r="E1150" s="39" t="n">
        <v>15</v>
      </c>
      <c r="F1150" s="39" t="str">
        <f aca="false">IF(COUNTIF(medicine_master!$A$2:$A$26,C1150)&gt;0,"Valid","Invalid")</f>
        <v>Valid</v>
      </c>
      <c r="G1150" s="39" t="str">
        <f aca="false">IFERROR(INDEX(medicine_master!$B$2:$B$26,MATCH($C1150,medicine_master!$A$2:$A$26,0)),"Not found")</f>
        <v>Pantoprazole 40mg</v>
      </c>
      <c r="H1150" s="39" t="str">
        <f aca="false">IFERROR(INDEX(medicine_master!$C$2:$C$26,MATCH($C1150,medicine_master!$A$2:$A$26,0)),"Not found")</f>
        <v>Gastric</v>
      </c>
      <c r="I1150" s="39" t="n">
        <f aca="false">YEAR(B1150)</f>
        <v>2026</v>
      </c>
      <c r="J1150" s="39" t="n">
        <f aca="false">MONTH(B1150)</f>
        <v>4</v>
      </c>
      <c r="K1150" s="39" t="str">
        <f aca="false">TEXT(B1150,"mmm")</f>
        <v>Apr</v>
      </c>
      <c r="L1150" s="45" t="n">
        <f aca="false">IFERROR(INDEX(medicine_master!$I$2:$I$26,MATCH($C1150,medicine_master!$A$2:$A$26,0)),0)</f>
        <v>35</v>
      </c>
      <c r="M1150" s="45" t="n">
        <f aca="false">IFERROR(INDEX(medicine_master!$G$2:$G$26,MATCH($C1150,medicine_master!$A$2:$A$26,0)),0)</f>
        <v>24</v>
      </c>
      <c r="N1150" s="45" t="n">
        <f aca="false">IF(D1150="Sale",E1150*L1150,0)</f>
        <v>0</v>
      </c>
      <c r="O1150" s="45" t="n">
        <f aca="false">IF(D1150="Sale",E1150*M1150,0)</f>
        <v>0</v>
      </c>
      <c r="P1150" s="45" t="n">
        <f aca="false">N1150-O1150</f>
        <v>0</v>
      </c>
      <c r="Q1150" s="45" t="n">
        <f aca="false">IF(D1150="Purchase",E1150*M1150,0)</f>
        <v>360</v>
      </c>
    </row>
    <row r="1151" customFormat="false" ht="15" hidden="false" customHeight="false" outlineLevel="0" collapsed="false">
      <c r="A1151" s="39" t="s">
        <v>1475</v>
      </c>
      <c r="B1151" s="44" t="n">
        <v>46308</v>
      </c>
      <c r="C1151" s="39" t="s">
        <v>150</v>
      </c>
      <c r="D1151" s="39" t="s">
        <v>138</v>
      </c>
      <c r="E1151" s="39" t="n">
        <v>5</v>
      </c>
      <c r="F1151" s="39" t="str">
        <f aca="false">IF(COUNTIF(medicine_master!$A$2:$A$26,C1151)&gt;0,"Valid","Invalid")</f>
        <v>Valid</v>
      </c>
      <c r="G1151" s="39" t="str">
        <f aca="false">IFERROR(INDEX(medicine_master!$B$2:$B$26,MATCH($C1151,medicine_master!$A$2:$A$26,0)),"Not found")</f>
        <v>Pantoprazole 40mg</v>
      </c>
      <c r="H1151" s="39" t="str">
        <f aca="false">IFERROR(INDEX(medicine_master!$C$2:$C$26,MATCH($C1151,medicine_master!$A$2:$A$26,0)),"Not found")</f>
        <v>Gastric</v>
      </c>
      <c r="I1151" s="39" t="n">
        <f aca="false">YEAR(B1151)</f>
        <v>2026</v>
      </c>
      <c r="J1151" s="39" t="n">
        <f aca="false">MONTH(B1151)</f>
        <v>10</v>
      </c>
      <c r="K1151" s="39" t="str">
        <f aca="false">TEXT(B1151,"mmm")</f>
        <v>Oct</v>
      </c>
      <c r="L1151" s="45" t="n">
        <f aca="false">IFERROR(INDEX(medicine_master!$I$2:$I$26,MATCH($C1151,medicine_master!$A$2:$A$26,0)),0)</f>
        <v>35</v>
      </c>
      <c r="M1151" s="45" t="n">
        <f aca="false">IFERROR(INDEX(medicine_master!$G$2:$G$26,MATCH($C1151,medicine_master!$A$2:$A$26,0)),0)</f>
        <v>24</v>
      </c>
      <c r="N1151" s="45" t="n">
        <f aca="false">IF(D1151="Sale",E1151*L1151,0)</f>
        <v>0</v>
      </c>
      <c r="O1151" s="45" t="n">
        <f aca="false">IF(D1151="Sale",E1151*M1151,0)</f>
        <v>0</v>
      </c>
      <c r="P1151" s="45" t="n">
        <f aca="false">N1151-O1151</f>
        <v>0</v>
      </c>
      <c r="Q1151" s="45" t="n">
        <f aca="false">IF(D1151="Purchase",E1151*M1151,0)</f>
        <v>120</v>
      </c>
    </row>
    <row r="1152" customFormat="false" ht="15" hidden="false" customHeight="false" outlineLevel="0" collapsed="false">
      <c r="A1152" s="39" t="s">
        <v>1476</v>
      </c>
      <c r="B1152" s="44" t="n">
        <v>46243</v>
      </c>
      <c r="C1152" s="39" t="s">
        <v>180</v>
      </c>
      <c r="D1152" s="39" t="s">
        <v>137</v>
      </c>
      <c r="E1152" s="39" t="n">
        <v>30</v>
      </c>
      <c r="F1152" s="39" t="str">
        <f aca="false">IF(COUNTIF(medicine_master!$A$2:$A$26,C1152)&gt;0,"Valid","Invalid")</f>
        <v>Valid</v>
      </c>
      <c r="G1152" s="39" t="str">
        <f aca="false">IFERROR(INDEX(medicine_master!$B$2:$B$26,MATCH($C1152,medicine_master!$A$2:$A$26,0)),"Not found")</f>
        <v>Vitamin C 500mg</v>
      </c>
      <c r="H1152" s="39" t="str">
        <f aca="false">IFERROR(INDEX(medicine_master!$C$2:$C$26,MATCH($C1152,medicine_master!$A$2:$A$26,0)),"Not found")</f>
        <v>Vitamin</v>
      </c>
      <c r="I1152" s="39" t="n">
        <f aca="false">YEAR(B1152)</f>
        <v>2026</v>
      </c>
      <c r="J1152" s="39" t="n">
        <f aca="false">MONTH(B1152)</f>
        <v>8</v>
      </c>
      <c r="K1152" s="39" t="str">
        <f aca="false">TEXT(B1152,"mmm")</f>
        <v>Aug</v>
      </c>
      <c r="L1152" s="45" t="n">
        <f aca="false">IFERROR(INDEX(medicine_master!$I$2:$I$26,MATCH($C1152,medicine_master!$A$2:$A$26,0)),0)</f>
        <v>22</v>
      </c>
      <c r="M1152" s="45" t="n">
        <f aca="false">IFERROR(INDEX(medicine_master!$G$2:$G$26,MATCH($C1152,medicine_master!$A$2:$A$26,0)),0)</f>
        <v>14</v>
      </c>
      <c r="N1152" s="45" t="n">
        <f aca="false">IF(D1152="Sale",E1152*L1152,0)</f>
        <v>660</v>
      </c>
      <c r="O1152" s="45" t="n">
        <f aca="false">IF(D1152="Sale",E1152*M1152,0)</f>
        <v>420</v>
      </c>
      <c r="P1152" s="45" t="n">
        <f aca="false">N1152-O1152</f>
        <v>240</v>
      </c>
      <c r="Q1152" s="45" t="n">
        <f aca="false">IF(D1152="Purchase",E1152*M1152,0)</f>
        <v>0</v>
      </c>
    </row>
    <row r="1153" customFormat="false" ht="15" hidden="false" customHeight="false" outlineLevel="0" collapsed="false">
      <c r="A1153" s="39" t="s">
        <v>1477</v>
      </c>
      <c r="B1153" s="44" t="n">
        <v>46195</v>
      </c>
      <c r="C1153" s="39" t="s">
        <v>148</v>
      </c>
      <c r="D1153" s="39" t="s">
        <v>137</v>
      </c>
      <c r="E1153" s="39" t="n">
        <v>25</v>
      </c>
      <c r="F1153" s="39" t="str">
        <f aca="false">IF(COUNTIF(medicine_master!$A$2:$A$26,C1153)&gt;0,"Valid","Invalid")</f>
        <v>Valid</v>
      </c>
      <c r="G1153" s="39" t="str">
        <f aca="false">IFERROR(INDEX(medicine_master!$B$2:$B$26,MATCH($C1153,medicine_master!$A$2:$A$26,0)),"Not found")</f>
        <v>Dextromethorphan Syrup</v>
      </c>
      <c r="H1153" s="39" t="str">
        <f aca="false">IFERROR(INDEX(medicine_master!$C$2:$C$26,MATCH($C1153,medicine_master!$A$2:$A$26,0)),"Not found")</f>
        <v>Cold &amp; Cough</v>
      </c>
      <c r="I1153" s="39" t="n">
        <f aca="false">YEAR(B1153)</f>
        <v>2026</v>
      </c>
      <c r="J1153" s="39" t="n">
        <f aca="false">MONTH(B1153)</f>
        <v>6</v>
      </c>
      <c r="K1153" s="39" t="str">
        <f aca="false">TEXT(B1153,"mmm")</f>
        <v>Jun</v>
      </c>
      <c r="L1153" s="45" t="n">
        <f aca="false">IFERROR(INDEX(medicine_master!$I$2:$I$26,MATCH($C1153,medicine_master!$A$2:$A$26,0)),0)</f>
        <v>80</v>
      </c>
      <c r="M1153" s="45" t="n">
        <f aca="false">IFERROR(INDEX(medicine_master!$G$2:$G$26,MATCH($C1153,medicine_master!$A$2:$A$26,0)),0)</f>
        <v>58</v>
      </c>
      <c r="N1153" s="45" t="n">
        <f aca="false">IF(D1153="Sale",E1153*L1153,0)</f>
        <v>2000</v>
      </c>
      <c r="O1153" s="45" t="n">
        <f aca="false">IF(D1153="Sale",E1153*M1153,0)</f>
        <v>1450</v>
      </c>
      <c r="P1153" s="45" t="n">
        <f aca="false">N1153-O1153</f>
        <v>550</v>
      </c>
      <c r="Q1153" s="45" t="n">
        <f aca="false">IF(D1153="Purchase",E1153*M1153,0)</f>
        <v>0</v>
      </c>
    </row>
    <row r="1154" customFormat="false" ht="15" hidden="false" customHeight="false" outlineLevel="0" collapsed="false">
      <c r="A1154" s="39" t="s">
        <v>1478</v>
      </c>
      <c r="B1154" s="44" t="n">
        <v>46144</v>
      </c>
      <c r="C1154" s="39" t="s">
        <v>153</v>
      </c>
      <c r="D1154" s="39" t="s">
        <v>138</v>
      </c>
      <c r="E1154" s="39" t="n">
        <v>30</v>
      </c>
      <c r="F1154" s="39" t="str">
        <f aca="false">IF(COUNTIF(medicine_master!$A$2:$A$26,C1154)&gt;0,"Valid","Invalid")</f>
        <v>Valid</v>
      </c>
      <c r="G1154" s="39" t="str">
        <f aca="false">IFERROR(INDEX(medicine_master!$B$2:$B$26,MATCH($C1154,medicine_master!$A$2:$A$26,0)),"Not found")</f>
        <v>Atorvastatin 10mg</v>
      </c>
      <c r="H1154" s="39" t="str">
        <f aca="false">IFERROR(INDEX(medicine_master!$C$2:$C$26,MATCH($C1154,medicine_master!$A$2:$A$26,0)),"Not found")</f>
        <v>Cardiac</v>
      </c>
      <c r="I1154" s="39" t="n">
        <f aca="false">YEAR(B1154)</f>
        <v>2026</v>
      </c>
      <c r="J1154" s="39" t="n">
        <f aca="false">MONTH(B1154)</f>
        <v>5</v>
      </c>
      <c r="K1154" s="39" t="str">
        <f aca="false">TEXT(B1154,"mmm")</f>
        <v>May</v>
      </c>
      <c r="L1154" s="45" t="n">
        <f aca="false">IFERROR(INDEX(medicine_master!$I$2:$I$26,MATCH($C1154,medicine_master!$A$2:$A$26,0)),0)</f>
        <v>28</v>
      </c>
      <c r="M1154" s="45" t="n">
        <f aca="false">IFERROR(INDEX(medicine_master!$G$2:$G$26,MATCH($C1154,medicine_master!$A$2:$A$26,0)),0)</f>
        <v>19</v>
      </c>
      <c r="N1154" s="45" t="n">
        <f aca="false">IF(D1154="Sale",E1154*L1154,0)</f>
        <v>0</v>
      </c>
      <c r="O1154" s="45" t="n">
        <f aca="false">IF(D1154="Sale",E1154*M1154,0)</f>
        <v>0</v>
      </c>
      <c r="P1154" s="45" t="n">
        <f aca="false">N1154-O1154</f>
        <v>0</v>
      </c>
      <c r="Q1154" s="45" t="n">
        <f aca="false">IF(D1154="Purchase",E1154*M1154,0)</f>
        <v>570</v>
      </c>
    </row>
    <row r="1155" customFormat="false" ht="15" hidden="false" customHeight="false" outlineLevel="0" collapsed="false">
      <c r="A1155" s="39" t="s">
        <v>1479</v>
      </c>
      <c r="B1155" s="44" t="n">
        <v>46028</v>
      </c>
      <c r="C1155" s="39" t="s">
        <v>150</v>
      </c>
      <c r="D1155" s="39" t="s">
        <v>137</v>
      </c>
      <c r="E1155" s="39" t="n">
        <v>20</v>
      </c>
      <c r="F1155" s="39" t="str">
        <f aca="false">IF(COUNTIF(medicine_master!$A$2:$A$26,C1155)&gt;0,"Valid","Invalid")</f>
        <v>Valid</v>
      </c>
      <c r="G1155" s="39" t="str">
        <f aca="false">IFERROR(INDEX(medicine_master!$B$2:$B$26,MATCH($C1155,medicine_master!$A$2:$A$26,0)),"Not found")</f>
        <v>Pantoprazole 40mg</v>
      </c>
      <c r="H1155" s="39" t="str">
        <f aca="false">IFERROR(INDEX(medicine_master!$C$2:$C$26,MATCH($C1155,medicine_master!$A$2:$A$26,0)),"Not found")</f>
        <v>Gastric</v>
      </c>
      <c r="I1155" s="39" t="n">
        <f aca="false">YEAR(B1155)</f>
        <v>2026</v>
      </c>
      <c r="J1155" s="39" t="n">
        <f aca="false">MONTH(B1155)</f>
        <v>1</v>
      </c>
      <c r="K1155" s="39" t="str">
        <f aca="false">TEXT(B1155,"mmm")</f>
        <v>Jan</v>
      </c>
      <c r="L1155" s="45" t="n">
        <f aca="false">IFERROR(INDEX(medicine_master!$I$2:$I$26,MATCH($C1155,medicine_master!$A$2:$A$26,0)),0)</f>
        <v>35</v>
      </c>
      <c r="M1155" s="45" t="n">
        <f aca="false">IFERROR(INDEX(medicine_master!$G$2:$G$26,MATCH($C1155,medicine_master!$A$2:$A$26,0)),0)</f>
        <v>24</v>
      </c>
      <c r="N1155" s="45" t="n">
        <f aca="false">IF(D1155="Sale",E1155*L1155,0)</f>
        <v>700</v>
      </c>
      <c r="O1155" s="45" t="n">
        <f aca="false">IF(D1155="Sale",E1155*M1155,0)</f>
        <v>480</v>
      </c>
      <c r="P1155" s="45" t="n">
        <f aca="false">N1155-O1155</f>
        <v>220</v>
      </c>
      <c r="Q1155" s="45" t="n">
        <f aca="false">IF(D1155="Purchase",E1155*M1155,0)</f>
        <v>0</v>
      </c>
    </row>
    <row r="1156" customFormat="false" ht="15" hidden="false" customHeight="false" outlineLevel="0" collapsed="false">
      <c r="A1156" s="39" t="s">
        <v>1480</v>
      </c>
      <c r="B1156" s="44" t="n">
        <v>46118</v>
      </c>
      <c r="C1156" s="39" t="s">
        <v>326</v>
      </c>
      <c r="D1156" s="39" t="s">
        <v>138</v>
      </c>
      <c r="E1156" s="39" t="n">
        <v>25</v>
      </c>
      <c r="F1156" s="39" t="str">
        <f aca="false">IF(COUNTIF(medicine_master!$A$2:$A$26,C1156)&gt;0,"Valid","Invalid")</f>
        <v>Valid</v>
      </c>
      <c r="G1156" s="39" t="str">
        <f aca="false">IFERROR(INDEX(medicine_master!$B$2:$B$26,MATCH($C1156,medicine_master!$A$2:$A$26,0)),"Not found")</f>
        <v>Omeprazole 20mg</v>
      </c>
      <c r="H1156" s="39" t="str">
        <f aca="false">IFERROR(INDEX(medicine_master!$C$2:$C$26,MATCH($C1156,medicine_master!$A$2:$A$26,0)),"Not found")</f>
        <v>Gastric</v>
      </c>
      <c r="I1156" s="39" t="n">
        <f aca="false">YEAR(B1156)</f>
        <v>2026</v>
      </c>
      <c r="J1156" s="39" t="n">
        <f aca="false">MONTH(B1156)</f>
        <v>4</v>
      </c>
      <c r="K1156" s="39" t="str">
        <f aca="false">TEXT(B1156,"mmm")</f>
        <v>Apr</v>
      </c>
      <c r="L1156" s="45" t="n">
        <f aca="false">IFERROR(INDEX(medicine_master!$I$2:$I$26,MATCH($C1156,medicine_master!$A$2:$A$26,0)),0)</f>
        <v>26</v>
      </c>
      <c r="M1156" s="45" t="n">
        <f aca="false">IFERROR(INDEX(medicine_master!$G$2:$G$26,MATCH($C1156,medicine_master!$A$2:$A$26,0)),0)</f>
        <v>18</v>
      </c>
      <c r="N1156" s="45" t="n">
        <f aca="false">IF(D1156="Sale",E1156*L1156,0)</f>
        <v>0</v>
      </c>
      <c r="O1156" s="45" t="n">
        <f aca="false">IF(D1156="Sale",E1156*M1156,0)</f>
        <v>0</v>
      </c>
      <c r="P1156" s="45" t="n">
        <f aca="false">N1156-O1156</f>
        <v>0</v>
      </c>
      <c r="Q1156" s="45" t="n">
        <f aca="false">IF(D1156="Purchase",E1156*M1156,0)</f>
        <v>450</v>
      </c>
    </row>
    <row r="1157" customFormat="false" ht="15" hidden="false" customHeight="false" outlineLevel="0" collapsed="false">
      <c r="A1157" s="39" t="s">
        <v>1481</v>
      </c>
      <c r="B1157" s="44" t="n">
        <v>46134</v>
      </c>
      <c r="C1157" s="39" t="s">
        <v>147</v>
      </c>
      <c r="D1157" s="39" t="s">
        <v>138</v>
      </c>
      <c r="E1157" s="39" t="n">
        <v>15</v>
      </c>
      <c r="F1157" s="39" t="str">
        <f aca="false">IF(COUNTIF(medicine_master!$A$2:$A$26,C1157)&gt;0,"Valid","Invalid")</f>
        <v>Valid</v>
      </c>
      <c r="G1157" s="39" t="str">
        <f aca="false">IFERROR(INDEX(medicine_master!$B$2:$B$26,MATCH($C1157,medicine_master!$A$2:$A$26,0)),"Not found")</f>
        <v>Insulin Injection</v>
      </c>
      <c r="H1157" s="39" t="str">
        <f aca="false">IFERROR(INDEX(medicine_master!$C$2:$C$26,MATCH($C1157,medicine_master!$A$2:$A$26,0)),"Not found")</f>
        <v>Diabetes</v>
      </c>
      <c r="I1157" s="39" t="n">
        <f aca="false">YEAR(B1157)</f>
        <v>2026</v>
      </c>
      <c r="J1157" s="39" t="n">
        <f aca="false">MONTH(B1157)</f>
        <v>4</v>
      </c>
      <c r="K1157" s="39" t="str">
        <f aca="false">TEXT(B1157,"mmm")</f>
        <v>Apr</v>
      </c>
      <c r="L1157" s="45" t="n">
        <f aca="false">IFERROR(INDEX(medicine_master!$I$2:$I$26,MATCH($C1157,medicine_master!$A$2:$A$26,0)),0)</f>
        <v>225</v>
      </c>
      <c r="M1157" s="45" t="n">
        <f aca="false">IFERROR(INDEX(medicine_master!$G$2:$G$26,MATCH($C1157,medicine_master!$A$2:$A$26,0)),0)</f>
        <v>165</v>
      </c>
      <c r="N1157" s="45" t="n">
        <f aca="false">IF(D1157="Sale",E1157*L1157,0)</f>
        <v>0</v>
      </c>
      <c r="O1157" s="45" t="n">
        <f aca="false">IF(D1157="Sale",E1157*M1157,0)</f>
        <v>0</v>
      </c>
      <c r="P1157" s="45" t="n">
        <f aca="false">N1157-O1157</f>
        <v>0</v>
      </c>
      <c r="Q1157" s="45" t="n">
        <f aca="false">IF(D1157="Purchase",E1157*M1157,0)</f>
        <v>2475</v>
      </c>
    </row>
    <row r="1158" customFormat="false" ht="15" hidden="false" customHeight="false" outlineLevel="0" collapsed="false">
      <c r="A1158" s="39" t="s">
        <v>1482</v>
      </c>
      <c r="B1158" s="44" t="n">
        <v>46161</v>
      </c>
      <c r="C1158" s="39" t="s">
        <v>495</v>
      </c>
      <c r="D1158" s="39" t="s">
        <v>137</v>
      </c>
      <c r="E1158" s="39" t="n">
        <v>50</v>
      </c>
      <c r="F1158" s="39" t="str">
        <f aca="false">IF(COUNTIF(medicine_master!$A$2:$A$26,C1158)&gt;0,"Valid","Invalid")</f>
        <v>Valid</v>
      </c>
      <c r="G1158" s="39" t="str">
        <f aca="false">IFERROR(INDEX(medicine_master!$B$2:$B$26,MATCH($C1158,medicine_master!$A$2:$A$26,0)),"Not found")</f>
        <v>Metformin 500mg</v>
      </c>
      <c r="H1158" s="39" t="str">
        <f aca="false">IFERROR(INDEX(medicine_master!$C$2:$C$26,MATCH($C1158,medicine_master!$A$2:$A$26,0)),"Not found")</f>
        <v>Diabetes</v>
      </c>
      <c r="I1158" s="39" t="n">
        <f aca="false">YEAR(B1158)</f>
        <v>2026</v>
      </c>
      <c r="J1158" s="39" t="n">
        <f aca="false">MONTH(B1158)</f>
        <v>5</v>
      </c>
      <c r="K1158" s="39" t="str">
        <f aca="false">TEXT(B1158,"mmm")</f>
        <v>May</v>
      </c>
      <c r="L1158" s="45" t="n">
        <f aca="false">IFERROR(INDEX(medicine_master!$I$2:$I$26,MATCH($C1158,medicine_master!$A$2:$A$26,0)),0)</f>
        <v>24</v>
      </c>
      <c r="M1158" s="45" t="n">
        <f aca="false">IFERROR(INDEX(medicine_master!$G$2:$G$26,MATCH($C1158,medicine_master!$A$2:$A$26,0)),0)</f>
        <v>16</v>
      </c>
      <c r="N1158" s="45" t="n">
        <f aca="false">IF(D1158="Sale",E1158*L1158,0)</f>
        <v>1200</v>
      </c>
      <c r="O1158" s="45" t="n">
        <f aca="false">IF(D1158="Sale",E1158*M1158,0)</f>
        <v>800</v>
      </c>
      <c r="P1158" s="45" t="n">
        <f aca="false">N1158-O1158</f>
        <v>400</v>
      </c>
      <c r="Q1158" s="45" t="n">
        <f aca="false">IF(D1158="Purchase",E1158*M1158,0)</f>
        <v>0</v>
      </c>
    </row>
    <row r="1159" customFormat="false" ht="15" hidden="false" customHeight="false" outlineLevel="0" collapsed="false">
      <c r="A1159" s="39" t="s">
        <v>1483</v>
      </c>
      <c r="B1159" s="44" t="n">
        <v>46359</v>
      </c>
      <c r="C1159" s="39" t="s">
        <v>326</v>
      </c>
      <c r="D1159" s="39" t="s">
        <v>138</v>
      </c>
      <c r="E1159" s="39" t="n">
        <v>40</v>
      </c>
      <c r="F1159" s="39" t="str">
        <f aca="false">IF(COUNTIF(medicine_master!$A$2:$A$26,C1159)&gt;0,"Valid","Invalid")</f>
        <v>Valid</v>
      </c>
      <c r="G1159" s="39" t="str">
        <f aca="false">IFERROR(INDEX(medicine_master!$B$2:$B$26,MATCH($C1159,medicine_master!$A$2:$A$26,0)),"Not found")</f>
        <v>Omeprazole 20mg</v>
      </c>
      <c r="H1159" s="39" t="str">
        <f aca="false">IFERROR(INDEX(medicine_master!$C$2:$C$26,MATCH($C1159,medicine_master!$A$2:$A$26,0)),"Not found")</f>
        <v>Gastric</v>
      </c>
      <c r="I1159" s="39" t="n">
        <f aca="false">YEAR(B1159)</f>
        <v>2026</v>
      </c>
      <c r="J1159" s="39" t="n">
        <f aca="false">MONTH(B1159)</f>
        <v>12</v>
      </c>
      <c r="K1159" s="39" t="str">
        <f aca="false">TEXT(B1159,"mmm")</f>
        <v>Dec</v>
      </c>
      <c r="L1159" s="45" t="n">
        <f aca="false">IFERROR(INDEX(medicine_master!$I$2:$I$26,MATCH($C1159,medicine_master!$A$2:$A$26,0)),0)</f>
        <v>26</v>
      </c>
      <c r="M1159" s="45" t="n">
        <f aca="false">IFERROR(INDEX(medicine_master!$G$2:$G$26,MATCH($C1159,medicine_master!$A$2:$A$26,0)),0)</f>
        <v>18</v>
      </c>
      <c r="N1159" s="45" t="n">
        <f aca="false">IF(D1159="Sale",E1159*L1159,0)</f>
        <v>0</v>
      </c>
      <c r="O1159" s="45" t="n">
        <f aca="false">IF(D1159="Sale",E1159*M1159,0)</f>
        <v>0</v>
      </c>
      <c r="P1159" s="45" t="n">
        <f aca="false">N1159-O1159</f>
        <v>0</v>
      </c>
      <c r="Q1159" s="45" t="n">
        <f aca="false">IF(D1159="Purchase",E1159*M1159,0)</f>
        <v>720</v>
      </c>
    </row>
    <row r="1160" customFormat="false" ht="15" hidden="false" customHeight="false" outlineLevel="0" collapsed="false">
      <c r="A1160" s="39" t="s">
        <v>1484</v>
      </c>
      <c r="B1160" s="44" t="n">
        <v>46313</v>
      </c>
      <c r="C1160" s="39" t="s">
        <v>321</v>
      </c>
      <c r="D1160" s="39" t="s">
        <v>138</v>
      </c>
      <c r="E1160" s="39" t="n">
        <v>20</v>
      </c>
      <c r="F1160" s="39" t="str">
        <f aca="false">IF(COUNTIF(medicine_master!$A$2:$A$26,C1160)&gt;0,"Valid","Invalid")</f>
        <v>Valid</v>
      </c>
      <c r="G1160" s="39" t="str">
        <f aca="false">IFERROR(INDEX(medicine_master!$B$2:$B$26,MATCH($C1160,medicine_master!$A$2:$A$26,0)),"Not found")</f>
        <v>Levocetirizine 5mg</v>
      </c>
      <c r="H1160" s="39" t="str">
        <f aca="false">IFERROR(INDEX(medicine_master!$C$2:$C$26,MATCH($C1160,medicine_master!$A$2:$A$26,0)),"Not found")</f>
        <v>Allergy</v>
      </c>
      <c r="I1160" s="39" t="n">
        <f aca="false">YEAR(B1160)</f>
        <v>2026</v>
      </c>
      <c r="J1160" s="39" t="n">
        <f aca="false">MONTH(B1160)</f>
        <v>10</v>
      </c>
      <c r="K1160" s="39" t="str">
        <f aca="false">TEXT(B1160,"mmm")</f>
        <v>Oct</v>
      </c>
      <c r="L1160" s="45" t="n">
        <f aca="false">IFERROR(INDEX(medicine_master!$I$2:$I$26,MATCH($C1160,medicine_master!$A$2:$A$26,0)),0)</f>
        <v>22</v>
      </c>
      <c r="M1160" s="45" t="n">
        <f aca="false">IFERROR(INDEX(medicine_master!$G$2:$G$26,MATCH($C1160,medicine_master!$A$2:$A$26,0)),0)</f>
        <v>14</v>
      </c>
      <c r="N1160" s="45" t="n">
        <f aca="false">IF(D1160="Sale",E1160*L1160,0)</f>
        <v>0</v>
      </c>
      <c r="O1160" s="45" t="n">
        <f aca="false">IF(D1160="Sale",E1160*M1160,0)</f>
        <v>0</v>
      </c>
      <c r="P1160" s="45" t="n">
        <f aca="false">N1160-O1160</f>
        <v>0</v>
      </c>
      <c r="Q1160" s="45" t="n">
        <f aca="false">IF(D1160="Purchase",E1160*M1160,0)</f>
        <v>280</v>
      </c>
    </row>
    <row r="1161" customFormat="false" ht="15" hidden="false" customHeight="false" outlineLevel="0" collapsed="false">
      <c r="A1161" s="39" t="s">
        <v>1485</v>
      </c>
      <c r="B1161" s="44" t="n">
        <v>46269</v>
      </c>
      <c r="C1161" s="39" t="s">
        <v>495</v>
      </c>
      <c r="D1161" s="39" t="s">
        <v>137</v>
      </c>
      <c r="E1161" s="39" t="n">
        <v>30</v>
      </c>
      <c r="F1161" s="39" t="str">
        <f aca="false">IF(COUNTIF(medicine_master!$A$2:$A$26,C1161)&gt;0,"Valid","Invalid")</f>
        <v>Valid</v>
      </c>
      <c r="G1161" s="39" t="str">
        <f aca="false">IFERROR(INDEX(medicine_master!$B$2:$B$26,MATCH($C1161,medicine_master!$A$2:$A$26,0)),"Not found")</f>
        <v>Metformin 500mg</v>
      </c>
      <c r="H1161" s="39" t="str">
        <f aca="false">IFERROR(INDEX(medicine_master!$C$2:$C$26,MATCH($C1161,medicine_master!$A$2:$A$26,0)),"Not found")</f>
        <v>Diabetes</v>
      </c>
      <c r="I1161" s="39" t="n">
        <f aca="false">YEAR(B1161)</f>
        <v>2026</v>
      </c>
      <c r="J1161" s="39" t="n">
        <f aca="false">MONTH(B1161)</f>
        <v>9</v>
      </c>
      <c r="K1161" s="39" t="str">
        <f aca="false">TEXT(B1161,"mmm")</f>
        <v>Sep</v>
      </c>
      <c r="L1161" s="45" t="n">
        <f aca="false">IFERROR(INDEX(medicine_master!$I$2:$I$26,MATCH($C1161,medicine_master!$A$2:$A$26,0)),0)</f>
        <v>24</v>
      </c>
      <c r="M1161" s="45" t="n">
        <f aca="false">IFERROR(INDEX(medicine_master!$G$2:$G$26,MATCH($C1161,medicine_master!$A$2:$A$26,0)),0)</f>
        <v>16</v>
      </c>
      <c r="N1161" s="45" t="n">
        <f aca="false">IF(D1161="Sale",E1161*L1161,0)</f>
        <v>720</v>
      </c>
      <c r="O1161" s="45" t="n">
        <f aca="false">IF(D1161="Sale",E1161*M1161,0)</f>
        <v>480</v>
      </c>
      <c r="P1161" s="45" t="n">
        <f aca="false">N1161-O1161</f>
        <v>240</v>
      </c>
      <c r="Q1161" s="45" t="n">
        <f aca="false">IF(D1161="Purchase",E1161*M1161,0)</f>
        <v>0</v>
      </c>
    </row>
    <row r="1162" customFormat="false" ht="15" hidden="false" customHeight="false" outlineLevel="0" collapsed="false">
      <c r="A1162" s="39" t="s">
        <v>1486</v>
      </c>
      <c r="B1162" s="44" t="n">
        <v>46338</v>
      </c>
      <c r="C1162" s="39" t="s">
        <v>144</v>
      </c>
      <c r="D1162" s="39" t="s">
        <v>137</v>
      </c>
      <c r="E1162" s="39" t="n">
        <v>25</v>
      </c>
      <c r="F1162" s="39" t="str">
        <f aca="false">IF(COUNTIF(medicine_master!$A$2:$A$26,C1162)&gt;0,"Valid","Invalid")</f>
        <v>Valid</v>
      </c>
      <c r="G1162" s="39" t="str">
        <f aca="false">IFERROR(INDEX(medicine_master!$B$2:$B$26,MATCH($C1162,medicine_master!$A$2:$A$26,0)),"Not found")</f>
        <v>Glimepiride 2mg</v>
      </c>
      <c r="H1162" s="39" t="str">
        <f aca="false">IFERROR(INDEX(medicine_master!$C$2:$C$26,MATCH($C1162,medicine_master!$A$2:$A$26,0)),"Not found")</f>
        <v>Diabetes</v>
      </c>
      <c r="I1162" s="39" t="n">
        <f aca="false">YEAR(B1162)</f>
        <v>2026</v>
      </c>
      <c r="J1162" s="39" t="n">
        <f aca="false">MONTH(B1162)</f>
        <v>11</v>
      </c>
      <c r="K1162" s="39" t="str">
        <f aca="false">TEXT(B1162,"mmm")</f>
        <v>Nov</v>
      </c>
      <c r="L1162" s="45" t="n">
        <f aca="false">IFERROR(INDEX(medicine_master!$I$2:$I$26,MATCH($C1162,medicine_master!$A$2:$A$26,0)),0)</f>
        <v>52</v>
      </c>
      <c r="M1162" s="45" t="n">
        <f aca="false">IFERROR(INDEX(medicine_master!$G$2:$G$26,MATCH($C1162,medicine_master!$A$2:$A$26,0)),0)</f>
        <v>38</v>
      </c>
      <c r="N1162" s="45" t="n">
        <f aca="false">IF(D1162="Sale",E1162*L1162,0)</f>
        <v>1300</v>
      </c>
      <c r="O1162" s="45" t="n">
        <f aca="false">IF(D1162="Sale",E1162*M1162,0)</f>
        <v>950</v>
      </c>
      <c r="P1162" s="45" t="n">
        <f aca="false">N1162-O1162</f>
        <v>350</v>
      </c>
      <c r="Q1162" s="45" t="n">
        <f aca="false">IF(D1162="Purchase",E1162*M1162,0)</f>
        <v>0</v>
      </c>
    </row>
    <row r="1163" customFormat="false" ht="15" hidden="false" customHeight="false" outlineLevel="0" collapsed="false">
      <c r="A1163" s="39" t="s">
        <v>1487</v>
      </c>
      <c r="B1163" s="44" t="n">
        <v>46135</v>
      </c>
      <c r="C1163" s="39" t="s">
        <v>326</v>
      </c>
      <c r="D1163" s="39" t="s">
        <v>138</v>
      </c>
      <c r="E1163" s="39" t="n">
        <v>5</v>
      </c>
      <c r="F1163" s="39" t="str">
        <f aca="false">IF(COUNTIF(medicine_master!$A$2:$A$26,C1163)&gt;0,"Valid","Invalid")</f>
        <v>Valid</v>
      </c>
      <c r="G1163" s="39" t="str">
        <f aca="false">IFERROR(INDEX(medicine_master!$B$2:$B$26,MATCH($C1163,medicine_master!$A$2:$A$26,0)),"Not found")</f>
        <v>Omeprazole 20mg</v>
      </c>
      <c r="H1163" s="39" t="str">
        <f aca="false">IFERROR(INDEX(medicine_master!$C$2:$C$26,MATCH($C1163,medicine_master!$A$2:$A$26,0)),"Not found")</f>
        <v>Gastric</v>
      </c>
      <c r="I1163" s="39" t="n">
        <f aca="false">YEAR(B1163)</f>
        <v>2026</v>
      </c>
      <c r="J1163" s="39" t="n">
        <f aca="false">MONTH(B1163)</f>
        <v>4</v>
      </c>
      <c r="K1163" s="39" t="str">
        <f aca="false">TEXT(B1163,"mmm")</f>
        <v>Apr</v>
      </c>
      <c r="L1163" s="45" t="n">
        <f aca="false">IFERROR(INDEX(medicine_master!$I$2:$I$26,MATCH($C1163,medicine_master!$A$2:$A$26,0)),0)</f>
        <v>26</v>
      </c>
      <c r="M1163" s="45" t="n">
        <f aca="false">IFERROR(INDEX(medicine_master!$G$2:$G$26,MATCH($C1163,medicine_master!$A$2:$A$26,0)),0)</f>
        <v>18</v>
      </c>
      <c r="N1163" s="45" t="n">
        <f aca="false">IF(D1163="Sale",E1163*L1163,0)</f>
        <v>0</v>
      </c>
      <c r="O1163" s="45" t="n">
        <f aca="false">IF(D1163="Sale",E1163*M1163,0)</f>
        <v>0</v>
      </c>
      <c r="P1163" s="45" t="n">
        <f aca="false">N1163-O1163</f>
        <v>0</v>
      </c>
      <c r="Q1163" s="45" t="n">
        <f aca="false">IF(D1163="Purchase",E1163*M1163,0)</f>
        <v>90</v>
      </c>
    </row>
    <row r="1164" customFormat="false" ht="15" hidden="false" customHeight="false" outlineLevel="0" collapsed="false">
      <c r="A1164" s="39" t="s">
        <v>1488</v>
      </c>
      <c r="B1164" s="44" t="n">
        <v>46147</v>
      </c>
      <c r="C1164" s="39" t="s">
        <v>159</v>
      </c>
      <c r="D1164" s="39" t="s">
        <v>137</v>
      </c>
      <c r="E1164" s="39" t="n">
        <v>20</v>
      </c>
      <c r="F1164" s="39" t="str">
        <f aca="false">IF(COUNTIF(medicine_master!$A$2:$A$26,C1164)&gt;0,"Valid","Invalid")</f>
        <v>Valid</v>
      </c>
      <c r="G1164" s="39" t="str">
        <f aca="false">IFERROR(INDEX(medicine_master!$B$2:$B$26,MATCH($C1164,medicine_master!$A$2:$A$26,0)),"Not found")</f>
        <v>Antiseptic Liquid 100ml</v>
      </c>
      <c r="H1164" s="39" t="str">
        <f aca="false">IFERROR(INDEX(medicine_master!$C$2:$C$26,MATCH($C1164,medicine_master!$A$2:$A$26,0)),"Not found")</f>
        <v>First Aid</v>
      </c>
      <c r="I1164" s="39" t="n">
        <f aca="false">YEAR(B1164)</f>
        <v>2026</v>
      </c>
      <c r="J1164" s="39" t="n">
        <f aca="false">MONTH(B1164)</f>
        <v>5</v>
      </c>
      <c r="K1164" s="39" t="str">
        <f aca="false">TEXT(B1164,"mmm")</f>
        <v>May</v>
      </c>
      <c r="L1164" s="45" t="n">
        <f aca="false">IFERROR(INDEX(medicine_master!$I$2:$I$26,MATCH($C1164,medicine_master!$A$2:$A$26,0)),0)</f>
        <v>65</v>
      </c>
      <c r="M1164" s="45" t="n">
        <f aca="false">IFERROR(INDEX(medicine_master!$G$2:$G$26,MATCH($C1164,medicine_master!$A$2:$A$26,0)),0)</f>
        <v>48</v>
      </c>
      <c r="N1164" s="45" t="n">
        <f aca="false">IF(D1164="Sale",E1164*L1164,0)</f>
        <v>1300</v>
      </c>
      <c r="O1164" s="45" t="n">
        <f aca="false">IF(D1164="Sale",E1164*M1164,0)</f>
        <v>960</v>
      </c>
      <c r="P1164" s="45" t="n">
        <f aca="false">N1164-O1164</f>
        <v>340</v>
      </c>
      <c r="Q1164" s="45" t="n">
        <f aca="false">IF(D1164="Purchase",E1164*M1164,0)</f>
        <v>0</v>
      </c>
    </row>
    <row r="1165" customFormat="false" ht="15" hidden="false" customHeight="false" outlineLevel="0" collapsed="false">
      <c r="A1165" s="39" t="s">
        <v>1489</v>
      </c>
      <c r="B1165" s="44" t="n">
        <v>46237</v>
      </c>
      <c r="C1165" s="39" t="s">
        <v>178</v>
      </c>
      <c r="D1165" s="39" t="s">
        <v>138</v>
      </c>
      <c r="E1165" s="39" t="n">
        <v>10</v>
      </c>
      <c r="F1165" s="39" t="str">
        <f aca="false">IF(COUNTIF(medicine_master!$A$2:$A$26,C1165)&gt;0,"Valid","Invalid")</f>
        <v>Valid</v>
      </c>
      <c r="G1165" s="39" t="str">
        <f aca="false">IFERROR(INDEX(medicine_master!$B$2:$B$26,MATCH($C1165,medicine_master!$A$2:$A$26,0)),"Not found")</f>
        <v>Aspirin 75mg</v>
      </c>
      <c r="H1165" s="39" t="str">
        <f aca="false">IFERROR(INDEX(medicine_master!$C$2:$C$26,MATCH($C1165,medicine_master!$A$2:$A$26,0)),"Not found")</f>
        <v>Cardiac</v>
      </c>
      <c r="I1165" s="39" t="n">
        <f aca="false">YEAR(B1165)</f>
        <v>2026</v>
      </c>
      <c r="J1165" s="39" t="n">
        <f aca="false">MONTH(B1165)</f>
        <v>8</v>
      </c>
      <c r="K1165" s="39" t="str">
        <f aca="false">TEXT(B1165,"mmm")</f>
        <v>Aug</v>
      </c>
      <c r="L1165" s="45" t="n">
        <f aca="false">IFERROR(INDEX(medicine_master!$I$2:$I$26,MATCH($C1165,medicine_master!$A$2:$A$26,0)),0)</f>
        <v>15</v>
      </c>
      <c r="M1165" s="45" t="n">
        <f aca="false">IFERROR(INDEX(medicine_master!$G$2:$G$26,MATCH($C1165,medicine_master!$A$2:$A$26,0)),0)</f>
        <v>10</v>
      </c>
      <c r="N1165" s="45" t="n">
        <f aca="false">IF(D1165="Sale",E1165*L1165,0)</f>
        <v>0</v>
      </c>
      <c r="O1165" s="45" t="n">
        <f aca="false">IF(D1165="Sale",E1165*M1165,0)</f>
        <v>0</v>
      </c>
      <c r="P1165" s="45" t="n">
        <f aca="false">N1165-O1165</f>
        <v>0</v>
      </c>
      <c r="Q1165" s="45" t="n">
        <f aca="false">IF(D1165="Purchase",E1165*M1165,0)</f>
        <v>100</v>
      </c>
    </row>
    <row r="1166" customFormat="false" ht="15" hidden="false" customHeight="false" outlineLevel="0" collapsed="false">
      <c r="A1166" s="39" t="s">
        <v>1490</v>
      </c>
      <c r="B1166" s="44" t="n">
        <v>46047</v>
      </c>
      <c r="C1166" s="39" t="s">
        <v>150</v>
      </c>
      <c r="D1166" s="39" t="s">
        <v>137</v>
      </c>
      <c r="E1166" s="39" t="n">
        <v>10</v>
      </c>
      <c r="F1166" s="39" t="str">
        <f aca="false">IF(COUNTIF(medicine_master!$A$2:$A$26,C1166)&gt;0,"Valid","Invalid")</f>
        <v>Valid</v>
      </c>
      <c r="G1166" s="39" t="str">
        <f aca="false">IFERROR(INDEX(medicine_master!$B$2:$B$26,MATCH($C1166,medicine_master!$A$2:$A$26,0)),"Not found")</f>
        <v>Pantoprazole 40mg</v>
      </c>
      <c r="H1166" s="39" t="str">
        <f aca="false">IFERROR(INDEX(medicine_master!$C$2:$C$26,MATCH($C1166,medicine_master!$A$2:$A$26,0)),"Not found")</f>
        <v>Gastric</v>
      </c>
      <c r="I1166" s="39" t="n">
        <f aca="false">YEAR(B1166)</f>
        <v>2026</v>
      </c>
      <c r="J1166" s="39" t="n">
        <f aca="false">MONTH(B1166)</f>
        <v>1</v>
      </c>
      <c r="K1166" s="39" t="str">
        <f aca="false">TEXT(B1166,"mmm")</f>
        <v>Jan</v>
      </c>
      <c r="L1166" s="45" t="n">
        <f aca="false">IFERROR(INDEX(medicine_master!$I$2:$I$26,MATCH($C1166,medicine_master!$A$2:$A$26,0)),0)</f>
        <v>35</v>
      </c>
      <c r="M1166" s="45" t="n">
        <f aca="false">IFERROR(INDEX(medicine_master!$G$2:$G$26,MATCH($C1166,medicine_master!$A$2:$A$26,0)),0)</f>
        <v>24</v>
      </c>
      <c r="N1166" s="45" t="n">
        <f aca="false">IF(D1166="Sale",E1166*L1166,0)</f>
        <v>350</v>
      </c>
      <c r="O1166" s="45" t="n">
        <f aca="false">IF(D1166="Sale",E1166*M1166,0)</f>
        <v>240</v>
      </c>
      <c r="P1166" s="45" t="n">
        <f aca="false">N1166-O1166</f>
        <v>110</v>
      </c>
      <c r="Q1166" s="45" t="n">
        <f aca="false">IF(D1166="Purchase",E1166*M1166,0)</f>
        <v>0</v>
      </c>
    </row>
    <row r="1167" customFormat="false" ht="15" hidden="false" customHeight="false" outlineLevel="0" collapsed="false">
      <c r="A1167" s="39" t="s">
        <v>1491</v>
      </c>
      <c r="B1167" s="44" t="n">
        <v>46336</v>
      </c>
      <c r="C1167" s="39" t="s">
        <v>148</v>
      </c>
      <c r="D1167" s="39" t="s">
        <v>137</v>
      </c>
      <c r="E1167" s="39" t="n">
        <v>5</v>
      </c>
      <c r="F1167" s="39" t="str">
        <f aca="false">IF(COUNTIF(medicine_master!$A$2:$A$26,C1167)&gt;0,"Valid","Invalid")</f>
        <v>Valid</v>
      </c>
      <c r="G1167" s="39" t="str">
        <f aca="false">IFERROR(INDEX(medicine_master!$B$2:$B$26,MATCH($C1167,medicine_master!$A$2:$A$26,0)),"Not found")</f>
        <v>Dextromethorphan Syrup</v>
      </c>
      <c r="H1167" s="39" t="str">
        <f aca="false">IFERROR(INDEX(medicine_master!$C$2:$C$26,MATCH($C1167,medicine_master!$A$2:$A$26,0)),"Not found")</f>
        <v>Cold &amp; Cough</v>
      </c>
      <c r="I1167" s="39" t="n">
        <f aca="false">YEAR(B1167)</f>
        <v>2026</v>
      </c>
      <c r="J1167" s="39" t="n">
        <f aca="false">MONTH(B1167)</f>
        <v>11</v>
      </c>
      <c r="K1167" s="39" t="str">
        <f aca="false">TEXT(B1167,"mmm")</f>
        <v>Nov</v>
      </c>
      <c r="L1167" s="45" t="n">
        <f aca="false">IFERROR(INDEX(medicine_master!$I$2:$I$26,MATCH($C1167,medicine_master!$A$2:$A$26,0)),0)</f>
        <v>80</v>
      </c>
      <c r="M1167" s="45" t="n">
        <f aca="false">IFERROR(INDEX(medicine_master!$G$2:$G$26,MATCH($C1167,medicine_master!$A$2:$A$26,0)),0)</f>
        <v>58</v>
      </c>
      <c r="N1167" s="45" t="n">
        <f aca="false">IF(D1167="Sale",E1167*L1167,0)</f>
        <v>400</v>
      </c>
      <c r="O1167" s="45" t="n">
        <f aca="false">IF(D1167="Sale",E1167*M1167,0)</f>
        <v>290</v>
      </c>
      <c r="P1167" s="45" t="n">
        <f aca="false">N1167-O1167</f>
        <v>110</v>
      </c>
      <c r="Q1167" s="45" t="n">
        <f aca="false">IF(D1167="Purchase",E1167*M1167,0)</f>
        <v>0</v>
      </c>
    </row>
    <row r="1168" customFormat="false" ht="15" hidden="false" customHeight="false" outlineLevel="0" collapsed="false">
      <c r="A1168" s="39" t="s">
        <v>1492</v>
      </c>
      <c r="B1168" s="44" t="n">
        <v>46377</v>
      </c>
      <c r="C1168" s="39" t="s">
        <v>146</v>
      </c>
      <c r="D1168" s="39" t="s">
        <v>138</v>
      </c>
      <c r="E1168" s="39" t="n">
        <v>5</v>
      </c>
      <c r="F1168" s="39" t="str">
        <f aca="false">IF(COUNTIF(medicine_master!$A$2:$A$26,C1168)&gt;0,"Valid","Invalid")</f>
        <v>Valid</v>
      </c>
      <c r="G1168" s="39" t="str">
        <f aca="false">IFERROR(INDEX(medicine_master!$B$2:$B$26,MATCH($C1168,medicine_master!$A$2:$A$26,0)),"Not found")</f>
        <v>Diclofenac Gel</v>
      </c>
      <c r="H1168" s="39" t="str">
        <f aca="false">IFERROR(INDEX(medicine_master!$C$2:$C$26,MATCH($C1168,medicine_master!$A$2:$A$26,0)),"Not found")</f>
        <v>Pain Relief</v>
      </c>
      <c r="I1168" s="39" t="n">
        <f aca="false">YEAR(B1168)</f>
        <v>2026</v>
      </c>
      <c r="J1168" s="39" t="n">
        <f aca="false">MONTH(B1168)</f>
        <v>12</v>
      </c>
      <c r="K1168" s="39" t="str">
        <f aca="false">TEXT(B1168,"mmm")</f>
        <v>Dec</v>
      </c>
      <c r="L1168" s="45" t="n">
        <f aca="false">IFERROR(INDEX(medicine_master!$I$2:$I$26,MATCH($C1168,medicine_master!$A$2:$A$26,0)),0)</f>
        <v>55</v>
      </c>
      <c r="M1168" s="45" t="n">
        <f aca="false">IFERROR(INDEX(medicine_master!$G$2:$G$26,MATCH($C1168,medicine_master!$A$2:$A$26,0)),0)</f>
        <v>38</v>
      </c>
      <c r="N1168" s="45" t="n">
        <f aca="false">IF(D1168="Sale",E1168*L1168,0)</f>
        <v>0</v>
      </c>
      <c r="O1168" s="45" t="n">
        <f aca="false">IF(D1168="Sale",E1168*M1168,0)</f>
        <v>0</v>
      </c>
      <c r="P1168" s="45" t="n">
        <f aca="false">N1168-O1168</f>
        <v>0</v>
      </c>
      <c r="Q1168" s="45" t="n">
        <f aca="false">IF(D1168="Purchase",E1168*M1168,0)</f>
        <v>190</v>
      </c>
    </row>
    <row r="1169" customFormat="false" ht="15" hidden="false" customHeight="false" outlineLevel="0" collapsed="false">
      <c r="A1169" s="39" t="s">
        <v>1493</v>
      </c>
      <c r="B1169" s="44" t="n">
        <v>46033</v>
      </c>
      <c r="C1169" s="39" t="s">
        <v>390</v>
      </c>
      <c r="D1169" s="39" t="s">
        <v>137</v>
      </c>
      <c r="E1169" s="39" t="n">
        <v>50</v>
      </c>
      <c r="F1169" s="39" t="str">
        <f aca="false">IF(COUNTIF(medicine_master!$A$2:$A$26,C1169)&gt;0,"Valid","Invalid")</f>
        <v>Valid</v>
      </c>
      <c r="G1169" s="39" t="str">
        <f aca="false">IFERROR(INDEX(medicine_master!$B$2:$B$26,MATCH($C1169,medicine_master!$A$2:$A$26,0)),"Not found")</f>
        <v>Montelukast 10mg</v>
      </c>
      <c r="H1169" s="39" t="str">
        <f aca="false">IFERROR(INDEX(medicine_master!$C$2:$C$26,MATCH($C1169,medicine_master!$A$2:$A$26,0)),"Not found")</f>
        <v>Allergy</v>
      </c>
      <c r="I1169" s="39" t="n">
        <f aca="false">YEAR(B1169)</f>
        <v>2026</v>
      </c>
      <c r="J1169" s="39" t="n">
        <f aca="false">MONTH(B1169)</f>
        <v>1</v>
      </c>
      <c r="K1169" s="39" t="str">
        <f aca="false">TEXT(B1169,"mmm")</f>
        <v>Jan</v>
      </c>
      <c r="L1169" s="45" t="n">
        <f aca="false">IFERROR(INDEX(medicine_master!$I$2:$I$26,MATCH($C1169,medicine_master!$A$2:$A$26,0)),0)</f>
        <v>39</v>
      </c>
      <c r="M1169" s="45" t="n">
        <f aca="false">IFERROR(INDEX(medicine_master!$G$2:$G$26,MATCH($C1169,medicine_master!$A$2:$A$26,0)),0)</f>
        <v>27</v>
      </c>
      <c r="N1169" s="45" t="n">
        <f aca="false">IF(D1169="Sale",E1169*L1169,0)</f>
        <v>1950</v>
      </c>
      <c r="O1169" s="45" t="n">
        <f aca="false">IF(D1169="Sale",E1169*M1169,0)</f>
        <v>1350</v>
      </c>
      <c r="P1169" s="45" t="n">
        <f aca="false">N1169-O1169</f>
        <v>600</v>
      </c>
      <c r="Q1169" s="45" t="n">
        <f aca="false">IF(D1169="Purchase",E1169*M1169,0)</f>
        <v>0</v>
      </c>
    </row>
    <row r="1170" customFormat="false" ht="15" hidden="false" customHeight="false" outlineLevel="0" collapsed="false">
      <c r="A1170" s="39" t="s">
        <v>1494</v>
      </c>
      <c r="B1170" s="44" t="n">
        <v>46231</v>
      </c>
      <c r="C1170" s="39" t="s">
        <v>179</v>
      </c>
      <c r="D1170" s="39" t="s">
        <v>137</v>
      </c>
      <c r="E1170" s="39" t="n">
        <v>20</v>
      </c>
      <c r="F1170" s="39" t="str">
        <f aca="false">IF(COUNTIF(medicine_master!$A$2:$A$26,C1170)&gt;0,"Valid","Invalid")</f>
        <v>Valid</v>
      </c>
      <c r="G1170" s="39" t="str">
        <f aca="false">IFERROR(INDEX(medicine_master!$B$2:$B$26,MATCH($C1170,medicine_master!$A$2:$A$26,0)),"Not found")</f>
        <v>Ibuprofen 400mg</v>
      </c>
      <c r="H1170" s="39" t="str">
        <f aca="false">IFERROR(INDEX(medicine_master!$C$2:$C$26,MATCH($C1170,medicine_master!$A$2:$A$26,0)),"Not found")</f>
        <v>Pain Relief</v>
      </c>
      <c r="I1170" s="39" t="n">
        <f aca="false">YEAR(B1170)</f>
        <v>2026</v>
      </c>
      <c r="J1170" s="39" t="n">
        <f aca="false">MONTH(B1170)</f>
        <v>7</v>
      </c>
      <c r="K1170" s="39" t="str">
        <f aca="false">TEXT(B1170,"mmm")</f>
        <v>Jul</v>
      </c>
      <c r="L1170" s="45" t="n">
        <f aca="false">IFERROR(INDEX(medicine_master!$I$2:$I$26,MATCH($C1170,medicine_master!$A$2:$A$26,0)),0)</f>
        <v>30</v>
      </c>
      <c r="M1170" s="45" t="n">
        <f aca="false">IFERROR(INDEX(medicine_master!$G$2:$G$26,MATCH($C1170,medicine_master!$A$2:$A$26,0)),0)</f>
        <v>22</v>
      </c>
      <c r="N1170" s="45" t="n">
        <f aca="false">IF(D1170="Sale",E1170*L1170,0)</f>
        <v>600</v>
      </c>
      <c r="O1170" s="45" t="n">
        <f aca="false">IF(D1170="Sale",E1170*M1170,0)</f>
        <v>440</v>
      </c>
      <c r="P1170" s="45" t="n">
        <f aca="false">N1170-O1170</f>
        <v>160</v>
      </c>
      <c r="Q1170" s="45" t="n">
        <f aca="false">IF(D1170="Purchase",E1170*M1170,0)</f>
        <v>0</v>
      </c>
    </row>
    <row r="1171" customFormat="false" ht="15" hidden="false" customHeight="false" outlineLevel="0" collapsed="false">
      <c r="A1171" s="39" t="s">
        <v>1495</v>
      </c>
      <c r="B1171" s="44" t="n">
        <v>46076</v>
      </c>
      <c r="C1171" s="39" t="s">
        <v>495</v>
      </c>
      <c r="D1171" s="39" t="s">
        <v>137</v>
      </c>
      <c r="E1171" s="39" t="n">
        <v>5</v>
      </c>
      <c r="F1171" s="39" t="str">
        <f aca="false">IF(COUNTIF(medicine_master!$A$2:$A$26,C1171)&gt;0,"Valid","Invalid")</f>
        <v>Valid</v>
      </c>
      <c r="G1171" s="39" t="str">
        <f aca="false">IFERROR(INDEX(medicine_master!$B$2:$B$26,MATCH($C1171,medicine_master!$A$2:$A$26,0)),"Not found")</f>
        <v>Metformin 500mg</v>
      </c>
      <c r="H1171" s="39" t="str">
        <f aca="false">IFERROR(INDEX(medicine_master!$C$2:$C$26,MATCH($C1171,medicine_master!$A$2:$A$26,0)),"Not found")</f>
        <v>Diabetes</v>
      </c>
      <c r="I1171" s="39" t="n">
        <f aca="false">YEAR(B1171)</f>
        <v>2026</v>
      </c>
      <c r="J1171" s="39" t="n">
        <f aca="false">MONTH(B1171)</f>
        <v>2</v>
      </c>
      <c r="K1171" s="39" t="str">
        <f aca="false">TEXT(B1171,"mmm")</f>
        <v>Feb</v>
      </c>
      <c r="L1171" s="45" t="n">
        <f aca="false">IFERROR(INDEX(medicine_master!$I$2:$I$26,MATCH($C1171,medicine_master!$A$2:$A$26,0)),0)</f>
        <v>24</v>
      </c>
      <c r="M1171" s="45" t="n">
        <f aca="false">IFERROR(INDEX(medicine_master!$G$2:$G$26,MATCH($C1171,medicine_master!$A$2:$A$26,0)),0)</f>
        <v>16</v>
      </c>
      <c r="N1171" s="45" t="n">
        <f aca="false">IF(D1171="Sale",E1171*L1171,0)</f>
        <v>120</v>
      </c>
      <c r="O1171" s="45" t="n">
        <f aca="false">IF(D1171="Sale",E1171*M1171,0)</f>
        <v>80</v>
      </c>
      <c r="P1171" s="45" t="n">
        <f aca="false">N1171-O1171</f>
        <v>40</v>
      </c>
      <c r="Q1171" s="45" t="n">
        <f aca="false">IF(D1171="Purchase",E1171*M1171,0)</f>
        <v>0</v>
      </c>
    </row>
    <row r="1172" customFormat="false" ht="15" hidden="false" customHeight="false" outlineLevel="0" collapsed="false">
      <c r="A1172" s="39" t="s">
        <v>1496</v>
      </c>
      <c r="B1172" s="44" t="n">
        <v>46209</v>
      </c>
      <c r="C1172" s="39" t="s">
        <v>177</v>
      </c>
      <c r="D1172" s="39" t="s">
        <v>138</v>
      </c>
      <c r="E1172" s="39" t="n">
        <v>30</v>
      </c>
      <c r="F1172" s="39" t="str">
        <f aca="false">IF(COUNTIF(medicine_master!$A$2:$A$26,C1172)&gt;0,"Valid","Invalid")</f>
        <v>Valid</v>
      </c>
      <c r="G1172" s="39" t="str">
        <f aca="false">IFERROR(INDEX(medicine_master!$B$2:$B$26,MATCH($C1172,medicine_master!$A$2:$A$26,0)),"Not found")</f>
        <v>Bandage Roll</v>
      </c>
      <c r="H1172" s="39" t="str">
        <f aca="false">IFERROR(INDEX(medicine_master!$C$2:$C$26,MATCH($C1172,medicine_master!$A$2:$A$26,0)),"Not found")</f>
        <v>First Aid</v>
      </c>
      <c r="I1172" s="39" t="n">
        <f aca="false">YEAR(B1172)</f>
        <v>2026</v>
      </c>
      <c r="J1172" s="39" t="n">
        <f aca="false">MONTH(B1172)</f>
        <v>7</v>
      </c>
      <c r="K1172" s="39" t="str">
        <f aca="false">TEXT(B1172,"mmm")</f>
        <v>Jul</v>
      </c>
      <c r="L1172" s="45" t="n">
        <f aca="false">IFERROR(INDEX(medicine_master!$I$2:$I$26,MATCH($C1172,medicine_master!$A$2:$A$26,0)),0)</f>
        <v>25</v>
      </c>
      <c r="M1172" s="45" t="n">
        <f aca="false">IFERROR(INDEX(medicine_master!$G$2:$G$26,MATCH($C1172,medicine_master!$A$2:$A$26,0)),0)</f>
        <v>15</v>
      </c>
      <c r="N1172" s="45" t="n">
        <f aca="false">IF(D1172="Sale",E1172*L1172,0)</f>
        <v>0</v>
      </c>
      <c r="O1172" s="45" t="n">
        <f aca="false">IF(D1172="Sale",E1172*M1172,0)</f>
        <v>0</v>
      </c>
      <c r="P1172" s="45" t="n">
        <f aca="false">N1172-O1172</f>
        <v>0</v>
      </c>
      <c r="Q1172" s="45" t="n">
        <f aca="false">IF(D1172="Purchase",E1172*M1172,0)</f>
        <v>450</v>
      </c>
    </row>
    <row r="1173" customFormat="false" ht="15" hidden="false" customHeight="false" outlineLevel="0" collapsed="false">
      <c r="A1173" s="39" t="s">
        <v>1497</v>
      </c>
      <c r="B1173" s="44" t="n">
        <v>46261</v>
      </c>
      <c r="C1173" s="39" t="s">
        <v>177</v>
      </c>
      <c r="D1173" s="39" t="s">
        <v>137</v>
      </c>
      <c r="E1173" s="39" t="n">
        <v>20</v>
      </c>
      <c r="F1173" s="39" t="str">
        <f aca="false">IF(COUNTIF(medicine_master!$A$2:$A$26,C1173)&gt;0,"Valid","Invalid")</f>
        <v>Valid</v>
      </c>
      <c r="G1173" s="39" t="str">
        <f aca="false">IFERROR(INDEX(medicine_master!$B$2:$B$26,MATCH($C1173,medicine_master!$A$2:$A$26,0)),"Not found")</f>
        <v>Bandage Roll</v>
      </c>
      <c r="H1173" s="39" t="str">
        <f aca="false">IFERROR(INDEX(medicine_master!$C$2:$C$26,MATCH($C1173,medicine_master!$A$2:$A$26,0)),"Not found")</f>
        <v>First Aid</v>
      </c>
      <c r="I1173" s="39" t="n">
        <f aca="false">YEAR(B1173)</f>
        <v>2026</v>
      </c>
      <c r="J1173" s="39" t="n">
        <f aca="false">MONTH(B1173)</f>
        <v>8</v>
      </c>
      <c r="K1173" s="39" t="str">
        <f aca="false">TEXT(B1173,"mmm")</f>
        <v>Aug</v>
      </c>
      <c r="L1173" s="45" t="n">
        <f aca="false">IFERROR(INDEX(medicine_master!$I$2:$I$26,MATCH($C1173,medicine_master!$A$2:$A$26,0)),0)</f>
        <v>25</v>
      </c>
      <c r="M1173" s="45" t="n">
        <f aca="false">IFERROR(INDEX(medicine_master!$G$2:$G$26,MATCH($C1173,medicine_master!$A$2:$A$26,0)),0)</f>
        <v>15</v>
      </c>
      <c r="N1173" s="45" t="n">
        <f aca="false">IF(D1173="Sale",E1173*L1173,0)</f>
        <v>500</v>
      </c>
      <c r="O1173" s="45" t="n">
        <f aca="false">IF(D1173="Sale",E1173*M1173,0)</f>
        <v>300</v>
      </c>
      <c r="P1173" s="45" t="n">
        <f aca="false">N1173-O1173</f>
        <v>200</v>
      </c>
      <c r="Q1173" s="45" t="n">
        <f aca="false">IF(D1173="Purchase",E1173*M1173,0)</f>
        <v>0</v>
      </c>
    </row>
    <row r="1174" customFormat="false" ht="15" hidden="false" customHeight="false" outlineLevel="0" collapsed="false">
      <c r="A1174" s="39" t="s">
        <v>1498</v>
      </c>
      <c r="B1174" s="44" t="n">
        <v>46268</v>
      </c>
      <c r="C1174" s="39" t="s">
        <v>179</v>
      </c>
      <c r="D1174" s="39" t="s">
        <v>138</v>
      </c>
      <c r="E1174" s="39" t="n">
        <v>20</v>
      </c>
      <c r="F1174" s="39" t="str">
        <f aca="false">IF(COUNTIF(medicine_master!$A$2:$A$26,C1174)&gt;0,"Valid","Invalid")</f>
        <v>Valid</v>
      </c>
      <c r="G1174" s="39" t="str">
        <f aca="false">IFERROR(INDEX(medicine_master!$B$2:$B$26,MATCH($C1174,medicine_master!$A$2:$A$26,0)),"Not found")</f>
        <v>Ibuprofen 400mg</v>
      </c>
      <c r="H1174" s="39" t="str">
        <f aca="false">IFERROR(INDEX(medicine_master!$C$2:$C$26,MATCH($C1174,medicine_master!$A$2:$A$26,0)),"Not found")</f>
        <v>Pain Relief</v>
      </c>
      <c r="I1174" s="39" t="n">
        <f aca="false">YEAR(B1174)</f>
        <v>2026</v>
      </c>
      <c r="J1174" s="39" t="n">
        <f aca="false">MONTH(B1174)</f>
        <v>9</v>
      </c>
      <c r="K1174" s="39" t="str">
        <f aca="false">TEXT(B1174,"mmm")</f>
        <v>Sep</v>
      </c>
      <c r="L1174" s="45" t="n">
        <f aca="false">IFERROR(INDEX(medicine_master!$I$2:$I$26,MATCH($C1174,medicine_master!$A$2:$A$26,0)),0)</f>
        <v>30</v>
      </c>
      <c r="M1174" s="45" t="n">
        <f aca="false">IFERROR(INDEX(medicine_master!$G$2:$G$26,MATCH($C1174,medicine_master!$A$2:$A$26,0)),0)</f>
        <v>22</v>
      </c>
      <c r="N1174" s="45" t="n">
        <f aca="false">IF(D1174="Sale",E1174*L1174,0)</f>
        <v>0</v>
      </c>
      <c r="O1174" s="45" t="n">
        <f aca="false">IF(D1174="Sale",E1174*M1174,0)</f>
        <v>0</v>
      </c>
      <c r="P1174" s="45" t="n">
        <f aca="false">N1174-O1174</f>
        <v>0</v>
      </c>
      <c r="Q1174" s="45" t="n">
        <f aca="false">IF(D1174="Purchase",E1174*M1174,0)</f>
        <v>440</v>
      </c>
    </row>
    <row r="1175" customFormat="false" ht="15" hidden="false" customHeight="false" outlineLevel="0" collapsed="false">
      <c r="A1175" s="39" t="s">
        <v>1499</v>
      </c>
      <c r="B1175" s="44" t="n">
        <v>46101</v>
      </c>
      <c r="C1175" s="39" t="s">
        <v>157</v>
      </c>
      <c r="D1175" s="39" t="s">
        <v>137</v>
      </c>
      <c r="E1175" s="39" t="n">
        <v>20</v>
      </c>
      <c r="F1175" s="39" t="str">
        <f aca="false">IF(COUNTIF(medicine_master!$A$2:$A$26,C1175)&gt;0,"Valid","Invalid")</f>
        <v>Valid</v>
      </c>
      <c r="G1175" s="39" t="str">
        <f aca="false">IFERROR(INDEX(medicine_master!$B$2:$B$26,MATCH($C1175,medicine_master!$A$2:$A$26,0)),"Not found")</f>
        <v>Multivitamin Tablets</v>
      </c>
      <c r="H1175" s="39" t="str">
        <f aca="false">IFERROR(INDEX(medicine_master!$C$2:$C$26,MATCH($C1175,medicine_master!$A$2:$A$26,0)),"Not found")</f>
        <v>Vitamin</v>
      </c>
      <c r="I1175" s="39" t="n">
        <f aca="false">YEAR(B1175)</f>
        <v>2026</v>
      </c>
      <c r="J1175" s="39" t="n">
        <f aca="false">MONTH(B1175)</f>
        <v>3</v>
      </c>
      <c r="K1175" s="39" t="str">
        <f aca="false">TEXT(B1175,"mmm")</f>
        <v>Mar</v>
      </c>
      <c r="L1175" s="45" t="n">
        <f aca="false">IFERROR(INDEX(medicine_master!$I$2:$I$26,MATCH($C1175,medicine_master!$A$2:$A$26,0)),0)</f>
        <v>105</v>
      </c>
      <c r="M1175" s="45" t="n">
        <f aca="false">IFERROR(INDEX(medicine_master!$G$2:$G$26,MATCH($C1175,medicine_master!$A$2:$A$26,0)),0)</f>
        <v>72</v>
      </c>
      <c r="N1175" s="45" t="n">
        <f aca="false">IF(D1175="Sale",E1175*L1175,0)</f>
        <v>2100</v>
      </c>
      <c r="O1175" s="45" t="n">
        <f aca="false">IF(D1175="Sale",E1175*M1175,0)</f>
        <v>1440</v>
      </c>
      <c r="P1175" s="45" t="n">
        <f aca="false">N1175-O1175</f>
        <v>660</v>
      </c>
      <c r="Q1175" s="45" t="n">
        <f aca="false">IF(D1175="Purchase",E1175*M1175,0)</f>
        <v>0</v>
      </c>
    </row>
    <row r="1176" customFormat="false" ht="15" hidden="false" customHeight="false" outlineLevel="0" collapsed="false">
      <c r="A1176" s="39" t="s">
        <v>1500</v>
      </c>
      <c r="B1176" s="44" t="n">
        <v>46085</v>
      </c>
      <c r="C1176" s="39" t="s">
        <v>157</v>
      </c>
      <c r="D1176" s="39" t="s">
        <v>138</v>
      </c>
      <c r="E1176" s="39" t="n">
        <v>20</v>
      </c>
      <c r="F1176" s="39" t="str">
        <f aca="false">IF(COUNTIF(medicine_master!$A$2:$A$26,C1176)&gt;0,"Valid","Invalid")</f>
        <v>Valid</v>
      </c>
      <c r="G1176" s="39" t="str">
        <f aca="false">IFERROR(INDEX(medicine_master!$B$2:$B$26,MATCH($C1176,medicine_master!$A$2:$A$26,0)),"Not found")</f>
        <v>Multivitamin Tablets</v>
      </c>
      <c r="H1176" s="39" t="str">
        <f aca="false">IFERROR(INDEX(medicine_master!$C$2:$C$26,MATCH($C1176,medicine_master!$A$2:$A$26,0)),"Not found")</f>
        <v>Vitamin</v>
      </c>
      <c r="I1176" s="39" t="n">
        <f aca="false">YEAR(B1176)</f>
        <v>2026</v>
      </c>
      <c r="J1176" s="39" t="n">
        <f aca="false">MONTH(B1176)</f>
        <v>3</v>
      </c>
      <c r="K1176" s="39" t="str">
        <f aca="false">TEXT(B1176,"mmm")</f>
        <v>Mar</v>
      </c>
      <c r="L1176" s="45" t="n">
        <f aca="false">IFERROR(INDEX(medicine_master!$I$2:$I$26,MATCH($C1176,medicine_master!$A$2:$A$26,0)),0)</f>
        <v>105</v>
      </c>
      <c r="M1176" s="45" t="n">
        <f aca="false">IFERROR(INDEX(medicine_master!$G$2:$G$26,MATCH($C1176,medicine_master!$A$2:$A$26,0)),0)</f>
        <v>72</v>
      </c>
      <c r="N1176" s="45" t="n">
        <f aca="false">IF(D1176="Sale",E1176*L1176,0)</f>
        <v>0</v>
      </c>
      <c r="O1176" s="45" t="n">
        <f aca="false">IF(D1176="Sale",E1176*M1176,0)</f>
        <v>0</v>
      </c>
      <c r="P1176" s="45" t="n">
        <f aca="false">N1176-O1176</f>
        <v>0</v>
      </c>
      <c r="Q1176" s="45" t="n">
        <f aca="false">IF(D1176="Purchase",E1176*M1176,0)</f>
        <v>1440</v>
      </c>
    </row>
    <row r="1177" customFormat="false" ht="15" hidden="false" customHeight="false" outlineLevel="0" collapsed="false">
      <c r="A1177" s="39" t="s">
        <v>1501</v>
      </c>
      <c r="B1177" s="44" t="n">
        <v>46065</v>
      </c>
      <c r="C1177" s="39" t="s">
        <v>145</v>
      </c>
      <c r="D1177" s="39" t="s">
        <v>138</v>
      </c>
      <c r="E1177" s="39" t="n">
        <v>15</v>
      </c>
      <c r="F1177" s="39" t="str">
        <f aca="false">IF(COUNTIF(medicine_master!$A$2:$A$26,C1177)&gt;0,"Valid","Invalid")</f>
        <v>Valid</v>
      </c>
      <c r="G1177" s="39" t="str">
        <f aca="false">IFERROR(INDEX(medicine_master!$B$2:$B$26,MATCH($C1177,medicine_master!$A$2:$A$26,0)),"Not found")</f>
        <v>Clotrimazole Cream</v>
      </c>
      <c r="H1177" s="39" t="str">
        <f aca="false">IFERROR(INDEX(medicine_master!$C$2:$C$26,MATCH($C1177,medicine_master!$A$2:$A$26,0)),"Not found")</f>
        <v>Dermatology</v>
      </c>
      <c r="I1177" s="39" t="n">
        <f aca="false">YEAR(B1177)</f>
        <v>2026</v>
      </c>
      <c r="J1177" s="39" t="n">
        <f aca="false">MONTH(B1177)</f>
        <v>2</v>
      </c>
      <c r="K1177" s="39" t="str">
        <f aca="false">TEXT(B1177,"mmm")</f>
        <v>Feb</v>
      </c>
      <c r="L1177" s="45" t="n">
        <f aca="false">IFERROR(INDEX(medicine_master!$I$2:$I$26,MATCH($C1177,medicine_master!$A$2:$A$26,0)),0)</f>
        <v>48</v>
      </c>
      <c r="M1177" s="45" t="n">
        <f aca="false">IFERROR(INDEX(medicine_master!$G$2:$G$26,MATCH($C1177,medicine_master!$A$2:$A$26,0)),0)</f>
        <v>32</v>
      </c>
      <c r="N1177" s="45" t="n">
        <f aca="false">IF(D1177="Sale",E1177*L1177,0)</f>
        <v>0</v>
      </c>
      <c r="O1177" s="45" t="n">
        <f aca="false">IF(D1177="Sale",E1177*M1177,0)</f>
        <v>0</v>
      </c>
      <c r="P1177" s="45" t="n">
        <f aca="false">N1177-O1177</f>
        <v>0</v>
      </c>
      <c r="Q1177" s="45" t="n">
        <f aca="false">IF(D1177="Purchase",E1177*M1177,0)</f>
        <v>480</v>
      </c>
    </row>
    <row r="1178" customFormat="false" ht="15" hidden="false" customHeight="false" outlineLevel="0" collapsed="false">
      <c r="A1178" s="39" t="s">
        <v>1502</v>
      </c>
      <c r="B1178" s="44" t="n">
        <v>46314</v>
      </c>
      <c r="C1178" s="39" t="s">
        <v>390</v>
      </c>
      <c r="D1178" s="39" t="s">
        <v>138</v>
      </c>
      <c r="E1178" s="39" t="n">
        <v>10</v>
      </c>
      <c r="F1178" s="39" t="str">
        <f aca="false">IF(COUNTIF(medicine_master!$A$2:$A$26,C1178)&gt;0,"Valid","Invalid")</f>
        <v>Valid</v>
      </c>
      <c r="G1178" s="39" t="str">
        <f aca="false">IFERROR(INDEX(medicine_master!$B$2:$B$26,MATCH($C1178,medicine_master!$A$2:$A$26,0)),"Not found")</f>
        <v>Montelukast 10mg</v>
      </c>
      <c r="H1178" s="39" t="str">
        <f aca="false">IFERROR(INDEX(medicine_master!$C$2:$C$26,MATCH($C1178,medicine_master!$A$2:$A$26,0)),"Not found")</f>
        <v>Allergy</v>
      </c>
      <c r="I1178" s="39" t="n">
        <f aca="false">YEAR(B1178)</f>
        <v>2026</v>
      </c>
      <c r="J1178" s="39" t="n">
        <f aca="false">MONTH(B1178)</f>
        <v>10</v>
      </c>
      <c r="K1178" s="39" t="str">
        <f aca="false">TEXT(B1178,"mmm")</f>
        <v>Oct</v>
      </c>
      <c r="L1178" s="45" t="n">
        <f aca="false">IFERROR(INDEX(medicine_master!$I$2:$I$26,MATCH($C1178,medicine_master!$A$2:$A$26,0)),0)</f>
        <v>39</v>
      </c>
      <c r="M1178" s="45" t="n">
        <f aca="false">IFERROR(INDEX(medicine_master!$G$2:$G$26,MATCH($C1178,medicine_master!$A$2:$A$26,0)),0)</f>
        <v>27</v>
      </c>
      <c r="N1178" s="45" t="n">
        <f aca="false">IF(D1178="Sale",E1178*L1178,0)</f>
        <v>0</v>
      </c>
      <c r="O1178" s="45" t="n">
        <f aca="false">IF(D1178="Sale",E1178*M1178,0)</f>
        <v>0</v>
      </c>
      <c r="P1178" s="45" t="n">
        <f aca="false">N1178-O1178</f>
        <v>0</v>
      </c>
      <c r="Q1178" s="45" t="n">
        <f aca="false">IF(D1178="Purchase",E1178*M1178,0)</f>
        <v>270</v>
      </c>
    </row>
    <row r="1179" customFormat="false" ht="15" hidden="false" customHeight="false" outlineLevel="0" collapsed="false">
      <c r="A1179" s="39" t="s">
        <v>1503</v>
      </c>
      <c r="B1179" s="44" t="n">
        <v>46314</v>
      </c>
      <c r="C1179" s="39" t="s">
        <v>321</v>
      </c>
      <c r="D1179" s="39" t="s">
        <v>138</v>
      </c>
      <c r="E1179" s="39" t="n">
        <v>40</v>
      </c>
      <c r="F1179" s="39" t="str">
        <f aca="false">IF(COUNTIF(medicine_master!$A$2:$A$26,C1179)&gt;0,"Valid","Invalid")</f>
        <v>Valid</v>
      </c>
      <c r="G1179" s="39" t="str">
        <f aca="false">IFERROR(INDEX(medicine_master!$B$2:$B$26,MATCH($C1179,medicine_master!$A$2:$A$26,0)),"Not found")</f>
        <v>Levocetirizine 5mg</v>
      </c>
      <c r="H1179" s="39" t="str">
        <f aca="false">IFERROR(INDEX(medicine_master!$C$2:$C$26,MATCH($C1179,medicine_master!$A$2:$A$26,0)),"Not found")</f>
        <v>Allergy</v>
      </c>
      <c r="I1179" s="39" t="n">
        <f aca="false">YEAR(B1179)</f>
        <v>2026</v>
      </c>
      <c r="J1179" s="39" t="n">
        <f aca="false">MONTH(B1179)</f>
        <v>10</v>
      </c>
      <c r="K1179" s="39" t="str">
        <f aca="false">TEXT(B1179,"mmm")</f>
        <v>Oct</v>
      </c>
      <c r="L1179" s="45" t="n">
        <f aca="false">IFERROR(INDEX(medicine_master!$I$2:$I$26,MATCH($C1179,medicine_master!$A$2:$A$26,0)),0)</f>
        <v>22</v>
      </c>
      <c r="M1179" s="45" t="n">
        <f aca="false">IFERROR(INDEX(medicine_master!$G$2:$G$26,MATCH($C1179,medicine_master!$A$2:$A$26,0)),0)</f>
        <v>14</v>
      </c>
      <c r="N1179" s="45" t="n">
        <f aca="false">IF(D1179="Sale",E1179*L1179,0)</f>
        <v>0</v>
      </c>
      <c r="O1179" s="45" t="n">
        <f aca="false">IF(D1179="Sale",E1179*M1179,0)</f>
        <v>0</v>
      </c>
      <c r="P1179" s="45" t="n">
        <f aca="false">N1179-O1179</f>
        <v>0</v>
      </c>
      <c r="Q1179" s="45" t="n">
        <f aca="false">IF(D1179="Purchase",E1179*M1179,0)</f>
        <v>560</v>
      </c>
    </row>
    <row r="1180" customFormat="false" ht="15" hidden="false" customHeight="false" outlineLevel="0" collapsed="false">
      <c r="A1180" s="39" t="s">
        <v>1504</v>
      </c>
      <c r="B1180" s="44" t="n">
        <v>46173</v>
      </c>
      <c r="C1180" s="39" t="s">
        <v>177</v>
      </c>
      <c r="D1180" s="39" t="s">
        <v>138</v>
      </c>
      <c r="E1180" s="39" t="n">
        <v>25</v>
      </c>
      <c r="F1180" s="39" t="str">
        <f aca="false">IF(COUNTIF(medicine_master!$A$2:$A$26,C1180)&gt;0,"Valid","Invalid")</f>
        <v>Valid</v>
      </c>
      <c r="G1180" s="39" t="str">
        <f aca="false">IFERROR(INDEX(medicine_master!$B$2:$B$26,MATCH($C1180,medicine_master!$A$2:$A$26,0)),"Not found")</f>
        <v>Bandage Roll</v>
      </c>
      <c r="H1180" s="39" t="str">
        <f aca="false">IFERROR(INDEX(medicine_master!$C$2:$C$26,MATCH($C1180,medicine_master!$A$2:$A$26,0)),"Not found")</f>
        <v>First Aid</v>
      </c>
      <c r="I1180" s="39" t="n">
        <f aca="false">YEAR(B1180)</f>
        <v>2026</v>
      </c>
      <c r="J1180" s="39" t="n">
        <f aca="false">MONTH(B1180)</f>
        <v>5</v>
      </c>
      <c r="K1180" s="39" t="str">
        <f aca="false">TEXT(B1180,"mmm")</f>
        <v>May</v>
      </c>
      <c r="L1180" s="45" t="n">
        <f aca="false">IFERROR(INDEX(medicine_master!$I$2:$I$26,MATCH($C1180,medicine_master!$A$2:$A$26,0)),0)</f>
        <v>25</v>
      </c>
      <c r="M1180" s="45" t="n">
        <f aca="false">IFERROR(INDEX(medicine_master!$G$2:$G$26,MATCH($C1180,medicine_master!$A$2:$A$26,0)),0)</f>
        <v>15</v>
      </c>
      <c r="N1180" s="45" t="n">
        <f aca="false">IF(D1180="Sale",E1180*L1180,0)</f>
        <v>0</v>
      </c>
      <c r="O1180" s="45" t="n">
        <f aca="false">IF(D1180="Sale",E1180*M1180,0)</f>
        <v>0</v>
      </c>
      <c r="P1180" s="45" t="n">
        <f aca="false">N1180-O1180</f>
        <v>0</v>
      </c>
      <c r="Q1180" s="45" t="n">
        <f aca="false">IF(D1180="Purchase",E1180*M1180,0)</f>
        <v>375</v>
      </c>
    </row>
    <row r="1181" customFormat="false" ht="15" hidden="false" customHeight="false" outlineLevel="0" collapsed="false">
      <c r="A1181" s="39" t="s">
        <v>1505</v>
      </c>
      <c r="B1181" s="44" t="n">
        <v>46202</v>
      </c>
      <c r="C1181" s="39" t="s">
        <v>152</v>
      </c>
      <c r="D1181" s="39" t="s">
        <v>137</v>
      </c>
      <c r="E1181" s="39" t="n">
        <v>20</v>
      </c>
      <c r="F1181" s="39" t="str">
        <f aca="false">IF(COUNTIF(medicine_master!$A$2:$A$26,C1181)&gt;0,"Valid","Invalid")</f>
        <v>Valid</v>
      </c>
      <c r="G1181" s="39" t="str">
        <f aca="false">IFERROR(INDEX(medicine_master!$B$2:$B$26,MATCH($C1181,medicine_master!$A$2:$A$26,0)),"Not found")</f>
        <v>Amoxicillin 500mg</v>
      </c>
      <c r="H1181" s="39" t="str">
        <f aca="false">IFERROR(INDEX(medicine_master!$C$2:$C$26,MATCH($C1181,medicine_master!$A$2:$A$26,0)),"Not found")</f>
        <v>Antibiotic</v>
      </c>
      <c r="I1181" s="39" t="n">
        <f aca="false">YEAR(B1181)</f>
        <v>2026</v>
      </c>
      <c r="J1181" s="39" t="n">
        <f aca="false">MONTH(B1181)</f>
        <v>6</v>
      </c>
      <c r="K1181" s="39" t="str">
        <f aca="false">TEXT(B1181,"mmm")</f>
        <v>Jun</v>
      </c>
      <c r="L1181" s="45" t="n">
        <f aca="false">IFERROR(INDEX(medicine_master!$I$2:$I$26,MATCH($C1181,medicine_master!$A$2:$A$26,0)),0)</f>
        <v>40</v>
      </c>
      <c r="M1181" s="45" t="n">
        <f aca="false">IFERROR(INDEX(medicine_master!$G$2:$G$26,MATCH($C1181,medicine_master!$A$2:$A$26,0)),0)</f>
        <v>28</v>
      </c>
      <c r="N1181" s="45" t="n">
        <f aca="false">IF(D1181="Sale",E1181*L1181,0)</f>
        <v>800</v>
      </c>
      <c r="O1181" s="45" t="n">
        <f aca="false">IF(D1181="Sale",E1181*M1181,0)</f>
        <v>560</v>
      </c>
      <c r="P1181" s="45" t="n">
        <f aca="false">N1181-O1181</f>
        <v>240</v>
      </c>
      <c r="Q1181" s="45" t="n">
        <f aca="false">IF(D1181="Purchase",E1181*M1181,0)</f>
        <v>0</v>
      </c>
    </row>
    <row r="1182" customFormat="false" ht="15" hidden="false" customHeight="false" outlineLevel="0" collapsed="false">
      <c r="A1182" s="39" t="s">
        <v>1506</v>
      </c>
      <c r="B1182" s="44" t="n">
        <v>46297</v>
      </c>
      <c r="C1182" s="39" t="s">
        <v>167</v>
      </c>
      <c r="D1182" s="39" t="s">
        <v>137</v>
      </c>
      <c r="E1182" s="39" t="n">
        <v>30</v>
      </c>
      <c r="F1182" s="39" t="str">
        <f aca="false">IF(COUNTIF(medicine_master!$A$2:$A$26,C1182)&gt;0,"Valid","Invalid")</f>
        <v>Valid</v>
      </c>
      <c r="G1182" s="39" t="str">
        <f aca="false">IFERROR(INDEX(medicine_master!$B$2:$B$26,MATCH($C1182,medicine_master!$A$2:$A$26,0)),"Not found")</f>
        <v>Amlodipine 5mg</v>
      </c>
      <c r="H1182" s="39" t="str">
        <f aca="false">IFERROR(INDEX(medicine_master!$C$2:$C$26,MATCH($C1182,medicine_master!$A$2:$A$26,0)),"Not found")</f>
        <v>Cardiac</v>
      </c>
      <c r="I1182" s="39" t="n">
        <f aca="false">YEAR(B1182)</f>
        <v>2026</v>
      </c>
      <c r="J1182" s="39" t="n">
        <f aca="false">MONTH(B1182)</f>
        <v>10</v>
      </c>
      <c r="K1182" s="39" t="str">
        <f aca="false">TEXT(B1182,"mmm")</f>
        <v>Oct</v>
      </c>
      <c r="L1182" s="45" t="n">
        <f aca="false">IFERROR(INDEX(medicine_master!$I$2:$I$26,MATCH($C1182,medicine_master!$A$2:$A$26,0)),0)</f>
        <v>19</v>
      </c>
      <c r="M1182" s="45" t="n">
        <f aca="false">IFERROR(INDEX(medicine_master!$G$2:$G$26,MATCH($C1182,medicine_master!$A$2:$A$26,0)),0)</f>
        <v>13</v>
      </c>
      <c r="N1182" s="45" t="n">
        <f aca="false">IF(D1182="Sale",E1182*L1182,0)</f>
        <v>570</v>
      </c>
      <c r="O1182" s="45" t="n">
        <f aca="false">IF(D1182="Sale",E1182*M1182,0)</f>
        <v>390</v>
      </c>
      <c r="P1182" s="45" t="n">
        <f aca="false">N1182-O1182</f>
        <v>180</v>
      </c>
      <c r="Q1182" s="45" t="n">
        <f aca="false">IF(D1182="Purchase",E1182*M1182,0)</f>
        <v>0</v>
      </c>
    </row>
    <row r="1183" customFormat="false" ht="15" hidden="false" customHeight="false" outlineLevel="0" collapsed="false">
      <c r="A1183" s="39" t="s">
        <v>1507</v>
      </c>
      <c r="B1183" s="44" t="n">
        <v>46049</v>
      </c>
      <c r="C1183" s="39" t="s">
        <v>148</v>
      </c>
      <c r="D1183" s="39" t="s">
        <v>138</v>
      </c>
      <c r="E1183" s="39" t="n">
        <v>10</v>
      </c>
      <c r="F1183" s="39" t="str">
        <f aca="false">IF(COUNTIF(medicine_master!$A$2:$A$26,C1183)&gt;0,"Valid","Invalid")</f>
        <v>Valid</v>
      </c>
      <c r="G1183" s="39" t="str">
        <f aca="false">IFERROR(INDEX(medicine_master!$B$2:$B$26,MATCH($C1183,medicine_master!$A$2:$A$26,0)),"Not found")</f>
        <v>Dextromethorphan Syrup</v>
      </c>
      <c r="H1183" s="39" t="str">
        <f aca="false">IFERROR(INDEX(medicine_master!$C$2:$C$26,MATCH($C1183,medicine_master!$A$2:$A$26,0)),"Not found")</f>
        <v>Cold &amp; Cough</v>
      </c>
      <c r="I1183" s="39" t="n">
        <f aca="false">YEAR(B1183)</f>
        <v>2026</v>
      </c>
      <c r="J1183" s="39" t="n">
        <f aca="false">MONTH(B1183)</f>
        <v>1</v>
      </c>
      <c r="K1183" s="39" t="str">
        <f aca="false">TEXT(B1183,"mmm")</f>
        <v>Jan</v>
      </c>
      <c r="L1183" s="45" t="n">
        <f aca="false">IFERROR(INDEX(medicine_master!$I$2:$I$26,MATCH($C1183,medicine_master!$A$2:$A$26,0)),0)</f>
        <v>80</v>
      </c>
      <c r="M1183" s="45" t="n">
        <f aca="false">IFERROR(INDEX(medicine_master!$G$2:$G$26,MATCH($C1183,medicine_master!$A$2:$A$26,0)),0)</f>
        <v>58</v>
      </c>
      <c r="N1183" s="45" t="n">
        <f aca="false">IF(D1183="Sale",E1183*L1183,0)</f>
        <v>0</v>
      </c>
      <c r="O1183" s="45" t="n">
        <f aca="false">IF(D1183="Sale",E1183*M1183,0)</f>
        <v>0</v>
      </c>
      <c r="P1183" s="45" t="n">
        <f aca="false">N1183-O1183</f>
        <v>0</v>
      </c>
      <c r="Q1183" s="45" t="n">
        <f aca="false">IF(D1183="Purchase",E1183*M1183,0)</f>
        <v>580</v>
      </c>
    </row>
    <row r="1184" customFormat="false" ht="15" hidden="false" customHeight="false" outlineLevel="0" collapsed="false">
      <c r="A1184" s="39" t="s">
        <v>1508</v>
      </c>
      <c r="B1184" s="44" t="n">
        <v>46348</v>
      </c>
      <c r="C1184" s="39" t="s">
        <v>149</v>
      </c>
      <c r="D1184" s="39" t="s">
        <v>137</v>
      </c>
      <c r="E1184" s="39" t="n">
        <v>10</v>
      </c>
      <c r="F1184" s="39" t="str">
        <f aca="false">IF(COUNTIF(medicine_master!$A$2:$A$26,C1184)&gt;0,"Valid","Invalid")</f>
        <v>Valid</v>
      </c>
      <c r="G1184" s="39" t="str">
        <f aca="false">IFERROR(INDEX(medicine_master!$B$2:$B$26,MATCH($C1184,medicine_master!$A$2:$A$26,0)),"Not found")</f>
        <v>Azithromycin 500mg</v>
      </c>
      <c r="H1184" s="39" t="str">
        <f aca="false">IFERROR(INDEX(medicine_master!$C$2:$C$26,MATCH($C1184,medicine_master!$A$2:$A$26,0)),"Not found")</f>
        <v>Antibiotic</v>
      </c>
      <c r="I1184" s="39" t="n">
        <f aca="false">YEAR(B1184)</f>
        <v>2026</v>
      </c>
      <c r="J1184" s="39" t="n">
        <f aca="false">MONTH(B1184)</f>
        <v>11</v>
      </c>
      <c r="K1184" s="39" t="str">
        <f aca="false">TEXT(B1184,"mmm")</f>
        <v>Nov</v>
      </c>
      <c r="L1184" s="45" t="n">
        <f aca="false">IFERROR(INDEX(medicine_master!$I$2:$I$26,MATCH($C1184,medicine_master!$A$2:$A$26,0)),0)</f>
        <v>50</v>
      </c>
      <c r="M1184" s="45" t="n">
        <f aca="false">IFERROR(INDEX(medicine_master!$G$2:$G$26,MATCH($C1184,medicine_master!$A$2:$A$26,0)),0)</f>
        <v>35</v>
      </c>
      <c r="N1184" s="45" t="n">
        <f aca="false">IF(D1184="Sale",E1184*L1184,0)</f>
        <v>500</v>
      </c>
      <c r="O1184" s="45" t="n">
        <f aca="false">IF(D1184="Sale",E1184*M1184,0)</f>
        <v>350</v>
      </c>
      <c r="P1184" s="45" t="n">
        <f aca="false">N1184-O1184</f>
        <v>150</v>
      </c>
      <c r="Q1184" s="45" t="n">
        <f aca="false">IF(D1184="Purchase",E1184*M1184,0)</f>
        <v>0</v>
      </c>
    </row>
    <row r="1185" customFormat="false" ht="15" hidden="false" customHeight="false" outlineLevel="0" collapsed="false">
      <c r="A1185" s="39" t="s">
        <v>1509</v>
      </c>
      <c r="B1185" s="44" t="n">
        <v>46168</v>
      </c>
      <c r="C1185" s="39" t="s">
        <v>152</v>
      </c>
      <c r="D1185" s="39" t="s">
        <v>137</v>
      </c>
      <c r="E1185" s="39" t="n">
        <v>25</v>
      </c>
      <c r="F1185" s="39" t="str">
        <f aca="false">IF(COUNTIF(medicine_master!$A$2:$A$26,C1185)&gt;0,"Valid","Invalid")</f>
        <v>Valid</v>
      </c>
      <c r="G1185" s="39" t="str">
        <f aca="false">IFERROR(INDEX(medicine_master!$B$2:$B$26,MATCH($C1185,medicine_master!$A$2:$A$26,0)),"Not found")</f>
        <v>Amoxicillin 500mg</v>
      </c>
      <c r="H1185" s="39" t="str">
        <f aca="false">IFERROR(INDEX(medicine_master!$C$2:$C$26,MATCH($C1185,medicine_master!$A$2:$A$26,0)),"Not found")</f>
        <v>Antibiotic</v>
      </c>
      <c r="I1185" s="39" t="n">
        <f aca="false">YEAR(B1185)</f>
        <v>2026</v>
      </c>
      <c r="J1185" s="39" t="n">
        <f aca="false">MONTH(B1185)</f>
        <v>5</v>
      </c>
      <c r="K1185" s="39" t="str">
        <f aca="false">TEXT(B1185,"mmm")</f>
        <v>May</v>
      </c>
      <c r="L1185" s="45" t="n">
        <f aca="false">IFERROR(INDEX(medicine_master!$I$2:$I$26,MATCH($C1185,medicine_master!$A$2:$A$26,0)),0)</f>
        <v>40</v>
      </c>
      <c r="M1185" s="45" t="n">
        <f aca="false">IFERROR(INDEX(medicine_master!$G$2:$G$26,MATCH($C1185,medicine_master!$A$2:$A$26,0)),0)</f>
        <v>28</v>
      </c>
      <c r="N1185" s="45" t="n">
        <f aca="false">IF(D1185="Sale",E1185*L1185,0)</f>
        <v>1000</v>
      </c>
      <c r="O1185" s="45" t="n">
        <f aca="false">IF(D1185="Sale",E1185*M1185,0)</f>
        <v>700</v>
      </c>
      <c r="P1185" s="45" t="n">
        <f aca="false">N1185-O1185</f>
        <v>300</v>
      </c>
      <c r="Q1185" s="45" t="n">
        <f aca="false">IF(D1185="Purchase",E1185*M1185,0)</f>
        <v>0</v>
      </c>
    </row>
    <row r="1186" customFormat="false" ht="15" hidden="false" customHeight="false" outlineLevel="0" collapsed="false">
      <c r="A1186" s="39" t="s">
        <v>1510</v>
      </c>
      <c r="B1186" s="44" t="n">
        <v>46297</v>
      </c>
      <c r="C1186" s="39" t="s">
        <v>148</v>
      </c>
      <c r="D1186" s="39" t="s">
        <v>137</v>
      </c>
      <c r="E1186" s="39" t="n">
        <v>15</v>
      </c>
      <c r="F1186" s="39" t="str">
        <f aca="false">IF(COUNTIF(medicine_master!$A$2:$A$26,C1186)&gt;0,"Valid","Invalid")</f>
        <v>Valid</v>
      </c>
      <c r="G1186" s="39" t="str">
        <f aca="false">IFERROR(INDEX(medicine_master!$B$2:$B$26,MATCH($C1186,medicine_master!$A$2:$A$26,0)),"Not found")</f>
        <v>Dextromethorphan Syrup</v>
      </c>
      <c r="H1186" s="39" t="str">
        <f aca="false">IFERROR(INDEX(medicine_master!$C$2:$C$26,MATCH($C1186,medicine_master!$A$2:$A$26,0)),"Not found")</f>
        <v>Cold &amp; Cough</v>
      </c>
      <c r="I1186" s="39" t="n">
        <f aca="false">YEAR(B1186)</f>
        <v>2026</v>
      </c>
      <c r="J1186" s="39" t="n">
        <f aca="false">MONTH(B1186)</f>
        <v>10</v>
      </c>
      <c r="K1186" s="39" t="str">
        <f aca="false">TEXT(B1186,"mmm")</f>
        <v>Oct</v>
      </c>
      <c r="L1186" s="45" t="n">
        <f aca="false">IFERROR(INDEX(medicine_master!$I$2:$I$26,MATCH($C1186,medicine_master!$A$2:$A$26,0)),0)</f>
        <v>80</v>
      </c>
      <c r="M1186" s="45" t="n">
        <f aca="false">IFERROR(INDEX(medicine_master!$G$2:$G$26,MATCH($C1186,medicine_master!$A$2:$A$26,0)),0)</f>
        <v>58</v>
      </c>
      <c r="N1186" s="45" t="n">
        <f aca="false">IF(D1186="Sale",E1186*L1186,0)</f>
        <v>1200</v>
      </c>
      <c r="O1186" s="45" t="n">
        <f aca="false">IF(D1186="Sale",E1186*M1186,0)</f>
        <v>870</v>
      </c>
      <c r="P1186" s="45" t="n">
        <f aca="false">N1186-O1186</f>
        <v>330</v>
      </c>
      <c r="Q1186" s="45" t="n">
        <f aca="false">IF(D1186="Purchase",E1186*M1186,0)</f>
        <v>0</v>
      </c>
    </row>
    <row r="1187" customFormat="false" ht="15" hidden="false" customHeight="false" outlineLevel="0" collapsed="false">
      <c r="A1187" s="39" t="s">
        <v>1511</v>
      </c>
      <c r="B1187" s="44" t="n">
        <v>46243</v>
      </c>
      <c r="C1187" s="39" t="s">
        <v>149</v>
      </c>
      <c r="D1187" s="39" t="s">
        <v>137</v>
      </c>
      <c r="E1187" s="39" t="n">
        <v>40</v>
      </c>
      <c r="F1187" s="39" t="str">
        <f aca="false">IF(COUNTIF(medicine_master!$A$2:$A$26,C1187)&gt;0,"Valid","Invalid")</f>
        <v>Valid</v>
      </c>
      <c r="G1187" s="39" t="str">
        <f aca="false">IFERROR(INDEX(medicine_master!$B$2:$B$26,MATCH($C1187,medicine_master!$A$2:$A$26,0)),"Not found")</f>
        <v>Azithromycin 500mg</v>
      </c>
      <c r="H1187" s="39" t="str">
        <f aca="false">IFERROR(INDEX(medicine_master!$C$2:$C$26,MATCH($C1187,medicine_master!$A$2:$A$26,0)),"Not found")</f>
        <v>Antibiotic</v>
      </c>
      <c r="I1187" s="39" t="n">
        <f aca="false">YEAR(B1187)</f>
        <v>2026</v>
      </c>
      <c r="J1187" s="39" t="n">
        <f aca="false">MONTH(B1187)</f>
        <v>8</v>
      </c>
      <c r="K1187" s="39" t="str">
        <f aca="false">TEXT(B1187,"mmm")</f>
        <v>Aug</v>
      </c>
      <c r="L1187" s="45" t="n">
        <f aca="false">IFERROR(INDEX(medicine_master!$I$2:$I$26,MATCH($C1187,medicine_master!$A$2:$A$26,0)),0)</f>
        <v>50</v>
      </c>
      <c r="M1187" s="45" t="n">
        <f aca="false">IFERROR(INDEX(medicine_master!$G$2:$G$26,MATCH($C1187,medicine_master!$A$2:$A$26,0)),0)</f>
        <v>35</v>
      </c>
      <c r="N1187" s="45" t="n">
        <f aca="false">IF(D1187="Sale",E1187*L1187,0)</f>
        <v>2000</v>
      </c>
      <c r="O1187" s="45" t="n">
        <f aca="false">IF(D1187="Sale",E1187*M1187,0)</f>
        <v>1400</v>
      </c>
      <c r="P1187" s="45" t="n">
        <f aca="false">N1187-O1187</f>
        <v>600</v>
      </c>
      <c r="Q1187" s="45" t="n">
        <f aca="false">IF(D1187="Purchase",E1187*M1187,0)</f>
        <v>0</v>
      </c>
    </row>
    <row r="1188" customFormat="false" ht="15" hidden="false" customHeight="false" outlineLevel="0" collapsed="false">
      <c r="A1188" s="39" t="s">
        <v>1512</v>
      </c>
      <c r="B1188" s="44" t="n">
        <v>46351</v>
      </c>
      <c r="C1188" s="39" t="s">
        <v>180</v>
      </c>
      <c r="D1188" s="39" t="s">
        <v>138</v>
      </c>
      <c r="E1188" s="39" t="n">
        <v>25</v>
      </c>
      <c r="F1188" s="39" t="str">
        <f aca="false">IF(COUNTIF(medicine_master!$A$2:$A$26,C1188)&gt;0,"Valid","Invalid")</f>
        <v>Valid</v>
      </c>
      <c r="G1188" s="39" t="str">
        <f aca="false">IFERROR(INDEX(medicine_master!$B$2:$B$26,MATCH($C1188,medicine_master!$A$2:$A$26,0)),"Not found")</f>
        <v>Vitamin C 500mg</v>
      </c>
      <c r="H1188" s="39" t="str">
        <f aca="false">IFERROR(INDEX(medicine_master!$C$2:$C$26,MATCH($C1188,medicine_master!$A$2:$A$26,0)),"Not found")</f>
        <v>Vitamin</v>
      </c>
      <c r="I1188" s="39" t="n">
        <f aca="false">YEAR(B1188)</f>
        <v>2026</v>
      </c>
      <c r="J1188" s="39" t="n">
        <f aca="false">MONTH(B1188)</f>
        <v>11</v>
      </c>
      <c r="K1188" s="39" t="str">
        <f aca="false">TEXT(B1188,"mmm")</f>
        <v>Nov</v>
      </c>
      <c r="L1188" s="45" t="n">
        <f aca="false">IFERROR(INDEX(medicine_master!$I$2:$I$26,MATCH($C1188,medicine_master!$A$2:$A$26,0)),0)</f>
        <v>22</v>
      </c>
      <c r="M1188" s="45" t="n">
        <f aca="false">IFERROR(INDEX(medicine_master!$G$2:$G$26,MATCH($C1188,medicine_master!$A$2:$A$26,0)),0)</f>
        <v>14</v>
      </c>
      <c r="N1188" s="45" t="n">
        <f aca="false">IF(D1188="Sale",E1188*L1188,0)</f>
        <v>0</v>
      </c>
      <c r="O1188" s="45" t="n">
        <f aca="false">IF(D1188="Sale",E1188*M1188,0)</f>
        <v>0</v>
      </c>
      <c r="P1188" s="45" t="n">
        <f aca="false">N1188-O1188</f>
        <v>0</v>
      </c>
      <c r="Q1188" s="45" t="n">
        <f aca="false">IF(D1188="Purchase",E1188*M1188,0)</f>
        <v>350</v>
      </c>
    </row>
    <row r="1189" customFormat="false" ht="15" hidden="false" customHeight="false" outlineLevel="0" collapsed="false">
      <c r="A1189" s="39" t="s">
        <v>1513</v>
      </c>
      <c r="B1189" s="44" t="n">
        <v>46138</v>
      </c>
      <c r="C1189" s="39" t="s">
        <v>159</v>
      </c>
      <c r="D1189" s="39" t="s">
        <v>137</v>
      </c>
      <c r="E1189" s="39" t="n">
        <v>10</v>
      </c>
      <c r="F1189" s="39" t="str">
        <f aca="false">IF(COUNTIF(medicine_master!$A$2:$A$26,C1189)&gt;0,"Valid","Invalid")</f>
        <v>Valid</v>
      </c>
      <c r="G1189" s="39" t="str">
        <f aca="false">IFERROR(INDEX(medicine_master!$B$2:$B$26,MATCH($C1189,medicine_master!$A$2:$A$26,0)),"Not found")</f>
        <v>Antiseptic Liquid 100ml</v>
      </c>
      <c r="H1189" s="39" t="str">
        <f aca="false">IFERROR(INDEX(medicine_master!$C$2:$C$26,MATCH($C1189,medicine_master!$A$2:$A$26,0)),"Not found")</f>
        <v>First Aid</v>
      </c>
      <c r="I1189" s="39" t="n">
        <f aca="false">YEAR(B1189)</f>
        <v>2026</v>
      </c>
      <c r="J1189" s="39" t="n">
        <f aca="false">MONTH(B1189)</f>
        <v>4</v>
      </c>
      <c r="K1189" s="39" t="str">
        <f aca="false">TEXT(B1189,"mmm")</f>
        <v>Apr</v>
      </c>
      <c r="L1189" s="45" t="n">
        <f aca="false">IFERROR(INDEX(medicine_master!$I$2:$I$26,MATCH($C1189,medicine_master!$A$2:$A$26,0)),0)</f>
        <v>65</v>
      </c>
      <c r="M1189" s="45" t="n">
        <f aca="false">IFERROR(INDEX(medicine_master!$G$2:$G$26,MATCH($C1189,medicine_master!$A$2:$A$26,0)),0)</f>
        <v>48</v>
      </c>
      <c r="N1189" s="45" t="n">
        <f aca="false">IF(D1189="Sale",E1189*L1189,0)</f>
        <v>650</v>
      </c>
      <c r="O1189" s="45" t="n">
        <f aca="false">IF(D1189="Sale",E1189*M1189,0)</f>
        <v>480</v>
      </c>
      <c r="P1189" s="45" t="n">
        <f aca="false">N1189-O1189</f>
        <v>170</v>
      </c>
      <c r="Q1189" s="45" t="n">
        <f aca="false">IF(D1189="Purchase",E1189*M1189,0)</f>
        <v>0</v>
      </c>
    </row>
    <row r="1190" customFormat="false" ht="15" hidden="false" customHeight="false" outlineLevel="0" collapsed="false">
      <c r="A1190" s="39" t="s">
        <v>1514</v>
      </c>
      <c r="B1190" s="44" t="n">
        <v>46310</v>
      </c>
      <c r="C1190" s="39" t="s">
        <v>149</v>
      </c>
      <c r="D1190" s="39" t="s">
        <v>138</v>
      </c>
      <c r="E1190" s="39" t="n">
        <v>5</v>
      </c>
      <c r="F1190" s="39" t="str">
        <f aca="false">IF(COUNTIF(medicine_master!$A$2:$A$26,C1190)&gt;0,"Valid","Invalid")</f>
        <v>Valid</v>
      </c>
      <c r="G1190" s="39" t="str">
        <f aca="false">IFERROR(INDEX(medicine_master!$B$2:$B$26,MATCH($C1190,medicine_master!$A$2:$A$26,0)),"Not found")</f>
        <v>Azithromycin 500mg</v>
      </c>
      <c r="H1190" s="39" t="str">
        <f aca="false">IFERROR(INDEX(medicine_master!$C$2:$C$26,MATCH($C1190,medicine_master!$A$2:$A$26,0)),"Not found")</f>
        <v>Antibiotic</v>
      </c>
      <c r="I1190" s="39" t="n">
        <f aca="false">YEAR(B1190)</f>
        <v>2026</v>
      </c>
      <c r="J1190" s="39" t="n">
        <f aca="false">MONTH(B1190)</f>
        <v>10</v>
      </c>
      <c r="K1190" s="39" t="str">
        <f aca="false">TEXT(B1190,"mmm")</f>
        <v>Oct</v>
      </c>
      <c r="L1190" s="45" t="n">
        <f aca="false">IFERROR(INDEX(medicine_master!$I$2:$I$26,MATCH($C1190,medicine_master!$A$2:$A$26,0)),0)</f>
        <v>50</v>
      </c>
      <c r="M1190" s="45" t="n">
        <f aca="false">IFERROR(INDEX(medicine_master!$G$2:$G$26,MATCH($C1190,medicine_master!$A$2:$A$26,0)),0)</f>
        <v>35</v>
      </c>
      <c r="N1190" s="45" t="n">
        <f aca="false">IF(D1190="Sale",E1190*L1190,0)</f>
        <v>0</v>
      </c>
      <c r="O1190" s="45" t="n">
        <f aca="false">IF(D1190="Sale",E1190*M1190,0)</f>
        <v>0</v>
      </c>
      <c r="P1190" s="45" t="n">
        <f aca="false">N1190-O1190</f>
        <v>0</v>
      </c>
      <c r="Q1190" s="45" t="n">
        <f aca="false">IF(D1190="Purchase",E1190*M1190,0)</f>
        <v>175</v>
      </c>
    </row>
    <row r="1191" customFormat="false" ht="15" hidden="false" customHeight="false" outlineLevel="0" collapsed="false">
      <c r="A1191" s="39" t="s">
        <v>1515</v>
      </c>
      <c r="B1191" s="44" t="n">
        <v>46365</v>
      </c>
      <c r="C1191" s="39" t="s">
        <v>495</v>
      </c>
      <c r="D1191" s="39" t="s">
        <v>138</v>
      </c>
      <c r="E1191" s="39" t="n">
        <v>25</v>
      </c>
      <c r="F1191" s="39" t="str">
        <f aca="false">IF(COUNTIF(medicine_master!$A$2:$A$26,C1191)&gt;0,"Valid","Invalid")</f>
        <v>Valid</v>
      </c>
      <c r="G1191" s="39" t="str">
        <f aca="false">IFERROR(INDEX(medicine_master!$B$2:$B$26,MATCH($C1191,medicine_master!$A$2:$A$26,0)),"Not found")</f>
        <v>Metformin 500mg</v>
      </c>
      <c r="H1191" s="39" t="str">
        <f aca="false">IFERROR(INDEX(medicine_master!$C$2:$C$26,MATCH($C1191,medicine_master!$A$2:$A$26,0)),"Not found")</f>
        <v>Diabetes</v>
      </c>
      <c r="I1191" s="39" t="n">
        <f aca="false">YEAR(B1191)</f>
        <v>2026</v>
      </c>
      <c r="J1191" s="39" t="n">
        <f aca="false">MONTH(B1191)</f>
        <v>12</v>
      </c>
      <c r="K1191" s="39" t="str">
        <f aca="false">TEXT(B1191,"mmm")</f>
        <v>Dec</v>
      </c>
      <c r="L1191" s="45" t="n">
        <f aca="false">IFERROR(INDEX(medicine_master!$I$2:$I$26,MATCH($C1191,medicine_master!$A$2:$A$26,0)),0)</f>
        <v>24</v>
      </c>
      <c r="M1191" s="45" t="n">
        <f aca="false">IFERROR(INDEX(medicine_master!$G$2:$G$26,MATCH($C1191,medicine_master!$A$2:$A$26,0)),0)</f>
        <v>16</v>
      </c>
      <c r="N1191" s="45" t="n">
        <f aca="false">IF(D1191="Sale",E1191*L1191,0)</f>
        <v>0</v>
      </c>
      <c r="O1191" s="45" t="n">
        <f aca="false">IF(D1191="Sale",E1191*M1191,0)</f>
        <v>0</v>
      </c>
      <c r="P1191" s="45" t="n">
        <f aca="false">N1191-O1191</f>
        <v>0</v>
      </c>
      <c r="Q1191" s="45" t="n">
        <f aca="false">IF(D1191="Purchase",E1191*M1191,0)</f>
        <v>400</v>
      </c>
    </row>
    <row r="1192" customFormat="false" ht="15" hidden="false" customHeight="false" outlineLevel="0" collapsed="false">
      <c r="A1192" s="39" t="s">
        <v>1516</v>
      </c>
      <c r="B1192" s="44" t="n">
        <v>46322</v>
      </c>
      <c r="C1192" s="39" t="s">
        <v>179</v>
      </c>
      <c r="D1192" s="39" t="s">
        <v>138</v>
      </c>
      <c r="E1192" s="39" t="n">
        <v>20</v>
      </c>
      <c r="F1192" s="39" t="str">
        <f aca="false">IF(COUNTIF(medicine_master!$A$2:$A$26,C1192)&gt;0,"Valid","Invalid")</f>
        <v>Valid</v>
      </c>
      <c r="G1192" s="39" t="str">
        <f aca="false">IFERROR(INDEX(medicine_master!$B$2:$B$26,MATCH($C1192,medicine_master!$A$2:$A$26,0)),"Not found")</f>
        <v>Ibuprofen 400mg</v>
      </c>
      <c r="H1192" s="39" t="str">
        <f aca="false">IFERROR(INDEX(medicine_master!$C$2:$C$26,MATCH($C1192,medicine_master!$A$2:$A$26,0)),"Not found")</f>
        <v>Pain Relief</v>
      </c>
      <c r="I1192" s="39" t="n">
        <f aca="false">YEAR(B1192)</f>
        <v>2026</v>
      </c>
      <c r="J1192" s="39" t="n">
        <f aca="false">MONTH(B1192)</f>
        <v>10</v>
      </c>
      <c r="K1192" s="39" t="str">
        <f aca="false">TEXT(B1192,"mmm")</f>
        <v>Oct</v>
      </c>
      <c r="L1192" s="45" t="n">
        <f aca="false">IFERROR(INDEX(medicine_master!$I$2:$I$26,MATCH($C1192,medicine_master!$A$2:$A$26,0)),0)</f>
        <v>30</v>
      </c>
      <c r="M1192" s="45" t="n">
        <f aca="false">IFERROR(INDEX(medicine_master!$G$2:$G$26,MATCH($C1192,medicine_master!$A$2:$A$26,0)),0)</f>
        <v>22</v>
      </c>
      <c r="N1192" s="45" t="n">
        <f aca="false">IF(D1192="Sale",E1192*L1192,0)</f>
        <v>0</v>
      </c>
      <c r="O1192" s="45" t="n">
        <f aca="false">IF(D1192="Sale",E1192*M1192,0)</f>
        <v>0</v>
      </c>
      <c r="P1192" s="45" t="n">
        <f aca="false">N1192-O1192</f>
        <v>0</v>
      </c>
      <c r="Q1192" s="45" t="n">
        <f aca="false">IF(D1192="Purchase",E1192*M1192,0)</f>
        <v>440</v>
      </c>
    </row>
    <row r="1193" customFormat="false" ht="15" hidden="false" customHeight="false" outlineLevel="0" collapsed="false">
      <c r="A1193" s="39" t="s">
        <v>1517</v>
      </c>
      <c r="B1193" s="44" t="n">
        <v>46117</v>
      </c>
      <c r="C1193" s="39" t="s">
        <v>180</v>
      </c>
      <c r="D1193" s="39" t="s">
        <v>138</v>
      </c>
      <c r="E1193" s="39" t="n">
        <v>10</v>
      </c>
      <c r="F1193" s="39" t="str">
        <f aca="false">IF(COUNTIF(medicine_master!$A$2:$A$26,C1193)&gt;0,"Valid","Invalid")</f>
        <v>Valid</v>
      </c>
      <c r="G1193" s="39" t="str">
        <f aca="false">IFERROR(INDEX(medicine_master!$B$2:$B$26,MATCH($C1193,medicine_master!$A$2:$A$26,0)),"Not found")</f>
        <v>Vitamin C 500mg</v>
      </c>
      <c r="H1193" s="39" t="str">
        <f aca="false">IFERROR(INDEX(medicine_master!$C$2:$C$26,MATCH($C1193,medicine_master!$A$2:$A$26,0)),"Not found")</f>
        <v>Vitamin</v>
      </c>
      <c r="I1193" s="39" t="n">
        <f aca="false">YEAR(B1193)</f>
        <v>2026</v>
      </c>
      <c r="J1193" s="39" t="n">
        <f aca="false">MONTH(B1193)</f>
        <v>4</v>
      </c>
      <c r="K1193" s="39" t="str">
        <f aca="false">TEXT(B1193,"mmm")</f>
        <v>Apr</v>
      </c>
      <c r="L1193" s="45" t="n">
        <f aca="false">IFERROR(INDEX(medicine_master!$I$2:$I$26,MATCH($C1193,medicine_master!$A$2:$A$26,0)),0)</f>
        <v>22</v>
      </c>
      <c r="M1193" s="45" t="n">
        <f aca="false">IFERROR(INDEX(medicine_master!$G$2:$G$26,MATCH($C1193,medicine_master!$A$2:$A$26,0)),0)</f>
        <v>14</v>
      </c>
      <c r="N1193" s="45" t="n">
        <f aca="false">IF(D1193="Sale",E1193*L1193,0)</f>
        <v>0</v>
      </c>
      <c r="O1193" s="45" t="n">
        <f aca="false">IF(D1193="Sale",E1193*M1193,0)</f>
        <v>0</v>
      </c>
      <c r="P1193" s="45" t="n">
        <f aca="false">N1193-O1193</f>
        <v>0</v>
      </c>
      <c r="Q1193" s="45" t="n">
        <f aca="false">IF(D1193="Purchase",E1193*M1193,0)</f>
        <v>140</v>
      </c>
    </row>
    <row r="1194" customFormat="false" ht="15" hidden="false" customHeight="false" outlineLevel="0" collapsed="false">
      <c r="A1194" s="39" t="s">
        <v>1518</v>
      </c>
      <c r="B1194" s="44" t="n">
        <v>46181</v>
      </c>
      <c r="C1194" s="39" t="s">
        <v>151</v>
      </c>
      <c r="D1194" s="39" t="s">
        <v>137</v>
      </c>
      <c r="E1194" s="39" t="n">
        <v>40</v>
      </c>
      <c r="F1194" s="39" t="str">
        <f aca="false">IF(COUNTIF(medicine_master!$A$2:$A$26,C1194)&gt;0,"Valid","Invalid")</f>
        <v>Valid</v>
      </c>
      <c r="G1194" s="39" t="str">
        <f aca="false">IFERROR(INDEX(medicine_master!$B$2:$B$26,MATCH($C1194,medicine_master!$A$2:$A$26,0)),"Not found")</f>
        <v>Cetirizine 10mg</v>
      </c>
      <c r="H1194" s="39" t="str">
        <f aca="false">IFERROR(INDEX(medicine_master!$C$2:$C$26,MATCH($C1194,medicine_master!$A$2:$A$26,0)),"Not found")</f>
        <v>Allergy</v>
      </c>
      <c r="I1194" s="39" t="n">
        <f aca="false">YEAR(B1194)</f>
        <v>2026</v>
      </c>
      <c r="J1194" s="39" t="n">
        <f aca="false">MONTH(B1194)</f>
        <v>6</v>
      </c>
      <c r="K1194" s="39" t="str">
        <f aca="false">TEXT(B1194,"mmm")</f>
        <v>Jun</v>
      </c>
      <c r="L1194" s="45" t="n">
        <f aca="false">IFERROR(INDEX(medicine_master!$I$2:$I$26,MATCH($C1194,medicine_master!$A$2:$A$26,0)),0)</f>
        <v>13</v>
      </c>
      <c r="M1194" s="45" t="n">
        <f aca="false">IFERROR(INDEX(medicine_master!$G$2:$G$26,MATCH($C1194,medicine_master!$A$2:$A$26,0)),0)</f>
        <v>8</v>
      </c>
      <c r="N1194" s="45" t="n">
        <f aca="false">IF(D1194="Sale",E1194*L1194,0)</f>
        <v>520</v>
      </c>
      <c r="O1194" s="45" t="n">
        <f aca="false">IF(D1194="Sale",E1194*M1194,0)</f>
        <v>320</v>
      </c>
      <c r="P1194" s="45" t="n">
        <f aca="false">N1194-O1194</f>
        <v>200</v>
      </c>
      <c r="Q1194" s="45" t="n">
        <f aca="false">IF(D1194="Purchase",E1194*M1194,0)</f>
        <v>0</v>
      </c>
    </row>
    <row r="1195" customFormat="false" ht="15" hidden="false" customHeight="false" outlineLevel="0" collapsed="false">
      <c r="A1195" s="39" t="s">
        <v>1519</v>
      </c>
      <c r="B1195" s="44" t="n">
        <v>46361</v>
      </c>
      <c r="C1195" s="39" t="s">
        <v>390</v>
      </c>
      <c r="D1195" s="39" t="s">
        <v>137</v>
      </c>
      <c r="E1195" s="39" t="n">
        <v>20</v>
      </c>
      <c r="F1195" s="39" t="str">
        <f aca="false">IF(COUNTIF(medicine_master!$A$2:$A$26,C1195)&gt;0,"Valid","Invalid")</f>
        <v>Valid</v>
      </c>
      <c r="G1195" s="39" t="str">
        <f aca="false">IFERROR(INDEX(medicine_master!$B$2:$B$26,MATCH($C1195,medicine_master!$A$2:$A$26,0)),"Not found")</f>
        <v>Montelukast 10mg</v>
      </c>
      <c r="H1195" s="39" t="str">
        <f aca="false">IFERROR(INDEX(medicine_master!$C$2:$C$26,MATCH($C1195,medicine_master!$A$2:$A$26,0)),"Not found")</f>
        <v>Allergy</v>
      </c>
      <c r="I1195" s="39" t="n">
        <f aca="false">YEAR(B1195)</f>
        <v>2026</v>
      </c>
      <c r="J1195" s="39" t="n">
        <f aca="false">MONTH(B1195)</f>
        <v>12</v>
      </c>
      <c r="K1195" s="39" t="str">
        <f aca="false">TEXT(B1195,"mmm")</f>
        <v>Dec</v>
      </c>
      <c r="L1195" s="45" t="n">
        <f aca="false">IFERROR(INDEX(medicine_master!$I$2:$I$26,MATCH($C1195,medicine_master!$A$2:$A$26,0)),0)</f>
        <v>39</v>
      </c>
      <c r="M1195" s="45" t="n">
        <f aca="false">IFERROR(INDEX(medicine_master!$G$2:$G$26,MATCH($C1195,medicine_master!$A$2:$A$26,0)),0)</f>
        <v>27</v>
      </c>
      <c r="N1195" s="45" t="n">
        <f aca="false">IF(D1195="Sale",E1195*L1195,0)</f>
        <v>780</v>
      </c>
      <c r="O1195" s="45" t="n">
        <f aca="false">IF(D1195="Sale",E1195*M1195,0)</f>
        <v>540</v>
      </c>
      <c r="P1195" s="45" t="n">
        <f aca="false">N1195-O1195</f>
        <v>240</v>
      </c>
      <c r="Q1195" s="45" t="n">
        <f aca="false">IF(D1195="Purchase",E1195*M1195,0)</f>
        <v>0</v>
      </c>
    </row>
    <row r="1196" customFormat="false" ht="15" hidden="false" customHeight="false" outlineLevel="0" collapsed="false">
      <c r="A1196" s="39" t="s">
        <v>1520</v>
      </c>
      <c r="B1196" s="44" t="n">
        <v>46160</v>
      </c>
      <c r="C1196" s="39" t="s">
        <v>179</v>
      </c>
      <c r="D1196" s="39" t="s">
        <v>137</v>
      </c>
      <c r="E1196" s="39" t="n">
        <v>25</v>
      </c>
      <c r="F1196" s="39" t="str">
        <f aca="false">IF(COUNTIF(medicine_master!$A$2:$A$26,C1196)&gt;0,"Valid","Invalid")</f>
        <v>Valid</v>
      </c>
      <c r="G1196" s="39" t="str">
        <f aca="false">IFERROR(INDEX(medicine_master!$B$2:$B$26,MATCH($C1196,medicine_master!$A$2:$A$26,0)),"Not found")</f>
        <v>Ibuprofen 400mg</v>
      </c>
      <c r="H1196" s="39" t="str">
        <f aca="false">IFERROR(INDEX(medicine_master!$C$2:$C$26,MATCH($C1196,medicine_master!$A$2:$A$26,0)),"Not found")</f>
        <v>Pain Relief</v>
      </c>
      <c r="I1196" s="39" t="n">
        <f aca="false">YEAR(B1196)</f>
        <v>2026</v>
      </c>
      <c r="J1196" s="39" t="n">
        <f aca="false">MONTH(B1196)</f>
        <v>5</v>
      </c>
      <c r="K1196" s="39" t="str">
        <f aca="false">TEXT(B1196,"mmm")</f>
        <v>May</v>
      </c>
      <c r="L1196" s="45" t="n">
        <f aca="false">IFERROR(INDEX(medicine_master!$I$2:$I$26,MATCH($C1196,medicine_master!$A$2:$A$26,0)),0)</f>
        <v>30</v>
      </c>
      <c r="M1196" s="45" t="n">
        <f aca="false">IFERROR(INDEX(medicine_master!$G$2:$G$26,MATCH($C1196,medicine_master!$A$2:$A$26,0)),0)</f>
        <v>22</v>
      </c>
      <c r="N1196" s="45" t="n">
        <f aca="false">IF(D1196="Sale",E1196*L1196,0)</f>
        <v>750</v>
      </c>
      <c r="O1196" s="45" t="n">
        <f aca="false">IF(D1196="Sale",E1196*M1196,0)</f>
        <v>550</v>
      </c>
      <c r="P1196" s="45" t="n">
        <f aca="false">N1196-O1196</f>
        <v>200</v>
      </c>
      <c r="Q1196" s="45" t="n">
        <f aca="false">IF(D1196="Purchase",E1196*M1196,0)</f>
        <v>0</v>
      </c>
    </row>
    <row r="1197" customFormat="false" ht="15" hidden="false" customHeight="false" outlineLevel="0" collapsed="false">
      <c r="A1197" s="39" t="s">
        <v>1521</v>
      </c>
      <c r="B1197" s="44" t="n">
        <v>46374</v>
      </c>
      <c r="C1197" s="39" t="s">
        <v>177</v>
      </c>
      <c r="D1197" s="39" t="s">
        <v>137</v>
      </c>
      <c r="E1197" s="39" t="n">
        <v>5</v>
      </c>
      <c r="F1197" s="39" t="str">
        <f aca="false">IF(COUNTIF(medicine_master!$A$2:$A$26,C1197)&gt;0,"Valid","Invalid")</f>
        <v>Valid</v>
      </c>
      <c r="G1197" s="39" t="str">
        <f aca="false">IFERROR(INDEX(medicine_master!$B$2:$B$26,MATCH($C1197,medicine_master!$A$2:$A$26,0)),"Not found")</f>
        <v>Bandage Roll</v>
      </c>
      <c r="H1197" s="39" t="str">
        <f aca="false">IFERROR(INDEX(medicine_master!$C$2:$C$26,MATCH($C1197,medicine_master!$A$2:$A$26,0)),"Not found")</f>
        <v>First Aid</v>
      </c>
      <c r="I1197" s="39" t="n">
        <f aca="false">YEAR(B1197)</f>
        <v>2026</v>
      </c>
      <c r="J1197" s="39" t="n">
        <f aca="false">MONTH(B1197)</f>
        <v>12</v>
      </c>
      <c r="K1197" s="39" t="str">
        <f aca="false">TEXT(B1197,"mmm")</f>
        <v>Dec</v>
      </c>
      <c r="L1197" s="45" t="n">
        <f aca="false">IFERROR(INDEX(medicine_master!$I$2:$I$26,MATCH($C1197,medicine_master!$A$2:$A$26,0)),0)</f>
        <v>25</v>
      </c>
      <c r="M1197" s="45" t="n">
        <f aca="false">IFERROR(INDEX(medicine_master!$G$2:$G$26,MATCH($C1197,medicine_master!$A$2:$A$26,0)),0)</f>
        <v>15</v>
      </c>
      <c r="N1197" s="45" t="n">
        <f aca="false">IF(D1197="Sale",E1197*L1197,0)</f>
        <v>125</v>
      </c>
      <c r="O1197" s="45" t="n">
        <f aca="false">IF(D1197="Sale",E1197*M1197,0)</f>
        <v>75</v>
      </c>
      <c r="P1197" s="45" t="n">
        <f aca="false">N1197-O1197</f>
        <v>50</v>
      </c>
      <c r="Q1197" s="45" t="n">
        <f aca="false">IF(D1197="Purchase",E1197*M1197,0)</f>
        <v>0</v>
      </c>
    </row>
    <row r="1198" customFormat="false" ht="15" hidden="false" customHeight="false" outlineLevel="0" collapsed="false">
      <c r="A1198" s="39" t="s">
        <v>1522</v>
      </c>
      <c r="B1198" s="44" t="n">
        <v>46129</v>
      </c>
      <c r="C1198" s="39" t="s">
        <v>147</v>
      </c>
      <c r="D1198" s="39" t="s">
        <v>137</v>
      </c>
      <c r="E1198" s="39" t="n">
        <v>25</v>
      </c>
      <c r="F1198" s="39" t="str">
        <f aca="false">IF(COUNTIF(medicine_master!$A$2:$A$26,C1198)&gt;0,"Valid","Invalid")</f>
        <v>Valid</v>
      </c>
      <c r="G1198" s="39" t="str">
        <f aca="false">IFERROR(INDEX(medicine_master!$B$2:$B$26,MATCH($C1198,medicine_master!$A$2:$A$26,0)),"Not found")</f>
        <v>Insulin Injection</v>
      </c>
      <c r="H1198" s="39" t="str">
        <f aca="false">IFERROR(INDEX(medicine_master!$C$2:$C$26,MATCH($C1198,medicine_master!$A$2:$A$26,0)),"Not found")</f>
        <v>Diabetes</v>
      </c>
      <c r="I1198" s="39" t="n">
        <f aca="false">YEAR(B1198)</f>
        <v>2026</v>
      </c>
      <c r="J1198" s="39" t="n">
        <f aca="false">MONTH(B1198)</f>
        <v>4</v>
      </c>
      <c r="K1198" s="39" t="str">
        <f aca="false">TEXT(B1198,"mmm")</f>
        <v>Apr</v>
      </c>
      <c r="L1198" s="45" t="n">
        <f aca="false">IFERROR(INDEX(medicine_master!$I$2:$I$26,MATCH($C1198,medicine_master!$A$2:$A$26,0)),0)</f>
        <v>225</v>
      </c>
      <c r="M1198" s="45" t="n">
        <f aca="false">IFERROR(INDEX(medicine_master!$G$2:$G$26,MATCH($C1198,medicine_master!$A$2:$A$26,0)),0)</f>
        <v>165</v>
      </c>
      <c r="N1198" s="45" t="n">
        <f aca="false">IF(D1198="Sale",E1198*L1198,0)</f>
        <v>5625</v>
      </c>
      <c r="O1198" s="45" t="n">
        <f aca="false">IF(D1198="Sale",E1198*M1198,0)</f>
        <v>4125</v>
      </c>
      <c r="P1198" s="45" t="n">
        <f aca="false">N1198-O1198</f>
        <v>1500</v>
      </c>
      <c r="Q1198" s="45" t="n">
        <f aca="false">IF(D1198="Purchase",E1198*M1198,0)</f>
        <v>0</v>
      </c>
    </row>
    <row r="1199" customFormat="false" ht="15" hidden="false" customHeight="false" outlineLevel="0" collapsed="false">
      <c r="A1199" s="39" t="s">
        <v>1523</v>
      </c>
      <c r="B1199" s="44" t="n">
        <v>46026</v>
      </c>
      <c r="C1199" s="39" t="s">
        <v>180</v>
      </c>
      <c r="D1199" s="39" t="s">
        <v>138</v>
      </c>
      <c r="E1199" s="39" t="n">
        <v>30</v>
      </c>
      <c r="F1199" s="39" t="str">
        <f aca="false">IF(COUNTIF(medicine_master!$A$2:$A$26,C1199)&gt;0,"Valid","Invalid")</f>
        <v>Valid</v>
      </c>
      <c r="G1199" s="39" t="str">
        <f aca="false">IFERROR(INDEX(medicine_master!$B$2:$B$26,MATCH($C1199,medicine_master!$A$2:$A$26,0)),"Not found")</f>
        <v>Vitamin C 500mg</v>
      </c>
      <c r="H1199" s="39" t="str">
        <f aca="false">IFERROR(INDEX(medicine_master!$C$2:$C$26,MATCH($C1199,medicine_master!$A$2:$A$26,0)),"Not found")</f>
        <v>Vitamin</v>
      </c>
      <c r="I1199" s="39" t="n">
        <f aca="false">YEAR(B1199)</f>
        <v>2026</v>
      </c>
      <c r="J1199" s="39" t="n">
        <f aca="false">MONTH(B1199)</f>
        <v>1</v>
      </c>
      <c r="K1199" s="39" t="str">
        <f aca="false">TEXT(B1199,"mmm")</f>
        <v>Jan</v>
      </c>
      <c r="L1199" s="45" t="n">
        <f aca="false">IFERROR(INDEX(medicine_master!$I$2:$I$26,MATCH($C1199,medicine_master!$A$2:$A$26,0)),0)</f>
        <v>22</v>
      </c>
      <c r="M1199" s="45" t="n">
        <f aca="false">IFERROR(INDEX(medicine_master!$G$2:$G$26,MATCH($C1199,medicine_master!$A$2:$A$26,0)),0)</f>
        <v>14</v>
      </c>
      <c r="N1199" s="45" t="n">
        <f aca="false">IF(D1199="Sale",E1199*L1199,0)</f>
        <v>0</v>
      </c>
      <c r="O1199" s="45" t="n">
        <f aca="false">IF(D1199="Sale",E1199*M1199,0)</f>
        <v>0</v>
      </c>
      <c r="P1199" s="45" t="n">
        <f aca="false">N1199-O1199</f>
        <v>0</v>
      </c>
      <c r="Q1199" s="45" t="n">
        <f aca="false">IF(D1199="Purchase",E1199*M1199,0)</f>
        <v>420</v>
      </c>
    </row>
    <row r="1200" customFormat="false" ht="15" hidden="false" customHeight="false" outlineLevel="0" collapsed="false">
      <c r="A1200" s="39" t="s">
        <v>1524</v>
      </c>
      <c r="B1200" s="44" t="n">
        <v>46117</v>
      </c>
      <c r="C1200" s="39" t="s">
        <v>145</v>
      </c>
      <c r="D1200" s="39" t="s">
        <v>137</v>
      </c>
      <c r="E1200" s="39" t="n">
        <v>50</v>
      </c>
      <c r="F1200" s="39" t="str">
        <f aca="false">IF(COUNTIF(medicine_master!$A$2:$A$26,C1200)&gt;0,"Valid","Invalid")</f>
        <v>Valid</v>
      </c>
      <c r="G1200" s="39" t="str">
        <f aca="false">IFERROR(INDEX(medicine_master!$B$2:$B$26,MATCH($C1200,medicine_master!$A$2:$A$26,0)),"Not found")</f>
        <v>Clotrimazole Cream</v>
      </c>
      <c r="H1200" s="39" t="str">
        <f aca="false">IFERROR(INDEX(medicine_master!$C$2:$C$26,MATCH($C1200,medicine_master!$A$2:$A$26,0)),"Not found")</f>
        <v>Dermatology</v>
      </c>
      <c r="I1200" s="39" t="n">
        <f aca="false">YEAR(B1200)</f>
        <v>2026</v>
      </c>
      <c r="J1200" s="39" t="n">
        <f aca="false">MONTH(B1200)</f>
        <v>4</v>
      </c>
      <c r="K1200" s="39" t="str">
        <f aca="false">TEXT(B1200,"mmm")</f>
        <v>Apr</v>
      </c>
      <c r="L1200" s="45" t="n">
        <f aca="false">IFERROR(INDEX(medicine_master!$I$2:$I$26,MATCH($C1200,medicine_master!$A$2:$A$26,0)),0)</f>
        <v>48</v>
      </c>
      <c r="M1200" s="45" t="n">
        <f aca="false">IFERROR(INDEX(medicine_master!$G$2:$G$26,MATCH($C1200,medicine_master!$A$2:$A$26,0)),0)</f>
        <v>32</v>
      </c>
      <c r="N1200" s="45" t="n">
        <f aca="false">IF(D1200="Sale",E1200*L1200,0)</f>
        <v>2400</v>
      </c>
      <c r="O1200" s="45" t="n">
        <f aca="false">IF(D1200="Sale",E1200*M1200,0)</f>
        <v>1600</v>
      </c>
      <c r="P1200" s="45" t="n">
        <f aca="false">N1200-O1200</f>
        <v>800</v>
      </c>
      <c r="Q1200" s="45" t="n">
        <f aca="false">IF(D1200="Purchase",E1200*M1200,0)</f>
        <v>0</v>
      </c>
    </row>
    <row r="1201" customFormat="false" ht="15" hidden="false" customHeight="false" outlineLevel="0" collapsed="false">
      <c r="A1201" s="39" t="s">
        <v>1525</v>
      </c>
      <c r="B1201" s="44" t="n">
        <v>46343</v>
      </c>
      <c r="C1201" s="39" t="s">
        <v>159</v>
      </c>
      <c r="D1201" s="39" t="s">
        <v>138</v>
      </c>
      <c r="E1201" s="39" t="n">
        <v>30</v>
      </c>
      <c r="F1201" s="39" t="str">
        <f aca="false">IF(COUNTIF(medicine_master!$A$2:$A$26,C1201)&gt;0,"Valid","Invalid")</f>
        <v>Valid</v>
      </c>
      <c r="G1201" s="39" t="str">
        <f aca="false">IFERROR(INDEX(medicine_master!$B$2:$B$26,MATCH($C1201,medicine_master!$A$2:$A$26,0)),"Not found")</f>
        <v>Antiseptic Liquid 100ml</v>
      </c>
      <c r="H1201" s="39" t="str">
        <f aca="false">IFERROR(INDEX(medicine_master!$C$2:$C$26,MATCH($C1201,medicine_master!$A$2:$A$26,0)),"Not found")</f>
        <v>First Aid</v>
      </c>
      <c r="I1201" s="39" t="n">
        <f aca="false">YEAR(B1201)</f>
        <v>2026</v>
      </c>
      <c r="J1201" s="39" t="n">
        <f aca="false">MONTH(B1201)</f>
        <v>11</v>
      </c>
      <c r="K1201" s="39" t="str">
        <f aca="false">TEXT(B1201,"mmm")</f>
        <v>Nov</v>
      </c>
      <c r="L1201" s="45" t="n">
        <f aca="false">IFERROR(INDEX(medicine_master!$I$2:$I$26,MATCH($C1201,medicine_master!$A$2:$A$26,0)),0)</f>
        <v>65</v>
      </c>
      <c r="M1201" s="45" t="n">
        <f aca="false">IFERROR(INDEX(medicine_master!$G$2:$G$26,MATCH($C1201,medicine_master!$A$2:$A$26,0)),0)</f>
        <v>48</v>
      </c>
      <c r="N1201" s="45" t="n">
        <f aca="false">IF(D1201="Sale",E1201*L1201,0)</f>
        <v>0</v>
      </c>
      <c r="O1201" s="45" t="n">
        <f aca="false">IF(D1201="Sale",E1201*M1201,0)</f>
        <v>0</v>
      </c>
      <c r="P1201" s="45" t="n">
        <f aca="false">N1201-O1201</f>
        <v>0</v>
      </c>
      <c r="Q1201" s="45" t="n">
        <f aca="false">IF(D1201="Purchase",E1201*M1201,0)</f>
        <v>1440</v>
      </c>
    </row>
    <row r="1202" customFormat="false" ht="15" hidden="false" customHeight="false" outlineLevel="0" collapsed="false">
      <c r="A1202" s="39" t="s">
        <v>1526</v>
      </c>
      <c r="B1202" s="44" t="n">
        <v>46128</v>
      </c>
      <c r="C1202" s="39" t="s">
        <v>147</v>
      </c>
      <c r="D1202" s="39" t="s">
        <v>137</v>
      </c>
      <c r="E1202" s="39" t="n">
        <v>5</v>
      </c>
      <c r="F1202" s="39" t="str">
        <f aca="false">IF(COUNTIF(medicine_master!$A$2:$A$26,C1202)&gt;0,"Valid","Invalid")</f>
        <v>Valid</v>
      </c>
      <c r="G1202" s="39" t="str">
        <f aca="false">IFERROR(INDEX(medicine_master!$B$2:$B$26,MATCH($C1202,medicine_master!$A$2:$A$26,0)),"Not found")</f>
        <v>Insulin Injection</v>
      </c>
      <c r="H1202" s="39" t="str">
        <f aca="false">IFERROR(INDEX(medicine_master!$C$2:$C$26,MATCH($C1202,medicine_master!$A$2:$A$26,0)),"Not found")</f>
        <v>Diabetes</v>
      </c>
      <c r="I1202" s="39" t="n">
        <f aca="false">YEAR(B1202)</f>
        <v>2026</v>
      </c>
      <c r="J1202" s="39" t="n">
        <f aca="false">MONTH(B1202)</f>
        <v>4</v>
      </c>
      <c r="K1202" s="39" t="str">
        <f aca="false">TEXT(B1202,"mmm")</f>
        <v>Apr</v>
      </c>
      <c r="L1202" s="45" t="n">
        <f aca="false">IFERROR(INDEX(medicine_master!$I$2:$I$26,MATCH($C1202,medicine_master!$A$2:$A$26,0)),0)</f>
        <v>225</v>
      </c>
      <c r="M1202" s="45" t="n">
        <f aca="false">IFERROR(INDEX(medicine_master!$G$2:$G$26,MATCH($C1202,medicine_master!$A$2:$A$26,0)),0)</f>
        <v>165</v>
      </c>
      <c r="N1202" s="45" t="n">
        <f aca="false">IF(D1202="Sale",E1202*L1202,0)</f>
        <v>1125</v>
      </c>
      <c r="O1202" s="45" t="n">
        <f aca="false">IF(D1202="Sale",E1202*M1202,0)</f>
        <v>825</v>
      </c>
      <c r="P1202" s="45" t="n">
        <f aca="false">N1202-O1202</f>
        <v>300</v>
      </c>
      <c r="Q1202" s="45" t="n">
        <f aca="false">IF(D1202="Purchase",E1202*M1202,0)</f>
        <v>0</v>
      </c>
    </row>
    <row r="1203" customFormat="false" ht="15" hidden="false" customHeight="false" outlineLevel="0" collapsed="false">
      <c r="A1203" s="39" t="s">
        <v>1527</v>
      </c>
      <c r="B1203" s="44" t="n">
        <v>46318</v>
      </c>
      <c r="C1203" s="39" t="s">
        <v>160</v>
      </c>
      <c r="D1203" s="39" t="s">
        <v>137</v>
      </c>
      <c r="E1203" s="39" t="n">
        <v>40</v>
      </c>
      <c r="F1203" s="39" t="str">
        <f aca="false">IF(COUNTIF(medicine_master!$A$2:$A$26,C1203)&gt;0,"Valid","Invalid")</f>
        <v>Valid</v>
      </c>
      <c r="G1203" s="39" t="str">
        <f aca="false">IFERROR(INDEX(medicine_master!$B$2:$B$26,MATCH($C1203,medicine_master!$A$2:$A$26,0)),"Not found")</f>
        <v>Calamine Lotion</v>
      </c>
      <c r="H1203" s="39" t="str">
        <f aca="false">IFERROR(INDEX(medicine_master!$C$2:$C$26,MATCH($C1203,medicine_master!$A$2:$A$26,0)),"Not found")</f>
        <v>Dermatology</v>
      </c>
      <c r="I1203" s="39" t="n">
        <f aca="false">YEAR(B1203)</f>
        <v>2026</v>
      </c>
      <c r="J1203" s="39" t="n">
        <f aca="false">MONTH(B1203)</f>
        <v>10</v>
      </c>
      <c r="K1203" s="39" t="str">
        <f aca="false">TEXT(B1203,"mmm")</f>
        <v>Oct</v>
      </c>
      <c r="L1203" s="45" t="n">
        <f aca="false">IFERROR(INDEX(medicine_master!$I$2:$I$26,MATCH($C1203,medicine_master!$A$2:$A$26,0)),0)</f>
        <v>60</v>
      </c>
      <c r="M1203" s="45" t="n">
        <f aca="false">IFERROR(INDEX(medicine_master!$G$2:$G$26,MATCH($C1203,medicine_master!$A$2:$A$26,0)),0)</f>
        <v>42</v>
      </c>
      <c r="N1203" s="45" t="n">
        <f aca="false">IF(D1203="Sale",E1203*L1203,0)</f>
        <v>2400</v>
      </c>
      <c r="O1203" s="45" t="n">
        <f aca="false">IF(D1203="Sale",E1203*M1203,0)</f>
        <v>1680</v>
      </c>
      <c r="P1203" s="45" t="n">
        <f aca="false">N1203-O1203</f>
        <v>720</v>
      </c>
      <c r="Q1203" s="45" t="n">
        <f aca="false">IF(D1203="Purchase",E1203*M1203,0)</f>
        <v>0</v>
      </c>
    </row>
    <row r="1204" customFormat="false" ht="15" hidden="false" customHeight="false" outlineLevel="0" collapsed="false">
      <c r="A1204" s="39" t="s">
        <v>1528</v>
      </c>
      <c r="B1204" s="44" t="n">
        <v>46034</v>
      </c>
      <c r="C1204" s="39" t="s">
        <v>151</v>
      </c>
      <c r="D1204" s="39" t="s">
        <v>137</v>
      </c>
      <c r="E1204" s="39" t="n">
        <v>25</v>
      </c>
      <c r="F1204" s="39" t="str">
        <f aca="false">IF(COUNTIF(medicine_master!$A$2:$A$26,C1204)&gt;0,"Valid","Invalid")</f>
        <v>Valid</v>
      </c>
      <c r="G1204" s="39" t="str">
        <f aca="false">IFERROR(INDEX(medicine_master!$B$2:$B$26,MATCH($C1204,medicine_master!$A$2:$A$26,0)),"Not found")</f>
        <v>Cetirizine 10mg</v>
      </c>
      <c r="H1204" s="39" t="str">
        <f aca="false">IFERROR(INDEX(medicine_master!$C$2:$C$26,MATCH($C1204,medicine_master!$A$2:$A$26,0)),"Not found")</f>
        <v>Allergy</v>
      </c>
      <c r="I1204" s="39" t="n">
        <f aca="false">YEAR(B1204)</f>
        <v>2026</v>
      </c>
      <c r="J1204" s="39" t="n">
        <f aca="false">MONTH(B1204)</f>
        <v>1</v>
      </c>
      <c r="K1204" s="39" t="str">
        <f aca="false">TEXT(B1204,"mmm")</f>
        <v>Jan</v>
      </c>
      <c r="L1204" s="45" t="n">
        <f aca="false">IFERROR(INDEX(medicine_master!$I$2:$I$26,MATCH($C1204,medicine_master!$A$2:$A$26,0)),0)</f>
        <v>13</v>
      </c>
      <c r="M1204" s="45" t="n">
        <f aca="false">IFERROR(INDEX(medicine_master!$G$2:$G$26,MATCH($C1204,medicine_master!$A$2:$A$26,0)),0)</f>
        <v>8</v>
      </c>
      <c r="N1204" s="45" t="n">
        <f aca="false">IF(D1204="Sale",E1204*L1204,0)</f>
        <v>325</v>
      </c>
      <c r="O1204" s="45" t="n">
        <f aca="false">IF(D1204="Sale",E1204*M1204,0)</f>
        <v>200</v>
      </c>
      <c r="P1204" s="45" t="n">
        <f aca="false">N1204-O1204</f>
        <v>125</v>
      </c>
      <c r="Q1204" s="45" t="n">
        <f aca="false">IF(D1204="Purchase",E1204*M1204,0)</f>
        <v>0</v>
      </c>
    </row>
    <row r="1205" customFormat="false" ht="15" hidden="false" customHeight="false" outlineLevel="0" collapsed="false">
      <c r="A1205" s="39" t="s">
        <v>1529</v>
      </c>
      <c r="B1205" s="44" t="n">
        <v>46327</v>
      </c>
      <c r="C1205" s="39" t="s">
        <v>177</v>
      </c>
      <c r="D1205" s="39" t="s">
        <v>138</v>
      </c>
      <c r="E1205" s="39" t="n">
        <v>5</v>
      </c>
      <c r="F1205" s="39" t="str">
        <f aca="false">IF(COUNTIF(medicine_master!$A$2:$A$26,C1205)&gt;0,"Valid","Invalid")</f>
        <v>Valid</v>
      </c>
      <c r="G1205" s="39" t="str">
        <f aca="false">IFERROR(INDEX(medicine_master!$B$2:$B$26,MATCH($C1205,medicine_master!$A$2:$A$26,0)),"Not found")</f>
        <v>Bandage Roll</v>
      </c>
      <c r="H1205" s="39" t="str">
        <f aca="false">IFERROR(INDEX(medicine_master!$C$2:$C$26,MATCH($C1205,medicine_master!$A$2:$A$26,0)),"Not found")</f>
        <v>First Aid</v>
      </c>
      <c r="I1205" s="39" t="n">
        <f aca="false">YEAR(B1205)</f>
        <v>2026</v>
      </c>
      <c r="J1205" s="39" t="n">
        <f aca="false">MONTH(B1205)</f>
        <v>11</v>
      </c>
      <c r="K1205" s="39" t="str">
        <f aca="false">TEXT(B1205,"mmm")</f>
        <v>Nov</v>
      </c>
      <c r="L1205" s="45" t="n">
        <f aca="false">IFERROR(INDEX(medicine_master!$I$2:$I$26,MATCH($C1205,medicine_master!$A$2:$A$26,0)),0)</f>
        <v>25</v>
      </c>
      <c r="M1205" s="45" t="n">
        <f aca="false">IFERROR(INDEX(medicine_master!$G$2:$G$26,MATCH($C1205,medicine_master!$A$2:$A$26,0)),0)</f>
        <v>15</v>
      </c>
      <c r="N1205" s="45" t="n">
        <f aca="false">IF(D1205="Sale",E1205*L1205,0)</f>
        <v>0</v>
      </c>
      <c r="O1205" s="45" t="n">
        <f aca="false">IF(D1205="Sale",E1205*M1205,0)</f>
        <v>0</v>
      </c>
      <c r="P1205" s="45" t="n">
        <f aca="false">N1205-O1205</f>
        <v>0</v>
      </c>
      <c r="Q1205" s="45" t="n">
        <f aca="false">IF(D1205="Purchase",E1205*M1205,0)</f>
        <v>75</v>
      </c>
    </row>
    <row r="1206" customFormat="false" ht="15" hidden="false" customHeight="false" outlineLevel="0" collapsed="false">
      <c r="A1206" s="39" t="s">
        <v>1530</v>
      </c>
      <c r="B1206" s="44" t="n">
        <v>46106</v>
      </c>
      <c r="C1206" s="39" t="s">
        <v>158</v>
      </c>
      <c r="D1206" s="39" t="s">
        <v>138</v>
      </c>
      <c r="E1206" s="39" t="n">
        <v>5</v>
      </c>
      <c r="F1206" s="39" t="str">
        <f aca="false">IF(COUNTIF(medicine_master!$A$2:$A$26,C1206)&gt;0,"Valid","Invalid")</f>
        <v>Valid</v>
      </c>
      <c r="G1206" s="39" t="str">
        <f aca="false">IFERROR(INDEX(medicine_master!$B$2:$B$26,MATCH($C1206,medicine_master!$A$2:$A$26,0)),"Not found")</f>
        <v>Cough Syrup 100ml</v>
      </c>
      <c r="H1206" s="39" t="str">
        <f aca="false">IFERROR(INDEX(medicine_master!$C$2:$C$26,MATCH($C1206,medicine_master!$A$2:$A$26,0)),"Not found")</f>
        <v>Cold &amp; Cough</v>
      </c>
      <c r="I1206" s="39" t="n">
        <f aca="false">YEAR(B1206)</f>
        <v>2026</v>
      </c>
      <c r="J1206" s="39" t="n">
        <f aca="false">MONTH(B1206)</f>
        <v>3</v>
      </c>
      <c r="K1206" s="39" t="str">
        <f aca="false">TEXT(B1206,"mmm")</f>
        <v>Mar</v>
      </c>
      <c r="L1206" s="45" t="n">
        <f aca="false">IFERROR(INDEX(medicine_master!$I$2:$I$26,MATCH($C1206,medicine_master!$A$2:$A$26,0)),0)</f>
        <v>72</v>
      </c>
      <c r="M1206" s="45" t="n">
        <f aca="false">IFERROR(INDEX(medicine_master!$G$2:$G$26,MATCH($C1206,medicine_master!$A$2:$A$26,0)),0)</f>
        <v>52</v>
      </c>
      <c r="N1206" s="45" t="n">
        <f aca="false">IF(D1206="Sale",E1206*L1206,0)</f>
        <v>0</v>
      </c>
      <c r="O1206" s="45" t="n">
        <f aca="false">IF(D1206="Sale",E1206*M1206,0)</f>
        <v>0</v>
      </c>
      <c r="P1206" s="45" t="n">
        <f aca="false">N1206-O1206</f>
        <v>0</v>
      </c>
      <c r="Q1206" s="45" t="n">
        <f aca="false">IF(D1206="Purchase",E1206*M1206,0)</f>
        <v>260</v>
      </c>
    </row>
    <row r="1207" customFormat="false" ht="15" hidden="false" customHeight="false" outlineLevel="0" collapsed="false">
      <c r="A1207" s="39" t="s">
        <v>1531</v>
      </c>
      <c r="B1207" s="44" t="n">
        <v>46288</v>
      </c>
      <c r="C1207" s="39" t="s">
        <v>150</v>
      </c>
      <c r="D1207" s="39" t="s">
        <v>138</v>
      </c>
      <c r="E1207" s="39" t="n">
        <v>25</v>
      </c>
      <c r="F1207" s="39" t="str">
        <f aca="false">IF(COUNTIF(medicine_master!$A$2:$A$26,C1207)&gt;0,"Valid","Invalid")</f>
        <v>Valid</v>
      </c>
      <c r="G1207" s="39" t="str">
        <f aca="false">IFERROR(INDEX(medicine_master!$B$2:$B$26,MATCH($C1207,medicine_master!$A$2:$A$26,0)),"Not found")</f>
        <v>Pantoprazole 40mg</v>
      </c>
      <c r="H1207" s="39" t="str">
        <f aca="false">IFERROR(INDEX(medicine_master!$C$2:$C$26,MATCH($C1207,medicine_master!$A$2:$A$26,0)),"Not found")</f>
        <v>Gastric</v>
      </c>
      <c r="I1207" s="39" t="n">
        <f aca="false">YEAR(B1207)</f>
        <v>2026</v>
      </c>
      <c r="J1207" s="39" t="n">
        <f aca="false">MONTH(B1207)</f>
        <v>9</v>
      </c>
      <c r="K1207" s="39" t="str">
        <f aca="false">TEXT(B1207,"mmm")</f>
        <v>Sep</v>
      </c>
      <c r="L1207" s="45" t="n">
        <f aca="false">IFERROR(INDEX(medicine_master!$I$2:$I$26,MATCH($C1207,medicine_master!$A$2:$A$26,0)),0)</f>
        <v>35</v>
      </c>
      <c r="M1207" s="45" t="n">
        <f aca="false">IFERROR(INDEX(medicine_master!$G$2:$G$26,MATCH($C1207,medicine_master!$A$2:$A$26,0)),0)</f>
        <v>24</v>
      </c>
      <c r="N1207" s="45" t="n">
        <f aca="false">IF(D1207="Sale",E1207*L1207,0)</f>
        <v>0</v>
      </c>
      <c r="O1207" s="45" t="n">
        <f aca="false">IF(D1207="Sale",E1207*M1207,0)</f>
        <v>0</v>
      </c>
      <c r="P1207" s="45" t="n">
        <f aca="false">N1207-O1207</f>
        <v>0</v>
      </c>
      <c r="Q1207" s="45" t="n">
        <f aca="false">IF(D1207="Purchase",E1207*M1207,0)</f>
        <v>600</v>
      </c>
    </row>
    <row r="1208" customFormat="false" ht="15" hidden="false" customHeight="false" outlineLevel="0" collapsed="false">
      <c r="A1208" s="39" t="s">
        <v>1532</v>
      </c>
      <c r="B1208" s="44" t="n">
        <v>46383</v>
      </c>
      <c r="C1208" s="39" t="s">
        <v>321</v>
      </c>
      <c r="D1208" s="39" t="s">
        <v>138</v>
      </c>
      <c r="E1208" s="39" t="n">
        <v>5</v>
      </c>
      <c r="F1208" s="39" t="str">
        <f aca="false">IF(COUNTIF(medicine_master!$A$2:$A$26,C1208)&gt;0,"Valid","Invalid")</f>
        <v>Valid</v>
      </c>
      <c r="G1208" s="39" t="str">
        <f aca="false">IFERROR(INDEX(medicine_master!$B$2:$B$26,MATCH($C1208,medicine_master!$A$2:$A$26,0)),"Not found")</f>
        <v>Levocetirizine 5mg</v>
      </c>
      <c r="H1208" s="39" t="str">
        <f aca="false">IFERROR(INDEX(medicine_master!$C$2:$C$26,MATCH($C1208,medicine_master!$A$2:$A$26,0)),"Not found")</f>
        <v>Allergy</v>
      </c>
      <c r="I1208" s="39" t="n">
        <f aca="false">YEAR(B1208)</f>
        <v>2026</v>
      </c>
      <c r="J1208" s="39" t="n">
        <f aca="false">MONTH(B1208)</f>
        <v>12</v>
      </c>
      <c r="K1208" s="39" t="str">
        <f aca="false">TEXT(B1208,"mmm")</f>
        <v>Dec</v>
      </c>
      <c r="L1208" s="45" t="n">
        <f aca="false">IFERROR(INDEX(medicine_master!$I$2:$I$26,MATCH($C1208,medicine_master!$A$2:$A$26,0)),0)</f>
        <v>22</v>
      </c>
      <c r="M1208" s="45" t="n">
        <f aca="false">IFERROR(INDEX(medicine_master!$G$2:$G$26,MATCH($C1208,medicine_master!$A$2:$A$26,0)),0)</f>
        <v>14</v>
      </c>
      <c r="N1208" s="45" t="n">
        <f aca="false">IF(D1208="Sale",E1208*L1208,0)</f>
        <v>0</v>
      </c>
      <c r="O1208" s="45" t="n">
        <f aca="false">IF(D1208="Sale",E1208*M1208,0)</f>
        <v>0</v>
      </c>
      <c r="P1208" s="45" t="n">
        <f aca="false">N1208-O1208</f>
        <v>0</v>
      </c>
      <c r="Q1208" s="45" t="n">
        <f aca="false">IF(D1208="Purchase",E1208*M1208,0)</f>
        <v>70</v>
      </c>
    </row>
    <row r="1209" customFormat="false" ht="15" hidden="false" customHeight="false" outlineLevel="0" collapsed="false">
      <c r="A1209" s="39" t="s">
        <v>1533</v>
      </c>
      <c r="B1209" s="44" t="n">
        <v>46230</v>
      </c>
      <c r="C1209" s="39" t="s">
        <v>167</v>
      </c>
      <c r="D1209" s="39" t="s">
        <v>137</v>
      </c>
      <c r="E1209" s="39" t="n">
        <v>40</v>
      </c>
      <c r="F1209" s="39" t="str">
        <f aca="false">IF(COUNTIF(medicine_master!$A$2:$A$26,C1209)&gt;0,"Valid","Invalid")</f>
        <v>Valid</v>
      </c>
      <c r="G1209" s="39" t="str">
        <f aca="false">IFERROR(INDEX(medicine_master!$B$2:$B$26,MATCH($C1209,medicine_master!$A$2:$A$26,0)),"Not found")</f>
        <v>Amlodipine 5mg</v>
      </c>
      <c r="H1209" s="39" t="str">
        <f aca="false">IFERROR(INDEX(medicine_master!$C$2:$C$26,MATCH($C1209,medicine_master!$A$2:$A$26,0)),"Not found")</f>
        <v>Cardiac</v>
      </c>
      <c r="I1209" s="39" t="n">
        <f aca="false">YEAR(B1209)</f>
        <v>2026</v>
      </c>
      <c r="J1209" s="39" t="n">
        <f aca="false">MONTH(B1209)</f>
        <v>7</v>
      </c>
      <c r="K1209" s="39" t="str">
        <f aca="false">TEXT(B1209,"mmm")</f>
        <v>Jul</v>
      </c>
      <c r="L1209" s="45" t="n">
        <f aca="false">IFERROR(INDEX(medicine_master!$I$2:$I$26,MATCH($C1209,medicine_master!$A$2:$A$26,0)),0)</f>
        <v>19</v>
      </c>
      <c r="M1209" s="45" t="n">
        <f aca="false">IFERROR(INDEX(medicine_master!$G$2:$G$26,MATCH($C1209,medicine_master!$A$2:$A$26,0)),0)</f>
        <v>13</v>
      </c>
      <c r="N1209" s="45" t="n">
        <f aca="false">IF(D1209="Sale",E1209*L1209,0)</f>
        <v>760</v>
      </c>
      <c r="O1209" s="45" t="n">
        <f aca="false">IF(D1209="Sale",E1209*M1209,0)</f>
        <v>520</v>
      </c>
      <c r="P1209" s="45" t="n">
        <f aca="false">N1209-O1209</f>
        <v>240</v>
      </c>
      <c r="Q1209" s="45" t="n">
        <f aca="false">IF(D1209="Purchase",E1209*M1209,0)</f>
        <v>0</v>
      </c>
    </row>
    <row r="1210" customFormat="false" ht="15" hidden="false" customHeight="false" outlineLevel="0" collapsed="false">
      <c r="A1210" s="39" t="s">
        <v>1534</v>
      </c>
      <c r="B1210" s="44" t="n">
        <v>46385</v>
      </c>
      <c r="C1210" s="39" t="s">
        <v>326</v>
      </c>
      <c r="D1210" s="39" t="s">
        <v>137</v>
      </c>
      <c r="E1210" s="39" t="n">
        <v>10</v>
      </c>
      <c r="F1210" s="39" t="str">
        <f aca="false">IF(COUNTIF(medicine_master!$A$2:$A$26,C1210)&gt;0,"Valid","Invalid")</f>
        <v>Valid</v>
      </c>
      <c r="G1210" s="39" t="str">
        <f aca="false">IFERROR(INDEX(medicine_master!$B$2:$B$26,MATCH($C1210,medicine_master!$A$2:$A$26,0)),"Not found")</f>
        <v>Omeprazole 20mg</v>
      </c>
      <c r="H1210" s="39" t="str">
        <f aca="false">IFERROR(INDEX(medicine_master!$C$2:$C$26,MATCH($C1210,medicine_master!$A$2:$A$26,0)),"Not found")</f>
        <v>Gastric</v>
      </c>
      <c r="I1210" s="39" t="n">
        <f aca="false">YEAR(B1210)</f>
        <v>2026</v>
      </c>
      <c r="J1210" s="39" t="n">
        <f aca="false">MONTH(B1210)</f>
        <v>12</v>
      </c>
      <c r="K1210" s="39" t="str">
        <f aca="false">TEXT(B1210,"mmm")</f>
        <v>Dec</v>
      </c>
      <c r="L1210" s="45" t="n">
        <f aca="false">IFERROR(INDEX(medicine_master!$I$2:$I$26,MATCH($C1210,medicine_master!$A$2:$A$26,0)),0)</f>
        <v>26</v>
      </c>
      <c r="M1210" s="45" t="n">
        <f aca="false">IFERROR(INDEX(medicine_master!$G$2:$G$26,MATCH($C1210,medicine_master!$A$2:$A$26,0)),0)</f>
        <v>18</v>
      </c>
      <c r="N1210" s="45" t="n">
        <f aca="false">IF(D1210="Sale",E1210*L1210,0)</f>
        <v>260</v>
      </c>
      <c r="O1210" s="45" t="n">
        <f aca="false">IF(D1210="Sale",E1210*M1210,0)</f>
        <v>180</v>
      </c>
      <c r="P1210" s="45" t="n">
        <f aca="false">N1210-O1210</f>
        <v>80</v>
      </c>
      <c r="Q1210" s="45" t="n">
        <f aca="false">IF(D1210="Purchase",E1210*M1210,0)</f>
        <v>0</v>
      </c>
    </row>
    <row r="1211" customFormat="false" ht="15" hidden="false" customHeight="false" outlineLevel="0" collapsed="false">
      <c r="A1211" s="39" t="s">
        <v>1535</v>
      </c>
      <c r="B1211" s="44" t="n">
        <v>46111</v>
      </c>
      <c r="C1211" s="39" t="s">
        <v>179</v>
      </c>
      <c r="D1211" s="39" t="s">
        <v>137</v>
      </c>
      <c r="E1211" s="39" t="n">
        <v>10</v>
      </c>
      <c r="F1211" s="39" t="str">
        <f aca="false">IF(COUNTIF(medicine_master!$A$2:$A$26,C1211)&gt;0,"Valid","Invalid")</f>
        <v>Valid</v>
      </c>
      <c r="G1211" s="39" t="str">
        <f aca="false">IFERROR(INDEX(medicine_master!$B$2:$B$26,MATCH($C1211,medicine_master!$A$2:$A$26,0)),"Not found")</f>
        <v>Ibuprofen 400mg</v>
      </c>
      <c r="H1211" s="39" t="str">
        <f aca="false">IFERROR(INDEX(medicine_master!$C$2:$C$26,MATCH($C1211,medicine_master!$A$2:$A$26,0)),"Not found")</f>
        <v>Pain Relief</v>
      </c>
      <c r="I1211" s="39" t="n">
        <f aca="false">YEAR(B1211)</f>
        <v>2026</v>
      </c>
      <c r="J1211" s="39" t="n">
        <f aca="false">MONTH(B1211)</f>
        <v>3</v>
      </c>
      <c r="K1211" s="39" t="str">
        <f aca="false">TEXT(B1211,"mmm")</f>
        <v>Mar</v>
      </c>
      <c r="L1211" s="45" t="n">
        <f aca="false">IFERROR(INDEX(medicine_master!$I$2:$I$26,MATCH($C1211,medicine_master!$A$2:$A$26,0)),0)</f>
        <v>30</v>
      </c>
      <c r="M1211" s="45" t="n">
        <f aca="false">IFERROR(INDEX(medicine_master!$G$2:$G$26,MATCH($C1211,medicine_master!$A$2:$A$26,0)),0)</f>
        <v>22</v>
      </c>
      <c r="N1211" s="45" t="n">
        <f aca="false">IF(D1211="Sale",E1211*L1211,0)</f>
        <v>300</v>
      </c>
      <c r="O1211" s="45" t="n">
        <f aca="false">IF(D1211="Sale",E1211*M1211,0)</f>
        <v>220</v>
      </c>
      <c r="P1211" s="45" t="n">
        <f aca="false">N1211-O1211</f>
        <v>80</v>
      </c>
      <c r="Q1211" s="45" t="n">
        <f aca="false">IF(D1211="Purchase",E1211*M1211,0)</f>
        <v>0</v>
      </c>
    </row>
    <row r="1212" customFormat="false" ht="15" hidden="false" customHeight="false" outlineLevel="0" collapsed="false">
      <c r="A1212" s="39" t="s">
        <v>1536</v>
      </c>
      <c r="B1212" s="44" t="n">
        <v>46368</v>
      </c>
      <c r="C1212" s="39" t="s">
        <v>326</v>
      </c>
      <c r="D1212" s="39" t="s">
        <v>137</v>
      </c>
      <c r="E1212" s="39" t="n">
        <v>30</v>
      </c>
      <c r="F1212" s="39" t="str">
        <f aca="false">IF(COUNTIF(medicine_master!$A$2:$A$26,C1212)&gt;0,"Valid","Invalid")</f>
        <v>Valid</v>
      </c>
      <c r="G1212" s="39" t="str">
        <f aca="false">IFERROR(INDEX(medicine_master!$B$2:$B$26,MATCH($C1212,medicine_master!$A$2:$A$26,0)),"Not found")</f>
        <v>Omeprazole 20mg</v>
      </c>
      <c r="H1212" s="39" t="str">
        <f aca="false">IFERROR(INDEX(medicine_master!$C$2:$C$26,MATCH($C1212,medicine_master!$A$2:$A$26,0)),"Not found")</f>
        <v>Gastric</v>
      </c>
      <c r="I1212" s="39" t="n">
        <f aca="false">YEAR(B1212)</f>
        <v>2026</v>
      </c>
      <c r="J1212" s="39" t="n">
        <f aca="false">MONTH(B1212)</f>
        <v>12</v>
      </c>
      <c r="K1212" s="39" t="str">
        <f aca="false">TEXT(B1212,"mmm")</f>
        <v>Dec</v>
      </c>
      <c r="L1212" s="45" t="n">
        <f aca="false">IFERROR(INDEX(medicine_master!$I$2:$I$26,MATCH($C1212,medicine_master!$A$2:$A$26,0)),0)</f>
        <v>26</v>
      </c>
      <c r="M1212" s="45" t="n">
        <f aca="false">IFERROR(INDEX(medicine_master!$G$2:$G$26,MATCH($C1212,medicine_master!$A$2:$A$26,0)),0)</f>
        <v>18</v>
      </c>
      <c r="N1212" s="45" t="n">
        <f aca="false">IF(D1212="Sale",E1212*L1212,0)</f>
        <v>780</v>
      </c>
      <c r="O1212" s="45" t="n">
        <f aca="false">IF(D1212="Sale",E1212*M1212,0)</f>
        <v>540</v>
      </c>
      <c r="P1212" s="45" t="n">
        <f aca="false">N1212-O1212</f>
        <v>240</v>
      </c>
      <c r="Q1212" s="45" t="n">
        <f aca="false">IF(D1212="Purchase",E1212*M1212,0)</f>
        <v>0</v>
      </c>
    </row>
    <row r="1213" customFormat="false" ht="15" hidden="false" customHeight="false" outlineLevel="0" collapsed="false">
      <c r="A1213" s="39" t="s">
        <v>1537</v>
      </c>
      <c r="B1213" s="44" t="n">
        <v>46198</v>
      </c>
      <c r="C1213" s="39" t="s">
        <v>146</v>
      </c>
      <c r="D1213" s="39" t="s">
        <v>137</v>
      </c>
      <c r="E1213" s="39" t="n">
        <v>30</v>
      </c>
      <c r="F1213" s="39" t="str">
        <f aca="false">IF(COUNTIF(medicine_master!$A$2:$A$26,C1213)&gt;0,"Valid","Invalid")</f>
        <v>Valid</v>
      </c>
      <c r="G1213" s="39" t="str">
        <f aca="false">IFERROR(INDEX(medicine_master!$B$2:$B$26,MATCH($C1213,medicine_master!$A$2:$A$26,0)),"Not found")</f>
        <v>Diclofenac Gel</v>
      </c>
      <c r="H1213" s="39" t="str">
        <f aca="false">IFERROR(INDEX(medicine_master!$C$2:$C$26,MATCH($C1213,medicine_master!$A$2:$A$26,0)),"Not found")</f>
        <v>Pain Relief</v>
      </c>
      <c r="I1213" s="39" t="n">
        <f aca="false">YEAR(B1213)</f>
        <v>2026</v>
      </c>
      <c r="J1213" s="39" t="n">
        <f aca="false">MONTH(B1213)</f>
        <v>6</v>
      </c>
      <c r="K1213" s="39" t="str">
        <f aca="false">TEXT(B1213,"mmm")</f>
        <v>Jun</v>
      </c>
      <c r="L1213" s="45" t="n">
        <f aca="false">IFERROR(INDEX(medicine_master!$I$2:$I$26,MATCH($C1213,medicine_master!$A$2:$A$26,0)),0)</f>
        <v>55</v>
      </c>
      <c r="M1213" s="45" t="n">
        <f aca="false">IFERROR(INDEX(medicine_master!$G$2:$G$26,MATCH($C1213,medicine_master!$A$2:$A$26,0)),0)</f>
        <v>38</v>
      </c>
      <c r="N1213" s="45" t="n">
        <f aca="false">IF(D1213="Sale",E1213*L1213,0)</f>
        <v>1650</v>
      </c>
      <c r="O1213" s="45" t="n">
        <f aca="false">IF(D1213="Sale",E1213*M1213,0)</f>
        <v>1140</v>
      </c>
      <c r="P1213" s="45" t="n">
        <f aca="false">N1213-O1213</f>
        <v>510</v>
      </c>
      <c r="Q1213" s="45" t="n">
        <f aca="false">IF(D1213="Purchase",E1213*M1213,0)</f>
        <v>0</v>
      </c>
    </row>
    <row r="1214" customFormat="false" ht="15" hidden="false" customHeight="false" outlineLevel="0" collapsed="false">
      <c r="A1214" s="39" t="s">
        <v>1538</v>
      </c>
      <c r="B1214" s="44" t="n">
        <v>46146</v>
      </c>
      <c r="C1214" s="39" t="s">
        <v>149</v>
      </c>
      <c r="D1214" s="39" t="s">
        <v>138</v>
      </c>
      <c r="E1214" s="39" t="n">
        <v>15</v>
      </c>
      <c r="F1214" s="39" t="str">
        <f aca="false">IF(COUNTIF(medicine_master!$A$2:$A$26,C1214)&gt;0,"Valid","Invalid")</f>
        <v>Valid</v>
      </c>
      <c r="G1214" s="39" t="str">
        <f aca="false">IFERROR(INDEX(medicine_master!$B$2:$B$26,MATCH($C1214,medicine_master!$A$2:$A$26,0)),"Not found")</f>
        <v>Azithromycin 500mg</v>
      </c>
      <c r="H1214" s="39" t="str">
        <f aca="false">IFERROR(INDEX(medicine_master!$C$2:$C$26,MATCH($C1214,medicine_master!$A$2:$A$26,0)),"Not found")</f>
        <v>Antibiotic</v>
      </c>
      <c r="I1214" s="39" t="n">
        <f aca="false">YEAR(B1214)</f>
        <v>2026</v>
      </c>
      <c r="J1214" s="39" t="n">
        <f aca="false">MONTH(B1214)</f>
        <v>5</v>
      </c>
      <c r="K1214" s="39" t="str">
        <f aca="false">TEXT(B1214,"mmm")</f>
        <v>May</v>
      </c>
      <c r="L1214" s="45" t="n">
        <f aca="false">IFERROR(INDEX(medicine_master!$I$2:$I$26,MATCH($C1214,medicine_master!$A$2:$A$26,0)),0)</f>
        <v>50</v>
      </c>
      <c r="M1214" s="45" t="n">
        <f aca="false">IFERROR(INDEX(medicine_master!$G$2:$G$26,MATCH($C1214,medicine_master!$A$2:$A$26,0)),0)</f>
        <v>35</v>
      </c>
      <c r="N1214" s="45" t="n">
        <f aca="false">IF(D1214="Sale",E1214*L1214,0)</f>
        <v>0</v>
      </c>
      <c r="O1214" s="45" t="n">
        <f aca="false">IF(D1214="Sale",E1214*M1214,0)</f>
        <v>0</v>
      </c>
      <c r="P1214" s="45" t="n">
        <f aca="false">N1214-O1214</f>
        <v>0</v>
      </c>
      <c r="Q1214" s="45" t="n">
        <f aca="false">IF(D1214="Purchase",E1214*M1214,0)</f>
        <v>525</v>
      </c>
    </row>
    <row r="1215" customFormat="false" ht="15" hidden="false" customHeight="false" outlineLevel="0" collapsed="false">
      <c r="A1215" s="39" t="s">
        <v>1539</v>
      </c>
      <c r="B1215" s="44" t="n">
        <v>46181</v>
      </c>
      <c r="C1215" s="39" t="s">
        <v>178</v>
      </c>
      <c r="D1215" s="39" t="s">
        <v>137</v>
      </c>
      <c r="E1215" s="39" t="n">
        <v>5</v>
      </c>
      <c r="F1215" s="39" t="str">
        <f aca="false">IF(COUNTIF(medicine_master!$A$2:$A$26,C1215)&gt;0,"Valid","Invalid")</f>
        <v>Valid</v>
      </c>
      <c r="G1215" s="39" t="str">
        <f aca="false">IFERROR(INDEX(medicine_master!$B$2:$B$26,MATCH($C1215,medicine_master!$A$2:$A$26,0)),"Not found")</f>
        <v>Aspirin 75mg</v>
      </c>
      <c r="H1215" s="39" t="str">
        <f aca="false">IFERROR(INDEX(medicine_master!$C$2:$C$26,MATCH($C1215,medicine_master!$A$2:$A$26,0)),"Not found")</f>
        <v>Cardiac</v>
      </c>
      <c r="I1215" s="39" t="n">
        <f aca="false">YEAR(B1215)</f>
        <v>2026</v>
      </c>
      <c r="J1215" s="39" t="n">
        <f aca="false">MONTH(B1215)</f>
        <v>6</v>
      </c>
      <c r="K1215" s="39" t="str">
        <f aca="false">TEXT(B1215,"mmm")</f>
        <v>Jun</v>
      </c>
      <c r="L1215" s="45" t="n">
        <f aca="false">IFERROR(INDEX(medicine_master!$I$2:$I$26,MATCH($C1215,medicine_master!$A$2:$A$26,0)),0)</f>
        <v>15</v>
      </c>
      <c r="M1215" s="45" t="n">
        <f aca="false">IFERROR(INDEX(medicine_master!$G$2:$G$26,MATCH($C1215,medicine_master!$A$2:$A$26,0)),0)</f>
        <v>10</v>
      </c>
      <c r="N1215" s="45" t="n">
        <f aca="false">IF(D1215="Sale",E1215*L1215,0)</f>
        <v>75</v>
      </c>
      <c r="O1215" s="45" t="n">
        <f aca="false">IF(D1215="Sale",E1215*M1215,0)</f>
        <v>50</v>
      </c>
      <c r="P1215" s="45" t="n">
        <f aca="false">N1215-O1215</f>
        <v>25</v>
      </c>
      <c r="Q1215" s="45" t="n">
        <f aca="false">IF(D1215="Purchase",E1215*M1215,0)</f>
        <v>0</v>
      </c>
    </row>
    <row r="1216" customFormat="false" ht="15" hidden="false" customHeight="false" outlineLevel="0" collapsed="false">
      <c r="A1216" s="39" t="s">
        <v>1540</v>
      </c>
      <c r="B1216" s="44" t="n">
        <v>46034</v>
      </c>
      <c r="C1216" s="39" t="s">
        <v>152</v>
      </c>
      <c r="D1216" s="39" t="s">
        <v>137</v>
      </c>
      <c r="E1216" s="39" t="n">
        <v>25</v>
      </c>
      <c r="F1216" s="39" t="str">
        <f aca="false">IF(COUNTIF(medicine_master!$A$2:$A$26,C1216)&gt;0,"Valid","Invalid")</f>
        <v>Valid</v>
      </c>
      <c r="G1216" s="39" t="str">
        <f aca="false">IFERROR(INDEX(medicine_master!$B$2:$B$26,MATCH($C1216,medicine_master!$A$2:$A$26,0)),"Not found")</f>
        <v>Amoxicillin 500mg</v>
      </c>
      <c r="H1216" s="39" t="str">
        <f aca="false">IFERROR(INDEX(medicine_master!$C$2:$C$26,MATCH($C1216,medicine_master!$A$2:$A$26,0)),"Not found")</f>
        <v>Antibiotic</v>
      </c>
      <c r="I1216" s="39" t="n">
        <f aca="false">YEAR(B1216)</f>
        <v>2026</v>
      </c>
      <c r="J1216" s="39" t="n">
        <f aca="false">MONTH(B1216)</f>
        <v>1</v>
      </c>
      <c r="K1216" s="39" t="str">
        <f aca="false">TEXT(B1216,"mmm")</f>
        <v>Jan</v>
      </c>
      <c r="L1216" s="45" t="n">
        <f aca="false">IFERROR(INDEX(medicine_master!$I$2:$I$26,MATCH($C1216,medicine_master!$A$2:$A$26,0)),0)</f>
        <v>40</v>
      </c>
      <c r="M1216" s="45" t="n">
        <f aca="false">IFERROR(INDEX(medicine_master!$G$2:$G$26,MATCH($C1216,medicine_master!$A$2:$A$26,0)),0)</f>
        <v>28</v>
      </c>
      <c r="N1216" s="45" t="n">
        <f aca="false">IF(D1216="Sale",E1216*L1216,0)</f>
        <v>1000</v>
      </c>
      <c r="O1216" s="45" t="n">
        <f aca="false">IF(D1216="Sale",E1216*M1216,0)</f>
        <v>700</v>
      </c>
      <c r="P1216" s="45" t="n">
        <f aca="false">N1216-O1216</f>
        <v>300</v>
      </c>
      <c r="Q1216" s="45" t="n">
        <f aca="false">IF(D1216="Purchase",E1216*M1216,0)</f>
        <v>0</v>
      </c>
    </row>
    <row r="1217" customFormat="false" ht="15" hidden="false" customHeight="false" outlineLevel="0" collapsed="false">
      <c r="A1217" s="39" t="s">
        <v>1541</v>
      </c>
      <c r="B1217" s="44" t="n">
        <v>46302</v>
      </c>
      <c r="C1217" s="39" t="s">
        <v>390</v>
      </c>
      <c r="D1217" s="39" t="s">
        <v>138</v>
      </c>
      <c r="E1217" s="39" t="n">
        <v>10</v>
      </c>
      <c r="F1217" s="39" t="str">
        <f aca="false">IF(COUNTIF(medicine_master!$A$2:$A$26,C1217)&gt;0,"Valid","Invalid")</f>
        <v>Valid</v>
      </c>
      <c r="G1217" s="39" t="str">
        <f aca="false">IFERROR(INDEX(medicine_master!$B$2:$B$26,MATCH($C1217,medicine_master!$A$2:$A$26,0)),"Not found")</f>
        <v>Montelukast 10mg</v>
      </c>
      <c r="H1217" s="39" t="str">
        <f aca="false">IFERROR(INDEX(medicine_master!$C$2:$C$26,MATCH($C1217,medicine_master!$A$2:$A$26,0)),"Not found")</f>
        <v>Allergy</v>
      </c>
      <c r="I1217" s="39" t="n">
        <f aca="false">YEAR(B1217)</f>
        <v>2026</v>
      </c>
      <c r="J1217" s="39" t="n">
        <f aca="false">MONTH(B1217)</f>
        <v>10</v>
      </c>
      <c r="K1217" s="39" t="str">
        <f aca="false">TEXT(B1217,"mmm")</f>
        <v>Oct</v>
      </c>
      <c r="L1217" s="45" t="n">
        <f aca="false">IFERROR(INDEX(medicine_master!$I$2:$I$26,MATCH($C1217,medicine_master!$A$2:$A$26,0)),0)</f>
        <v>39</v>
      </c>
      <c r="M1217" s="45" t="n">
        <f aca="false">IFERROR(INDEX(medicine_master!$G$2:$G$26,MATCH($C1217,medicine_master!$A$2:$A$26,0)),0)</f>
        <v>27</v>
      </c>
      <c r="N1217" s="45" t="n">
        <f aca="false">IF(D1217="Sale",E1217*L1217,0)</f>
        <v>0</v>
      </c>
      <c r="O1217" s="45" t="n">
        <f aca="false">IF(D1217="Sale",E1217*M1217,0)</f>
        <v>0</v>
      </c>
      <c r="P1217" s="45" t="n">
        <f aca="false">N1217-O1217</f>
        <v>0</v>
      </c>
      <c r="Q1217" s="45" t="n">
        <f aca="false">IF(D1217="Purchase",E1217*M1217,0)</f>
        <v>270</v>
      </c>
    </row>
    <row r="1218" customFormat="false" ht="15" hidden="false" customHeight="false" outlineLevel="0" collapsed="false">
      <c r="A1218" s="39" t="s">
        <v>1542</v>
      </c>
      <c r="B1218" s="44" t="n">
        <v>46168</v>
      </c>
      <c r="C1218" s="39" t="s">
        <v>147</v>
      </c>
      <c r="D1218" s="39" t="s">
        <v>138</v>
      </c>
      <c r="E1218" s="39" t="n">
        <v>40</v>
      </c>
      <c r="F1218" s="39" t="str">
        <f aca="false">IF(COUNTIF(medicine_master!$A$2:$A$26,C1218)&gt;0,"Valid","Invalid")</f>
        <v>Valid</v>
      </c>
      <c r="G1218" s="39" t="str">
        <f aca="false">IFERROR(INDEX(medicine_master!$B$2:$B$26,MATCH($C1218,medicine_master!$A$2:$A$26,0)),"Not found")</f>
        <v>Insulin Injection</v>
      </c>
      <c r="H1218" s="39" t="str">
        <f aca="false">IFERROR(INDEX(medicine_master!$C$2:$C$26,MATCH($C1218,medicine_master!$A$2:$A$26,0)),"Not found")</f>
        <v>Diabetes</v>
      </c>
      <c r="I1218" s="39" t="n">
        <f aca="false">YEAR(B1218)</f>
        <v>2026</v>
      </c>
      <c r="J1218" s="39" t="n">
        <f aca="false">MONTH(B1218)</f>
        <v>5</v>
      </c>
      <c r="K1218" s="39" t="str">
        <f aca="false">TEXT(B1218,"mmm")</f>
        <v>May</v>
      </c>
      <c r="L1218" s="45" t="n">
        <f aca="false">IFERROR(INDEX(medicine_master!$I$2:$I$26,MATCH($C1218,medicine_master!$A$2:$A$26,0)),0)</f>
        <v>225</v>
      </c>
      <c r="M1218" s="45" t="n">
        <f aca="false">IFERROR(INDEX(medicine_master!$G$2:$G$26,MATCH($C1218,medicine_master!$A$2:$A$26,0)),0)</f>
        <v>165</v>
      </c>
      <c r="N1218" s="45" t="n">
        <f aca="false">IF(D1218="Sale",E1218*L1218,0)</f>
        <v>0</v>
      </c>
      <c r="O1218" s="45" t="n">
        <f aca="false">IF(D1218="Sale",E1218*M1218,0)</f>
        <v>0</v>
      </c>
      <c r="P1218" s="45" t="n">
        <f aca="false">N1218-O1218</f>
        <v>0</v>
      </c>
      <c r="Q1218" s="45" t="n">
        <f aca="false">IF(D1218="Purchase",E1218*M1218,0)</f>
        <v>6600</v>
      </c>
    </row>
    <row r="1219" customFormat="false" ht="15" hidden="false" customHeight="false" outlineLevel="0" collapsed="false">
      <c r="A1219" s="39" t="s">
        <v>1543</v>
      </c>
      <c r="B1219" s="44" t="n">
        <v>46354</v>
      </c>
      <c r="C1219" s="39" t="s">
        <v>321</v>
      </c>
      <c r="D1219" s="39" t="s">
        <v>138</v>
      </c>
      <c r="E1219" s="39" t="n">
        <v>30</v>
      </c>
      <c r="F1219" s="39" t="str">
        <f aca="false">IF(COUNTIF(medicine_master!$A$2:$A$26,C1219)&gt;0,"Valid","Invalid")</f>
        <v>Valid</v>
      </c>
      <c r="G1219" s="39" t="str">
        <f aca="false">IFERROR(INDEX(medicine_master!$B$2:$B$26,MATCH($C1219,medicine_master!$A$2:$A$26,0)),"Not found")</f>
        <v>Levocetirizine 5mg</v>
      </c>
      <c r="H1219" s="39" t="str">
        <f aca="false">IFERROR(INDEX(medicine_master!$C$2:$C$26,MATCH($C1219,medicine_master!$A$2:$A$26,0)),"Not found")</f>
        <v>Allergy</v>
      </c>
      <c r="I1219" s="39" t="n">
        <f aca="false">YEAR(B1219)</f>
        <v>2026</v>
      </c>
      <c r="J1219" s="39" t="n">
        <f aca="false">MONTH(B1219)</f>
        <v>11</v>
      </c>
      <c r="K1219" s="39" t="str">
        <f aca="false">TEXT(B1219,"mmm")</f>
        <v>Nov</v>
      </c>
      <c r="L1219" s="45" t="n">
        <f aca="false">IFERROR(INDEX(medicine_master!$I$2:$I$26,MATCH($C1219,medicine_master!$A$2:$A$26,0)),0)</f>
        <v>22</v>
      </c>
      <c r="M1219" s="45" t="n">
        <f aca="false">IFERROR(INDEX(medicine_master!$G$2:$G$26,MATCH($C1219,medicine_master!$A$2:$A$26,0)),0)</f>
        <v>14</v>
      </c>
      <c r="N1219" s="45" t="n">
        <f aca="false">IF(D1219="Sale",E1219*L1219,0)</f>
        <v>0</v>
      </c>
      <c r="O1219" s="45" t="n">
        <f aca="false">IF(D1219="Sale",E1219*M1219,0)</f>
        <v>0</v>
      </c>
      <c r="P1219" s="45" t="n">
        <f aca="false">N1219-O1219</f>
        <v>0</v>
      </c>
      <c r="Q1219" s="45" t="n">
        <f aca="false">IF(D1219="Purchase",E1219*M1219,0)</f>
        <v>420</v>
      </c>
    </row>
    <row r="1220" customFormat="false" ht="15" hidden="false" customHeight="false" outlineLevel="0" collapsed="false">
      <c r="A1220" s="39" t="s">
        <v>1544</v>
      </c>
      <c r="B1220" s="44" t="n">
        <v>46044</v>
      </c>
      <c r="C1220" s="39" t="s">
        <v>153</v>
      </c>
      <c r="D1220" s="39" t="s">
        <v>137</v>
      </c>
      <c r="E1220" s="39" t="n">
        <v>50</v>
      </c>
      <c r="F1220" s="39" t="str">
        <f aca="false">IF(COUNTIF(medicine_master!$A$2:$A$26,C1220)&gt;0,"Valid","Invalid")</f>
        <v>Valid</v>
      </c>
      <c r="G1220" s="39" t="str">
        <f aca="false">IFERROR(INDEX(medicine_master!$B$2:$B$26,MATCH($C1220,medicine_master!$A$2:$A$26,0)),"Not found")</f>
        <v>Atorvastatin 10mg</v>
      </c>
      <c r="H1220" s="39" t="str">
        <f aca="false">IFERROR(INDEX(medicine_master!$C$2:$C$26,MATCH($C1220,medicine_master!$A$2:$A$26,0)),"Not found")</f>
        <v>Cardiac</v>
      </c>
      <c r="I1220" s="39" t="n">
        <f aca="false">YEAR(B1220)</f>
        <v>2026</v>
      </c>
      <c r="J1220" s="39" t="n">
        <f aca="false">MONTH(B1220)</f>
        <v>1</v>
      </c>
      <c r="K1220" s="39" t="str">
        <f aca="false">TEXT(B1220,"mmm")</f>
        <v>Jan</v>
      </c>
      <c r="L1220" s="45" t="n">
        <f aca="false">IFERROR(INDEX(medicine_master!$I$2:$I$26,MATCH($C1220,medicine_master!$A$2:$A$26,0)),0)</f>
        <v>28</v>
      </c>
      <c r="M1220" s="45" t="n">
        <f aca="false">IFERROR(INDEX(medicine_master!$G$2:$G$26,MATCH($C1220,medicine_master!$A$2:$A$26,0)),0)</f>
        <v>19</v>
      </c>
      <c r="N1220" s="45" t="n">
        <f aca="false">IF(D1220="Sale",E1220*L1220,0)</f>
        <v>1400</v>
      </c>
      <c r="O1220" s="45" t="n">
        <f aca="false">IF(D1220="Sale",E1220*M1220,0)</f>
        <v>950</v>
      </c>
      <c r="P1220" s="45" t="n">
        <f aca="false">N1220-O1220</f>
        <v>450</v>
      </c>
      <c r="Q1220" s="45" t="n">
        <f aca="false">IF(D1220="Purchase",E1220*M1220,0)</f>
        <v>0</v>
      </c>
    </row>
    <row r="1221" customFormat="false" ht="15" hidden="false" customHeight="false" outlineLevel="0" collapsed="false">
      <c r="A1221" s="39" t="s">
        <v>1545</v>
      </c>
      <c r="B1221" s="44" t="n">
        <v>46239</v>
      </c>
      <c r="C1221" s="39" t="s">
        <v>345</v>
      </c>
      <c r="D1221" s="39" t="s">
        <v>137</v>
      </c>
      <c r="E1221" s="39" t="n">
        <v>25</v>
      </c>
      <c r="F1221" s="39" t="str">
        <f aca="false">IF(COUNTIF(medicine_master!$A$2:$A$26,C1221)&gt;0,"Valid","Invalid")</f>
        <v>Valid</v>
      </c>
      <c r="G1221" s="39" t="str">
        <f aca="false">IFERROR(INDEX(medicine_master!$B$2:$B$26,MATCH($C1221,medicine_master!$A$2:$A$26,0)),"Not found")</f>
        <v>Paracetamol 500mg</v>
      </c>
      <c r="H1221" s="39" t="str">
        <f aca="false">IFERROR(INDEX(medicine_master!$C$2:$C$26,MATCH($C1221,medicine_master!$A$2:$A$26,0)),"Not found")</f>
        <v>Pain Relief</v>
      </c>
      <c r="I1221" s="39" t="n">
        <f aca="false">YEAR(B1221)</f>
        <v>2026</v>
      </c>
      <c r="J1221" s="39" t="n">
        <f aca="false">MONTH(B1221)</f>
        <v>8</v>
      </c>
      <c r="K1221" s="39" t="str">
        <f aca="false">TEXT(B1221,"mmm")</f>
        <v>Aug</v>
      </c>
      <c r="L1221" s="45" t="n">
        <f aca="false">IFERROR(INDEX(medicine_master!$I$2:$I$26,MATCH($C1221,medicine_master!$A$2:$A$26,0)),0)</f>
        <v>18</v>
      </c>
      <c r="M1221" s="45" t="n">
        <f aca="false">IFERROR(INDEX(medicine_master!$G$2:$G$26,MATCH($C1221,medicine_master!$A$2:$A$26,0)),0)</f>
        <v>12</v>
      </c>
      <c r="N1221" s="45" t="n">
        <f aca="false">IF(D1221="Sale",E1221*L1221,0)</f>
        <v>450</v>
      </c>
      <c r="O1221" s="45" t="n">
        <f aca="false">IF(D1221="Sale",E1221*M1221,0)</f>
        <v>300</v>
      </c>
      <c r="P1221" s="45" t="n">
        <f aca="false">N1221-O1221</f>
        <v>150</v>
      </c>
      <c r="Q1221" s="45" t="n">
        <f aca="false">IF(D1221="Purchase",E1221*M1221,0)</f>
        <v>0</v>
      </c>
    </row>
    <row r="1222" customFormat="false" ht="15" hidden="false" customHeight="false" outlineLevel="0" collapsed="false">
      <c r="A1222" s="39" t="s">
        <v>1546</v>
      </c>
      <c r="B1222" s="44" t="n">
        <v>46316</v>
      </c>
      <c r="C1222" s="39" t="s">
        <v>151</v>
      </c>
      <c r="D1222" s="39" t="s">
        <v>138</v>
      </c>
      <c r="E1222" s="39" t="n">
        <v>30</v>
      </c>
      <c r="F1222" s="39" t="str">
        <f aca="false">IF(COUNTIF(medicine_master!$A$2:$A$26,C1222)&gt;0,"Valid","Invalid")</f>
        <v>Valid</v>
      </c>
      <c r="G1222" s="39" t="str">
        <f aca="false">IFERROR(INDEX(medicine_master!$B$2:$B$26,MATCH($C1222,medicine_master!$A$2:$A$26,0)),"Not found")</f>
        <v>Cetirizine 10mg</v>
      </c>
      <c r="H1222" s="39" t="str">
        <f aca="false">IFERROR(INDEX(medicine_master!$C$2:$C$26,MATCH($C1222,medicine_master!$A$2:$A$26,0)),"Not found")</f>
        <v>Allergy</v>
      </c>
      <c r="I1222" s="39" t="n">
        <f aca="false">YEAR(B1222)</f>
        <v>2026</v>
      </c>
      <c r="J1222" s="39" t="n">
        <f aca="false">MONTH(B1222)</f>
        <v>10</v>
      </c>
      <c r="K1222" s="39" t="str">
        <f aca="false">TEXT(B1222,"mmm")</f>
        <v>Oct</v>
      </c>
      <c r="L1222" s="45" t="n">
        <f aca="false">IFERROR(INDEX(medicine_master!$I$2:$I$26,MATCH($C1222,medicine_master!$A$2:$A$26,0)),0)</f>
        <v>13</v>
      </c>
      <c r="M1222" s="45" t="n">
        <f aca="false">IFERROR(INDEX(medicine_master!$G$2:$G$26,MATCH($C1222,medicine_master!$A$2:$A$26,0)),0)</f>
        <v>8</v>
      </c>
      <c r="N1222" s="45" t="n">
        <f aca="false">IF(D1222="Sale",E1222*L1222,0)</f>
        <v>0</v>
      </c>
      <c r="O1222" s="45" t="n">
        <f aca="false">IF(D1222="Sale",E1222*M1222,0)</f>
        <v>0</v>
      </c>
      <c r="P1222" s="45" t="n">
        <f aca="false">N1222-O1222</f>
        <v>0</v>
      </c>
      <c r="Q1222" s="45" t="n">
        <f aca="false">IF(D1222="Purchase",E1222*M1222,0)</f>
        <v>240</v>
      </c>
    </row>
    <row r="1223" customFormat="false" ht="15" hidden="false" customHeight="false" outlineLevel="0" collapsed="false">
      <c r="A1223" s="39" t="s">
        <v>1547</v>
      </c>
      <c r="B1223" s="44" t="n">
        <v>46209</v>
      </c>
      <c r="C1223" s="39" t="s">
        <v>152</v>
      </c>
      <c r="D1223" s="39" t="s">
        <v>137</v>
      </c>
      <c r="E1223" s="39" t="n">
        <v>25</v>
      </c>
      <c r="F1223" s="39" t="str">
        <f aca="false">IF(COUNTIF(medicine_master!$A$2:$A$26,C1223)&gt;0,"Valid","Invalid")</f>
        <v>Valid</v>
      </c>
      <c r="G1223" s="39" t="str">
        <f aca="false">IFERROR(INDEX(medicine_master!$B$2:$B$26,MATCH($C1223,medicine_master!$A$2:$A$26,0)),"Not found")</f>
        <v>Amoxicillin 500mg</v>
      </c>
      <c r="H1223" s="39" t="str">
        <f aca="false">IFERROR(INDEX(medicine_master!$C$2:$C$26,MATCH($C1223,medicine_master!$A$2:$A$26,0)),"Not found")</f>
        <v>Antibiotic</v>
      </c>
      <c r="I1223" s="39" t="n">
        <f aca="false">YEAR(B1223)</f>
        <v>2026</v>
      </c>
      <c r="J1223" s="39" t="n">
        <f aca="false">MONTH(B1223)</f>
        <v>7</v>
      </c>
      <c r="K1223" s="39" t="str">
        <f aca="false">TEXT(B1223,"mmm")</f>
        <v>Jul</v>
      </c>
      <c r="L1223" s="45" t="n">
        <f aca="false">IFERROR(INDEX(medicine_master!$I$2:$I$26,MATCH($C1223,medicine_master!$A$2:$A$26,0)),0)</f>
        <v>40</v>
      </c>
      <c r="M1223" s="45" t="n">
        <f aca="false">IFERROR(INDEX(medicine_master!$G$2:$G$26,MATCH($C1223,medicine_master!$A$2:$A$26,0)),0)</f>
        <v>28</v>
      </c>
      <c r="N1223" s="45" t="n">
        <f aca="false">IF(D1223="Sale",E1223*L1223,0)</f>
        <v>1000</v>
      </c>
      <c r="O1223" s="45" t="n">
        <f aca="false">IF(D1223="Sale",E1223*M1223,0)</f>
        <v>700</v>
      </c>
      <c r="P1223" s="45" t="n">
        <f aca="false">N1223-O1223</f>
        <v>300</v>
      </c>
      <c r="Q1223" s="45" t="n">
        <f aca="false">IF(D1223="Purchase",E1223*M1223,0)</f>
        <v>0</v>
      </c>
    </row>
    <row r="1224" customFormat="false" ht="15" hidden="false" customHeight="false" outlineLevel="0" collapsed="false">
      <c r="A1224" s="39" t="s">
        <v>1548</v>
      </c>
      <c r="B1224" s="44" t="n">
        <v>46253</v>
      </c>
      <c r="C1224" s="39" t="s">
        <v>153</v>
      </c>
      <c r="D1224" s="39" t="s">
        <v>137</v>
      </c>
      <c r="E1224" s="39" t="n">
        <v>15</v>
      </c>
      <c r="F1224" s="39" t="str">
        <f aca="false">IF(COUNTIF(medicine_master!$A$2:$A$26,C1224)&gt;0,"Valid","Invalid")</f>
        <v>Valid</v>
      </c>
      <c r="G1224" s="39" t="str">
        <f aca="false">IFERROR(INDEX(medicine_master!$B$2:$B$26,MATCH($C1224,medicine_master!$A$2:$A$26,0)),"Not found")</f>
        <v>Atorvastatin 10mg</v>
      </c>
      <c r="H1224" s="39" t="str">
        <f aca="false">IFERROR(INDEX(medicine_master!$C$2:$C$26,MATCH($C1224,medicine_master!$A$2:$A$26,0)),"Not found")</f>
        <v>Cardiac</v>
      </c>
      <c r="I1224" s="39" t="n">
        <f aca="false">YEAR(B1224)</f>
        <v>2026</v>
      </c>
      <c r="J1224" s="39" t="n">
        <f aca="false">MONTH(B1224)</f>
        <v>8</v>
      </c>
      <c r="K1224" s="39" t="str">
        <f aca="false">TEXT(B1224,"mmm")</f>
        <v>Aug</v>
      </c>
      <c r="L1224" s="45" t="n">
        <f aca="false">IFERROR(INDEX(medicine_master!$I$2:$I$26,MATCH($C1224,medicine_master!$A$2:$A$26,0)),0)</f>
        <v>28</v>
      </c>
      <c r="M1224" s="45" t="n">
        <f aca="false">IFERROR(INDEX(medicine_master!$G$2:$G$26,MATCH($C1224,medicine_master!$A$2:$A$26,0)),0)</f>
        <v>19</v>
      </c>
      <c r="N1224" s="45" t="n">
        <f aca="false">IF(D1224="Sale",E1224*L1224,0)</f>
        <v>420</v>
      </c>
      <c r="O1224" s="45" t="n">
        <f aca="false">IF(D1224="Sale",E1224*M1224,0)</f>
        <v>285</v>
      </c>
      <c r="P1224" s="45" t="n">
        <f aca="false">N1224-O1224</f>
        <v>135</v>
      </c>
      <c r="Q1224" s="45" t="n">
        <f aca="false">IF(D1224="Purchase",E1224*M1224,0)</f>
        <v>0</v>
      </c>
    </row>
    <row r="1225" customFormat="false" ht="15" hidden="false" customHeight="false" outlineLevel="0" collapsed="false">
      <c r="A1225" s="39" t="s">
        <v>1549</v>
      </c>
      <c r="B1225" s="44" t="n">
        <v>46109</v>
      </c>
      <c r="C1225" s="39" t="s">
        <v>153</v>
      </c>
      <c r="D1225" s="39" t="s">
        <v>138</v>
      </c>
      <c r="E1225" s="39" t="n">
        <v>10</v>
      </c>
      <c r="F1225" s="39" t="str">
        <f aca="false">IF(COUNTIF(medicine_master!$A$2:$A$26,C1225)&gt;0,"Valid","Invalid")</f>
        <v>Valid</v>
      </c>
      <c r="G1225" s="39" t="str">
        <f aca="false">IFERROR(INDEX(medicine_master!$B$2:$B$26,MATCH($C1225,medicine_master!$A$2:$A$26,0)),"Not found")</f>
        <v>Atorvastatin 10mg</v>
      </c>
      <c r="H1225" s="39" t="str">
        <f aca="false">IFERROR(INDEX(medicine_master!$C$2:$C$26,MATCH($C1225,medicine_master!$A$2:$A$26,0)),"Not found")</f>
        <v>Cardiac</v>
      </c>
      <c r="I1225" s="39" t="n">
        <f aca="false">YEAR(B1225)</f>
        <v>2026</v>
      </c>
      <c r="J1225" s="39" t="n">
        <f aca="false">MONTH(B1225)</f>
        <v>3</v>
      </c>
      <c r="K1225" s="39" t="str">
        <f aca="false">TEXT(B1225,"mmm")</f>
        <v>Mar</v>
      </c>
      <c r="L1225" s="45" t="n">
        <f aca="false">IFERROR(INDEX(medicine_master!$I$2:$I$26,MATCH($C1225,medicine_master!$A$2:$A$26,0)),0)</f>
        <v>28</v>
      </c>
      <c r="M1225" s="45" t="n">
        <f aca="false">IFERROR(INDEX(medicine_master!$G$2:$G$26,MATCH($C1225,medicine_master!$A$2:$A$26,0)),0)</f>
        <v>19</v>
      </c>
      <c r="N1225" s="45" t="n">
        <f aca="false">IF(D1225="Sale",E1225*L1225,0)</f>
        <v>0</v>
      </c>
      <c r="O1225" s="45" t="n">
        <f aca="false">IF(D1225="Sale",E1225*M1225,0)</f>
        <v>0</v>
      </c>
      <c r="P1225" s="45" t="n">
        <f aca="false">N1225-O1225</f>
        <v>0</v>
      </c>
      <c r="Q1225" s="45" t="n">
        <f aca="false">IF(D1225="Purchase",E1225*M1225,0)</f>
        <v>190</v>
      </c>
    </row>
    <row r="1226" customFormat="false" ht="15" hidden="false" customHeight="false" outlineLevel="0" collapsed="false">
      <c r="A1226" s="39" t="s">
        <v>1550</v>
      </c>
      <c r="B1226" s="44" t="n">
        <v>46037</v>
      </c>
      <c r="C1226" s="39" t="s">
        <v>144</v>
      </c>
      <c r="D1226" s="39" t="s">
        <v>137</v>
      </c>
      <c r="E1226" s="39" t="n">
        <v>20</v>
      </c>
      <c r="F1226" s="39" t="str">
        <f aca="false">IF(COUNTIF(medicine_master!$A$2:$A$26,C1226)&gt;0,"Valid","Invalid")</f>
        <v>Valid</v>
      </c>
      <c r="G1226" s="39" t="str">
        <f aca="false">IFERROR(INDEX(medicine_master!$B$2:$B$26,MATCH($C1226,medicine_master!$A$2:$A$26,0)),"Not found")</f>
        <v>Glimepiride 2mg</v>
      </c>
      <c r="H1226" s="39" t="str">
        <f aca="false">IFERROR(INDEX(medicine_master!$C$2:$C$26,MATCH($C1226,medicine_master!$A$2:$A$26,0)),"Not found")</f>
        <v>Diabetes</v>
      </c>
      <c r="I1226" s="39" t="n">
        <f aca="false">YEAR(B1226)</f>
        <v>2026</v>
      </c>
      <c r="J1226" s="39" t="n">
        <f aca="false">MONTH(B1226)</f>
        <v>1</v>
      </c>
      <c r="K1226" s="39" t="str">
        <f aca="false">TEXT(B1226,"mmm")</f>
        <v>Jan</v>
      </c>
      <c r="L1226" s="45" t="n">
        <f aca="false">IFERROR(INDEX(medicine_master!$I$2:$I$26,MATCH($C1226,medicine_master!$A$2:$A$26,0)),0)</f>
        <v>52</v>
      </c>
      <c r="M1226" s="45" t="n">
        <f aca="false">IFERROR(INDEX(medicine_master!$G$2:$G$26,MATCH($C1226,medicine_master!$A$2:$A$26,0)),0)</f>
        <v>38</v>
      </c>
      <c r="N1226" s="45" t="n">
        <f aca="false">IF(D1226="Sale",E1226*L1226,0)</f>
        <v>1040</v>
      </c>
      <c r="O1226" s="45" t="n">
        <f aca="false">IF(D1226="Sale",E1226*M1226,0)</f>
        <v>760</v>
      </c>
      <c r="P1226" s="45" t="n">
        <f aca="false">N1226-O1226</f>
        <v>280</v>
      </c>
      <c r="Q1226" s="45" t="n">
        <f aca="false">IF(D1226="Purchase",E1226*M1226,0)</f>
        <v>0</v>
      </c>
    </row>
    <row r="1227" customFormat="false" ht="15" hidden="false" customHeight="false" outlineLevel="0" collapsed="false">
      <c r="A1227" s="39" t="s">
        <v>1551</v>
      </c>
      <c r="B1227" s="44" t="n">
        <v>46066</v>
      </c>
      <c r="C1227" s="39" t="s">
        <v>179</v>
      </c>
      <c r="D1227" s="39" t="s">
        <v>138</v>
      </c>
      <c r="E1227" s="39" t="n">
        <v>40</v>
      </c>
      <c r="F1227" s="39" t="str">
        <f aca="false">IF(COUNTIF(medicine_master!$A$2:$A$26,C1227)&gt;0,"Valid","Invalid")</f>
        <v>Valid</v>
      </c>
      <c r="G1227" s="39" t="str">
        <f aca="false">IFERROR(INDEX(medicine_master!$B$2:$B$26,MATCH($C1227,medicine_master!$A$2:$A$26,0)),"Not found")</f>
        <v>Ibuprofen 400mg</v>
      </c>
      <c r="H1227" s="39" t="str">
        <f aca="false">IFERROR(INDEX(medicine_master!$C$2:$C$26,MATCH($C1227,medicine_master!$A$2:$A$26,0)),"Not found")</f>
        <v>Pain Relief</v>
      </c>
      <c r="I1227" s="39" t="n">
        <f aca="false">YEAR(B1227)</f>
        <v>2026</v>
      </c>
      <c r="J1227" s="39" t="n">
        <f aca="false">MONTH(B1227)</f>
        <v>2</v>
      </c>
      <c r="K1227" s="39" t="str">
        <f aca="false">TEXT(B1227,"mmm")</f>
        <v>Feb</v>
      </c>
      <c r="L1227" s="45" t="n">
        <f aca="false">IFERROR(INDEX(medicine_master!$I$2:$I$26,MATCH($C1227,medicine_master!$A$2:$A$26,0)),0)</f>
        <v>30</v>
      </c>
      <c r="M1227" s="45" t="n">
        <f aca="false">IFERROR(INDEX(medicine_master!$G$2:$G$26,MATCH($C1227,medicine_master!$A$2:$A$26,0)),0)</f>
        <v>22</v>
      </c>
      <c r="N1227" s="45" t="n">
        <f aca="false">IF(D1227="Sale",E1227*L1227,0)</f>
        <v>0</v>
      </c>
      <c r="O1227" s="45" t="n">
        <f aca="false">IF(D1227="Sale",E1227*M1227,0)</f>
        <v>0</v>
      </c>
      <c r="P1227" s="45" t="n">
        <f aca="false">N1227-O1227</f>
        <v>0</v>
      </c>
      <c r="Q1227" s="45" t="n">
        <f aca="false">IF(D1227="Purchase",E1227*M1227,0)</f>
        <v>880</v>
      </c>
    </row>
    <row r="1228" customFormat="false" ht="15" hidden="false" customHeight="false" outlineLevel="0" collapsed="false">
      <c r="A1228" s="39" t="s">
        <v>1552</v>
      </c>
      <c r="B1228" s="44" t="n">
        <v>46365</v>
      </c>
      <c r="C1228" s="39" t="s">
        <v>157</v>
      </c>
      <c r="D1228" s="39" t="s">
        <v>138</v>
      </c>
      <c r="E1228" s="39" t="n">
        <v>15</v>
      </c>
      <c r="F1228" s="39" t="str">
        <f aca="false">IF(COUNTIF(medicine_master!$A$2:$A$26,C1228)&gt;0,"Valid","Invalid")</f>
        <v>Valid</v>
      </c>
      <c r="G1228" s="39" t="str">
        <f aca="false">IFERROR(INDEX(medicine_master!$B$2:$B$26,MATCH($C1228,medicine_master!$A$2:$A$26,0)),"Not found")</f>
        <v>Multivitamin Tablets</v>
      </c>
      <c r="H1228" s="39" t="str">
        <f aca="false">IFERROR(INDEX(medicine_master!$C$2:$C$26,MATCH($C1228,medicine_master!$A$2:$A$26,0)),"Not found")</f>
        <v>Vitamin</v>
      </c>
      <c r="I1228" s="39" t="n">
        <f aca="false">YEAR(B1228)</f>
        <v>2026</v>
      </c>
      <c r="J1228" s="39" t="n">
        <f aca="false">MONTH(B1228)</f>
        <v>12</v>
      </c>
      <c r="K1228" s="39" t="str">
        <f aca="false">TEXT(B1228,"mmm")</f>
        <v>Dec</v>
      </c>
      <c r="L1228" s="45" t="n">
        <f aca="false">IFERROR(INDEX(medicine_master!$I$2:$I$26,MATCH($C1228,medicine_master!$A$2:$A$26,0)),0)</f>
        <v>105</v>
      </c>
      <c r="M1228" s="45" t="n">
        <f aca="false">IFERROR(INDEX(medicine_master!$G$2:$G$26,MATCH($C1228,medicine_master!$A$2:$A$26,0)),0)</f>
        <v>72</v>
      </c>
      <c r="N1228" s="45" t="n">
        <f aca="false">IF(D1228="Sale",E1228*L1228,0)</f>
        <v>0</v>
      </c>
      <c r="O1228" s="45" t="n">
        <f aca="false">IF(D1228="Sale",E1228*M1228,0)</f>
        <v>0</v>
      </c>
      <c r="P1228" s="45" t="n">
        <f aca="false">N1228-O1228</f>
        <v>0</v>
      </c>
      <c r="Q1228" s="45" t="n">
        <f aca="false">IF(D1228="Purchase",E1228*M1228,0)</f>
        <v>1080</v>
      </c>
    </row>
    <row r="1229" customFormat="false" ht="15" hidden="false" customHeight="false" outlineLevel="0" collapsed="false">
      <c r="A1229" s="39" t="s">
        <v>1553</v>
      </c>
      <c r="B1229" s="44" t="n">
        <v>46065</v>
      </c>
      <c r="C1229" s="39" t="s">
        <v>345</v>
      </c>
      <c r="D1229" s="39" t="s">
        <v>138</v>
      </c>
      <c r="E1229" s="39" t="n">
        <v>15</v>
      </c>
      <c r="F1229" s="39" t="str">
        <f aca="false">IF(COUNTIF(medicine_master!$A$2:$A$26,C1229)&gt;0,"Valid","Invalid")</f>
        <v>Valid</v>
      </c>
      <c r="G1229" s="39" t="str">
        <f aca="false">IFERROR(INDEX(medicine_master!$B$2:$B$26,MATCH($C1229,medicine_master!$A$2:$A$26,0)),"Not found")</f>
        <v>Paracetamol 500mg</v>
      </c>
      <c r="H1229" s="39" t="str">
        <f aca="false">IFERROR(INDEX(medicine_master!$C$2:$C$26,MATCH($C1229,medicine_master!$A$2:$A$26,0)),"Not found")</f>
        <v>Pain Relief</v>
      </c>
      <c r="I1229" s="39" t="n">
        <f aca="false">YEAR(B1229)</f>
        <v>2026</v>
      </c>
      <c r="J1229" s="39" t="n">
        <f aca="false">MONTH(B1229)</f>
        <v>2</v>
      </c>
      <c r="K1229" s="39" t="str">
        <f aca="false">TEXT(B1229,"mmm")</f>
        <v>Feb</v>
      </c>
      <c r="L1229" s="45" t="n">
        <f aca="false">IFERROR(INDEX(medicine_master!$I$2:$I$26,MATCH($C1229,medicine_master!$A$2:$A$26,0)),0)</f>
        <v>18</v>
      </c>
      <c r="M1229" s="45" t="n">
        <f aca="false">IFERROR(INDEX(medicine_master!$G$2:$G$26,MATCH($C1229,medicine_master!$A$2:$A$26,0)),0)</f>
        <v>12</v>
      </c>
      <c r="N1229" s="45" t="n">
        <f aca="false">IF(D1229="Sale",E1229*L1229,0)</f>
        <v>0</v>
      </c>
      <c r="O1229" s="45" t="n">
        <f aca="false">IF(D1229="Sale",E1229*M1229,0)</f>
        <v>0</v>
      </c>
      <c r="P1229" s="45" t="n">
        <f aca="false">N1229-O1229</f>
        <v>0</v>
      </c>
      <c r="Q1229" s="45" t="n">
        <f aca="false">IF(D1229="Purchase",E1229*M1229,0)</f>
        <v>180</v>
      </c>
    </row>
    <row r="1230" customFormat="false" ht="15" hidden="false" customHeight="false" outlineLevel="0" collapsed="false">
      <c r="A1230" s="39" t="s">
        <v>1554</v>
      </c>
      <c r="B1230" s="44" t="n">
        <v>46105</v>
      </c>
      <c r="C1230" s="39" t="s">
        <v>153</v>
      </c>
      <c r="D1230" s="39" t="s">
        <v>138</v>
      </c>
      <c r="E1230" s="39" t="n">
        <v>25</v>
      </c>
      <c r="F1230" s="39" t="str">
        <f aca="false">IF(COUNTIF(medicine_master!$A$2:$A$26,C1230)&gt;0,"Valid","Invalid")</f>
        <v>Valid</v>
      </c>
      <c r="G1230" s="39" t="str">
        <f aca="false">IFERROR(INDEX(medicine_master!$B$2:$B$26,MATCH($C1230,medicine_master!$A$2:$A$26,0)),"Not found")</f>
        <v>Atorvastatin 10mg</v>
      </c>
      <c r="H1230" s="39" t="str">
        <f aca="false">IFERROR(INDEX(medicine_master!$C$2:$C$26,MATCH($C1230,medicine_master!$A$2:$A$26,0)),"Not found")</f>
        <v>Cardiac</v>
      </c>
      <c r="I1230" s="39" t="n">
        <f aca="false">YEAR(B1230)</f>
        <v>2026</v>
      </c>
      <c r="J1230" s="39" t="n">
        <f aca="false">MONTH(B1230)</f>
        <v>3</v>
      </c>
      <c r="K1230" s="39" t="str">
        <f aca="false">TEXT(B1230,"mmm")</f>
        <v>Mar</v>
      </c>
      <c r="L1230" s="45" t="n">
        <f aca="false">IFERROR(INDEX(medicine_master!$I$2:$I$26,MATCH($C1230,medicine_master!$A$2:$A$26,0)),0)</f>
        <v>28</v>
      </c>
      <c r="M1230" s="45" t="n">
        <f aca="false">IFERROR(INDEX(medicine_master!$G$2:$G$26,MATCH($C1230,medicine_master!$A$2:$A$26,0)),0)</f>
        <v>19</v>
      </c>
      <c r="N1230" s="45" t="n">
        <f aca="false">IF(D1230="Sale",E1230*L1230,0)</f>
        <v>0</v>
      </c>
      <c r="O1230" s="45" t="n">
        <f aca="false">IF(D1230="Sale",E1230*M1230,0)</f>
        <v>0</v>
      </c>
      <c r="P1230" s="45" t="n">
        <f aca="false">N1230-O1230</f>
        <v>0</v>
      </c>
      <c r="Q1230" s="45" t="n">
        <f aca="false">IF(D1230="Purchase",E1230*M1230,0)</f>
        <v>475</v>
      </c>
    </row>
    <row r="1231" customFormat="false" ht="15" hidden="false" customHeight="false" outlineLevel="0" collapsed="false">
      <c r="A1231" s="39" t="s">
        <v>1555</v>
      </c>
      <c r="B1231" s="44" t="n">
        <v>46273</v>
      </c>
      <c r="C1231" s="39" t="s">
        <v>146</v>
      </c>
      <c r="D1231" s="39" t="s">
        <v>137</v>
      </c>
      <c r="E1231" s="39" t="n">
        <v>20</v>
      </c>
      <c r="F1231" s="39" t="str">
        <f aca="false">IF(COUNTIF(medicine_master!$A$2:$A$26,C1231)&gt;0,"Valid","Invalid")</f>
        <v>Valid</v>
      </c>
      <c r="G1231" s="39" t="str">
        <f aca="false">IFERROR(INDEX(medicine_master!$B$2:$B$26,MATCH($C1231,medicine_master!$A$2:$A$26,0)),"Not found")</f>
        <v>Diclofenac Gel</v>
      </c>
      <c r="H1231" s="39" t="str">
        <f aca="false">IFERROR(INDEX(medicine_master!$C$2:$C$26,MATCH($C1231,medicine_master!$A$2:$A$26,0)),"Not found")</f>
        <v>Pain Relief</v>
      </c>
      <c r="I1231" s="39" t="n">
        <f aca="false">YEAR(B1231)</f>
        <v>2026</v>
      </c>
      <c r="J1231" s="39" t="n">
        <f aca="false">MONTH(B1231)</f>
        <v>9</v>
      </c>
      <c r="K1231" s="39" t="str">
        <f aca="false">TEXT(B1231,"mmm")</f>
        <v>Sep</v>
      </c>
      <c r="L1231" s="45" t="n">
        <f aca="false">IFERROR(INDEX(medicine_master!$I$2:$I$26,MATCH($C1231,medicine_master!$A$2:$A$26,0)),0)</f>
        <v>55</v>
      </c>
      <c r="M1231" s="45" t="n">
        <f aca="false">IFERROR(INDEX(medicine_master!$G$2:$G$26,MATCH($C1231,medicine_master!$A$2:$A$26,0)),0)</f>
        <v>38</v>
      </c>
      <c r="N1231" s="45" t="n">
        <f aca="false">IF(D1231="Sale",E1231*L1231,0)</f>
        <v>1100</v>
      </c>
      <c r="O1231" s="45" t="n">
        <f aca="false">IF(D1231="Sale",E1231*M1231,0)</f>
        <v>760</v>
      </c>
      <c r="P1231" s="45" t="n">
        <f aca="false">N1231-O1231</f>
        <v>340</v>
      </c>
      <c r="Q1231" s="45" t="n">
        <f aca="false">IF(D1231="Purchase",E1231*M1231,0)</f>
        <v>0</v>
      </c>
    </row>
    <row r="1232" customFormat="false" ht="15" hidden="false" customHeight="false" outlineLevel="0" collapsed="false">
      <c r="A1232" s="39" t="s">
        <v>1556</v>
      </c>
      <c r="B1232" s="44" t="n">
        <v>46348</v>
      </c>
      <c r="C1232" s="39" t="s">
        <v>178</v>
      </c>
      <c r="D1232" s="39" t="s">
        <v>137</v>
      </c>
      <c r="E1232" s="39" t="n">
        <v>25</v>
      </c>
      <c r="F1232" s="39" t="str">
        <f aca="false">IF(COUNTIF(medicine_master!$A$2:$A$26,C1232)&gt;0,"Valid","Invalid")</f>
        <v>Valid</v>
      </c>
      <c r="G1232" s="39" t="str">
        <f aca="false">IFERROR(INDEX(medicine_master!$B$2:$B$26,MATCH($C1232,medicine_master!$A$2:$A$26,0)),"Not found")</f>
        <v>Aspirin 75mg</v>
      </c>
      <c r="H1232" s="39" t="str">
        <f aca="false">IFERROR(INDEX(medicine_master!$C$2:$C$26,MATCH($C1232,medicine_master!$A$2:$A$26,0)),"Not found")</f>
        <v>Cardiac</v>
      </c>
      <c r="I1232" s="39" t="n">
        <f aca="false">YEAR(B1232)</f>
        <v>2026</v>
      </c>
      <c r="J1232" s="39" t="n">
        <f aca="false">MONTH(B1232)</f>
        <v>11</v>
      </c>
      <c r="K1232" s="39" t="str">
        <f aca="false">TEXT(B1232,"mmm")</f>
        <v>Nov</v>
      </c>
      <c r="L1232" s="45" t="n">
        <f aca="false">IFERROR(INDEX(medicine_master!$I$2:$I$26,MATCH($C1232,medicine_master!$A$2:$A$26,0)),0)</f>
        <v>15</v>
      </c>
      <c r="M1232" s="45" t="n">
        <f aca="false">IFERROR(INDEX(medicine_master!$G$2:$G$26,MATCH($C1232,medicine_master!$A$2:$A$26,0)),0)</f>
        <v>10</v>
      </c>
      <c r="N1232" s="45" t="n">
        <f aca="false">IF(D1232="Sale",E1232*L1232,0)</f>
        <v>375</v>
      </c>
      <c r="O1232" s="45" t="n">
        <f aca="false">IF(D1232="Sale",E1232*M1232,0)</f>
        <v>250</v>
      </c>
      <c r="P1232" s="45" t="n">
        <f aca="false">N1232-O1232</f>
        <v>125</v>
      </c>
      <c r="Q1232" s="45" t="n">
        <f aca="false">IF(D1232="Purchase",E1232*M1232,0)</f>
        <v>0</v>
      </c>
    </row>
    <row r="1233" customFormat="false" ht="15" hidden="false" customHeight="false" outlineLevel="0" collapsed="false">
      <c r="A1233" s="39" t="s">
        <v>1557</v>
      </c>
      <c r="B1233" s="44" t="n">
        <v>46347</v>
      </c>
      <c r="C1233" s="39" t="s">
        <v>178</v>
      </c>
      <c r="D1233" s="39" t="s">
        <v>137</v>
      </c>
      <c r="E1233" s="39" t="n">
        <v>20</v>
      </c>
      <c r="F1233" s="39" t="str">
        <f aca="false">IF(COUNTIF(medicine_master!$A$2:$A$26,C1233)&gt;0,"Valid","Invalid")</f>
        <v>Valid</v>
      </c>
      <c r="G1233" s="39" t="str">
        <f aca="false">IFERROR(INDEX(medicine_master!$B$2:$B$26,MATCH($C1233,medicine_master!$A$2:$A$26,0)),"Not found")</f>
        <v>Aspirin 75mg</v>
      </c>
      <c r="H1233" s="39" t="str">
        <f aca="false">IFERROR(INDEX(medicine_master!$C$2:$C$26,MATCH($C1233,medicine_master!$A$2:$A$26,0)),"Not found")</f>
        <v>Cardiac</v>
      </c>
      <c r="I1233" s="39" t="n">
        <f aca="false">YEAR(B1233)</f>
        <v>2026</v>
      </c>
      <c r="J1233" s="39" t="n">
        <f aca="false">MONTH(B1233)</f>
        <v>11</v>
      </c>
      <c r="K1233" s="39" t="str">
        <f aca="false">TEXT(B1233,"mmm")</f>
        <v>Nov</v>
      </c>
      <c r="L1233" s="45" t="n">
        <f aca="false">IFERROR(INDEX(medicine_master!$I$2:$I$26,MATCH($C1233,medicine_master!$A$2:$A$26,0)),0)</f>
        <v>15</v>
      </c>
      <c r="M1233" s="45" t="n">
        <f aca="false">IFERROR(INDEX(medicine_master!$G$2:$G$26,MATCH($C1233,medicine_master!$A$2:$A$26,0)),0)</f>
        <v>10</v>
      </c>
      <c r="N1233" s="45" t="n">
        <f aca="false">IF(D1233="Sale",E1233*L1233,0)</f>
        <v>300</v>
      </c>
      <c r="O1233" s="45" t="n">
        <f aca="false">IF(D1233="Sale",E1233*M1233,0)</f>
        <v>200</v>
      </c>
      <c r="P1233" s="45" t="n">
        <f aca="false">N1233-O1233</f>
        <v>100</v>
      </c>
      <c r="Q1233" s="45" t="n">
        <f aca="false">IF(D1233="Purchase",E1233*M1233,0)</f>
        <v>0</v>
      </c>
    </row>
    <row r="1234" customFormat="false" ht="15" hidden="false" customHeight="false" outlineLevel="0" collapsed="false">
      <c r="A1234" s="39" t="s">
        <v>1558</v>
      </c>
      <c r="B1234" s="44" t="n">
        <v>46365</v>
      </c>
      <c r="C1234" s="39" t="s">
        <v>495</v>
      </c>
      <c r="D1234" s="39" t="s">
        <v>137</v>
      </c>
      <c r="E1234" s="39" t="n">
        <v>50</v>
      </c>
      <c r="F1234" s="39" t="str">
        <f aca="false">IF(COUNTIF(medicine_master!$A$2:$A$26,C1234)&gt;0,"Valid","Invalid")</f>
        <v>Valid</v>
      </c>
      <c r="G1234" s="39" t="str">
        <f aca="false">IFERROR(INDEX(medicine_master!$B$2:$B$26,MATCH($C1234,medicine_master!$A$2:$A$26,0)),"Not found")</f>
        <v>Metformin 500mg</v>
      </c>
      <c r="H1234" s="39" t="str">
        <f aca="false">IFERROR(INDEX(medicine_master!$C$2:$C$26,MATCH($C1234,medicine_master!$A$2:$A$26,0)),"Not found")</f>
        <v>Diabetes</v>
      </c>
      <c r="I1234" s="39" t="n">
        <f aca="false">YEAR(B1234)</f>
        <v>2026</v>
      </c>
      <c r="J1234" s="39" t="n">
        <f aca="false">MONTH(B1234)</f>
        <v>12</v>
      </c>
      <c r="K1234" s="39" t="str">
        <f aca="false">TEXT(B1234,"mmm")</f>
        <v>Dec</v>
      </c>
      <c r="L1234" s="45" t="n">
        <f aca="false">IFERROR(INDEX(medicine_master!$I$2:$I$26,MATCH($C1234,medicine_master!$A$2:$A$26,0)),0)</f>
        <v>24</v>
      </c>
      <c r="M1234" s="45" t="n">
        <f aca="false">IFERROR(INDEX(medicine_master!$G$2:$G$26,MATCH($C1234,medicine_master!$A$2:$A$26,0)),0)</f>
        <v>16</v>
      </c>
      <c r="N1234" s="45" t="n">
        <f aca="false">IF(D1234="Sale",E1234*L1234,0)</f>
        <v>1200</v>
      </c>
      <c r="O1234" s="45" t="n">
        <f aca="false">IF(D1234="Sale",E1234*M1234,0)</f>
        <v>800</v>
      </c>
      <c r="P1234" s="45" t="n">
        <f aca="false">N1234-O1234</f>
        <v>400</v>
      </c>
      <c r="Q1234" s="45" t="n">
        <f aca="false">IF(D1234="Purchase",E1234*M1234,0)</f>
        <v>0</v>
      </c>
    </row>
    <row r="1235" customFormat="false" ht="15" hidden="false" customHeight="false" outlineLevel="0" collapsed="false">
      <c r="A1235" s="39" t="s">
        <v>1559</v>
      </c>
      <c r="B1235" s="44" t="n">
        <v>46076</v>
      </c>
      <c r="C1235" s="39" t="s">
        <v>177</v>
      </c>
      <c r="D1235" s="39" t="s">
        <v>137</v>
      </c>
      <c r="E1235" s="39" t="n">
        <v>25</v>
      </c>
      <c r="F1235" s="39" t="str">
        <f aca="false">IF(COUNTIF(medicine_master!$A$2:$A$26,C1235)&gt;0,"Valid","Invalid")</f>
        <v>Valid</v>
      </c>
      <c r="G1235" s="39" t="str">
        <f aca="false">IFERROR(INDEX(medicine_master!$B$2:$B$26,MATCH($C1235,medicine_master!$A$2:$A$26,0)),"Not found")</f>
        <v>Bandage Roll</v>
      </c>
      <c r="H1235" s="39" t="str">
        <f aca="false">IFERROR(INDEX(medicine_master!$C$2:$C$26,MATCH($C1235,medicine_master!$A$2:$A$26,0)),"Not found")</f>
        <v>First Aid</v>
      </c>
      <c r="I1235" s="39" t="n">
        <f aca="false">YEAR(B1235)</f>
        <v>2026</v>
      </c>
      <c r="J1235" s="39" t="n">
        <f aca="false">MONTH(B1235)</f>
        <v>2</v>
      </c>
      <c r="K1235" s="39" t="str">
        <f aca="false">TEXT(B1235,"mmm")</f>
        <v>Feb</v>
      </c>
      <c r="L1235" s="45" t="n">
        <f aca="false">IFERROR(INDEX(medicine_master!$I$2:$I$26,MATCH($C1235,medicine_master!$A$2:$A$26,0)),0)</f>
        <v>25</v>
      </c>
      <c r="M1235" s="45" t="n">
        <f aca="false">IFERROR(INDEX(medicine_master!$G$2:$G$26,MATCH($C1235,medicine_master!$A$2:$A$26,0)),0)</f>
        <v>15</v>
      </c>
      <c r="N1235" s="45" t="n">
        <f aca="false">IF(D1235="Sale",E1235*L1235,0)</f>
        <v>625</v>
      </c>
      <c r="O1235" s="45" t="n">
        <f aca="false">IF(D1235="Sale",E1235*M1235,0)</f>
        <v>375</v>
      </c>
      <c r="P1235" s="45" t="n">
        <f aca="false">N1235-O1235</f>
        <v>250</v>
      </c>
      <c r="Q1235" s="45" t="n">
        <f aca="false">IF(D1235="Purchase",E1235*M1235,0)</f>
        <v>0</v>
      </c>
    </row>
    <row r="1236" customFormat="false" ht="15" hidden="false" customHeight="false" outlineLevel="0" collapsed="false">
      <c r="A1236" s="39" t="s">
        <v>1560</v>
      </c>
      <c r="B1236" s="44" t="n">
        <v>46215</v>
      </c>
      <c r="C1236" s="39" t="s">
        <v>390</v>
      </c>
      <c r="D1236" s="39" t="s">
        <v>138</v>
      </c>
      <c r="E1236" s="39" t="n">
        <v>20</v>
      </c>
      <c r="F1236" s="39" t="str">
        <f aca="false">IF(COUNTIF(medicine_master!$A$2:$A$26,C1236)&gt;0,"Valid","Invalid")</f>
        <v>Valid</v>
      </c>
      <c r="G1236" s="39" t="str">
        <f aca="false">IFERROR(INDEX(medicine_master!$B$2:$B$26,MATCH($C1236,medicine_master!$A$2:$A$26,0)),"Not found")</f>
        <v>Montelukast 10mg</v>
      </c>
      <c r="H1236" s="39" t="str">
        <f aca="false">IFERROR(INDEX(medicine_master!$C$2:$C$26,MATCH($C1236,medicine_master!$A$2:$A$26,0)),"Not found")</f>
        <v>Allergy</v>
      </c>
      <c r="I1236" s="39" t="n">
        <f aca="false">YEAR(B1236)</f>
        <v>2026</v>
      </c>
      <c r="J1236" s="39" t="n">
        <f aca="false">MONTH(B1236)</f>
        <v>7</v>
      </c>
      <c r="K1236" s="39" t="str">
        <f aca="false">TEXT(B1236,"mmm")</f>
        <v>Jul</v>
      </c>
      <c r="L1236" s="45" t="n">
        <f aca="false">IFERROR(INDEX(medicine_master!$I$2:$I$26,MATCH($C1236,medicine_master!$A$2:$A$26,0)),0)</f>
        <v>39</v>
      </c>
      <c r="M1236" s="45" t="n">
        <f aca="false">IFERROR(INDEX(medicine_master!$G$2:$G$26,MATCH($C1236,medicine_master!$A$2:$A$26,0)),0)</f>
        <v>27</v>
      </c>
      <c r="N1236" s="45" t="n">
        <f aca="false">IF(D1236="Sale",E1236*L1236,0)</f>
        <v>0</v>
      </c>
      <c r="O1236" s="45" t="n">
        <f aca="false">IF(D1236="Sale",E1236*M1236,0)</f>
        <v>0</v>
      </c>
      <c r="P1236" s="45" t="n">
        <f aca="false">N1236-O1236</f>
        <v>0</v>
      </c>
      <c r="Q1236" s="45" t="n">
        <f aca="false">IF(D1236="Purchase",E1236*M1236,0)</f>
        <v>540</v>
      </c>
    </row>
    <row r="1237" customFormat="false" ht="15" hidden="false" customHeight="false" outlineLevel="0" collapsed="false">
      <c r="A1237" s="39" t="s">
        <v>1561</v>
      </c>
      <c r="B1237" s="44" t="n">
        <v>46362</v>
      </c>
      <c r="C1237" s="39" t="s">
        <v>158</v>
      </c>
      <c r="D1237" s="39" t="s">
        <v>137</v>
      </c>
      <c r="E1237" s="39" t="n">
        <v>25</v>
      </c>
      <c r="F1237" s="39" t="str">
        <f aca="false">IF(COUNTIF(medicine_master!$A$2:$A$26,C1237)&gt;0,"Valid","Invalid")</f>
        <v>Valid</v>
      </c>
      <c r="G1237" s="39" t="str">
        <f aca="false">IFERROR(INDEX(medicine_master!$B$2:$B$26,MATCH($C1237,medicine_master!$A$2:$A$26,0)),"Not found")</f>
        <v>Cough Syrup 100ml</v>
      </c>
      <c r="H1237" s="39" t="str">
        <f aca="false">IFERROR(INDEX(medicine_master!$C$2:$C$26,MATCH($C1237,medicine_master!$A$2:$A$26,0)),"Not found")</f>
        <v>Cold &amp; Cough</v>
      </c>
      <c r="I1237" s="39" t="n">
        <f aca="false">YEAR(B1237)</f>
        <v>2026</v>
      </c>
      <c r="J1237" s="39" t="n">
        <f aca="false">MONTH(B1237)</f>
        <v>12</v>
      </c>
      <c r="K1237" s="39" t="str">
        <f aca="false">TEXT(B1237,"mmm")</f>
        <v>Dec</v>
      </c>
      <c r="L1237" s="45" t="n">
        <f aca="false">IFERROR(INDEX(medicine_master!$I$2:$I$26,MATCH($C1237,medicine_master!$A$2:$A$26,0)),0)</f>
        <v>72</v>
      </c>
      <c r="M1237" s="45" t="n">
        <f aca="false">IFERROR(INDEX(medicine_master!$G$2:$G$26,MATCH($C1237,medicine_master!$A$2:$A$26,0)),0)</f>
        <v>52</v>
      </c>
      <c r="N1237" s="45" t="n">
        <f aca="false">IF(D1237="Sale",E1237*L1237,0)</f>
        <v>1800</v>
      </c>
      <c r="O1237" s="45" t="n">
        <f aca="false">IF(D1237="Sale",E1237*M1237,0)</f>
        <v>1300</v>
      </c>
      <c r="P1237" s="45" t="n">
        <f aca="false">N1237-O1237</f>
        <v>500</v>
      </c>
      <c r="Q1237" s="45" t="n">
        <f aca="false">IF(D1237="Purchase",E1237*M1237,0)</f>
        <v>0</v>
      </c>
    </row>
    <row r="1238" customFormat="false" ht="15" hidden="false" customHeight="false" outlineLevel="0" collapsed="false">
      <c r="A1238" s="39" t="s">
        <v>1562</v>
      </c>
      <c r="B1238" s="44" t="n">
        <v>46183</v>
      </c>
      <c r="C1238" s="39" t="s">
        <v>151</v>
      </c>
      <c r="D1238" s="39" t="s">
        <v>137</v>
      </c>
      <c r="E1238" s="39" t="n">
        <v>25</v>
      </c>
      <c r="F1238" s="39" t="str">
        <f aca="false">IF(COUNTIF(medicine_master!$A$2:$A$26,C1238)&gt;0,"Valid","Invalid")</f>
        <v>Valid</v>
      </c>
      <c r="G1238" s="39" t="str">
        <f aca="false">IFERROR(INDEX(medicine_master!$B$2:$B$26,MATCH($C1238,medicine_master!$A$2:$A$26,0)),"Not found")</f>
        <v>Cetirizine 10mg</v>
      </c>
      <c r="H1238" s="39" t="str">
        <f aca="false">IFERROR(INDEX(medicine_master!$C$2:$C$26,MATCH($C1238,medicine_master!$A$2:$A$26,0)),"Not found")</f>
        <v>Allergy</v>
      </c>
      <c r="I1238" s="39" t="n">
        <f aca="false">YEAR(B1238)</f>
        <v>2026</v>
      </c>
      <c r="J1238" s="39" t="n">
        <f aca="false">MONTH(B1238)</f>
        <v>6</v>
      </c>
      <c r="K1238" s="39" t="str">
        <f aca="false">TEXT(B1238,"mmm")</f>
        <v>Jun</v>
      </c>
      <c r="L1238" s="45" t="n">
        <f aca="false">IFERROR(INDEX(medicine_master!$I$2:$I$26,MATCH($C1238,medicine_master!$A$2:$A$26,0)),0)</f>
        <v>13</v>
      </c>
      <c r="M1238" s="45" t="n">
        <f aca="false">IFERROR(INDEX(medicine_master!$G$2:$G$26,MATCH($C1238,medicine_master!$A$2:$A$26,0)),0)</f>
        <v>8</v>
      </c>
      <c r="N1238" s="45" t="n">
        <f aca="false">IF(D1238="Sale",E1238*L1238,0)</f>
        <v>325</v>
      </c>
      <c r="O1238" s="45" t="n">
        <f aca="false">IF(D1238="Sale",E1238*M1238,0)</f>
        <v>200</v>
      </c>
      <c r="P1238" s="45" t="n">
        <f aca="false">N1238-O1238</f>
        <v>125</v>
      </c>
      <c r="Q1238" s="45" t="n">
        <f aca="false">IF(D1238="Purchase",E1238*M1238,0)</f>
        <v>0</v>
      </c>
    </row>
    <row r="1239" customFormat="false" ht="15" hidden="false" customHeight="false" outlineLevel="0" collapsed="false">
      <c r="A1239" s="39" t="s">
        <v>1563</v>
      </c>
      <c r="B1239" s="44" t="n">
        <v>46386</v>
      </c>
      <c r="C1239" s="39" t="s">
        <v>144</v>
      </c>
      <c r="D1239" s="39" t="s">
        <v>137</v>
      </c>
      <c r="E1239" s="39" t="n">
        <v>15</v>
      </c>
      <c r="F1239" s="39" t="str">
        <f aca="false">IF(COUNTIF(medicine_master!$A$2:$A$26,C1239)&gt;0,"Valid","Invalid")</f>
        <v>Valid</v>
      </c>
      <c r="G1239" s="39" t="str">
        <f aca="false">IFERROR(INDEX(medicine_master!$B$2:$B$26,MATCH($C1239,medicine_master!$A$2:$A$26,0)),"Not found")</f>
        <v>Glimepiride 2mg</v>
      </c>
      <c r="H1239" s="39" t="str">
        <f aca="false">IFERROR(INDEX(medicine_master!$C$2:$C$26,MATCH($C1239,medicine_master!$A$2:$A$26,0)),"Not found")</f>
        <v>Diabetes</v>
      </c>
      <c r="I1239" s="39" t="n">
        <f aca="false">YEAR(B1239)</f>
        <v>2026</v>
      </c>
      <c r="J1239" s="39" t="n">
        <f aca="false">MONTH(B1239)</f>
        <v>12</v>
      </c>
      <c r="K1239" s="39" t="str">
        <f aca="false">TEXT(B1239,"mmm")</f>
        <v>Dec</v>
      </c>
      <c r="L1239" s="45" t="n">
        <f aca="false">IFERROR(INDEX(medicine_master!$I$2:$I$26,MATCH($C1239,medicine_master!$A$2:$A$26,0)),0)</f>
        <v>52</v>
      </c>
      <c r="M1239" s="45" t="n">
        <f aca="false">IFERROR(INDEX(medicine_master!$G$2:$G$26,MATCH($C1239,medicine_master!$A$2:$A$26,0)),0)</f>
        <v>38</v>
      </c>
      <c r="N1239" s="45" t="n">
        <f aca="false">IF(D1239="Sale",E1239*L1239,0)</f>
        <v>780</v>
      </c>
      <c r="O1239" s="45" t="n">
        <f aca="false">IF(D1239="Sale",E1239*M1239,0)</f>
        <v>570</v>
      </c>
      <c r="P1239" s="45" t="n">
        <f aca="false">N1239-O1239</f>
        <v>210</v>
      </c>
      <c r="Q1239" s="45" t="n">
        <f aca="false">IF(D1239="Purchase",E1239*M1239,0)</f>
        <v>0</v>
      </c>
    </row>
    <row r="1240" customFormat="false" ht="15" hidden="false" customHeight="false" outlineLevel="0" collapsed="false">
      <c r="A1240" s="39" t="s">
        <v>1564</v>
      </c>
      <c r="B1240" s="44" t="n">
        <v>46189</v>
      </c>
      <c r="C1240" s="39" t="s">
        <v>149</v>
      </c>
      <c r="D1240" s="39" t="s">
        <v>137</v>
      </c>
      <c r="E1240" s="39" t="n">
        <v>50</v>
      </c>
      <c r="F1240" s="39" t="str">
        <f aca="false">IF(COUNTIF(medicine_master!$A$2:$A$26,C1240)&gt;0,"Valid","Invalid")</f>
        <v>Valid</v>
      </c>
      <c r="G1240" s="39" t="str">
        <f aca="false">IFERROR(INDEX(medicine_master!$B$2:$B$26,MATCH($C1240,medicine_master!$A$2:$A$26,0)),"Not found")</f>
        <v>Azithromycin 500mg</v>
      </c>
      <c r="H1240" s="39" t="str">
        <f aca="false">IFERROR(INDEX(medicine_master!$C$2:$C$26,MATCH($C1240,medicine_master!$A$2:$A$26,0)),"Not found")</f>
        <v>Antibiotic</v>
      </c>
      <c r="I1240" s="39" t="n">
        <f aca="false">YEAR(B1240)</f>
        <v>2026</v>
      </c>
      <c r="J1240" s="39" t="n">
        <f aca="false">MONTH(B1240)</f>
        <v>6</v>
      </c>
      <c r="K1240" s="39" t="str">
        <f aca="false">TEXT(B1240,"mmm")</f>
        <v>Jun</v>
      </c>
      <c r="L1240" s="45" t="n">
        <f aca="false">IFERROR(INDEX(medicine_master!$I$2:$I$26,MATCH($C1240,medicine_master!$A$2:$A$26,0)),0)</f>
        <v>50</v>
      </c>
      <c r="M1240" s="45" t="n">
        <f aca="false">IFERROR(INDEX(medicine_master!$G$2:$G$26,MATCH($C1240,medicine_master!$A$2:$A$26,0)),0)</f>
        <v>35</v>
      </c>
      <c r="N1240" s="45" t="n">
        <f aca="false">IF(D1240="Sale",E1240*L1240,0)</f>
        <v>2500</v>
      </c>
      <c r="O1240" s="45" t="n">
        <f aca="false">IF(D1240="Sale",E1240*M1240,0)</f>
        <v>1750</v>
      </c>
      <c r="P1240" s="45" t="n">
        <f aca="false">N1240-O1240</f>
        <v>750</v>
      </c>
      <c r="Q1240" s="45" t="n">
        <f aca="false">IF(D1240="Purchase",E1240*M1240,0)</f>
        <v>0</v>
      </c>
    </row>
    <row r="1241" customFormat="false" ht="15" hidden="false" customHeight="false" outlineLevel="0" collapsed="false">
      <c r="A1241" s="39" t="s">
        <v>1565</v>
      </c>
      <c r="B1241" s="44" t="n">
        <v>46195</v>
      </c>
      <c r="C1241" s="39" t="s">
        <v>495</v>
      </c>
      <c r="D1241" s="39" t="s">
        <v>138</v>
      </c>
      <c r="E1241" s="39" t="n">
        <v>5</v>
      </c>
      <c r="F1241" s="39" t="str">
        <f aca="false">IF(COUNTIF(medicine_master!$A$2:$A$26,C1241)&gt;0,"Valid","Invalid")</f>
        <v>Valid</v>
      </c>
      <c r="G1241" s="39" t="str">
        <f aca="false">IFERROR(INDEX(medicine_master!$B$2:$B$26,MATCH($C1241,medicine_master!$A$2:$A$26,0)),"Not found")</f>
        <v>Metformin 500mg</v>
      </c>
      <c r="H1241" s="39" t="str">
        <f aca="false">IFERROR(INDEX(medicine_master!$C$2:$C$26,MATCH($C1241,medicine_master!$A$2:$A$26,0)),"Not found")</f>
        <v>Diabetes</v>
      </c>
      <c r="I1241" s="39" t="n">
        <f aca="false">YEAR(B1241)</f>
        <v>2026</v>
      </c>
      <c r="J1241" s="39" t="n">
        <f aca="false">MONTH(B1241)</f>
        <v>6</v>
      </c>
      <c r="K1241" s="39" t="str">
        <f aca="false">TEXT(B1241,"mmm")</f>
        <v>Jun</v>
      </c>
      <c r="L1241" s="45" t="n">
        <f aca="false">IFERROR(INDEX(medicine_master!$I$2:$I$26,MATCH($C1241,medicine_master!$A$2:$A$26,0)),0)</f>
        <v>24</v>
      </c>
      <c r="M1241" s="45" t="n">
        <f aca="false">IFERROR(INDEX(medicine_master!$G$2:$G$26,MATCH($C1241,medicine_master!$A$2:$A$26,0)),0)</f>
        <v>16</v>
      </c>
      <c r="N1241" s="45" t="n">
        <f aca="false">IF(D1241="Sale",E1241*L1241,0)</f>
        <v>0</v>
      </c>
      <c r="O1241" s="45" t="n">
        <f aca="false">IF(D1241="Sale",E1241*M1241,0)</f>
        <v>0</v>
      </c>
      <c r="P1241" s="45" t="n">
        <f aca="false">N1241-O1241</f>
        <v>0</v>
      </c>
      <c r="Q1241" s="45" t="n">
        <f aca="false">IF(D1241="Purchase",E1241*M1241,0)</f>
        <v>80</v>
      </c>
    </row>
    <row r="1242" customFormat="false" ht="15" hidden="false" customHeight="false" outlineLevel="0" collapsed="false">
      <c r="A1242" s="39" t="s">
        <v>1566</v>
      </c>
      <c r="B1242" s="44" t="n">
        <v>46108</v>
      </c>
      <c r="C1242" s="39" t="s">
        <v>146</v>
      </c>
      <c r="D1242" s="39" t="s">
        <v>137</v>
      </c>
      <c r="E1242" s="39" t="n">
        <v>30</v>
      </c>
      <c r="F1242" s="39" t="str">
        <f aca="false">IF(COUNTIF(medicine_master!$A$2:$A$26,C1242)&gt;0,"Valid","Invalid")</f>
        <v>Valid</v>
      </c>
      <c r="G1242" s="39" t="str">
        <f aca="false">IFERROR(INDEX(medicine_master!$B$2:$B$26,MATCH($C1242,medicine_master!$A$2:$A$26,0)),"Not found")</f>
        <v>Diclofenac Gel</v>
      </c>
      <c r="H1242" s="39" t="str">
        <f aca="false">IFERROR(INDEX(medicine_master!$C$2:$C$26,MATCH($C1242,medicine_master!$A$2:$A$26,0)),"Not found")</f>
        <v>Pain Relief</v>
      </c>
      <c r="I1242" s="39" t="n">
        <f aca="false">YEAR(B1242)</f>
        <v>2026</v>
      </c>
      <c r="J1242" s="39" t="n">
        <f aca="false">MONTH(B1242)</f>
        <v>3</v>
      </c>
      <c r="K1242" s="39" t="str">
        <f aca="false">TEXT(B1242,"mmm")</f>
        <v>Mar</v>
      </c>
      <c r="L1242" s="45" t="n">
        <f aca="false">IFERROR(INDEX(medicine_master!$I$2:$I$26,MATCH($C1242,medicine_master!$A$2:$A$26,0)),0)</f>
        <v>55</v>
      </c>
      <c r="M1242" s="45" t="n">
        <f aca="false">IFERROR(INDEX(medicine_master!$G$2:$G$26,MATCH($C1242,medicine_master!$A$2:$A$26,0)),0)</f>
        <v>38</v>
      </c>
      <c r="N1242" s="45" t="n">
        <f aca="false">IF(D1242="Sale",E1242*L1242,0)</f>
        <v>1650</v>
      </c>
      <c r="O1242" s="45" t="n">
        <f aca="false">IF(D1242="Sale",E1242*M1242,0)</f>
        <v>1140</v>
      </c>
      <c r="P1242" s="45" t="n">
        <f aca="false">N1242-O1242</f>
        <v>510</v>
      </c>
      <c r="Q1242" s="45" t="n">
        <f aca="false">IF(D1242="Purchase",E1242*M1242,0)</f>
        <v>0</v>
      </c>
    </row>
    <row r="1243" customFormat="false" ht="15" hidden="false" customHeight="false" outlineLevel="0" collapsed="false">
      <c r="A1243" s="39" t="s">
        <v>1567</v>
      </c>
      <c r="B1243" s="44" t="n">
        <v>46065</v>
      </c>
      <c r="C1243" s="39" t="s">
        <v>404</v>
      </c>
      <c r="D1243" s="39" t="s">
        <v>138</v>
      </c>
      <c r="E1243" s="39" t="n">
        <v>25</v>
      </c>
      <c r="F1243" s="39" t="str">
        <f aca="false">IF(COUNTIF(medicine_master!$A$2:$A$26,C1243)&gt;0,"Valid","Invalid")</f>
        <v>Valid</v>
      </c>
      <c r="G1243" s="39" t="str">
        <f aca="false">IFERROR(INDEX(medicine_master!$B$2:$B$26,MATCH($C1243,medicine_master!$A$2:$A$26,0)),"Not found")</f>
        <v>ORS Sachet</v>
      </c>
      <c r="H1243" s="39" t="str">
        <f aca="false">IFERROR(INDEX(medicine_master!$C$2:$C$26,MATCH($C1243,medicine_master!$A$2:$A$26,0)),"Not found")</f>
        <v>First Aid</v>
      </c>
      <c r="I1243" s="39" t="n">
        <f aca="false">YEAR(B1243)</f>
        <v>2026</v>
      </c>
      <c r="J1243" s="39" t="n">
        <f aca="false">MONTH(B1243)</f>
        <v>2</v>
      </c>
      <c r="K1243" s="39" t="str">
        <f aca="false">TEXT(B1243,"mmm")</f>
        <v>Feb</v>
      </c>
      <c r="L1243" s="45" t="n">
        <f aca="false">IFERROR(INDEX(medicine_master!$I$2:$I$26,MATCH($C1243,medicine_master!$A$2:$A$26,0)),0)</f>
        <v>10</v>
      </c>
      <c r="M1243" s="45" t="n">
        <f aca="false">IFERROR(INDEX(medicine_master!$G$2:$G$26,MATCH($C1243,medicine_master!$A$2:$A$26,0)),0)</f>
        <v>6</v>
      </c>
      <c r="N1243" s="45" t="n">
        <f aca="false">IF(D1243="Sale",E1243*L1243,0)</f>
        <v>0</v>
      </c>
      <c r="O1243" s="45" t="n">
        <f aca="false">IF(D1243="Sale",E1243*M1243,0)</f>
        <v>0</v>
      </c>
      <c r="P1243" s="45" t="n">
        <f aca="false">N1243-O1243</f>
        <v>0</v>
      </c>
      <c r="Q1243" s="45" t="n">
        <f aca="false">IF(D1243="Purchase",E1243*M1243,0)</f>
        <v>150</v>
      </c>
    </row>
    <row r="1244" customFormat="false" ht="15" hidden="false" customHeight="false" outlineLevel="0" collapsed="false">
      <c r="A1244" s="39" t="s">
        <v>1568</v>
      </c>
      <c r="B1244" s="44" t="n">
        <v>46368</v>
      </c>
      <c r="C1244" s="39" t="s">
        <v>177</v>
      </c>
      <c r="D1244" s="39" t="s">
        <v>138</v>
      </c>
      <c r="E1244" s="39" t="n">
        <v>15</v>
      </c>
      <c r="F1244" s="39" t="str">
        <f aca="false">IF(COUNTIF(medicine_master!$A$2:$A$26,C1244)&gt;0,"Valid","Invalid")</f>
        <v>Valid</v>
      </c>
      <c r="G1244" s="39" t="str">
        <f aca="false">IFERROR(INDEX(medicine_master!$B$2:$B$26,MATCH($C1244,medicine_master!$A$2:$A$26,0)),"Not found")</f>
        <v>Bandage Roll</v>
      </c>
      <c r="H1244" s="39" t="str">
        <f aca="false">IFERROR(INDEX(medicine_master!$C$2:$C$26,MATCH($C1244,medicine_master!$A$2:$A$26,0)),"Not found")</f>
        <v>First Aid</v>
      </c>
      <c r="I1244" s="39" t="n">
        <f aca="false">YEAR(B1244)</f>
        <v>2026</v>
      </c>
      <c r="J1244" s="39" t="n">
        <f aca="false">MONTH(B1244)</f>
        <v>12</v>
      </c>
      <c r="K1244" s="39" t="str">
        <f aca="false">TEXT(B1244,"mmm")</f>
        <v>Dec</v>
      </c>
      <c r="L1244" s="45" t="n">
        <f aca="false">IFERROR(INDEX(medicine_master!$I$2:$I$26,MATCH($C1244,medicine_master!$A$2:$A$26,0)),0)</f>
        <v>25</v>
      </c>
      <c r="M1244" s="45" t="n">
        <f aca="false">IFERROR(INDEX(medicine_master!$G$2:$G$26,MATCH($C1244,medicine_master!$A$2:$A$26,0)),0)</f>
        <v>15</v>
      </c>
      <c r="N1244" s="45" t="n">
        <f aca="false">IF(D1244="Sale",E1244*L1244,0)</f>
        <v>0</v>
      </c>
      <c r="O1244" s="45" t="n">
        <f aca="false">IF(D1244="Sale",E1244*M1244,0)</f>
        <v>0</v>
      </c>
      <c r="P1244" s="45" t="n">
        <f aca="false">N1244-O1244</f>
        <v>0</v>
      </c>
      <c r="Q1244" s="45" t="n">
        <f aca="false">IF(D1244="Purchase",E1244*M1244,0)</f>
        <v>225</v>
      </c>
    </row>
    <row r="1245" customFormat="false" ht="15" hidden="false" customHeight="false" outlineLevel="0" collapsed="false">
      <c r="A1245" s="39" t="s">
        <v>1569</v>
      </c>
      <c r="B1245" s="44" t="n">
        <v>46099</v>
      </c>
      <c r="C1245" s="39" t="s">
        <v>326</v>
      </c>
      <c r="D1245" s="39" t="s">
        <v>138</v>
      </c>
      <c r="E1245" s="39" t="n">
        <v>5</v>
      </c>
      <c r="F1245" s="39" t="str">
        <f aca="false">IF(COUNTIF(medicine_master!$A$2:$A$26,C1245)&gt;0,"Valid","Invalid")</f>
        <v>Valid</v>
      </c>
      <c r="G1245" s="39" t="str">
        <f aca="false">IFERROR(INDEX(medicine_master!$B$2:$B$26,MATCH($C1245,medicine_master!$A$2:$A$26,0)),"Not found")</f>
        <v>Omeprazole 20mg</v>
      </c>
      <c r="H1245" s="39" t="str">
        <f aca="false">IFERROR(INDEX(medicine_master!$C$2:$C$26,MATCH($C1245,medicine_master!$A$2:$A$26,0)),"Not found")</f>
        <v>Gastric</v>
      </c>
      <c r="I1245" s="39" t="n">
        <f aca="false">YEAR(B1245)</f>
        <v>2026</v>
      </c>
      <c r="J1245" s="39" t="n">
        <f aca="false">MONTH(B1245)</f>
        <v>3</v>
      </c>
      <c r="K1245" s="39" t="str">
        <f aca="false">TEXT(B1245,"mmm")</f>
        <v>Mar</v>
      </c>
      <c r="L1245" s="45" t="n">
        <f aca="false">IFERROR(INDEX(medicine_master!$I$2:$I$26,MATCH($C1245,medicine_master!$A$2:$A$26,0)),0)</f>
        <v>26</v>
      </c>
      <c r="M1245" s="45" t="n">
        <f aca="false">IFERROR(INDEX(medicine_master!$G$2:$G$26,MATCH($C1245,medicine_master!$A$2:$A$26,0)),0)</f>
        <v>18</v>
      </c>
      <c r="N1245" s="45" t="n">
        <f aca="false">IF(D1245="Sale",E1245*L1245,0)</f>
        <v>0</v>
      </c>
      <c r="O1245" s="45" t="n">
        <f aca="false">IF(D1245="Sale",E1245*M1245,0)</f>
        <v>0</v>
      </c>
      <c r="P1245" s="45" t="n">
        <f aca="false">N1245-O1245</f>
        <v>0</v>
      </c>
      <c r="Q1245" s="45" t="n">
        <f aca="false">IF(D1245="Purchase",E1245*M1245,0)</f>
        <v>90</v>
      </c>
    </row>
    <row r="1246" customFormat="false" ht="15" hidden="false" customHeight="false" outlineLevel="0" collapsed="false">
      <c r="A1246" s="39" t="s">
        <v>1570</v>
      </c>
      <c r="B1246" s="44" t="n">
        <v>46061</v>
      </c>
      <c r="C1246" s="39" t="s">
        <v>404</v>
      </c>
      <c r="D1246" s="39" t="s">
        <v>137</v>
      </c>
      <c r="E1246" s="39" t="n">
        <v>25</v>
      </c>
      <c r="F1246" s="39" t="str">
        <f aca="false">IF(COUNTIF(medicine_master!$A$2:$A$26,C1246)&gt;0,"Valid","Invalid")</f>
        <v>Valid</v>
      </c>
      <c r="G1246" s="39" t="str">
        <f aca="false">IFERROR(INDEX(medicine_master!$B$2:$B$26,MATCH($C1246,medicine_master!$A$2:$A$26,0)),"Not found")</f>
        <v>ORS Sachet</v>
      </c>
      <c r="H1246" s="39" t="str">
        <f aca="false">IFERROR(INDEX(medicine_master!$C$2:$C$26,MATCH($C1246,medicine_master!$A$2:$A$26,0)),"Not found")</f>
        <v>First Aid</v>
      </c>
      <c r="I1246" s="39" t="n">
        <f aca="false">YEAR(B1246)</f>
        <v>2026</v>
      </c>
      <c r="J1246" s="39" t="n">
        <f aca="false">MONTH(B1246)</f>
        <v>2</v>
      </c>
      <c r="K1246" s="39" t="str">
        <f aca="false">TEXT(B1246,"mmm")</f>
        <v>Feb</v>
      </c>
      <c r="L1246" s="45" t="n">
        <f aca="false">IFERROR(INDEX(medicine_master!$I$2:$I$26,MATCH($C1246,medicine_master!$A$2:$A$26,0)),0)</f>
        <v>10</v>
      </c>
      <c r="M1246" s="45" t="n">
        <f aca="false">IFERROR(INDEX(medicine_master!$G$2:$G$26,MATCH($C1246,medicine_master!$A$2:$A$26,0)),0)</f>
        <v>6</v>
      </c>
      <c r="N1246" s="45" t="n">
        <f aca="false">IF(D1246="Sale",E1246*L1246,0)</f>
        <v>250</v>
      </c>
      <c r="O1246" s="45" t="n">
        <f aca="false">IF(D1246="Sale",E1246*M1246,0)</f>
        <v>150</v>
      </c>
      <c r="P1246" s="45" t="n">
        <f aca="false">N1246-O1246</f>
        <v>100</v>
      </c>
      <c r="Q1246" s="45" t="n">
        <f aca="false">IF(D1246="Purchase",E1246*M1246,0)</f>
        <v>0</v>
      </c>
    </row>
    <row r="1247" customFormat="false" ht="15" hidden="false" customHeight="false" outlineLevel="0" collapsed="false">
      <c r="A1247" s="39" t="s">
        <v>1571</v>
      </c>
      <c r="B1247" s="44" t="n">
        <v>46289</v>
      </c>
      <c r="C1247" s="39" t="s">
        <v>150</v>
      </c>
      <c r="D1247" s="39" t="s">
        <v>137</v>
      </c>
      <c r="E1247" s="39" t="n">
        <v>5</v>
      </c>
      <c r="F1247" s="39" t="str">
        <f aca="false">IF(COUNTIF(medicine_master!$A$2:$A$26,C1247)&gt;0,"Valid","Invalid")</f>
        <v>Valid</v>
      </c>
      <c r="G1247" s="39" t="str">
        <f aca="false">IFERROR(INDEX(medicine_master!$B$2:$B$26,MATCH($C1247,medicine_master!$A$2:$A$26,0)),"Not found")</f>
        <v>Pantoprazole 40mg</v>
      </c>
      <c r="H1247" s="39" t="str">
        <f aca="false">IFERROR(INDEX(medicine_master!$C$2:$C$26,MATCH($C1247,medicine_master!$A$2:$A$26,0)),"Not found")</f>
        <v>Gastric</v>
      </c>
      <c r="I1247" s="39" t="n">
        <f aca="false">YEAR(B1247)</f>
        <v>2026</v>
      </c>
      <c r="J1247" s="39" t="n">
        <f aca="false">MONTH(B1247)</f>
        <v>9</v>
      </c>
      <c r="K1247" s="39" t="str">
        <f aca="false">TEXT(B1247,"mmm")</f>
        <v>Sep</v>
      </c>
      <c r="L1247" s="45" t="n">
        <f aca="false">IFERROR(INDEX(medicine_master!$I$2:$I$26,MATCH($C1247,medicine_master!$A$2:$A$26,0)),0)</f>
        <v>35</v>
      </c>
      <c r="M1247" s="45" t="n">
        <f aca="false">IFERROR(INDEX(medicine_master!$G$2:$G$26,MATCH($C1247,medicine_master!$A$2:$A$26,0)),0)</f>
        <v>24</v>
      </c>
      <c r="N1247" s="45" t="n">
        <f aca="false">IF(D1247="Sale",E1247*L1247,0)</f>
        <v>175</v>
      </c>
      <c r="O1247" s="45" t="n">
        <f aca="false">IF(D1247="Sale",E1247*M1247,0)</f>
        <v>120</v>
      </c>
      <c r="P1247" s="45" t="n">
        <f aca="false">N1247-O1247</f>
        <v>55</v>
      </c>
      <c r="Q1247" s="45" t="n">
        <f aca="false">IF(D1247="Purchase",E1247*M1247,0)</f>
        <v>0</v>
      </c>
    </row>
    <row r="1248" customFormat="false" ht="15" hidden="false" customHeight="false" outlineLevel="0" collapsed="false">
      <c r="A1248" s="39" t="s">
        <v>1572</v>
      </c>
      <c r="B1248" s="44" t="n">
        <v>46297</v>
      </c>
      <c r="C1248" s="39" t="s">
        <v>158</v>
      </c>
      <c r="D1248" s="39" t="s">
        <v>138</v>
      </c>
      <c r="E1248" s="39" t="n">
        <v>15</v>
      </c>
      <c r="F1248" s="39" t="str">
        <f aca="false">IF(COUNTIF(medicine_master!$A$2:$A$26,C1248)&gt;0,"Valid","Invalid")</f>
        <v>Valid</v>
      </c>
      <c r="G1248" s="39" t="str">
        <f aca="false">IFERROR(INDEX(medicine_master!$B$2:$B$26,MATCH($C1248,medicine_master!$A$2:$A$26,0)),"Not found")</f>
        <v>Cough Syrup 100ml</v>
      </c>
      <c r="H1248" s="39" t="str">
        <f aca="false">IFERROR(INDEX(medicine_master!$C$2:$C$26,MATCH($C1248,medicine_master!$A$2:$A$26,0)),"Not found")</f>
        <v>Cold &amp; Cough</v>
      </c>
      <c r="I1248" s="39" t="n">
        <f aca="false">YEAR(B1248)</f>
        <v>2026</v>
      </c>
      <c r="J1248" s="39" t="n">
        <f aca="false">MONTH(B1248)</f>
        <v>10</v>
      </c>
      <c r="K1248" s="39" t="str">
        <f aca="false">TEXT(B1248,"mmm")</f>
        <v>Oct</v>
      </c>
      <c r="L1248" s="45" t="n">
        <f aca="false">IFERROR(INDEX(medicine_master!$I$2:$I$26,MATCH($C1248,medicine_master!$A$2:$A$26,0)),0)</f>
        <v>72</v>
      </c>
      <c r="M1248" s="45" t="n">
        <f aca="false">IFERROR(INDEX(medicine_master!$G$2:$G$26,MATCH($C1248,medicine_master!$A$2:$A$26,0)),0)</f>
        <v>52</v>
      </c>
      <c r="N1248" s="45" t="n">
        <f aca="false">IF(D1248="Sale",E1248*L1248,0)</f>
        <v>0</v>
      </c>
      <c r="O1248" s="45" t="n">
        <f aca="false">IF(D1248="Sale",E1248*M1248,0)</f>
        <v>0</v>
      </c>
      <c r="P1248" s="45" t="n">
        <f aca="false">N1248-O1248</f>
        <v>0</v>
      </c>
      <c r="Q1248" s="45" t="n">
        <f aca="false">IF(D1248="Purchase",E1248*M1248,0)</f>
        <v>780</v>
      </c>
    </row>
    <row r="1249" customFormat="false" ht="15" hidden="false" customHeight="false" outlineLevel="0" collapsed="false">
      <c r="A1249" s="39" t="s">
        <v>1573</v>
      </c>
      <c r="B1249" s="44" t="n">
        <v>46242</v>
      </c>
      <c r="C1249" s="39" t="s">
        <v>345</v>
      </c>
      <c r="D1249" s="39" t="s">
        <v>137</v>
      </c>
      <c r="E1249" s="39" t="n">
        <v>25</v>
      </c>
      <c r="F1249" s="39" t="str">
        <f aca="false">IF(COUNTIF(medicine_master!$A$2:$A$26,C1249)&gt;0,"Valid","Invalid")</f>
        <v>Valid</v>
      </c>
      <c r="G1249" s="39" t="str">
        <f aca="false">IFERROR(INDEX(medicine_master!$B$2:$B$26,MATCH($C1249,medicine_master!$A$2:$A$26,0)),"Not found")</f>
        <v>Paracetamol 500mg</v>
      </c>
      <c r="H1249" s="39" t="str">
        <f aca="false">IFERROR(INDEX(medicine_master!$C$2:$C$26,MATCH($C1249,medicine_master!$A$2:$A$26,0)),"Not found")</f>
        <v>Pain Relief</v>
      </c>
      <c r="I1249" s="39" t="n">
        <f aca="false">YEAR(B1249)</f>
        <v>2026</v>
      </c>
      <c r="J1249" s="39" t="n">
        <f aca="false">MONTH(B1249)</f>
        <v>8</v>
      </c>
      <c r="K1249" s="39" t="str">
        <f aca="false">TEXT(B1249,"mmm")</f>
        <v>Aug</v>
      </c>
      <c r="L1249" s="45" t="n">
        <f aca="false">IFERROR(INDEX(medicine_master!$I$2:$I$26,MATCH($C1249,medicine_master!$A$2:$A$26,0)),0)</f>
        <v>18</v>
      </c>
      <c r="M1249" s="45" t="n">
        <f aca="false">IFERROR(INDEX(medicine_master!$G$2:$G$26,MATCH($C1249,medicine_master!$A$2:$A$26,0)),0)</f>
        <v>12</v>
      </c>
      <c r="N1249" s="45" t="n">
        <f aca="false">IF(D1249="Sale",E1249*L1249,0)</f>
        <v>450</v>
      </c>
      <c r="O1249" s="45" t="n">
        <f aca="false">IF(D1249="Sale",E1249*M1249,0)</f>
        <v>300</v>
      </c>
      <c r="P1249" s="45" t="n">
        <f aca="false">N1249-O1249</f>
        <v>150</v>
      </c>
      <c r="Q1249" s="45" t="n">
        <f aca="false">IF(D1249="Purchase",E1249*M1249,0)</f>
        <v>0</v>
      </c>
    </row>
    <row r="1250" customFormat="false" ht="15" hidden="false" customHeight="false" outlineLevel="0" collapsed="false">
      <c r="A1250" s="39" t="s">
        <v>1574</v>
      </c>
      <c r="B1250" s="44" t="n">
        <v>46074</v>
      </c>
      <c r="C1250" s="39" t="s">
        <v>321</v>
      </c>
      <c r="D1250" s="39" t="s">
        <v>137</v>
      </c>
      <c r="E1250" s="39" t="n">
        <v>5</v>
      </c>
      <c r="F1250" s="39" t="str">
        <f aca="false">IF(COUNTIF(medicine_master!$A$2:$A$26,C1250)&gt;0,"Valid","Invalid")</f>
        <v>Valid</v>
      </c>
      <c r="G1250" s="39" t="str">
        <f aca="false">IFERROR(INDEX(medicine_master!$B$2:$B$26,MATCH($C1250,medicine_master!$A$2:$A$26,0)),"Not found")</f>
        <v>Levocetirizine 5mg</v>
      </c>
      <c r="H1250" s="39" t="str">
        <f aca="false">IFERROR(INDEX(medicine_master!$C$2:$C$26,MATCH($C1250,medicine_master!$A$2:$A$26,0)),"Not found")</f>
        <v>Allergy</v>
      </c>
      <c r="I1250" s="39" t="n">
        <f aca="false">YEAR(B1250)</f>
        <v>2026</v>
      </c>
      <c r="J1250" s="39" t="n">
        <f aca="false">MONTH(B1250)</f>
        <v>2</v>
      </c>
      <c r="K1250" s="39" t="str">
        <f aca="false">TEXT(B1250,"mmm")</f>
        <v>Feb</v>
      </c>
      <c r="L1250" s="45" t="n">
        <f aca="false">IFERROR(INDEX(medicine_master!$I$2:$I$26,MATCH($C1250,medicine_master!$A$2:$A$26,0)),0)</f>
        <v>22</v>
      </c>
      <c r="M1250" s="45" t="n">
        <f aca="false">IFERROR(INDEX(medicine_master!$G$2:$G$26,MATCH($C1250,medicine_master!$A$2:$A$26,0)),0)</f>
        <v>14</v>
      </c>
      <c r="N1250" s="45" t="n">
        <f aca="false">IF(D1250="Sale",E1250*L1250,0)</f>
        <v>110</v>
      </c>
      <c r="O1250" s="45" t="n">
        <f aca="false">IF(D1250="Sale",E1250*M1250,0)</f>
        <v>70</v>
      </c>
      <c r="P1250" s="45" t="n">
        <f aca="false">N1250-O1250</f>
        <v>40</v>
      </c>
      <c r="Q1250" s="45" t="n">
        <f aca="false">IF(D1250="Purchase",E1250*M1250,0)</f>
        <v>0</v>
      </c>
    </row>
    <row r="1251" customFormat="false" ht="15" hidden="false" customHeight="false" outlineLevel="0" collapsed="false">
      <c r="A1251" s="39" t="s">
        <v>1575</v>
      </c>
      <c r="B1251" s="44" t="n">
        <v>46381</v>
      </c>
      <c r="C1251" s="39" t="s">
        <v>149</v>
      </c>
      <c r="D1251" s="39" t="s">
        <v>138</v>
      </c>
      <c r="E1251" s="39" t="n">
        <v>30</v>
      </c>
      <c r="F1251" s="39" t="str">
        <f aca="false">IF(COUNTIF(medicine_master!$A$2:$A$26,C1251)&gt;0,"Valid","Invalid")</f>
        <v>Valid</v>
      </c>
      <c r="G1251" s="39" t="str">
        <f aca="false">IFERROR(INDEX(medicine_master!$B$2:$B$26,MATCH($C1251,medicine_master!$A$2:$A$26,0)),"Not found")</f>
        <v>Azithromycin 500mg</v>
      </c>
      <c r="H1251" s="39" t="str">
        <f aca="false">IFERROR(INDEX(medicine_master!$C$2:$C$26,MATCH($C1251,medicine_master!$A$2:$A$26,0)),"Not found")</f>
        <v>Antibiotic</v>
      </c>
      <c r="I1251" s="39" t="n">
        <f aca="false">YEAR(B1251)</f>
        <v>2026</v>
      </c>
      <c r="J1251" s="39" t="n">
        <f aca="false">MONTH(B1251)</f>
        <v>12</v>
      </c>
      <c r="K1251" s="39" t="str">
        <f aca="false">TEXT(B1251,"mmm")</f>
        <v>Dec</v>
      </c>
      <c r="L1251" s="45" t="n">
        <f aca="false">IFERROR(INDEX(medicine_master!$I$2:$I$26,MATCH($C1251,medicine_master!$A$2:$A$26,0)),0)</f>
        <v>50</v>
      </c>
      <c r="M1251" s="45" t="n">
        <f aca="false">IFERROR(INDEX(medicine_master!$G$2:$G$26,MATCH($C1251,medicine_master!$A$2:$A$26,0)),0)</f>
        <v>35</v>
      </c>
      <c r="N1251" s="45" t="n">
        <f aca="false">IF(D1251="Sale",E1251*L1251,0)</f>
        <v>0</v>
      </c>
      <c r="O1251" s="45" t="n">
        <f aca="false">IF(D1251="Sale",E1251*M1251,0)</f>
        <v>0</v>
      </c>
      <c r="P1251" s="45" t="n">
        <f aca="false">N1251-O1251</f>
        <v>0</v>
      </c>
      <c r="Q1251" s="45" t="n">
        <f aca="false">IF(D1251="Purchase",E1251*M1251,0)</f>
        <v>1050</v>
      </c>
    </row>
    <row r="1252" customFormat="false" ht="15" hidden="false" customHeight="false" outlineLevel="0" collapsed="false">
      <c r="A1252" s="39" t="s">
        <v>1576</v>
      </c>
      <c r="B1252" s="44" t="n">
        <v>46162</v>
      </c>
      <c r="C1252" s="39" t="s">
        <v>495</v>
      </c>
      <c r="D1252" s="39" t="s">
        <v>137</v>
      </c>
      <c r="E1252" s="39" t="n">
        <v>20</v>
      </c>
      <c r="F1252" s="39" t="str">
        <f aca="false">IF(COUNTIF(medicine_master!$A$2:$A$26,C1252)&gt;0,"Valid","Invalid")</f>
        <v>Valid</v>
      </c>
      <c r="G1252" s="39" t="str">
        <f aca="false">IFERROR(INDEX(medicine_master!$B$2:$B$26,MATCH($C1252,medicine_master!$A$2:$A$26,0)),"Not found")</f>
        <v>Metformin 500mg</v>
      </c>
      <c r="H1252" s="39" t="str">
        <f aca="false">IFERROR(INDEX(medicine_master!$C$2:$C$26,MATCH($C1252,medicine_master!$A$2:$A$26,0)),"Not found")</f>
        <v>Diabetes</v>
      </c>
      <c r="I1252" s="39" t="n">
        <f aca="false">YEAR(B1252)</f>
        <v>2026</v>
      </c>
      <c r="J1252" s="39" t="n">
        <f aca="false">MONTH(B1252)</f>
        <v>5</v>
      </c>
      <c r="K1252" s="39" t="str">
        <f aca="false">TEXT(B1252,"mmm")</f>
        <v>May</v>
      </c>
      <c r="L1252" s="45" t="n">
        <f aca="false">IFERROR(INDEX(medicine_master!$I$2:$I$26,MATCH($C1252,medicine_master!$A$2:$A$26,0)),0)</f>
        <v>24</v>
      </c>
      <c r="M1252" s="45" t="n">
        <f aca="false">IFERROR(INDEX(medicine_master!$G$2:$G$26,MATCH($C1252,medicine_master!$A$2:$A$26,0)),0)</f>
        <v>16</v>
      </c>
      <c r="N1252" s="45" t="n">
        <f aca="false">IF(D1252="Sale",E1252*L1252,0)</f>
        <v>480</v>
      </c>
      <c r="O1252" s="45" t="n">
        <f aca="false">IF(D1252="Sale",E1252*M1252,0)</f>
        <v>320</v>
      </c>
      <c r="P1252" s="45" t="n">
        <f aca="false">N1252-O1252</f>
        <v>160</v>
      </c>
      <c r="Q1252" s="45" t="n">
        <f aca="false">IF(D1252="Purchase",E1252*M1252,0)</f>
        <v>0</v>
      </c>
    </row>
    <row r="1253" customFormat="false" ht="15" hidden="false" customHeight="false" outlineLevel="0" collapsed="false">
      <c r="A1253" s="39" t="s">
        <v>1577</v>
      </c>
      <c r="B1253" s="44" t="n">
        <v>46331</v>
      </c>
      <c r="C1253" s="39" t="s">
        <v>147</v>
      </c>
      <c r="D1253" s="39" t="s">
        <v>137</v>
      </c>
      <c r="E1253" s="39" t="n">
        <v>50</v>
      </c>
      <c r="F1253" s="39" t="str">
        <f aca="false">IF(COUNTIF(medicine_master!$A$2:$A$26,C1253)&gt;0,"Valid","Invalid")</f>
        <v>Valid</v>
      </c>
      <c r="G1253" s="39" t="str">
        <f aca="false">IFERROR(INDEX(medicine_master!$B$2:$B$26,MATCH($C1253,medicine_master!$A$2:$A$26,0)),"Not found")</f>
        <v>Insulin Injection</v>
      </c>
      <c r="H1253" s="39" t="str">
        <f aca="false">IFERROR(INDEX(medicine_master!$C$2:$C$26,MATCH($C1253,medicine_master!$A$2:$A$26,0)),"Not found")</f>
        <v>Diabetes</v>
      </c>
      <c r="I1253" s="39" t="n">
        <f aca="false">YEAR(B1253)</f>
        <v>2026</v>
      </c>
      <c r="J1253" s="39" t="n">
        <f aca="false">MONTH(B1253)</f>
        <v>11</v>
      </c>
      <c r="K1253" s="39" t="str">
        <f aca="false">TEXT(B1253,"mmm")</f>
        <v>Nov</v>
      </c>
      <c r="L1253" s="45" t="n">
        <f aca="false">IFERROR(INDEX(medicine_master!$I$2:$I$26,MATCH($C1253,medicine_master!$A$2:$A$26,0)),0)</f>
        <v>225</v>
      </c>
      <c r="M1253" s="45" t="n">
        <f aca="false">IFERROR(INDEX(medicine_master!$G$2:$G$26,MATCH($C1253,medicine_master!$A$2:$A$26,0)),0)</f>
        <v>165</v>
      </c>
      <c r="N1253" s="45" t="n">
        <f aca="false">IF(D1253="Sale",E1253*L1253,0)</f>
        <v>11250</v>
      </c>
      <c r="O1253" s="45" t="n">
        <f aca="false">IF(D1253="Sale",E1253*M1253,0)</f>
        <v>8250</v>
      </c>
      <c r="P1253" s="45" t="n">
        <f aca="false">N1253-O1253</f>
        <v>3000</v>
      </c>
      <c r="Q1253" s="45" t="n">
        <f aca="false">IF(D1253="Purchase",E1253*M1253,0)</f>
        <v>0</v>
      </c>
    </row>
    <row r="1254" customFormat="false" ht="15" hidden="false" customHeight="false" outlineLevel="0" collapsed="false">
      <c r="A1254" s="39" t="s">
        <v>1578</v>
      </c>
      <c r="B1254" s="44" t="n">
        <v>46140</v>
      </c>
      <c r="C1254" s="39" t="s">
        <v>321</v>
      </c>
      <c r="D1254" s="39" t="s">
        <v>138</v>
      </c>
      <c r="E1254" s="39" t="n">
        <v>25</v>
      </c>
      <c r="F1254" s="39" t="str">
        <f aca="false">IF(COUNTIF(medicine_master!$A$2:$A$26,C1254)&gt;0,"Valid","Invalid")</f>
        <v>Valid</v>
      </c>
      <c r="G1254" s="39" t="str">
        <f aca="false">IFERROR(INDEX(medicine_master!$B$2:$B$26,MATCH($C1254,medicine_master!$A$2:$A$26,0)),"Not found")</f>
        <v>Levocetirizine 5mg</v>
      </c>
      <c r="H1254" s="39" t="str">
        <f aca="false">IFERROR(INDEX(medicine_master!$C$2:$C$26,MATCH($C1254,medicine_master!$A$2:$A$26,0)),"Not found")</f>
        <v>Allergy</v>
      </c>
      <c r="I1254" s="39" t="n">
        <f aca="false">YEAR(B1254)</f>
        <v>2026</v>
      </c>
      <c r="J1254" s="39" t="n">
        <f aca="false">MONTH(B1254)</f>
        <v>4</v>
      </c>
      <c r="K1254" s="39" t="str">
        <f aca="false">TEXT(B1254,"mmm")</f>
        <v>Apr</v>
      </c>
      <c r="L1254" s="45" t="n">
        <f aca="false">IFERROR(INDEX(medicine_master!$I$2:$I$26,MATCH($C1254,medicine_master!$A$2:$A$26,0)),0)</f>
        <v>22</v>
      </c>
      <c r="M1254" s="45" t="n">
        <f aca="false">IFERROR(INDEX(medicine_master!$G$2:$G$26,MATCH($C1254,medicine_master!$A$2:$A$26,0)),0)</f>
        <v>14</v>
      </c>
      <c r="N1254" s="45" t="n">
        <f aca="false">IF(D1254="Sale",E1254*L1254,0)</f>
        <v>0</v>
      </c>
      <c r="O1254" s="45" t="n">
        <f aca="false">IF(D1254="Sale",E1254*M1254,0)</f>
        <v>0</v>
      </c>
      <c r="P1254" s="45" t="n">
        <f aca="false">N1254-O1254</f>
        <v>0</v>
      </c>
      <c r="Q1254" s="45" t="n">
        <f aca="false">IF(D1254="Purchase",E1254*M1254,0)</f>
        <v>350</v>
      </c>
    </row>
    <row r="1255" customFormat="false" ht="15" hidden="false" customHeight="false" outlineLevel="0" collapsed="false">
      <c r="A1255" s="39" t="s">
        <v>1579</v>
      </c>
      <c r="B1255" s="44" t="n">
        <v>46097</v>
      </c>
      <c r="C1255" s="39" t="s">
        <v>145</v>
      </c>
      <c r="D1255" s="39" t="s">
        <v>137</v>
      </c>
      <c r="E1255" s="39" t="n">
        <v>15</v>
      </c>
      <c r="F1255" s="39" t="str">
        <f aca="false">IF(COUNTIF(medicine_master!$A$2:$A$26,C1255)&gt;0,"Valid","Invalid")</f>
        <v>Valid</v>
      </c>
      <c r="G1255" s="39" t="str">
        <f aca="false">IFERROR(INDEX(medicine_master!$B$2:$B$26,MATCH($C1255,medicine_master!$A$2:$A$26,0)),"Not found")</f>
        <v>Clotrimazole Cream</v>
      </c>
      <c r="H1255" s="39" t="str">
        <f aca="false">IFERROR(INDEX(medicine_master!$C$2:$C$26,MATCH($C1255,medicine_master!$A$2:$A$26,0)),"Not found")</f>
        <v>Dermatology</v>
      </c>
      <c r="I1255" s="39" t="n">
        <f aca="false">YEAR(B1255)</f>
        <v>2026</v>
      </c>
      <c r="J1255" s="39" t="n">
        <f aca="false">MONTH(B1255)</f>
        <v>3</v>
      </c>
      <c r="K1255" s="39" t="str">
        <f aca="false">TEXT(B1255,"mmm")</f>
        <v>Mar</v>
      </c>
      <c r="L1255" s="45" t="n">
        <f aca="false">IFERROR(INDEX(medicine_master!$I$2:$I$26,MATCH($C1255,medicine_master!$A$2:$A$26,0)),0)</f>
        <v>48</v>
      </c>
      <c r="M1255" s="45" t="n">
        <f aca="false">IFERROR(INDEX(medicine_master!$G$2:$G$26,MATCH($C1255,medicine_master!$A$2:$A$26,0)),0)</f>
        <v>32</v>
      </c>
      <c r="N1255" s="45" t="n">
        <f aca="false">IF(D1255="Sale",E1255*L1255,0)</f>
        <v>720</v>
      </c>
      <c r="O1255" s="45" t="n">
        <f aca="false">IF(D1255="Sale",E1255*M1255,0)</f>
        <v>480</v>
      </c>
      <c r="P1255" s="45" t="n">
        <f aca="false">N1255-O1255</f>
        <v>240</v>
      </c>
      <c r="Q1255" s="45" t="n">
        <f aca="false">IF(D1255="Purchase",E1255*M1255,0)</f>
        <v>0</v>
      </c>
    </row>
    <row r="1256" customFormat="false" ht="15" hidden="false" customHeight="false" outlineLevel="0" collapsed="false">
      <c r="A1256" s="39" t="s">
        <v>1580</v>
      </c>
      <c r="B1256" s="44" t="n">
        <v>46370</v>
      </c>
      <c r="C1256" s="39" t="s">
        <v>321</v>
      </c>
      <c r="D1256" s="39" t="s">
        <v>137</v>
      </c>
      <c r="E1256" s="39" t="n">
        <v>30</v>
      </c>
      <c r="F1256" s="39" t="str">
        <f aca="false">IF(COUNTIF(medicine_master!$A$2:$A$26,C1256)&gt;0,"Valid","Invalid")</f>
        <v>Valid</v>
      </c>
      <c r="G1256" s="39" t="str">
        <f aca="false">IFERROR(INDEX(medicine_master!$B$2:$B$26,MATCH($C1256,medicine_master!$A$2:$A$26,0)),"Not found")</f>
        <v>Levocetirizine 5mg</v>
      </c>
      <c r="H1256" s="39" t="str">
        <f aca="false">IFERROR(INDEX(medicine_master!$C$2:$C$26,MATCH($C1256,medicine_master!$A$2:$A$26,0)),"Not found")</f>
        <v>Allergy</v>
      </c>
      <c r="I1256" s="39" t="n">
        <f aca="false">YEAR(B1256)</f>
        <v>2026</v>
      </c>
      <c r="J1256" s="39" t="n">
        <f aca="false">MONTH(B1256)</f>
        <v>12</v>
      </c>
      <c r="K1256" s="39" t="str">
        <f aca="false">TEXT(B1256,"mmm")</f>
        <v>Dec</v>
      </c>
      <c r="L1256" s="45" t="n">
        <f aca="false">IFERROR(INDEX(medicine_master!$I$2:$I$26,MATCH($C1256,medicine_master!$A$2:$A$26,0)),0)</f>
        <v>22</v>
      </c>
      <c r="M1256" s="45" t="n">
        <f aca="false">IFERROR(INDEX(medicine_master!$G$2:$G$26,MATCH($C1256,medicine_master!$A$2:$A$26,0)),0)</f>
        <v>14</v>
      </c>
      <c r="N1256" s="45" t="n">
        <f aca="false">IF(D1256="Sale",E1256*L1256,0)</f>
        <v>660</v>
      </c>
      <c r="O1256" s="45" t="n">
        <f aca="false">IF(D1256="Sale",E1256*M1256,0)</f>
        <v>420</v>
      </c>
      <c r="P1256" s="45" t="n">
        <f aca="false">N1256-O1256</f>
        <v>240</v>
      </c>
      <c r="Q1256" s="45" t="n">
        <f aca="false">IF(D1256="Purchase",E1256*M1256,0)</f>
        <v>0</v>
      </c>
    </row>
    <row r="1257" customFormat="false" ht="15" hidden="false" customHeight="false" outlineLevel="0" collapsed="false">
      <c r="A1257" s="39" t="s">
        <v>1581</v>
      </c>
      <c r="B1257" s="44" t="n">
        <v>46050</v>
      </c>
      <c r="C1257" s="39" t="s">
        <v>495</v>
      </c>
      <c r="D1257" s="39" t="s">
        <v>137</v>
      </c>
      <c r="E1257" s="39" t="n">
        <v>20</v>
      </c>
      <c r="F1257" s="39" t="str">
        <f aca="false">IF(COUNTIF(medicine_master!$A$2:$A$26,C1257)&gt;0,"Valid","Invalid")</f>
        <v>Valid</v>
      </c>
      <c r="G1257" s="39" t="str">
        <f aca="false">IFERROR(INDEX(medicine_master!$B$2:$B$26,MATCH($C1257,medicine_master!$A$2:$A$26,0)),"Not found")</f>
        <v>Metformin 500mg</v>
      </c>
      <c r="H1257" s="39" t="str">
        <f aca="false">IFERROR(INDEX(medicine_master!$C$2:$C$26,MATCH($C1257,medicine_master!$A$2:$A$26,0)),"Not found")</f>
        <v>Diabetes</v>
      </c>
      <c r="I1257" s="39" t="n">
        <f aca="false">YEAR(B1257)</f>
        <v>2026</v>
      </c>
      <c r="J1257" s="39" t="n">
        <f aca="false">MONTH(B1257)</f>
        <v>1</v>
      </c>
      <c r="K1257" s="39" t="str">
        <f aca="false">TEXT(B1257,"mmm")</f>
        <v>Jan</v>
      </c>
      <c r="L1257" s="45" t="n">
        <f aca="false">IFERROR(INDEX(medicine_master!$I$2:$I$26,MATCH($C1257,medicine_master!$A$2:$A$26,0)),0)</f>
        <v>24</v>
      </c>
      <c r="M1257" s="45" t="n">
        <f aca="false">IFERROR(INDEX(medicine_master!$G$2:$G$26,MATCH($C1257,medicine_master!$A$2:$A$26,0)),0)</f>
        <v>16</v>
      </c>
      <c r="N1257" s="45" t="n">
        <f aca="false">IF(D1257="Sale",E1257*L1257,0)</f>
        <v>480</v>
      </c>
      <c r="O1257" s="45" t="n">
        <f aca="false">IF(D1257="Sale",E1257*M1257,0)</f>
        <v>320</v>
      </c>
      <c r="P1257" s="45" t="n">
        <f aca="false">N1257-O1257</f>
        <v>160</v>
      </c>
      <c r="Q1257" s="45" t="n">
        <f aca="false">IF(D1257="Purchase",E1257*M1257,0)</f>
        <v>0</v>
      </c>
    </row>
    <row r="1258" customFormat="false" ht="15" hidden="false" customHeight="false" outlineLevel="0" collapsed="false">
      <c r="A1258" s="39" t="s">
        <v>1582</v>
      </c>
      <c r="B1258" s="44" t="n">
        <v>46076</v>
      </c>
      <c r="C1258" s="39" t="s">
        <v>404</v>
      </c>
      <c r="D1258" s="39" t="s">
        <v>138</v>
      </c>
      <c r="E1258" s="39" t="n">
        <v>10</v>
      </c>
      <c r="F1258" s="39" t="str">
        <f aca="false">IF(COUNTIF(medicine_master!$A$2:$A$26,C1258)&gt;0,"Valid","Invalid")</f>
        <v>Valid</v>
      </c>
      <c r="G1258" s="39" t="str">
        <f aca="false">IFERROR(INDEX(medicine_master!$B$2:$B$26,MATCH($C1258,medicine_master!$A$2:$A$26,0)),"Not found")</f>
        <v>ORS Sachet</v>
      </c>
      <c r="H1258" s="39" t="str">
        <f aca="false">IFERROR(INDEX(medicine_master!$C$2:$C$26,MATCH($C1258,medicine_master!$A$2:$A$26,0)),"Not found")</f>
        <v>First Aid</v>
      </c>
      <c r="I1258" s="39" t="n">
        <f aca="false">YEAR(B1258)</f>
        <v>2026</v>
      </c>
      <c r="J1258" s="39" t="n">
        <f aca="false">MONTH(B1258)</f>
        <v>2</v>
      </c>
      <c r="K1258" s="39" t="str">
        <f aca="false">TEXT(B1258,"mmm")</f>
        <v>Feb</v>
      </c>
      <c r="L1258" s="45" t="n">
        <f aca="false">IFERROR(INDEX(medicine_master!$I$2:$I$26,MATCH($C1258,medicine_master!$A$2:$A$26,0)),0)</f>
        <v>10</v>
      </c>
      <c r="M1258" s="45" t="n">
        <f aca="false">IFERROR(INDEX(medicine_master!$G$2:$G$26,MATCH($C1258,medicine_master!$A$2:$A$26,0)),0)</f>
        <v>6</v>
      </c>
      <c r="N1258" s="45" t="n">
        <f aca="false">IF(D1258="Sale",E1258*L1258,0)</f>
        <v>0</v>
      </c>
      <c r="O1258" s="45" t="n">
        <f aca="false">IF(D1258="Sale",E1258*M1258,0)</f>
        <v>0</v>
      </c>
      <c r="P1258" s="45" t="n">
        <f aca="false">N1258-O1258</f>
        <v>0</v>
      </c>
      <c r="Q1258" s="45" t="n">
        <f aca="false">IF(D1258="Purchase",E1258*M1258,0)</f>
        <v>60</v>
      </c>
    </row>
    <row r="1259" customFormat="false" ht="15" hidden="false" customHeight="false" outlineLevel="0" collapsed="false">
      <c r="A1259" s="39" t="s">
        <v>1583</v>
      </c>
      <c r="B1259" s="44" t="n">
        <v>46057</v>
      </c>
      <c r="C1259" s="39" t="s">
        <v>145</v>
      </c>
      <c r="D1259" s="39" t="s">
        <v>138</v>
      </c>
      <c r="E1259" s="39" t="n">
        <v>10</v>
      </c>
      <c r="F1259" s="39" t="str">
        <f aca="false">IF(COUNTIF(medicine_master!$A$2:$A$26,C1259)&gt;0,"Valid","Invalid")</f>
        <v>Valid</v>
      </c>
      <c r="G1259" s="39" t="str">
        <f aca="false">IFERROR(INDEX(medicine_master!$B$2:$B$26,MATCH($C1259,medicine_master!$A$2:$A$26,0)),"Not found")</f>
        <v>Clotrimazole Cream</v>
      </c>
      <c r="H1259" s="39" t="str">
        <f aca="false">IFERROR(INDEX(medicine_master!$C$2:$C$26,MATCH($C1259,medicine_master!$A$2:$A$26,0)),"Not found")</f>
        <v>Dermatology</v>
      </c>
      <c r="I1259" s="39" t="n">
        <f aca="false">YEAR(B1259)</f>
        <v>2026</v>
      </c>
      <c r="J1259" s="39" t="n">
        <f aca="false">MONTH(B1259)</f>
        <v>2</v>
      </c>
      <c r="K1259" s="39" t="str">
        <f aca="false">TEXT(B1259,"mmm")</f>
        <v>Feb</v>
      </c>
      <c r="L1259" s="45" t="n">
        <f aca="false">IFERROR(INDEX(medicine_master!$I$2:$I$26,MATCH($C1259,medicine_master!$A$2:$A$26,0)),0)</f>
        <v>48</v>
      </c>
      <c r="M1259" s="45" t="n">
        <f aca="false">IFERROR(INDEX(medicine_master!$G$2:$G$26,MATCH($C1259,medicine_master!$A$2:$A$26,0)),0)</f>
        <v>32</v>
      </c>
      <c r="N1259" s="45" t="n">
        <f aca="false">IF(D1259="Sale",E1259*L1259,0)</f>
        <v>0</v>
      </c>
      <c r="O1259" s="45" t="n">
        <f aca="false">IF(D1259="Sale",E1259*M1259,0)</f>
        <v>0</v>
      </c>
      <c r="P1259" s="45" t="n">
        <f aca="false">N1259-O1259</f>
        <v>0</v>
      </c>
      <c r="Q1259" s="45" t="n">
        <f aca="false">IF(D1259="Purchase",E1259*M1259,0)</f>
        <v>320</v>
      </c>
    </row>
    <row r="1260" customFormat="false" ht="15" hidden="false" customHeight="false" outlineLevel="0" collapsed="false">
      <c r="A1260" s="39" t="s">
        <v>1584</v>
      </c>
      <c r="B1260" s="44" t="n">
        <v>46115</v>
      </c>
      <c r="C1260" s="39" t="s">
        <v>167</v>
      </c>
      <c r="D1260" s="39" t="s">
        <v>138</v>
      </c>
      <c r="E1260" s="39" t="n">
        <v>40</v>
      </c>
      <c r="F1260" s="39" t="str">
        <f aca="false">IF(COUNTIF(medicine_master!$A$2:$A$26,C1260)&gt;0,"Valid","Invalid")</f>
        <v>Valid</v>
      </c>
      <c r="G1260" s="39" t="str">
        <f aca="false">IFERROR(INDEX(medicine_master!$B$2:$B$26,MATCH($C1260,medicine_master!$A$2:$A$26,0)),"Not found")</f>
        <v>Amlodipine 5mg</v>
      </c>
      <c r="H1260" s="39" t="str">
        <f aca="false">IFERROR(INDEX(medicine_master!$C$2:$C$26,MATCH($C1260,medicine_master!$A$2:$A$26,0)),"Not found")</f>
        <v>Cardiac</v>
      </c>
      <c r="I1260" s="39" t="n">
        <f aca="false">YEAR(B1260)</f>
        <v>2026</v>
      </c>
      <c r="J1260" s="39" t="n">
        <f aca="false">MONTH(B1260)</f>
        <v>4</v>
      </c>
      <c r="K1260" s="39" t="str">
        <f aca="false">TEXT(B1260,"mmm")</f>
        <v>Apr</v>
      </c>
      <c r="L1260" s="45" t="n">
        <f aca="false">IFERROR(INDEX(medicine_master!$I$2:$I$26,MATCH($C1260,medicine_master!$A$2:$A$26,0)),0)</f>
        <v>19</v>
      </c>
      <c r="M1260" s="45" t="n">
        <f aca="false">IFERROR(INDEX(medicine_master!$G$2:$G$26,MATCH($C1260,medicine_master!$A$2:$A$26,0)),0)</f>
        <v>13</v>
      </c>
      <c r="N1260" s="45" t="n">
        <f aca="false">IF(D1260="Sale",E1260*L1260,0)</f>
        <v>0</v>
      </c>
      <c r="O1260" s="45" t="n">
        <f aca="false">IF(D1260="Sale",E1260*M1260,0)</f>
        <v>0</v>
      </c>
      <c r="P1260" s="45" t="n">
        <f aca="false">N1260-O1260</f>
        <v>0</v>
      </c>
      <c r="Q1260" s="45" t="n">
        <f aca="false">IF(D1260="Purchase",E1260*M1260,0)</f>
        <v>520</v>
      </c>
    </row>
    <row r="1261" customFormat="false" ht="15" hidden="false" customHeight="false" outlineLevel="0" collapsed="false">
      <c r="A1261" s="39" t="s">
        <v>1585</v>
      </c>
      <c r="B1261" s="44" t="n">
        <v>46380</v>
      </c>
      <c r="C1261" s="39" t="s">
        <v>150</v>
      </c>
      <c r="D1261" s="39" t="s">
        <v>137</v>
      </c>
      <c r="E1261" s="39" t="n">
        <v>25</v>
      </c>
      <c r="F1261" s="39" t="str">
        <f aca="false">IF(COUNTIF(medicine_master!$A$2:$A$26,C1261)&gt;0,"Valid","Invalid")</f>
        <v>Valid</v>
      </c>
      <c r="G1261" s="39" t="str">
        <f aca="false">IFERROR(INDEX(medicine_master!$B$2:$B$26,MATCH($C1261,medicine_master!$A$2:$A$26,0)),"Not found")</f>
        <v>Pantoprazole 40mg</v>
      </c>
      <c r="H1261" s="39" t="str">
        <f aca="false">IFERROR(INDEX(medicine_master!$C$2:$C$26,MATCH($C1261,medicine_master!$A$2:$A$26,0)),"Not found")</f>
        <v>Gastric</v>
      </c>
      <c r="I1261" s="39" t="n">
        <f aca="false">YEAR(B1261)</f>
        <v>2026</v>
      </c>
      <c r="J1261" s="39" t="n">
        <f aca="false">MONTH(B1261)</f>
        <v>12</v>
      </c>
      <c r="K1261" s="39" t="str">
        <f aca="false">TEXT(B1261,"mmm")</f>
        <v>Dec</v>
      </c>
      <c r="L1261" s="45" t="n">
        <f aca="false">IFERROR(INDEX(medicine_master!$I$2:$I$26,MATCH($C1261,medicine_master!$A$2:$A$26,0)),0)</f>
        <v>35</v>
      </c>
      <c r="M1261" s="45" t="n">
        <f aca="false">IFERROR(INDEX(medicine_master!$G$2:$G$26,MATCH($C1261,medicine_master!$A$2:$A$26,0)),0)</f>
        <v>24</v>
      </c>
      <c r="N1261" s="45" t="n">
        <f aca="false">IF(D1261="Sale",E1261*L1261,0)</f>
        <v>875</v>
      </c>
      <c r="O1261" s="45" t="n">
        <f aca="false">IF(D1261="Sale",E1261*M1261,0)</f>
        <v>600</v>
      </c>
      <c r="P1261" s="45" t="n">
        <f aca="false">N1261-O1261</f>
        <v>275</v>
      </c>
      <c r="Q1261" s="45" t="n">
        <f aca="false">IF(D1261="Purchase",E1261*M1261,0)</f>
        <v>0</v>
      </c>
    </row>
    <row r="1262" customFormat="false" ht="15" hidden="false" customHeight="false" outlineLevel="0" collapsed="false">
      <c r="A1262" s="39" t="s">
        <v>1586</v>
      </c>
      <c r="B1262" s="44" t="n">
        <v>46268</v>
      </c>
      <c r="C1262" s="39" t="s">
        <v>146</v>
      </c>
      <c r="D1262" s="39" t="s">
        <v>137</v>
      </c>
      <c r="E1262" s="39" t="n">
        <v>20</v>
      </c>
      <c r="F1262" s="39" t="str">
        <f aca="false">IF(COUNTIF(medicine_master!$A$2:$A$26,C1262)&gt;0,"Valid","Invalid")</f>
        <v>Valid</v>
      </c>
      <c r="G1262" s="39" t="str">
        <f aca="false">IFERROR(INDEX(medicine_master!$B$2:$B$26,MATCH($C1262,medicine_master!$A$2:$A$26,0)),"Not found")</f>
        <v>Diclofenac Gel</v>
      </c>
      <c r="H1262" s="39" t="str">
        <f aca="false">IFERROR(INDEX(medicine_master!$C$2:$C$26,MATCH($C1262,medicine_master!$A$2:$A$26,0)),"Not found")</f>
        <v>Pain Relief</v>
      </c>
      <c r="I1262" s="39" t="n">
        <f aca="false">YEAR(B1262)</f>
        <v>2026</v>
      </c>
      <c r="J1262" s="39" t="n">
        <f aca="false">MONTH(B1262)</f>
        <v>9</v>
      </c>
      <c r="K1262" s="39" t="str">
        <f aca="false">TEXT(B1262,"mmm")</f>
        <v>Sep</v>
      </c>
      <c r="L1262" s="45" t="n">
        <f aca="false">IFERROR(INDEX(medicine_master!$I$2:$I$26,MATCH($C1262,medicine_master!$A$2:$A$26,0)),0)</f>
        <v>55</v>
      </c>
      <c r="M1262" s="45" t="n">
        <f aca="false">IFERROR(INDEX(medicine_master!$G$2:$G$26,MATCH($C1262,medicine_master!$A$2:$A$26,0)),0)</f>
        <v>38</v>
      </c>
      <c r="N1262" s="45" t="n">
        <f aca="false">IF(D1262="Sale",E1262*L1262,0)</f>
        <v>1100</v>
      </c>
      <c r="O1262" s="45" t="n">
        <f aca="false">IF(D1262="Sale",E1262*M1262,0)</f>
        <v>760</v>
      </c>
      <c r="P1262" s="45" t="n">
        <f aca="false">N1262-O1262</f>
        <v>340</v>
      </c>
      <c r="Q1262" s="45" t="n">
        <f aca="false">IF(D1262="Purchase",E1262*M1262,0)</f>
        <v>0</v>
      </c>
    </row>
    <row r="1263" customFormat="false" ht="15" hidden="false" customHeight="false" outlineLevel="0" collapsed="false">
      <c r="A1263" s="39" t="s">
        <v>1587</v>
      </c>
      <c r="B1263" s="44" t="n">
        <v>46239</v>
      </c>
      <c r="C1263" s="39" t="s">
        <v>150</v>
      </c>
      <c r="D1263" s="39" t="s">
        <v>137</v>
      </c>
      <c r="E1263" s="39" t="n">
        <v>10</v>
      </c>
      <c r="F1263" s="39" t="str">
        <f aca="false">IF(COUNTIF(medicine_master!$A$2:$A$26,C1263)&gt;0,"Valid","Invalid")</f>
        <v>Valid</v>
      </c>
      <c r="G1263" s="39" t="str">
        <f aca="false">IFERROR(INDEX(medicine_master!$B$2:$B$26,MATCH($C1263,medicine_master!$A$2:$A$26,0)),"Not found")</f>
        <v>Pantoprazole 40mg</v>
      </c>
      <c r="H1263" s="39" t="str">
        <f aca="false">IFERROR(INDEX(medicine_master!$C$2:$C$26,MATCH($C1263,medicine_master!$A$2:$A$26,0)),"Not found")</f>
        <v>Gastric</v>
      </c>
      <c r="I1263" s="39" t="n">
        <f aca="false">YEAR(B1263)</f>
        <v>2026</v>
      </c>
      <c r="J1263" s="39" t="n">
        <f aca="false">MONTH(B1263)</f>
        <v>8</v>
      </c>
      <c r="K1263" s="39" t="str">
        <f aca="false">TEXT(B1263,"mmm")</f>
        <v>Aug</v>
      </c>
      <c r="L1263" s="45" t="n">
        <f aca="false">IFERROR(INDEX(medicine_master!$I$2:$I$26,MATCH($C1263,medicine_master!$A$2:$A$26,0)),0)</f>
        <v>35</v>
      </c>
      <c r="M1263" s="45" t="n">
        <f aca="false">IFERROR(INDEX(medicine_master!$G$2:$G$26,MATCH($C1263,medicine_master!$A$2:$A$26,0)),0)</f>
        <v>24</v>
      </c>
      <c r="N1263" s="45" t="n">
        <f aca="false">IF(D1263="Sale",E1263*L1263,0)</f>
        <v>350</v>
      </c>
      <c r="O1263" s="45" t="n">
        <f aca="false">IF(D1263="Sale",E1263*M1263,0)</f>
        <v>240</v>
      </c>
      <c r="P1263" s="45" t="n">
        <f aca="false">N1263-O1263</f>
        <v>110</v>
      </c>
      <c r="Q1263" s="45" t="n">
        <f aca="false">IF(D1263="Purchase",E1263*M1263,0)</f>
        <v>0</v>
      </c>
    </row>
    <row r="1264" customFormat="false" ht="15" hidden="false" customHeight="false" outlineLevel="0" collapsed="false">
      <c r="A1264" s="39" t="s">
        <v>1588</v>
      </c>
      <c r="B1264" s="44" t="n">
        <v>46191</v>
      </c>
      <c r="C1264" s="39" t="s">
        <v>150</v>
      </c>
      <c r="D1264" s="39" t="s">
        <v>137</v>
      </c>
      <c r="E1264" s="39" t="n">
        <v>25</v>
      </c>
      <c r="F1264" s="39" t="str">
        <f aca="false">IF(COUNTIF(medicine_master!$A$2:$A$26,C1264)&gt;0,"Valid","Invalid")</f>
        <v>Valid</v>
      </c>
      <c r="G1264" s="39" t="str">
        <f aca="false">IFERROR(INDEX(medicine_master!$B$2:$B$26,MATCH($C1264,medicine_master!$A$2:$A$26,0)),"Not found")</f>
        <v>Pantoprazole 40mg</v>
      </c>
      <c r="H1264" s="39" t="str">
        <f aca="false">IFERROR(INDEX(medicine_master!$C$2:$C$26,MATCH($C1264,medicine_master!$A$2:$A$26,0)),"Not found")</f>
        <v>Gastric</v>
      </c>
      <c r="I1264" s="39" t="n">
        <f aca="false">YEAR(B1264)</f>
        <v>2026</v>
      </c>
      <c r="J1264" s="39" t="n">
        <f aca="false">MONTH(B1264)</f>
        <v>6</v>
      </c>
      <c r="K1264" s="39" t="str">
        <f aca="false">TEXT(B1264,"mmm")</f>
        <v>Jun</v>
      </c>
      <c r="L1264" s="45" t="n">
        <f aca="false">IFERROR(INDEX(medicine_master!$I$2:$I$26,MATCH($C1264,medicine_master!$A$2:$A$26,0)),0)</f>
        <v>35</v>
      </c>
      <c r="M1264" s="45" t="n">
        <f aca="false">IFERROR(INDEX(medicine_master!$G$2:$G$26,MATCH($C1264,medicine_master!$A$2:$A$26,0)),0)</f>
        <v>24</v>
      </c>
      <c r="N1264" s="45" t="n">
        <f aca="false">IF(D1264="Sale",E1264*L1264,0)</f>
        <v>875</v>
      </c>
      <c r="O1264" s="45" t="n">
        <f aca="false">IF(D1264="Sale",E1264*M1264,0)</f>
        <v>600</v>
      </c>
      <c r="P1264" s="45" t="n">
        <f aca="false">N1264-O1264</f>
        <v>275</v>
      </c>
      <c r="Q1264" s="45" t="n">
        <f aca="false">IF(D1264="Purchase",E1264*M1264,0)</f>
        <v>0</v>
      </c>
    </row>
    <row r="1265" customFormat="false" ht="15" hidden="false" customHeight="false" outlineLevel="0" collapsed="false">
      <c r="A1265" s="39" t="s">
        <v>1589</v>
      </c>
      <c r="B1265" s="44" t="n">
        <v>46328</v>
      </c>
      <c r="C1265" s="39" t="s">
        <v>158</v>
      </c>
      <c r="D1265" s="39" t="s">
        <v>137</v>
      </c>
      <c r="E1265" s="39" t="n">
        <v>15</v>
      </c>
      <c r="F1265" s="39" t="str">
        <f aca="false">IF(COUNTIF(medicine_master!$A$2:$A$26,C1265)&gt;0,"Valid","Invalid")</f>
        <v>Valid</v>
      </c>
      <c r="G1265" s="39" t="str">
        <f aca="false">IFERROR(INDEX(medicine_master!$B$2:$B$26,MATCH($C1265,medicine_master!$A$2:$A$26,0)),"Not found")</f>
        <v>Cough Syrup 100ml</v>
      </c>
      <c r="H1265" s="39" t="str">
        <f aca="false">IFERROR(INDEX(medicine_master!$C$2:$C$26,MATCH($C1265,medicine_master!$A$2:$A$26,0)),"Not found")</f>
        <v>Cold &amp; Cough</v>
      </c>
      <c r="I1265" s="39" t="n">
        <f aca="false">YEAR(B1265)</f>
        <v>2026</v>
      </c>
      <c r="J1265" s="39" t="n">
        <f aca="false">MONTH(B1265)</f>
        <v>11</v>
      </c>
      <c r="K1265" s="39" t="str">
        <f aca="false">TEXT(B1265,"mmm")</f>
        <v>Nov</v>
      </c>
      <c r="L1265" s="45" t="n">
        <f aca="false">IFERROR(INDEX(medicine_master!$I$2:$I$26,MATCH($C1265,medicine_master!$A$2:$A$26,0)),0)</f>
        <v>72</v>
      </c>
      <c r="M1265" s="45" t="n">
        <f aca="false">IFERROR(INDEX(medicine_master!$G$2:$G$26,MATCH($C1265,medicine_master!$A$2:$A$26,0)),0)</f>
        <v>52</v>
      </c>
      <c r="N1265" s="45" t="n">
        <f aca="false">IF(D1265="Sale",E1265*L1265,0)</f>
        <v>1080</v>
      </c>
      <c r="O1265" s="45" t="n">
        <f aca="false">IF(D1265="Sale",E1265*M1265,0)</f>
        <v>780</v>
      </c>
      <c r="P1265" s="45" t="n">
        <f aca="false">N1265-O1265</f>
        <v>300</v>
      </c>
      <c r="Q1265" s="45" t="n">
        <f aca="false">IF(D1265="Purchase",E1265*M1265,0)</f>
        <v>0</v>
      </c>
    </row>
    <row r="1266" customFormat="false" ht="15" hidden="false" customHeight="false" outlineLevel="0" collapsed="false">
      <c r="A1266" s="39" t="s">
        <v>1590</v>
      </c>
      <c r="B1266" s="44" t="n">
        <v>46258</v>
      </c>
      <c r="C1266" s="39" t="s">
        <v>390</v>
      </c>
      <c r="D1266" s="39" t="s">
        <v>137</v>
      </c>
      <c r="E1266" s="39" t="n">
        <v>5</v>
      </c>
      <c r="F1266" s="39" t="str">
        <f aca="false">IF(COUNTIF(medicine_master!$A$2:$A$26,C1266)&gt;0,"Valid","Invalid")</f>
        <v>Valid</v>
      </c>
      <c r="G1266" s="39" t="str">
        <f aca="false">IFERROR(INDEX(medicine_master!$B$2:$B$26,MATCH($C1266,medicine_master!$A$2:$A$26,0)),"Not found")</f>
        <v>Montelukast 10mg</v>
      </c>
      <c r="H1266" s="39" t="str">
        <f aca="false">IFERROR(INDEX(medicine_master!$C$2:$C$26,MATCH($C1266,medicine_master!$A$2:$A$26,0)),"Not found")</f>
        <v>Allergy</v>
      </c>
      <c r="I1266" s="39" t="n">
        <f aca="false">YEAR(B1266)</f>
        <v>2026</v>
      </c>
      <c r="J1266" s="39" t="n">
        <f aca="false">MONTH(B1266)</f>
        <v>8</v>
      </c>
      <c r="K1266" s="39" t="str">
        <f aca="false">TEXT(B1266,"mmm")</f>
        <v>Aug</v>
      </c>
      <c r="L1266" s="45" t="n">
        <f aca="false">IFERROR(INDEX(medicine_master!$I$2:$I$26,MATCH($C1266,medicine_master!$A$2:$A$26,0)),0)</f>
        <v>39</v>
      </c>
      <c r="M1266" s="45" t="n">
        <f aca="false">IFERROR(INDEX(medicine_master!$G$2:$G$26,MATCH($C1266,medicine_master!$A$2:$A$26,0)),0)</f>
        <v>27</v>
      </c>
      <c r="N1266" s="45" t="n">
        <f aca="false">IF(D1266="Sale",E1266*L1266,0)</f>
        <v>195</v>
      </c>
      <c r="O1266" s="45" t="n">
        <f aca="false">IF(D1266="Sale",E1266*M1266,0)</f>
        <v>135</v>
      </c>
      <c r="P1266" s="45" t="n">
        <f aca="false">N1266-O1266</f>
        <v>60</v>
      </c>
      <c r="Q1266" s="45" t="n">
        <f aca="false">IF(D1266="Purchase",E1266*M1266,0)</f>
        <v>0</v>
      </c>
    </row>
    <row r="1267" customFormat="false" ht="15" hidden="false" customHeight="false" outlineLevel="0" collapsed="false">
      <c r="A1267" s="39" t="s">
        <v>1591</v>
      </c>
      <c r="B1267" s="44" t="n">
        <v>46154</v>
      </c>
      <c r="C1267" s="39" t="s">
        <v>495</v>
      </c>
      <c r="D1267" s="39" t="s">
        <v>137</v>
      </c>
      <c r="E1267" s="39" t="n">
        <v>15</v>
      </c>
      <c r="F1267" s="39" t="str">
        <f aca="false">IF(COUNTIF(medicine_master!$A$2:$A$26,C1267)&gt;0,"Valid","Invalid")</f>
        <v>Valid</v>
      </c>
      <c r="G1267" s="39" t="str">
        <f aca="false">IFERROR(INDEX(medicine_master!$B$2:$B$26,MATCH($C1267,medicine_master!$A$2:$A$26,0)),"Not found")</f>
        <v>Metformin 500mg</v>
      </c>
      <c r="H1267" s="39" t="str">
        <f aca="false">IFERROR(INDEX(medicine_master!$C$2:$C$26,MATCH($C1267,medicine_master!$A$2:$A$26,0)),"Not found")</f>
        <v>Diabetes</v>
      </c>
      <c r="I1267" s="39" t="n">
        <f aca="false">YEAR(B1267)</f>
        <v>2026</v>
      </c>
      <c r="J1267" s="39" t="n">
        <f aca="false">MONTH(B1267)</f>
        <v>5</v>
      </c>
      <c r="K1267" s="39" t="str">
        <f aca="false">TEXT(B1267,"mmm")</f>
        <v>May</v>
      </c>
      <c r="L1267" s="45" t="n">
        <f aca="false">IFERROR(INDEX(medicine_master!$I$2:$I$26,MATCH($C1267,medicine_master!$A$2:$A$26,0)),0)</f>
        <v>24</v>
      </c>
      <c r="M1267" s="45" t="n">
        <f aca="false">IFERROR(INDEX(medicine_master!$G$2:$G$26,MATCH($C1267,medicine_master!$A$2:$A$26,0)),0)</f>
        <v>16</v>
      </c>
      <c r="N1267" s="45" t="n">
        <f aca="false">IF(D1267="Sale",E1267*L1267,0)</f>
        <v>360</v>
      </c>
      <c r="O1267" s="45" t="n">
        <f aca="false">IF(D1267="Sale",E1267*M1267,0)</f>
        <v>240</v>
      </c>
      <c r="P1267" s="45" t="n">
        <f aca="false">N1267-O1267</f>
        <v>120</v>
      </c>
      <c r="Q1267" s="45" t="n">
        <f aca="false">IF(D1267="Purchase",E1267*M1267,0)</f>
        <v>0</v>
      </c>
    </row>
    <row r="1268" customFormat="false" ht="15" hidden="false" customHeight="false" outlineLevel="0" collapsed="false">
      <c r="A1268" s="39" t="s">
        <v>1592</v>
      </c>
      <c r="B1268" s="44" t="n">
        <v>46093</v>
      </c>
      <c r="C1268" s="39" t="s">
        <v>160</v>
      </c>
      <c r="D1268" s="39" t="s">
        <v>137</v>
      </c>
      <c r="E1268" s="39" t="n">
        <v>25</v>
      </c>
      <c r="F1268" s="39" t="str">
        <f aca="false">IF(COUNTIF(medicine_master!$A$2:$A$26,C1268)&gt;0,"Valid","Invalid")</f>
        <v>Valid</v>
      </c>
      <c r="G1268" s="39" t="str">
        <f aca="false">IFERROR(INDEX(medicine_master!$B$2:$B$26,MATCH($C1268,medicine_master!$A$2:$A$26,0)),"Not found")</f>
        <v>Calamine Lotion</v>
      </c>
      <c r="H1268" s="39" t="str">
        <f aca="false">IFERROR(INDEX(medicine_master!$C$2:$C$26,MATCH($C1268,medicine_master!$A$2:$A$26,0)),"Not found")</f>
        <v>Dermatology</v>
      </c>
      <c r="I1268" s="39" t="n">
        <f aca="false">YEAR(B1268)</f>
        <v>2026</v>
      </c>
      <c r="J1268" s="39" t="n">
        <f aca="false">MONTH(B1268)</f>
        <v>3</v>
      </c>
      <c r="K1268" s="39" t="str">
        <f aca="false">TEXT(B1268,"mmm")</f>
        <v>Mar</v>
      </c>
      <c r="L1268" s="45" t="n">
        <f aca="false">IFERROR(INDEX(medicine_master!$I$2:$I$26,MATCH($C1268,medicine_master!$A$2:$A$26,0)),0)</f>
        <v>60</v>
      </c>
      <c r="M1268" s="45" t="n">
        <f aca="false">IFERROR(INDEX(medicine_master!$G$2:$G$26,MATCH($C1268,medicine_master!$A$2:$A$26,0)),0)</f>
        <v>42</v>
      </c>
      <c r="N1268" s="45" t="n">
        <f aca="false">IF(D1268="Sale",E1268*L1268,0)</f>
        <v>1500</v>
      </c>
      <c r="O1268" s="45" t="n">
        <f aca="false">IF(D1268="Sale",E1268*M1268,0)</f>
        <v>1050</v>
      </c>
      <c r="P1268" s="45" t="n">
        <f aca="false">N1268-O1268</f>
        <v>450</v>
      </c>
      <c r="Q1268" s="45" t="n">
        <f aca="false">IF(D1268="Purchase",E1268*M1268,0)</f>
        <v>0</v>
      </c>
    </row>
    <row r="1269" customFormat="false" ht="15" hidden="false" customHeight="false" outlineLevel="0" collapsed="false">
      <c r="A1269" s="39" t="s">
        <v>1593</v>
      </c>
      <c r="B1269" s="44" t="n">
        <v>46275</v>
      </c>
      <c r="C1269" s="39" t="s">
        <v>147</v>
      </c>
      <c r="D1269" s="39" t="s">
        <v>137</v>
      </c>
      <c r="E1269" s="39" t="n">
        <v>25</v>
      </c>
      <c r="F1269" s="39" t="str">
        <f aca="false">IF(COUNTIF(medicine_master!$A$2:$A$26,C1269)&gt;0,"Valid","Invalid")</f>
        <v>Valid</v>
      </c>
      <c r="G1269" s="39" t="str">
        <f aca="false">IFERROR(INDEX(medicine_master!$B$2:$B$26,MATCH($C1269,medicine_master!$A$2:$A$26,0)),"Not found")</f>
        <v>Insulin Injection</v>
      </c>
      <c r="H1269" s="39" t="str">
        <f aca="false">IFERROR(INDEX(medicine_master!$C$2:$C$26,MATCH($C1269,medicine_master!$A$2:$A$26,0)),"Not found")</f>
        <v>Diabetes</v>
      </c>
      <c r="I1269" s="39" t="n">
        <f aca="false">YEAR(B1269)</f>
        <v>2026</v>
      </c>
      <c r="J1269" s="39" t="n">
        <f aca="false">MONTH(B1269)</f>
        <v>9</v>
      </c>
      <c r="K1269" s="39" t="str">
        <f aca="false">TEXT(B1269,"mmm")</f>
        <v>Sep</v>
      </c>
      <c r="L1269" s="45" t="n">
        <f aca="false">IFERROR(INDEX(medicine_master!$I$2:$I$26,MATCH($C1269,medicine_master!$A$2:$A$26,0)),0)</f>
        <v>225</v>
      </c>
      <c r="M1269" s="45" t="n">
        <f aca="false">IFERROR(INDEX(medicine_master!$G$2:$G$26,MATCH($C1269,medicine_master!$A$2:$A$26,0)),0)</f>
        <v>165</v>
      </c>
      <c r="N1269" s="45" t="n">
        <f aca="false">IF(D1269="Sale",E1269*L1269,0)</f>
        <v>5625</v>
      </c>
      <c r="O1269" s="45" t="n">
        <f aca="false">IF(D1269="Sale",E1269*M1269,0)</f>
        <v>4125</v>
      </c>
      <c r="P1269" s="45" t="n">
        <f aca="false">N1269-O1269</f>
        <v>1500</v>
      </c>
      <c r="Q1269" s="45" t="n">
        <f aca="false">IF(D1269="Purchase",E1269*M1269,0)</f>
        <v>0</v>
      </c>
    </row>
    <row r="1270" customFormat="false" ht="15" hidden="false" customHeight="false" outlineLevel="0" collapsed="false">
      <c r="A1270" s="39" t="s">
        <v>1594</v>
      </c>
      <c r="B1270" s="44" t="n">
        <v>46145</v>
      </c>
      <c r="C1270" s="39" t="s">
        <v>495</v>
      </c>
      <c r="D1270" s="39" t="s">
        <v>137</v>
      </c>
      <c r="E1270" s="39" t="n">
        <v>40</v>
      </c>
      <c r="F1270" s="39" t="str">
        <f aca="false">IF(COUNTIF(medicine_master!$A$2:$A$26,C1270)&gt;0,"Valid","Invalid")</f>
        <v>Valid</v>
      </c>
      <c r="G1270" s="39" t="str">
        <f aca="false">IFERROR(INDEX(medicine_master!$B$2:$B$26,MATCH($C1270,medicine_master!$A$2:$A$26,0)),"Not found")</f>
        <v>Metformin 500mg</v>
      </c>
      <c r="H1270" s="39" t="str">
        <f aca="false">IFERROR(INDEX(medicine_master!$C$2:$C$26,MATCH($C1270,medicine_master!$A$2:$A$26,0)),"Not found")</f>
        <v>Diabetes</v>
      </c>
      <c r="I1270" s="39" t="n">
        <f aca="false">YEAR(B1270)</f>
        <v>2026</v>
      </c>
      <c r="J1270" s="39" t="n">
        <f aca="false">MONTH(B1270)</f>
        <v>5</v>
      </c>
      <c r="K1270" s="39" t="str">
        <f aca="false">TEXT(B1270,"mmm")</f>
        <v>May</v>
      </c>
      <c r="L1270" s="45" t="n">
        <f aca="false">IFERROR(INDEX(medicine_master!$I$2:$I$26,MATCH($C1270,medicine_master!$A$2:$A$26,0)),0)</f>
        <v>24</v>
      </c>
      <c r="M1270" s="45" t="n">
        <f aca="false">IFERROR(INDEX(medicine_master!$G$2:$G$26,MATCH($C1270,medicine_master!$A$2:$A$26,0)),0)</f>
        <v>16</v>
      </c>
      <c r="N1270" s="45" t="n">
        <f aca="false">IF(D1270="Sale",E1270*L1270,0)</f>
        <v>960</v>
      </c>
      <c r="O1270" s="45" t="n">
        <f aca="false">IF(D1270="Sale",E1270*M1270,0)</f>
        <v>640</v>
      </c>
      <c r="P1270" s="45" t="n">
        <f aca="false">N1270-O1270</f>
        <v>320</v>
      </c>
      <c r="Q1270" s="45" t="n">
        <f aca="false">IF(D1270="Purchase",E1270*M1270,0)</f>
        <v>0</v>
      </c>
    </row>
    <row r="1271" customFormat="false" ht="15" hidden="false" customHeight="false" outlineLevel="0" collapsed="false">
      <c r="A1271" s="39" t="s">
        <v>1595</v>
      </c>
      <c r="B1271" s="44" t="n">
        <v>46168</v>
      </c>
      <c r="C1271" s="39" t="s">
        <v>177</v>
      </c>
      <c r="D1271" s="39" t="s">
        <v>137</v>
      </c>
      <c r="E1271" s="39" t="n">
        <v>40</v>
      </c>
      <c r="F1271" s="39" t="str">
        <f aca="false">IF(COUNTIF(medicine_master!$A$2:$A$26,C1271)&gt;0,"Valid","Invalid")</f>
        <v>Valid</v>
      </c>
      <c r="G1271" s="39" t="str">
        <f aca="false">IFERROR(INDEX(medicine_master!$B$2:$B$26,MATCH($C1271,medicine_master!$A$2:$A$26,0)),"Not found")</f>
        <v>Bandage Roll</v>
      </c>
      <c r="H1271" s="39" t="str">
        <f aca="false">IFERROR(INDEX(medicine_master!$C$2:$C$26,MATCH($C1271,medicine_master!$A$2:$A$26,0)),"Not found")</f>
        <v>First Aid</v>
      </c>
      <c r="I1271" s="39" t="n">
        <f aca="false">YEAR(B1271)</f>
        <v>2026</v>
      </c>
      <c r="J1271" s="39" t="n">
        <f aca="false">MONTH(B1271)</f>
        <v>5</v>
      </c>
      <c r="K1271" s="39" t="str">
        <f aca="false">TEXT(B1271,"mmm")</f>
        <v>May</v>
      </c>
      <c r="L1271" s="45" t="n">
        <f aca="false">IFERROR(INDEX(medicine_master!$I$2:$I$26,MATCH($C1271,medicine_master!$A$2:$A$26,0)),0)</f>
        <v>25</v>
      </c>
      <c r="M1271" s="45" t="n">
        <f aca="false">IFERROR(INDEX(medicine_master!$G$2:$G$26,MATCH($C1271,medicine_master!$A$2:$A$26,0)),0)</f>
        <v>15</v>
      </c>
      <c r="N1271" s="45" t="n">
        <f aca="false">IF(D1271="Sale",E1271*L1271,0)</f>
        <v>1000</v>
      </c>
      <c r="O1271" s="45" t="n">
        <f aca="false">IF(D1271="Sale",E1271*M1271,0)</f>
        <v>600</v>
      </c>
      <c r="P1271" s="45" t="n">
        <f aca="false">N1271-O1271</f>
        <v>400</v>
      </c>
      <c r="Q1271" s="45" t="n">
        <f aca="false">IF(D1271="Purchase",E1271*M1271,0)</f>
        <v>0</v>
      </c>
    </row>
    <row r="1272" customFormat="false" ht="15" hidden="false" customHeight="false" outlineLevel="0" collapsed="false">
      <c r="A1272" s="39" t="s">
        <v>1596</v>
      </c>
      <c r="B1272" s="44" t="n">
        <v>46053</v>
      </c>
      <c r="C1272" s="39" t="s">
        <v>149</v>
      </c>
      <c r="D1272" s="39" t="s">
        <v>137</v>
      </c>
      <c r="E1272" s="39" t="n">
        <v>20</v>
      </c>
      <c r="F1272" s="39" t="str">
        <f aca="false">IF(COUNTIF(medicine_master!$A$2:$A$26,C1272)&gt;0,"Valid","Invalid")</f>
        <v>Valid</v>
      </c>
      <c r="G1272" s="39" t="str">
        <f aca="false">IFERROR(INDEX(medicine_master!$B$2:$B$26,MATCH($C1272,medicine_master!$A$2:$A$26,0)),"Not found")</f>
        <v>Azithromycin 500mg</v>
      </c>
      <c r="H1272" s="39" t="str">
        <f aca="false">IFERROR(INDEX(medicine_master!$C$2:$C$26,MATCH($C1272,medicine_master!$A$2:$A$26,0)),"Not found")</f>
        <v>Antibiotic</v>
      </c>
      <c r="I1272" s="39" t="n">
        <f aca="false">YEAR(B1272)</f>
        <v>2026</v>
      </c>
      <c r="J1272" s="39" t="n">
        <f aca="false">MONTH(B1272)</f>
        <v>1</v>
      </c>
      <c r="K1272" s="39" t="str">
        <f aca="false">TEXT(B1272,"mmm")</f>
        <v>Jan</v>
      </c>
      <c r="L1272" s="45" t="n">
        <f aca="false">IFERROR(INDEX(medicine_master!$I$2:$I$26,MATCH($C1272,medicine_master!$A$2:$A$26,0)),0)</f>
        <v>50</v>
      </c>
      <c r="M1272" s="45" t="n">
        <f aca="false">IFERROR(INDEX(medicine_master!$G$2:$G$26,MATCH($C1272,medicine_master!$A$2:$A$26,0)),0)</f>
        <v>35</v>
      </c>
      <c r="N1272" s="45" t="n">
        <f aca="false">IF(D1272="Sale",E1272*L1272,0)</f>
        <v>1000</v>
      </c>
      <c r="O1272" s="45" t="n">
        <f aca="false">IF(D1272="Sale",E1272*M1272,0)</f>
        <v>700</v>
      </c>
      <c r="P1272" s="45" t="n">
        <f aca="false">N1272-O1272</f>
        <v>300</v>
      </c>
      <c r="Q1272" s="45" t="n">
        <f aca="false">IF(D1272="Purchase",E1272*M1272,0)</f>
        <v>0</v>
      </c>
    </row>
    <row r="1273" customFormat="false" ht="15" hidden="false" customHeight="false" outlineLevel="0" collapsed="false">
      <c r="A1273" s="39" t="s">
        <v>1597</v>
      </c>
      <c r="B1273" s="44" t="n">
        <v>46061</v>
      </c>
      <c r="C1273" s="39" t="s">
        <v>326</v>
      </c>
      <c r="D1273" s="39" t="s">
        <v>137</v>
      </c>
      <c r="E1273" s="39" t="n">
        <v>10</v>
      </c>
      <c r="F1273" s="39" t="str">
        <f aca="false">IF(COUNTIF(medicine_master!$A$2:$A$26,C1273)&gt;0,"Valid","Invalid")</f>
        <v>Valid</v>
      </c>
      <c r="G1273" s="39" t="str">
        <f aca="false">IFERROR(INDEX(medicine_master!$B$2:$B$26,MATCH($C1273,medicine_master!$A$2:$A$26,0)),"Not found")</f>
        <v>Omeprazole 20mg</v>
      </c>
      <c r="H1273" s="39" t="str">
        <f aca="false">IFERROR(INDEX(medicine_master!$C$2:$C$26,MATCH($C1273,medicine_master!$A$2:$A$26,0)),"Not found")</f>
        <v>Gastric</v>
      </c>
      <c r="I1273" s="39" t="n">
        <f aca="false">YEAR(B1273)</f>
        <v>2026</v>
      </c>
      <c r="J1273" s="39" t="n">
        <f aca="false">MONTH(B1273)</f>
        <v>2</v>
      </c>
      <c r="K1273" s="39" t="str">
        <f aca="false">TEXT(B1273,"mmm")</f>
        <v>Feb</v>
      </c>
      <c r="L1273" s="45" t="n">
        <f aca="false">IFERROR(INDEX(medicine_master!$I$2:$I$26,MATCH($C1273,medicine_master!$A$2:$A$26,0)),0)</f>
        <v>26</v>
      </c>
      <c r="M1273" s="45" t="n">
        <f aca="false">IFERROR(INDEX(medicine_master!$G$2:$G$26,MATCH($C1273,medicine_master!$A$2:$A$26,0)),0)</f>
        <v>18</v>
      </c>
      <c r="N1273" s="45" t="n">
        <f aca="false">IF(D1273="Sale",E1273*L1273,0)</f>
        <v>260</v>
      </c>
      <c r="O1273" s="45" t="n">
        <f aca="false">IF(D1273="Sale",E1273*M1273,0)</f>
        <v>180</v>
      </c>
      <c r="P1273" s="45" t="n">
        <f aca="false">N1273-O1273</f>
        <v>80</v>
      </c>
      <c r="Q1273" s="45" t="n">
        <f aca="false">IF(D1273="Purchase",E1273*M1273,0)</f>
        <v>0</v>
      </c>
    </row>
    <row r="1274" customFormat="false" ht="15" hidden="false" customHeight="false" outlineLevel="0" collapsed="false">
      <c r="A1274" s="39" t="s">
        <v>1598</v>
      </c>
      <c r="B1274" s="44" t="n">
        <v>46225</v>
      </c>
      <c r="C1274" s="39" t="s">
        <v>179</v>
      </c>
      <c r="D1274" s="39" t="s">
        <v>137</v>
      </c>
      <c r="E1274" s="39" t="n">
        <v>30</v>
      </c>
      <c r="F1274" s="39" t="str">
        <f aca="false">IF(COUNTIF(medicine_master!$A$2:$A$26,C1274)&gt;0,"Valid","Invalid")</f>
        <v>Valid</v>
      </c>
      <c r="G1274" s="39" t="str">
        <f aca="false">IFERROR(INDEX(medicine_master!$B$2:$B$26,MATCH($C1274,medicine_master!$A$2:$A$26,0)),"Not found")</f>
        <v>Ibuprofen 400mg</v>
      </c>
      <c r="H1274" s="39" t="str">
        <f aca="false">IFERROR(INDEX(medicine_master!$C$2:$C$26,MATCH($C1274,medicine_master!$A$2:$A$26,0)),"Not found")</f>
        <v>Pain Relief</v>
      </c>
      <c r="I1274" s="39" t="n">
        <f aca="false">YEAR(B1274)</f>
        <v>2026</v>
      </c>
      <c r="J1274" s="39" t="n">
        <f aca="false">MONTH(B1274)</f>
        <v>7</v>
      </c>
      <c r="K1274" s="39" t="str">
        <f aca="false">TEXT(B1274,"mmm")</f>
        <v>Jul</v>
      </c>
      <c r="L1274" s="45" t="n">
        <f aca="false">IFERROR(INDEX(medicine_master!$I$2:$I$26,MATCH($C1274,medicine_master!$A$2:$A$26,0)),0)</f>
        <v>30</v>
      </c>
      <c r="M1274" s="45" t="n">
        <f aca="false">IFERROR(INDEX(medicine_master!$G$2:$G$26,MATCH($C1274,medicine_master!$A$2:$A$26,0)),0)</f>
        <v>22</v>
      </c>
      <c r="N1274" s="45" t="n">
        <f aca="false">IF(D1274="Sale",E1274*L1274,0)</f>
        <v>900</v>
      </c>
      <c r="O1274" s="45" t="n">
        <f aca="false">IF(D1274="Sale",E1274*M1274,0)</f>
        <v>660</v>
      </c>
      <c r="P1274" s="45" t="n">
        <f aca="false">N1274-O1274</f>
        <v>240</v>
      </c>
      <c r="Q1274" s="45" t="n">
        <f aca="false">IF(D1274="Purchase",E1274*M1274,0)</f>
        <v>0</v>
      </c>
    </row>
    <row r="1275" customFormat="false" ht="15" hidden="false" customHeight="false" outlineLevel="0" collapsed="false">
      <c r="A1275" s="39" t="s">
        <v>1599</v>
      </c>
      <c r="B1275" s="44" t="n">
        <v>46040</v>
      </c>
      <c r="C1275" s="39" t="s">
        <v>390</v>
      </c>
      <c r="D1275" s="39" t="s">
        <v>138</v>
      </c>
      <c r="E1275" s="39" t="n">
        <v>25</v>
      </c>
      <c r="F1275" s="39" t="str">
        <f aca="false">IF(COUNTIF(medicine_master!$A$2:$A$26,C1275)&gt;0,"Valid","Invalid")</f>
        <v>Valid</v>
      </c>
      <c r="G1275" s="39" t="str">
        <f aca="false">IFERROR(INDEX(medicine_master!$B$2:$B$26,MATCH($C1275,medicine_master!$A$2:$A$26,0)),"Not found")</f>
        <v>Montelukast 10mg</v>
      </c>
      <c r="H1275" s="39" t="str">
        <f aca="false">IFERROR(INDEX(medicine_master!$C$2:$C$26,MATCH($C1275,medicine_master!$A$2:$A$26,0)),"Not found")</f>
        <v>Allergy</v>
      </c>
      <c r="I1275" s="39" t="n">
        <f aca="false">YEAR(B1275)</f>
        <v>2026</v>
      </c>
      <c r="J1275" s="39" t="n">
        <f aca="false">MONTH(B1275)</f>
        <v>1</v>
      </c>
      <c r="K1275" s="39" t="str">
        <f aca="false">TEXT(B1275,"mmm")</f>
        <v>Jan</v>
      </c>
      <c r="L1275" s="45" t="n">
        <f aca="false">IFERROR(INDEX(medicine_master!$I$2:$I$26,MATCH($C1275,medicine_master!$A$2:$A$26,0)),0)</f>
        <v>39</v>
      </c>
      <c r="M1275" s="45" t="n">
        <f aca="false">IFERROR(INDEX(medicine_master!$G$2:$G$26,MATCH($C1275,medicine_master!$A$2:$A$26,0)),0)</f>
        <v>27</v>
      </c>
      <c r="N1275" s="45" t="n">
        <f aca="false">IF(D1275="Sale",E1275*L1275,0)</f>
        <v>0</v>
      </c>
      <c r="O1275" s="45" t="n">
        <f aca="false">IF(D1275="Sale",E1275*M1275,0)</f>
        <v>0</v>
      </c>
      <c r="P1275" s="45" t="n">
        <f aca="false">N1275-O1275</f>
        <v>0</v>
      </c>
      <c r="Q1275" s="45" t="n">
        <f aca="false">IF(D1275="Purchase",E1275*M1275,0)</f>
        <v>675</v>
      </c>
    </row>
    <row r="1276" customFormat="false" ht="15" hidden="false" customHeight="false" outlineLevel="0" collapsed="false">
      <c r="A1276" s="39" t="s">
        <v>1600</v>
      </c>
      <c r="B1276" s="44" t="n">
        <v>46368</v>
      </c>
      <c r="C1276" s="39" t="s">
        <v>148</v>
      </c>
      <c r="D1276" s="39" t="s">
        <v>138</v>
      </c>
      <c r="E1276" s="39" t="n">
        <v>20</v>
      </c>
      <c r="F1276" s="39" t="str">
        <f aca="false">IF(COUNTIF(medicine_master!$A$2:$A$26,C1276)&gt;0,"Valid","Invalid")</f>
        <v>Valid</v>
      </c>
      <c r="G1276" s="39" t="str">
        <f aca="false">IFERROR(INDEX(medicine_master!$B$2:$B$26,MATCH($C1276,medicine_master!$A$2:$A$26,0)),"Not found")</f>
        <v>Dextromethorphan Syrup</v>
      </c>
      <c r="H1276" s="39" t="str">
        <f aca="false">IFERROR(INDEX(medicine_master!$C$2:$C$26,MATCH($C1276,medicine_master!$A$2:$A$26,0)),"Not found")</f>
        <v>Cold &amp; Cough</v>
      </c>
      <c r="I1276" s="39" t="n">
        <f aca="false">YEAR(B1276)</f>
        <v>2026</v>
      </c>
      <c r="J1276" s="39" t="n">
        <f aca="false">MONTH(B1276)</f>
        <v>12</v>
      </c>
      <c r="K1276" s="39" t="str">
        <f aca="false">TEXT(B1276,"mmm")</f>
        <v>Dec</v>
      </c>
      <c r="L1276" s="45" t="n">
        <f aca="false">IFERROR(INDEX(medicine_master!$I$2:$I$26,MATCH($C1276,medicine_master!$A$2:$A$26,0)),0)</f>
        <v>80</v>
      </c>
      <c r="M1276" s="45" t="n">
        <f aca="false">IFERROR(INDEX(medicine_master!$G$2:$G$26,MATCH($C1276,medicine_master!$A$2:$A$26,0)),0)</f>
        <v>58</v>
      </c>
      <c r="N1276" s="45" t="n">
        <f aca="false">IF(D1276="Sale",E1276*L1276,0)</f>
        <v>0</v>
      </c>
      <c r="O1276" s="45" t="n">
        <f aca="false">IF(D1276="Sale",E1276*M1276,0)</f>
        <v>0</v>
      </c>
      <c r="P1276" s="45" t="n">
        <f aca="false">N1276-O1276</f>
        <v>0</v>
      </c>
      <c r="Q1276" s="45" t="n">
        <f aca="false">IF(D1276="Purchase",E1276*M1276,0)</f>
        <v>1160</v>
      </c>
    </row>
    <row r="1277" customFormat="false" ht="15" hidden="false" customHeight="false" outlineLevel="0" collapsed="false">
      <c r="A1277" s="39" t="s">
        <v>1601</v>
      </c>
      <c r="B1277" s="44" t="n">
        <v>46066</v>
      </c>
      <c r="C1277" s="39" t="s">
        <v>157</v>
      </c>
      <c r="D1277" s="39" t="s">
        <v>137</v>
      </c>
      <c r="E1277" s="39" t="n">
        <v>20</v>
      </c>
      <c r="F1277" s="39" t="str">
        <f aca="false">IF(COUNTIF(medicine_master!$A$2:$A$26,C1277)&gt;0,"Valid","Invalid")</f>
        <v>Valid</v>
      </c>
      <c r="G1277" s="39" t="str">
        <f aca="false">IFERROR(INDEX(medicine_master!$B$2:$B$26,MATCH($C1277,medicine_master!$A$2:$A$26,0)),"Not found")</f>
        <v>Multivitamin Tablets</v>
      </c>
      <c r="H1277" s="39" t="str">
        <f aca="false">IFERROR(INDEX(medicine_master!$C$2:$C$26,MATCH($C1277,medicine_master!$A$2:$A$26,0)),"Not found")</f>
        <v>Vitamin</v>
      </c>
      <c r="I1277" s="39" t="n">
        <f aca="false">YEAR(B1277)</f>
        <v>2026</v>
      </c>
      <c r="J1277" s="39" t="n">
        <f aca="false">MONTH(B1277)</f>
        <v>2</v>
      </c>
      <c r="K1277" s="39" t="str">
        <f aca="false">TEXT(B1277,"mmm")</f>
        <v>Feb</v>
      </c>
      <c r="L1277" s="45" t="n">
        <f aca="false">IFERROR(INDEX(medicine_master!$I$2:$I$26,MATCH($C1277,medicine_master!$A$2:$A$26,0)),0)</f>
        <v>105</v>
      </c>
      <c r="M1277" s="45" t="n">
        <f aca="false">IFERROR(INDEX(medicine_master!$G$2:$G$26,MATCH($C1277,medicine_master!$A$2:$A$26,0)),0)</f>
        <v>72</v>
      </c>
      <c r="N1277" s="45" t="n">
        <f aca="false">IF(D1277="Sale",E1277*L1277,0)</f>
        <v>2100</v>
      </c>
      <c r="O1277" s="45" t="n">
        <f aca="false">IF(D1277="Sale",E1277*M1277,0)</f>
        <v>1440</v>
      </c>
      <c r="P1277" s="45" t="n">
        <f aca="false">N1277-O1277</f>
        <v>660</v>
      </c>
      <c r="Q1277" s="45" t="n">
        <f aca="false">IF(D1277="Purchase",E1277*M1277,0)</f>
        <v>0</v>
      </c>
    </row>
    <row r="1278" customFormat="false" ht="15" hidden="false" customHeight="false" outlineLevel="0" collapsed="false">
      <c r="A1278" s="39" t="s">
        <v>1602</v>
      </c>
      <c r="B1278" s="44" t="n">
        <v>46117</v>
      </c>
      <c r="C1278" s="39" t="s">
        <v>152</v>
      </c>
      <c r="D1278" s="39" t="s">
        <v>138</v>
      </c>
      <c r="E1278" s="39" t="n">
        <v>40</v>
      </c>
      <c r="F1278" s="39" t="str">
        <f aca="false">IF(COUNTIF(medicine_master!$A$2:$A$26,C1278)&gt;0,"Valid","Invalid")</f>
        <v>Valid</v>
      </c>
      <c r="G1278" s="39" t="str">
        <f aca="false">IFERROR(INDEX(medicine_master!$B$2:$B$26,MATCH($C1278,medicine_master!$A$2:$A$26,0)),"Not found")</f>
        <v>Amoxicillin 500mg</v>
      </c>
      <c r="H1278" s="39" t="str">
        <f aca="false">IFERROR(INDEX(medicine_master!$C$2:$C$26,MATCH($C1278,medicine_master!$A$2:$A$26,0)),"Not found")</f>
        <v>Antibiotic</v>
      </c>
      <c r="I1278" s="39" t="n">
        <f aca="false">YEAR(B1278)</f>
        <v>2026</v>
      </c>
      <c r="J1278" s="39" t="n">
        <f aca="false">MONTH(B1278)</f>
        <v>4</v>
      </c>
      <c r="K1278" s="39" t="str">
        <f aca="false">TEXT(B1278,"mmm")</f>
        <v>Apr</v>
      </c>
      <c r="L1278" s="45" t="n">
        <f aca="false">IFERROR(INDEX(medicine_master!$I$2:$I$26,MATCH($C1278,medicine_master!$A$2:$A$26,0)),0)</f>
        <v>40</v>
      </c>
      <c r="M1278" s="45" t="n">
        <f aca="false">IFERROR(INDEX(medicine_master!$G$2:$G$26,MATCH($C1278,medicine_master!$A$2:$A$26,0)),0)</f>
        <v>28</v>
      </c>
      <c r="N1278" s="45" t="n">
        <f aca="false">IF(D1278="Sale",E1278*L1278,0)</f>
        <v>0</v>
      </c>
      <c r="O1278" s="45" t="n">
        <f aca="false">IF(D1278="Sale",E1278*M1278,0)</f>
        <v>0</v>
      </c>
      <c r="P1278" s="45" t="n">
        <f aca="false">N1278-O1278</f>
        <v>0</v>
      </c>
      <c r="Q1278" s="45" t="n">
        <f aca="false">IF(D1278="Purchase",E1278*M1278,0)</f>
        <v>1120</v>
      </c>
    </row>
    <row r="1279" customFormat="false" ht="15" hidden="false" customHeight="false" outlineLevel="0" collapsed="false">
      <c r="A1279" s="39" t="s">
        <v>1603</v>
      </c>
      <c r="B1279" s="44" t="n">
        <v>46251</v>
      </c>
      <c r="C1279" s="39" t="s">
        <v>144</v>
      </c>
      <c r="D1279" s="39" t="s">
        <v>137</v>
      </c>
      <c r="E1279" s="39" t="n">
        <v>5</v>
      </c>
      <c r="F1279" s="39" t="str">
        <f aca="false">IF(COUNTIF(medicine_master!$A$2:$A$26,C1279)&gt;0,"Valid","Invalid")</f>
        <v>Valid</v>
      </c>
      <c r="G1279" s="39" t="str">
        <f aca="false">IFERROR(INDEX(medicine_master!$B$2:$B$26,MATCH($C1279,medicine_master!$A$2:$A$26,0)),"Not found")</f>
        <v>Glimepiride 2mg</v>
      </c>
      <c r="H1279" s="39" t="str">
        <f aca="false">IFERROR(INDEX(medicine_master!$C$2:$C$26,MATCH($C1279,medicine_master!$A$2:$A$26,0)),"Not found")</f>
        <v>Diabetes</v>
      </c>
      <c r="I1279" s="39" t="n">
        <f aca="false">YEAR(B1279)</f>
        <v>2026</v>
      </c>
      <c r="J1279" s="39" t="n">
        <f aca="false">MONTH(B1279)</f>
        <v>8</v>
      </c>
      <c r="K1279" s="39" t="str">
        <f aca="false">TEXT(B1279,"mmm")</f>
        <v>Aug</v>
      </c>
      <c r="L1279" s="45" t="n">
        <f aca="false">IFERROR(INDEX(medicine_master!$I$2:$I$26,MATCH($C1279,medicine_master!$A$2:$A$26,0)),0)</f>
        <v>52</v>
      </c>
      <c r="M1279" s="45" t="n">
        <f aca="false">IFERROR(INDEX(medicine_master!$G$2:$G$26,MATCH($C1279,medicine_master!$A$2:$A$26,0)),0)</f>
        <v>38</v>
      </c>
      <c r="N1279" s="45" t="n">
        <f aca="false">IF(D1279="Sale",E1279*L1279,0)</f>
        <v>260</v>
      </c>
      <c r="O1279" s="45" t="n">
        <f aca="false">IF(D1279="Sale",E1279*M1279,0)</f>
        <v>190</v>
      </c>
      <c r="P1279" s="45" t="n">
        <f aca="false">N1279-O1279</f>
        <v>70</v>
      </c>
      <c r="Q1279" s="45" t="n">
        <f aca="false">IF(D1279="Purchase",E1279*M1279,0)</f>
        <v>0</v>
      </c>
    </row>
    <row r="1280" customFormat="false" ht="15" hidden="false" customHeight="false" outlineLevel="0" collapsed="false">
      <c r="A1280" s="39" t="s">
        <v>1604</v>
      </c>
      <c r="B1280" s="44" t="n">
        <v>46268</v>
      </c>
      <c r="C1280" s="39" t="s">
        <v>390</v>
      </c>
      <c r="D1280" s="39" t="s">
        <v>138</v>
      </c>
      <c r="E1280" s="39" t="n">
        <v>15</v>
      </c>
      <c r="F1280" s="39" t="str">
        <f aca="false">IF(COUNTIF(medicine_master!$A$2:$A$26,C1280)&gt;0,"Valid","Invalid")</f>
        <v>Valid</v>
      </c>
      <c r="G1280" s="39" t="str">
        <f aca="false">IFERROR(INDEX(medicine_master!$B$2:$B$26,MATCH($C1280,medicine_master!$A$2:$A$26,0)),"Not found")</f>
        <v>Montelukast 10mg</v>
      </c>
      <c r="H1280" s="39" t="str">
        <f aca="false">IFERROR(INDEX(medicine_master!$C$2:$C$26,MATCH($C1280,medicine_master!$A$2:$A$26,0)),"Not found")</f>
        <v>Allergy</v>
      </c>
      <c r="I1280" s="39" t="n">
        <f aca="false">YEAR(B1280)</f>
        <v>2026</v>
      </c>
      <c r="J1280" s="39" t="n">
        <f aca="false">MONTH(B1280)</f>
        <v>9</v>
      </c>
      <c r="K1280" s="39" t="str">
        <f aca="false">TEXT(B1280,"mmm")</f>
        <v>Sep</v>
      </c>
      <c r="L1280" s="45" t="n">
        <f aca="false">IFERROR(INDEX(medicine_master!$I$2:$I$26,MATCH($C1280,medicine_master!$A$2:$A$26,0)),0)</f>
        <v>39</v>
      </c>
      <c r="M1280" s="45" t="n">
        <f aca="false">IFERROR(INDEX(medicine_master!$G$2:$G$26,MATCH($C1280,medicine_master!$A$2:$A$26,0)),0)</f>
        <v>27</v>
      </c>
      <c r="N1280" s="45" t="n">
        <f aca="false">IF(D1280="Sale",E1280*L1280,0)</f>
        <v>0</v>
      </c>
      <c r="O1280" s="45" t="n">
        <f aca="false">IF(D1280="Sale",E1280*M1280,0)</f>
        <v>0</v>
      </c>
      <c r="P1280" s="45" t="n">
        <f aca="false">N1280-O1280</f>
        <v>0</v>
      </c>
      <c r="Q1280" s="45" t="n">
        <f aca="false">IF(D1280="Purchase",E1280*M1280,0)</f>
        <v>405</v>
      </c>
    </row>
    <row r="1281" customFormat="false" ht="15" hidden="false" customHeight="false" outlineLevel="0" collapsed="false">
      <c r="A1281" s="39" t="s">
        <v>1605</v>
      </c>
      <c r="B1281" s="44" t="n">
        <v>46257</v>
      </c>
      <c r="C1281" s="39" t="s">
        <v>390</v>
      </c>
      <c r="D1281" s="39" t="s">
        <v>137</v>
      </c>
      <c r="E1281" s="39" t="n">
        <v>25</v>
      </c>
      <c r="F1281" s="39" t="str">
        <f aca="false">IF(COUNTIF(medicine_master!$A$2:$A$26,C1281)&gt;0,"Valid","Invalid")</f>
        <v>Valid</v>
      </c>
      <c r="G1281" s="39" t="str">
        <f aca="false">IFERROR(INDEX(medicine_master!$B$2:$B$26,MATCH($C1281,medicine_master!$A$2:$A$26,0)),"Not found")</f>
        <v>Montelukast 10mg</v>
      </c>
      <c r="H1281" s="39" t="str">
        <f aca="false">IFERROR(INDEX(medicine_master!$C$2:$C$26,MATCH($C1281,medicine_master!$A$2:$A$26,0)),"Not found")</f>
        <v>Allergy</v>
      </c>
      <c r="I1281" s="39" t="n">
        <f aca="false">YEAR(B1281)</f>
        <v>2026</v>
      </c>
      <c r="J1281" s="39" t="n">
        <f aca="false">MONTH(B1281)</f>
        <v>8</v>
      </c>
      <c r="K1281" s="39" t="str">
        <f aca="false">TEXT(B1281,"mmm")</f>
        <v>Aug</v>
      </c>
      <c r="L1281" s="45" t="n">
        <f aca="false">IFERROR(INDEX(medicine_master!$I$2:$I$26,MATCH($C1281,medicine_master!$A$2:$A$26,0)),0)</f>
        <v>39</v>
      </c>
      <c r="M1281" s="45" t="n">
        <f aca="false">IFERROR(INDEX(medicine_master!$G$2:$G$26,MATCH($C1281,medicine_master!$A$2:$A$26,0)),0)</f>
        <v>27</v>
      </c>
      <c r="N1281" s="45" t="n">
        <f aca="false">IF(D1281="Sale",E1281*L1281,0)</f>
        <v>975</v>
      </c>
      <c r="O1281" s="45" t="n">
        <f aca="false">IF(D1281="Sale",E1281*M1281,0)</f>
        <v>675</v>
      </c>
      <c r="P1281" s="45" t="n">
        <f aca="false">N1281-O1281</f>
        <v>300</v>
      </c>
      <c r="Q1281" s="45" t="n">
        <f aca="false">IF(D1281="Purchase",E1281*M1281,0)</f>
        <v>0</v>
      </c>
    </row>
    <row r="1282" customFormat="false" ht="15" hidden="false" customHeight="false" outlineLevel="0" collapsed="false">
      <c r="A1282" s="39" t="s">
        <v>1606</v>
      </c>
      <c r="B1282" s="44" t="n">
        <v>46194</v>
      </c>
      <c r="C1282" s="39" t="s">
        <v>321</v>
      </c>
      <c r="D1282" s="39" t="s">
        <v>138</v>
      </c>
      <c r="E1282" s="39" t="n">
        <v>10</v>
      </c>
      <c r="F1282" s="39" t="str">
        <f aca="false">IF(COUNTIF(medicine_master!$A$2:$A$26,C1282)&gt;0,"Valid","Invalid")</f>
        <v>Valid</v>
      </c>
      <c r="G1282" s="39" t="str">
        <f aca="false">IFERROR(INDEX(medicine_master!$B$2:$B$26,MATCH($C1282,medicine_master!$A$2:$A$26,0)),"Not found")</f>
        <v>Levocetirizine 5mg</v>
      </c>
      <c r="H1282" s="39" t="str">
        <f aca="false">IFERROR(INDEX(medicine_master!$C$2:$C$26,MATCH($C1282,medicine_master!$A$2:$A$26,0)),"Not found")</f>
        <v>Allergy</v>
      </c>
      <c r="I1282" s="39" t="n">
        <f aca="false">YEAR(B1282)</f>
        <v>2026</v>
      </c>
      <c r="J1282" s="39" t="n">
        <f aca="false">MONTH(B1282)</f>
        <v>6</v>
      </c>
      <c r="K1282" s="39" t="str">
        <f aca="false">TEXT(B1282,"mmm")</f>
        <v>Jun</v>
      </c>
      <c r="L1282" s="45" t="n">
        <f aca="false">IFERROR(INDEX(medicine_master!$I$2:$I$26,MATCH($C1282,medicine_master!$A$2:$A$26,0)),0)</f>
        <v>22</v>
      </c>
      <c r="M1282" s="45" t="n">
        <f aca="false">IFERROR(INDEX(medicine_master!$G$2:$G$26,MATCH($C1282,medicine_master!$A$2:$A$26,0)),0)</f>
        <v>14</v>
      </c>
      <c r="N1282" s="45" t="n">
        <f aca="false">IF(D1282="Sale",E1282*L1282,0)</f>
        <v>0</v>
      </c>
      <c r="O1282" s="45" t="n">
        <f aca="false">IF(D1282="Sale",E1282*M1282,0)</f>
        <v>0</v>
      </c>
      <c r="P1282" s="45" t="n">
        <f aca="false">N1282-O1282</f>
        <v>0</v>
      </c>
      <c r="Q1282" s="45" t="n">
        <f aca="false">IF(D1282="Purchase",E1282*M1282,0)</f>
        <v>140</v>
      </c>
    </row>
    <row r="1283" customFormat="false" ht="15" hidden="false" customHeight="false" outlineLevel="0" collapsed="false">
      <c r="A1283" s="39" t="s">
        <v>1607</v>
      </c>
      <c r="B1283" s="44" t="n">
        <v>46232</v>
      </c>
      <c r="C1283" s="39" t="s">
        <v>144</v>
      </c>
      <c r="D1283" s="39" t="s">
        <v>137</v>
      </c>
      <c r="E1283" s="39" t="n">
        <v>40</v>
      </c>
      <c r="F1283" s="39" t="str">
        <f aca="false">IF(COUNTIF(medicine_master!$A$2:$A$26,C1283)&gt;0,"Valid","Invalid")</f>
        <v>Valid</v>
      </c>
      <c r="G1283" s="39" t="str">
        <f aca="false">IFERROR(INDEX(medicine_master!$B$2:$B$26,MATCH($C1283,medicine_master!$A$2:$A$26,0)),"Not found")</f>
        <v>Glimepiride 2mg</v>
      </c>
      <c r="H1283" s="39" t="str">
        <f aca="false">IFERROR(INDEX(medicine_master!$C$2:$C$26,MATCH($C1283,medicine_master!$A$2:$A$26,0)),"Not found")</f>
        <v>Diabetes</v>
      </c>
      <c r="I1283" s="39" t="n">
        <f aca="false">YEAR(B1283)</f>
        <v>2026</v>
      </c>
      <c r="J1283" s="39" t="n">
        <f aca="false">MONTH(B1283)</f>
        <v>7</v>
      </c>
      <c r="K1283" s="39" t="str">
        <f aca="false">TEXT(B1283,"mmm")</f>
        <v>Jul</v>
      </c>
      <c r="L1283" s="45" t="n">
        <f aca="false">IFERROR(INDEX(medicine_master!$I$2:$I$26,MATCH($C1283,medicine_master!$A$2:$A$26,0)),0)</f>
        <v>52</v>
      </c>
      <c r="M1283" s="45" t="n">
        <f aca="false">IFERROR(INDEX(medicine_master!$G$2:$G$26,MATCH($C1283,medicine_master!$A$2:$A$26,0)),0)</f>
        <v>38</v>
      </c>
      <c r="N1283" s="45" t="n">
        <f aca="false">IF(D1283="Sale",E1283*L1283,0)</f>
        <v>2080</v>
      </c>
      <c r="O1283" s="45" t="n">
        <f aca="false">IF(D1283="Sale",E1283*M1283,0)</f>
        <v>1520</v>
      </c>
      <c r="P1283" s="45" t="n">
        <f aca="false">N1283-O1283</f>
        <v>560</v>
      </c>
      <c r="Q1283" s="45" t="n">
        <f aca="false">IF(D1283="Purchase",E1283*M1283,0)</f>
        <v>0</v>
      </c>
    </row>
    <row r="1284" customFormat="false" ht="15" hidden="false" customHeight="false" outlineLevel="0" collapsed="false">
      <c r="A1284" s="39" t="s">
        <v>1608</v>
      </c>
      <c r="B1284" s="44" t="n">
        <v>46386</v>
      </c>
      <c r="C1284" s="39" t="s">
        <v>495</v>
      </c>
      <c r="D1284" s="39" t="s">
        <v>137</v>
      </c>
      <c r="E1284" s="39" t="n">
        <v>25</v>
      </c>
      <c r="F1284" s="39" t="str">
        <f aca="false">IF(COUNTIF(medicine_master!$A$2:$A$26,C1284)&gt;0,"Valid","Invalid")</f>
        <v>Valid</v>
      </c>
      <c r="G1284" s="39" t="str">
        <f aca="false">IFERROR(INDEX(medicine_master!$B$2:$B$26,MATCH($C1284,medicine_master!$A$2:$A$26,0)),"Not found")</f>
        <v>Metformin 500mg</v>
      </c>
      <c r="H1284" s="39" t="str">
        <f aca="false">IFERROR(INDEX(medicine_master!$C$2:$C$26,MATCH($C1284,medicine_master!$A$2:$A$26,0)),"Not found")</f>
        <v>Diabetes</v>
      </c>
      <c r="I1284" s="39" t="n">
        <f aca="false">YEAR(B1284)</f>
        <v>2026</v>
      </c>
      <c r="J1284" s="39" t="n">
        <f aca="false">MONTH(B1284)</f>
        <v>12</v>
      </c>
      <c r="K1284" s="39" t="str">
        <f aca="false">TEXT(B1284,"mmm")</f>
        <v>Dec</v>
      </c>
      <c r="L1284" s="45" t="n">
        <f aca="false">IFERROR(INDEX(medicine_master!$I$2:$I$26,MATCH($C1284,medicine_master!$A$2:$A$26,0)),0)</f>
        <v>24</v>
      </c>
      <c r="M1284" s="45" t="n">
        <f aca="false">IFERROR(INDEX(medicine_master!$G$2:$G$26,MATCH($C1284,medicine_master!$A$2:$A$26,0)),0)</f>
        <v>16</v>
      </c>
      <c r="N1284" s="45" t="n">
        <f aca="false">IF(D1284="Sale",E1284*L1284,0)</f>
        <v>600</v>
      </c>
      <c r="O1284" s="45" t="n">
        <f aca="false">IF(D1284="Sale",E1284*M1284,0)</f>
        <v>400</v>
      </c>
      <c r="P1284" s="45" t="n">
        <f aca="false">N1284-O1284</f>
        <v>200</v>
      </c>
      <c r="Q1284" s="45" t="n">
        <f aca="false">IF(D1284="Purchase",E1284*M1284,0)</f>
        <v>0</v>
      </c>
    </row>
    <row r="1285" customFormat="false" ht="15" hidden="false" customHeight="false" outlineLevel="0" collapsed="false">
      <c r="A1285" s="39" t="s">
        <v>1609</v>
      </c>
      <c r="B1285" s="44" t="n">
        <v>46120</v>
      </c>
      <c r="C1285" s="39" t="s">
        <v>147</v>
      </c>
      <c r="D1285" s="39" t="s">
        <v>137</v>
      </c>
      <c r="E1285" s="39" t="n">
        <v>30</v>
      </c>
      <c r="F1285" s="39" t="str">
        <f aca="false">IF(COUNTIF(medicine_master!$A$2:$A$26,C1285)&gt;0,"Valid","Invalid")</f>
        <v>Valid</v>
      </c>
      <c r="G1285" s="39" t="str">
        <f aca="false">IFERROR(INDEX(medicine_master!$B$2:$B$26,MATCH($C1285,medicine_master!$A$2:$A$26,0)),"Not found")</f>
        <v>Insulin Injection</v>
      </c>
      <c r="H1285" s="39" t="str">
        <f aca="false">IFERROR(INDEX(medicine_master!$C$2:$C$26,MATCH($C1285,medicine_master!$A$2:$A$26,0)),"Not found")</f>
        <v>Diabetes</v>
      </c>
      <c r="I1285" s="39" t="n">
        <f aca="false">YEAR(B1285)</f>
        <v>2026</v>
      </c>
      <c r="J1285" s="39" t="n">
        <f aca="false">MONTH(B1285)</f>
        <v>4</v>
      </c>
      <c r="K1285" s="39" t="str">
        <f aca="false">TEXT(B1285,"mmm")</f>
        <v>Apr</v>
      </c>
      <c r="L1285" s="45" t="n">
        <f aca="false">IFERROR(INDEX(medicine_master!$I$2:$I$26,MATCH($C1285,medicine_master!$A$2:$A$26,0)),0)</f>
        <v>225</v>
      </c>
      <c r="M1285" s="45" t="n">
        <f aca="false">IFERROR(INDEX(medicine_master!$G$2:$G$26,MATCH($C1285,medicine_master!$A$2:$A$26,0)),0)</f>
        <v>165</v>
      </c>
      <c r="N1285" s="45" t="n">
        <f aca="false">IF(D1285="Sale",E1285*L1285,0)</f>
        <v>6750</v>
      </c>
      <c r="O1285" s="45" t="n">
        <f aca="false">IF(D1285="Sale",E1285*M1285,0)</f>
        <v>4950</v>
      </c>
      <c r="P1285" s="45" t="n">
        <f aca="false">N1285-O1285</f>
        <v>1800</v>
      </c>
      <c r="Q1285" s="45" t="n">
        <f aca="false">IF(D1285="Purchase",E1285*M1285,0)</f>
        <v>0</v>
      </c>
    </row>
    <row r="1286" customFormat="false" ht="15" hidden="false" customHeight="false" outlineLevel="0" collapsed="false">
      <c r="A1286" s="39" t="s">
        <v>1610</v>
      </c>
      <c r="B1286" s="44" t="n">
        <v>46156</v>
      </c>
      <c r="C1286" s="39" t="s">
        <v>150</v>
      </c>
      <c r="D1286" s="39" t="s">
        <v>137</v>
      </c>
      <c r="E1286" s="39" t="n">
        <v>25</v>
      </c>
      <c r="F1286" s="39" t="str">
        <f aca="false">IF(COUNTIF(medicine_master!$A$2:$A$26,C1286)&gt;0,"Valid","Invalid")</f>
        <v>Valid</v>
      </c>
      <c r="G1286" s="39" t="str">
        <f aca="false">IFERROR(INDEX(medicine_master!$B$2:$B$26,MATCH($C1286,medicine_master!$A$2:$A$26,0)),"Not found")</f>
        <v>Pantoprazole 40mg</v>
      </c>
      <c r="H1286" s="39" t="str">
        <f aca="false">IFERROR(INDEX(medicine_master!$C$2:$C$26,MATCH($C1286,medicine_master!$A$2:$A$26,0)),"Not found")</f>
        <v>Gastric</v>
      </c>
      <c r="I1286" s="39" t="n">
        <f aca="false">YEAR(B1286)</f>
        <v>2026</v>
      </c>
      <c r="J1286" s="39" t="n">
        <f aca="false">MONTH(B1286)</f>
        <v>5</v>
      </c>
      <c r="K1286" s="39" t="str">
        <f aca="false">TEXT(B1286,"mmm")</f>
        <v>May</v>
      </c>
      <c r="L1286" s="45" t="n">
        <f aca="false">IFERROR(INDEX(medicine_master!$I$2:$I$26,MATCH($C1286,medicine_master!$A$2:$A$26,0)),0)</f>
        <v>35</v>
      </c>
      <c r="M1286" s="45" t="n">
        <f aca="false">IFERROR(INDEX(medicine_master!$G$2:$G$26,MATCH($C1286,medicine_master!$A$2:$A$26,0)),0)</f>
        <v>24</v>
      </c>
      <c r="N1286" s="45" t="n">
        <f aca="false">IF(D1286="Sale",E1286*L1286,0)</f>
        <v>875</v>
      </c>
      <c r="O1286" s="45" t="n">
        <f aca="false">IF(D1286="Sale",E1286*M1286,0)</f>
        <v>600</v>
      </c>
      <c r="P1286" s="45" t="n">
        <f aca="false">N1286-O1286</f>
        <v>275</v>
      </c>
      <c r="Q1286" s="45" t="n">
        <f aca="false">IF(D1286="Purchase",E1286*M1286,0)</f>
        <v>0</v>
      </c>
    </row>
    <row r="1287" customFormat="false" ht="15" hidden="false" customHeight="false" outlineLevel="0" collapsed="false">
      <c r="A1287" s="39" t="s">
        <v>1611</v>
      </c>
      <c r="B1287" s="44" t="n">
        <v>46077</v>
      </c>
      <c r="C1287" s="39" t="s">
        <v>177</v>
      </c>
      <c r="D1287" s="39" t="s">
        <v>137</v>
      </c>
      <c r="E1287" s="39" t="n">
        <v>10</v>
      </c>
      <c r="F1287" s="39" t="str">
        <f aca="false">IF(COUNTIF(medicine_master!$A$2:$A$26,C1287)&gt;0,"Valid","Invalid")</f>
        <v>Valid</v>
      </c>
      <c r="G1287" s="39" t="str">
        <f aca="false">IFERROR(INDEX(medicine_master!$B$2:$B$26,MATCH($C1287,medicine_master!$A$2:$A$26,0)),"Not found")</f>
        <v>Bandage Roll</v>
      </c>
      <c r="H1287" s="39" t="str">
        <f aca="false">IFERROR(INDEX(medicine_master!$C$2:$C$26,MATCH($C1287,medicine_master!$A$2:$A$26,0)),"Not found")</f>
        <v>First Aid</v>
      </c>
      <c r="I1287" s="39" t="n">
        <f aca="false">YEAR(B1287)</f>
        <v>2026</v>
      </c>
      <c r="J1287" s="39" t="n">
        <f aca="false">MONTH(B1287)</f>
        <v>2</v>
      </c>
      <c r="K1287" s="39" t="str">
        <f aca="false">TEXT(B1287,"mmm")</f>
        <v>Feb</v>
      </c>
      <c r="L1287" s="45" t="n">
        <f aca="false">IFERROR(INDEX(medicine_master!$I$2:$I$26,MATCH($C1287,medicine_master!$A$2:$A$26,0)),0)</f>
        <v>25</v>
      </c>
      <c r="M1287" s="45" t="n">
        <f aca="false">IFERROR(INDEX(medicine_master!$G$2:$G$26,MATCH($C1287,medicine_master!$A$2:$A$26,0)),0)</f>
        <v>15</v>
      </c>
      <c r="N1287" s="45" t="n">
        <f aca="false">IF(D1287="Sale",E1287*L1287,0)</f>
        <v>250</v>
      </c>
      <c r="O1287" s="45" t="n">
        <f aca="false">IF(D1287="Sale",E1287*M1287,0)</f>
        <v>150</v>
      </c>
      <c r="P1287" s="45" t="n">
        <f aca="false">N1287-O1287</f>
        <v>100</v>
      </c>
      <c r="Q1287" s="45" t="n">
        <f aca="false">IF(D1287="Purchase",E1287*M1287,0)</f>
        <v>0</v>
      </c>
    </row>
    <row r="1288" customFormat="false" ht="15" hidden="false" customHeight="false" outlineLevel="0" collapsed="false">
      <c r="A1288" s="39" t="s">
        <v>1612</v>
      </c>
      <c r="B1288" s="44" t="n">
        <v>46246</v>
      </c>
      <c r="C1288" s="39" t="s">
        <v>404</v>
      </c>
      <c r="D1288" s="39" t="s">
        <v>137</v>
      </c>
      <c r="E1288" s="39" t="n">
        <v>25</v>
      </c>
      <c r="F1288" s="39" t="str">
        <f aca="false">IF(COUNTIF(medicine_master!$A$2:$A$26,C1288)&gt;0,"Valid","Invalid")</f>
        <v>Valid</v>
      </c>
      <c r="G1288" s="39" t="str">
        <f aca="false">IFERROR(INDEX(medicine_master!$B$2:$B$26,MATCH($C1288,medicine_master!$A$2:$A$26,0)),"Not found")</f>
        <v>ORS Sachet</v>
      </c>
      <c r="H1288" s="39" t="str">
        <f aca="false">IFERROR(INDEX(medicine_master!$C$2:$C$26,MATCH($C1288,medicine_master!$A$2:$A$26,0)),"Not found")</f>
        <v>First Aid</v>
      </c>
      <c r="I1288" s="39" t="n">
        <f aca="false">YEAR(B1288)</f>
        <v>2026</v>
      </c>
      <c r="J1288" s="39" t="n">
        <f aca="false">MONTH(B1288)</f>
        <v>8</v>
      </c>
      <c r="K1288" s="39" t="str">
        <f aca="false">TEXT(B1288,"mmm")</f>
        <v>Aug</v>
      </c>
      <c r="L1288" s="45" t="n">
        <f aca="false">IFERROR(INDEX(medicine_master!$I$2:$I$26,MATCH($C1288,medicine_master!$A$2:$A$26,0)),0)</f>
        <v>10</v>
      </c>
      <c r="M1288" s="45" t="n">
        <f aca="false">IFERROR(INDEX(medicine_master!$G$2:$G$26,MATCH($C1288,medicine_master!$A$2:$A$26,0)),0)</f>
        <v>6</v>
      </c>
      <c r="N1288" s="45" t="n">
        <f aca="false">IF(D1288="Sale",E1288*L1288,0)</f>
        <v>250</v>
      </c>
      <c r="O1288" s="45" t="n">
        <f aca="false">IF(D1288="Sale",E1288*M1288,0)</f>
        <v>150</v>
      </c>
      <c r="P1288" s="45" t="n">
        <f aca="false">N1288-O1288</f>
        <v>100</v>
      </c>
      <c r="Q1288" s="45" t="n">
        <f aca="false">IF(D1288="Purchase",E1288*M1288,0)</f>
        <v>0</v>
      </c>
    </row>
    <row r="1289" customFormat="false" ht="15" hidden="false" customHeight="false" outlineLevel="0" collapsed="false">
      <c r="A1289" s="39" t="s">
        <v>1613</v>
      </c>
      <c r="B1289" s="44" t="n">
        <v>46172</v>
      </c>
      <c r="C1289" s="39" t="s">
        <v>152</v>
      </c>
      <c r="D1289" s="39" t="s">
        <v>137</v>
      </c>
      <c r="E1289" s="39" t="n">
        <v>30</v>
      </c>
      <c r="F1289" s="39" t="str">
        <f aca="false">IF(COUNTIF(medicine_master!$A$2:$A$26,C1289)&gt;0,"Valid","Invalid")</f>
        <v>Valid</v>
      </c>
      <c r="G1289" s="39" t="str">
        <f aca="false">IFERROR(INDEX(medicine_master!$B$2:$B$26,MATCH($C1289,medicine_master!$A$2:$A$26,0)),"Not found")</f>
        <v>Amoxicillin 500mg</v>
      </c>
      <c r="H1289" s="39" t="str">
        <f aca="false">IFERROR(INDEX(medicine_master!$C$2:$C$26,MATCH($C1289,medicine_master!$A$2:$A$26,0)),"Not found")</f>
        <v>Antibiotic</v>
      </c>
      <c r="I1289" s="39" t="n">
        <f aca="false">YEAR(B1289)</f>
        <v>2026</v>
      </c>
      <c r="J1289" s="39" t="n">
        <f aca="false">MONTH(B1289)</f>
        <v>5</v>
      </c>
      <c r="K1289" s="39" t="str">
        <f aca="false">TEXT(B1289,"mmm")</f>
        <v>May</v>
      </c>
      <c r="L1289" s="45" t="n">
        <f aca="false">IFERROR(INDEX(medicine_master!$I$2:$I$26,MATCH($C1289,medicine_master!$A$2:$A$26,0)),0)</f>
        <v>40</v>
      </c>
      <c r="M1289" s="45" t="n">
        <f aca="false">IFERROR(INDEX(medicine_master!$G$2:$G$26,MATCH($C1289,medicine_master!$A$2:$A$26,0)),0)</f>
        <v>28</v>
      </c>
      <c r="N1289" s="45" t="n">
        <f aca="false">IF(D1289="Sale",E1289*L1289,0)</f>
        <v>1200</v>
      </c>
      <c r="O1289" s="45" t="n">
        <f aca="false">IF(D1289="Sale",E1289*M1289,0)</f>
        <v>840</v>
      </c>
      <c r="P1289" s="45" t="n">
        <f aca="false">N1289-O1289</f>
        <v>360</v>
      </c>
      <c r="Q1289" s="45" t="n">
        <f aca="false">IF(D1289="Purchase",E1289*M1289,0)</f>
        <v>0</v>
      </c>
    </row>
    <row r="1290" customFormat="false" ht="15" hidden="false" customHeight="false" outlineLevel="0" collapsed="false">
      <c r="A1290" s="39" t="s">
        <v>1614</v>
      </c>
      <c r="B1290" s="44" t="n">
        <v>46352</v>
      </c>
      <c r="C1290" s="39" t="s">
        <v>180</v>
      </c>
      <c r="D1290" s="39" t="s">
        <v>138</v>
      </c>
      <c r="E1290" s="39" t="n">
        <v>25</v>
      </c>
      <c r="F1290" s="39" t="str">
        <f aca="false">IF(COUNTIF(medicine_master!$A$2:$A$26,C1290)&gt;0,"Valid","Invalid")</f>
        <v>Valid</v>
      </c>
      <c r="G1290" s="39" t="str">
        <f aca="false">IFERROR(INDEX(medicine_master!$B$2:$B$26,MATCH($C1290,medicine_master!$A$2:$A$26,0)),"Not found")</f>
        <v>Vitamin C 500mg</v>
      </c>
      <c r="H1290" s="39" t="str">
        <f aca="false">IFERROR(INDEX(medicine_master!$C$2:$C$26,MATCH($C1290,medicine_master!$A$2:$A$26,0)),"Not found")</f>
        <v>Vitamin</v>
      </c>
      <c r="I1290" s="39" t="n">
        <f aca="false">YEAR(B1290)</f>
        <v>2026</v>
      </c>
      <c r="J1290" s="39" t="n">
        <f aca="false">MONTH(B1290)</f>
        <v>11</v>
      </c>
      <c r="K1290" s="39" t="str">
        <f aca="false">TEXT(B1290,"mmm")</f>
        <v>Nov</v>
      </c>
      <c r="L1290" s="45" t="n">
        <f aca="false">IFERROR(INDEX(medicine_master!$I$2:$I$26,MATCH($C1290,medicine_master!$A$2:$A$26,0)),0)</f>
        <v>22</v>
      </c>
      <c r="M1290" s="45" t="n">
        <f aca="false">IFERROR(INDEX(medicine_master!$G$2:$G$26,MATCH($C1290,medicine_master!$A$2:$A$26,0)),0)</f>
        <v>14</v>
      </c>
      <c r="N1290" s="45" t="n">
        <f aca="false">IF(D1290="Sale",E1290*L1290,0)</f>
        <v>0</v>
      </c>
      <c r="O1290" s="45" t="n">
        <f aca="false">IF(D1290="Sale",E1290*M1290,0)</f>
        <v>0</v>
      </c>
      <c r="P1290" s="45" t="n">
        <f aca="false">N1290-O1290</f>
        <v>0</v>
      </c>
      <c r="Q1290" s="45" t="n">
        <f aca="false">IF(D1290="Purchase",E1290*M1290,0)</f>
        <v>350</v>
      </c>
    </row>
    <row r="1291" customFormat="false" ht="15" hidden="false" customHeight="false" outlineLevel="0" collapsed="false">
      <c r="A1291" s="39" t="s">
        <v>1615</v>
      </c>
      <c r="B1291" s="44" t="n">
        <v>46145</v>
      </c>
      <c r="C1291" s="39" t="s">
        <v>159</v>
      </c>
      <c r="D1291" s="39" t="s">
        <v>138</v>
      </c>
      <c r="E1291" s="39" t="n">
        <v>30</v>
      </c>
      <c r="F1291" s="39" t="str">
        <f aca="false">IF(COUNTIF(medicine_master!$A$2:$A$26,C1291)&gt;0,"Valid","Invalid")</f>
        <v>Valid</v>
      </c>
      <c r="G1291" s="39" t="str">
        <f aca="false">IFERROR(INDEX(medicine_master!$B$2:$B$26,MATCH($C1291,medicine_master!$A$2:$A$26,0)),"Not found")</f>
        <v>Antiseptic Liquid 100ml</v>
      </c>
      <c r="H1291" s="39" t="str">
        <f aca="false">IFERROR(INDEX(medicine_master!$C$2:$C$26,MATCH($C1291,medicine_master!$A$2:$A$26,0)),"Not found")</f>
        <v>First Aid</v>
      </c>
      <c r="I1291" s="39" t="n">
        <f aca="false">YEAR(B1291)</f>
        <v>2026</v>
      </c>
      <c r="J1291" s="39" t="n">
        <f aca="false">MONTH(B1291)</f>
        <v>5</v>
      </c>
      <c r="K1291" s="39" t="str">
        <f aca="false">TEXT(B1291,"mmm")</f>
        <v>May</v>
      </c>
      <c r="L1291" s="45" t="n">
        <f aca="false">IFERROR(INDEX(medicine_master!$I$2:$I$26,MATCH($C1291,medicine_master!$A$2:$A$26,0)),0)</f>
        <v>65</v>
      </c>
      <c r="M1291" s="45" t="n">
        <f aca="false">IFERROR(INDEX(medicine_master!$G$2:$G$26,MATCH($C1291,medicine_master!$A$2:$A$26,0)),0)</f>
        <v>48</v>
      </c>
      <c r="N1291" s="45" t="n">
        <f aca="false">IF(D1291="Sale",E1291*L1291,0)</f>
        <v>0</v>
      </c>
      <c r="O1291" s="45" t="n">
        <f aca="false">IF(D1291="Sale",E1291*M1291,0)</f>
        <v>0</v>
      </c>
      <c r="P1291" s="45" t="n">
        <f aca="false">N1291-O1291</f>
        <v>0</v>
      </c>
      <c r="Q1291" s="45" t="n">
        <f aca="false">IF(D1291="Purchase",E1291*M1291,0)</f>
        <v>1440</v>
      </c>
    </row>
    <row r="1292" customFormat="false" ht="15" hidden="false" customHeight="false" outlineLevel="0" collapsed="false">
      <c r="A1292" s="39" t="s">
        <v>1616</v>
      </c>
      <c r="B1292" s="44" t="n">
        <v>46051</v>
      </c>
      <c r="C1292" s="39" t="s">
        <v>159</v>
      </c>
      <c r="D1292" s="39" t="s">
        <v>137</v>
      </c>
      <c r="E1292" s="39" t="n">
        <v>20</v>
      </c>
      <c r="F1292" s="39" t="str">
        <f aca="false">IF(COUNTIF(medicine_master!$A$2:$A$26,C1292)&gt;0,"Valid","Invalid")</f>
        <v>Valid</v>
      </c>
      <c r="G1292" s="39" t="str">
        <f aca="false">IFERROR(INDEX(medicine_master!$B$2:$B$26,MATCH($C1292,medicine_master!$A$2:$A$26,0)),"Not found")</f>
        <v>Antiseptic Liquid 100ml</v>
      </c>
      <c r="H1292" s="39" t="str">
        <f aca="false">IFERROR(INDEX(medicine_master!$C$2:$C$26,MATCH($C1292,medicine_master!$A$2:$A$26,0)),"Not found")</f>
        <v>First Aid</v>
      </c>
      <c r="I1292" s="39" t="n">
        <f aca="false">YEAR(B1292)</f>
        <v>2026</v>
      </c>
      <c r="J1292" s="39" t="n">
        <f aca="false">MONTH(B1292)</f>
        <v>1</v>
      </c>
      <c r="K1292" s="39" t="str">
        <f aca="false">TEXT(B1292,"mmm")</f>
        <v>Jan</v>
      </c>
      <c r="L1292" s="45" t="n">
        <f aca="false">IFERROR(INDEX(medicine_master!$I$2:$I$26,MATCH($C1292,medicine_master!$A$2:$A$26,0)),0)</f>
        <v>65</v>
      </c>
      <c r="M1292" s="45" t="n">
        <f aca="false">IFERROR(INDEX(medicine_master!$G$2:$G$26,MATCH($C1292,medicine_master!$A$2:$A$26,0)),0)</f>
        <v>48</v>
      </c>
      <c r="N1292" s="45" t="n">
        <f aca="false">IF(D1292="Sale",E1292*L1292,0)</f>
        <v>1300</v>
      </c>
      <c r="O1292" s="45" t="n">
        <f aca="false">IF(D1292="Sale",E1292*M1292,0)</f>
        <v>960</v>
      </c>
      <c r="P1292" s="45" t="n">
        <f aca="false">N1292-O1292</f>
        <v>340</v>
      </c>
      <c r="Q1292" s="45" t="n">
        <f aca="false">IF(D1292="Purchase",E1292*M1292,0)</f>
        <v>0</v>
      </c>
    </row>
    <row r="1293" customFormat="false" ht="15" hidden="false" customHeight="false" outlineLevel="0" collapsed="false">
      <c r="A1293" s="39" t="s">
        <v>1617</v>
      </c>
      <c r="B1293" s="44" t="n">
        <v>46316</v>
      </c>
      <c r="C1293" s="39" t="s">
        <v>167</v>
      </c>
      <c r="D1293" s="39" t="s">
        <v>137</v>
      </c>
      <c r="E1293" s="39" t="n">
        <v>40</v>
      </c>
      <c r="F1293" s="39" t="str">
        <f aca="false">IF(COUNTIF(medicine_master!$A$2:$A$26,C1293)&gt;0,"Valid","Invalid")</f>
        <v>Valid</v>
      </c>
      <c r="G1293" s="39" t="str">
        <f aca="false">IFERROR(INDEX(medicine_master!$B$2:$B$26,MATCH($C1293,medicine_master!$A$2:$A$26,0)),"Not found")</f>
        <v>Amlodipine 5mg</v>
      </c>
      <c r="H1293" s="39" t="str">
        <f aca="false">IFERROR(INDEX(medicine_master!$C$2:$C$26,MATCH($C1293,medicine_master!$A$2:$A$26,0)),"Not found")</f>
        <v>Cardiac</v>
      </c>
      <c r="I1293" s="39" t="n">
        <f aca="false">YEAR(B1293)</f>
        <v>2026</v>
      </c>
      <c r="J1293" s="39" t="n">
        <f aca="false">MONTH(B1293)</f>
        <v>10</v>
      </c>
      <c r="K1293" s="39" t="str">
        <f aca="false">TEXT(B1293,"mmm")</f>
        <v>Oct</v>
      </c>
      <c r="L1293" s="45" t="n">
        <f aca="false">IFERROR(INDEX(medicine_master!$I$2:$I$26,MATCH($C1293,medicine_master!$A$2:$A$26,0)),0)</f>
        <v>19</v>
      </c>
      <c r="M1293" s="45" t="n">
        <f aca="false">IFERROR(INDEX(medicine_master!$G$2:$G$26,MATCH($C1293,medicine_master!$A$2:$A$26,0)),0)</f>
        <v>13</v>
      </c>
      <c r="N1293" s="45" t="n">
        <f aca="false">IF(D1293="Sale",E1293*L1293,0)</f>
        <v>760</v>
      </c>
      <c r="O1293" s="45" t="n">
        <f aca="false">IF(D1293="Sale",E1293*M1293,0)</f>
        <v>520</v>
      </c>
      <c r="P1293" s="45" t="n">
        <f aca="false">N1293-O1293</f>
        <v>240</v>
      </c>
      <c r="Q1293" s="45" t="n">
        <f aca="false">IF(D1293="Purchase",E1293*M1293,0)</f>
        <v>0</v>
      </c>
    </row>
    <row r="1294" customFormat="false" ht="15" hidden="false" customHeight="false" outlineLevel="0" collapsed="false">
      <c r="A1294" s="39" t="s">
        <v>1618</v>
      </c>
      <c r="B1294" s="44" t="n">
        <v>46030</v>
      </c>
      <c r="C1294" s="39" t="s">
        <v>148</v>
      </c>
      <c r="D1294" s="39" t="s">
        <v>138</v>
      </c>
      <c r="E1294" s="39" t="n">
        <v>20</v>
      </c>
      <c r="F1294" s="39" t="str">
        <f aca="false">IF(COUNTIF(medicine_master!$A$2:$A$26,C1294)&gt;0,"Valid","Invalid")</f>
        <v>Valid</v>
      </c>
      <c r="G1294" s="39" t="str">
        <f aca="false">IFERROR(INDEX(medicine_master!$B$2:$B$26,MATCH($C1294,medicine_master!$A$2:$A$26,0)),"Not found")</f>
        <v>Dextromethorphan Syrup</v>
      </c>
      <c r="H1294" s="39" t="str">
        <f aca="false">IFERROR(INDEX(medicine_master!$C$2:$C$26,MATCH($C1294,medicine_master!$A$2:$A$26,0)),"Not found")</f>
        <v>Cold &amp; Cough</v>
      </c>
      <c r="I1294" s="39" t="n">
        <f aca="false">YEAR(B1294)</f>
        <v>2026</v>
      </c>
      <c r="J1294" s="39" t="n">
        <f aca="false">MONTH(B1294)</f>
        <v>1</v>
      </c>
      <c r="K1294" s="39" t="str">
        <f aca="false">TEXT(B1294,"mmm")</f>
        <v>Jan</v>
      </c>
      <c r="L1294" s="45" t="n">
        <f aca="false">IFERROR(INDEX(medicine_master!$I$2:$I$26,MATCH($C1294,medicine_master!$A$2:$A$26,0)),0)</f>
        <v>80</v>
      </c>
      <c r="M1294" s="45" t="n">
        <f aca="false">IFERROR(INDEX(medicine_master!$G$2:$G$26,MATCH($C1294,medicine_master!$A$2:$A$26,0)),0)</f>
        <v>58</v>
      </c>
      <c r="N1294" s="45" t="n">
        <f aca="false">IF(D1294="Sale",E1294*L1294,0)</f>
        <v>0</v>
      </c>
      <c r="O1294" s="45" t="n">
        <f aca="false">IF(D1294="Sale",E1294*M1294,0)</f>
        <v>0</v>
      </c>
      <c r="P1294" s="45" t="n">
        <f aca="false">N1294-O1294</f>
        <v>0</v>
      </c>
      <c r="Q1294" s="45" t="n">
        <f aca="false">IF(D1294="Purchase",E1294*M1294,0)</f>
        <v>1160</v>
      </c>
    </row>
    <row r="1295" customFormat="false" ht="15" hidden="false" customHeight="false" outlineLevel="0" collapsed="false">
      <c r="A1295" s="39" t="s">
        <v>1619</v>
      </c>
      <c r="B1295" s="44" t="n">
        <v>46201</v>
      </c>
      <c r="C1295" s="39" t="s">
        <v>390</v>
      </c>
      <c r="D1295" s="39" t="s">
        <v>138</v>
      </c>
      <c r="E1295" s="39" t="n">
        <v>25</v>
      </c>
      <c r="F1295" s="39" t="str">
        <f aca="false">IF(COUNTIF(medicine_master!$A$2:$A$26,C1295)&gt;0,"Valid","Invalid")</f>
        <v>Valid</v>
      </c>
      <c r="G1295" s="39" t="str">
        <f aca="false">IFERROR(INDEX(medicine_master!$B$2:$B$26,MATCH($C1295,medicine_master!$A$2:$A$26,0)),"Not found")</f>
        <v>Montelukast 10mg</v>
      </c>
      <c r="H1295" s="39" t="str">
        <f aca="false">IFERROR(INDEX(medicine_master!$C$2:$C$26,MATCH($C1295,medicine_master!$A$2:$A$26,0)),"Not found")</f>
        <v>Allergy</v>
      </c>
      <c r="I1295" s="39" t="n">
        <f aca="false">YEAR(B1295)</f>
        <v>2026</v>
      </c>
      <c r="J1295" s="39" t="n">
        <f aca="false">MONTH(B1295)</f>
        <v>6</v>
      </c>
      <c r="K1295" s="39" t="str">
        <f aca="false">TEXT(B1295,"mmm")</f>
        <v>Jun</v>
      </c>
      <c r="L1295" s="45" t="n">
        <f aca="false">IFERROR(INDEX(medicine_master!$I$2:$I$26,MATCH($C1295,medicine_master!$A$2:$A$26,0)),0)</f>
        <v>39</v>
      </c>
      <c r="M1295" s="45" t="n">
        <f aca="false">IFERROR(INDEX(medicine_master!$G$2:$G$26,MATCH($C1295,medicine_master!$A$2:$A$26,0)),0)</f>
        <v>27</v>
      </c>
      <c r="N1295" s="45" t="n">
        <f aca="false">IF(D1295="Sale",E1295*L1295,0)</f>
        <v>0</v>
      </c>
      <c r="O1295" s="45" t="n">
        <f aca="false">IF(D1295="Sale",E1295*M1295,0)</f>
        <v>0</v>
      </c>
      <c r="P1295" s="45" t="n">
        <f aca="false">N1295-O1295</f>
        <v>0</v>
      </c>
      <c r="Q1295" s="45" t="n">
        <f aca="false">IF(D1295="Purchase",E1295*M1295,0)</f>
        <v>675</v>
      </c>
    </row>
    <row r="1296" customFormat="false" ht="15" hidden="false" customHeight="false" outlineLevel="0" collapsed="false">
      <c r="A1296" s="39" t="s">
        <v>1620</v>
      </c>
      <c r="B1296" s="44" t="n">
        <v>46038</v>
      </c>
      <c r="C1296" s="39" t="s">
        <v>167</v>
      </c>
      <c r="D1296" s="39" t="s">
        <v>137</v>
      </c>
      <c r="E1296" s="39" t="n">
        <v>15</v>
      </c>
      <c r="F1296" s="39" t="str">
        <f aca="false">IF(COUNTIF(medicine_master!$A$2:$A$26,C1296)&gt;0,"Valid","Invalid")</f>
        <v>Valid</v>
      </c>
      <c r="G1296" s="39" t="str">
        <f aca="false">IFERROR(INDEX(medicine_master!$B$2:$B$26,MATCH($C1296,medicine_master!$A$2:$A$26,0)),"Not found")</f>
        <v>Amlodipine 5mg</v>
      </c>
      <c r="H1296" s="39" t="str">
        <f aca="false">IFERROR(INDEX(medicine_master!$C$2:$C$26,MATCH($C1296,medicine_master!$A$2:$A$26,0)),"Not found")</f>
        <v>Cardiac</v>
      </c>
      <c r="I1296" s="39" t="n">
        <f aca="false">YEAR(B1296)</f>
        <v>2026</v>
      </c>
      <c r="J1296" s="39" t="n">
        <f aca="false">MONTH(B1296)</f>
        <v>1</v>
      </c>
      <c r="K1296" s="39" t="str">
        <f aca="false">TEXT(B1296,"mmm")</f>
        <v>Jan</v>
      </c>
      <c r="L1296" s="45" t="n">
        <f aca="false">IFERROR(INDEX(medicine_master!$I$2:$I$26,MATCH($C1296,medicine_master!$A$2:$A$26,0)),0)</f>
        <v>19</v>
      </c>
      <c r="M1296" s="45" t="n">
        <f aca="false">IFERROR(INDEX(medicine_master!$G$2:$G$26,MATCH($C1296,medicine_master!$A$2:$A$26,0)),0)</f>
        <v>13</v>
      </c>
      <c r="N1296" s="45" t="n">
        <f aca="false">IF(D1296="Sale",E1296*L1296,0)</f>
        <v>285</v>
      </c>
      <c r="O1296" s="45" t="n">
        <f aca="false">IF(D1296="Sale",E1296*M1296,0)</f>
        <v>195</v>
      </c>
      <c r="P1296" s="45" t="n">
        <f aca="false">N1296-O1296</f>
        <v>90</v>
      </c>
      <c r="Q1296" s="45" t="n">
        <f aca="false">IF(D1296="Purchase",E1296*M1296,0)</f>
        <v>0</v>
      </c>
    </row>
    <row r="1297" customFormat="false" ht="15" hidden="false" customHeight="false" outlineLevel="0" collapsed="false">
      <c r="A1297" s="39" t="s">
        <v>1621</v>
      </c>
      <c r="B1297" s="44" t="n">
        <v>46356</v>
      </c>
      <c r="C1297" s="39" t="s">
        <v>167</v>
      </c>
      <c r="D1297" s="39" t="s">
        <v>138</v>
      </c>
      <c r="E1297" s="39" t="n">
        <v>40</v>
      </c>
      <c r="F1297" s="39" t="str">
        <f aca="false">IF(COUNTIF(medicine_master!$A$2:$A$26,C1297)&gt;0,"Valid","Invalid")</f>
        <v>Valid</v>
      </c>
      <c r="G1297" s="39" t="str">
        <f aca="false">IFERROR(INDEX(medicine_master!$B$2:$B$26,MATCH($C1297,medicine_master!$A$2:$A$26,0)),"Not found")</f>
        <v>Amlodipine 5mg</v>
      </c>
      <c r="H1297" s="39" t="str">
        <f aca="false">IFERROR(INDEX(medicine_master!$C$2:$C$26,MATCH($C1297,medicine_master!$A$2:$A$26,0)),"Not found")</f>
        <v>Cardiac</v>
      </c>
      <c r="I1297" s="39" t="n">
        <f aca="false">YEAR(B1297)</f>
        <v>2026</v>
      </c>
      <c r="J1297" s="39" t="n">
        <f aca="false">MONTH(B1297)</f>
        <v>11</v>
      </c>
      <c r="K1297" s="39" t="str">
        <f aca="false">TEXT(B1297,"mmm")</f>
        <v>Nov</v>
      </c>
      <c r="L1297" s="45" t="n">
        <f aca="false">IFERROR(INDEX(medicine_master!$I$2:$I$26,MATCH($C1297,medicine_master!$A$2:$A$26,0)),0)</f>
        <v>19</v>
      </c>
      <c r="M1297" s="45" t="n">
        <f aca="false">IFERROR(INDEX(medicine_master!$G$2:$G$26,MATCH($C1297,medicine_master!$A$2:$A$26,0)),0)</f>
        <v>13</v>
      </c>
      <c r="N1297" s="45" t="n">
        <f aca="false">IF(D1297="Sale",E1297*L1297,0)</f>
        <v>0</v>
      </c>
      <c r="O1297" s="45" t="n">
        <f aca="false">IF(D1297="Sale",E1297*M1297,0)</f>
        <v>0</v>
      </c>
      <c r="P1297" s="45" t="n">
        <f aca="false">N1297-O1297</f>
        <v>0</v>
      </c>
      <c r="Q1297" s="45" t="n">
        <f aca="false">IF(D1297="Purchase",E1297*M1297,0)</f>
        <v>520</v>
      </c>
    </row>
    <row r="1298" customFormat="false" ht="15" hidden="false" customHeight="false" outlineLevel="0" collapsed="false">
      <c r="A1298" s="39" t="s">
        <v>1622</v>
      </c>
      <c r="B1298" s="44" t="n">
        <v>46349</v>
      </c>
      <c r="C1298" s="39" t="s">
        <v>158</v>
      </c>
      <c r="D1298" s="39" t="s">
        <v>137</v>
      </c>
      <c r="E1298" s="39" t="n">
        <v>40</v>
      </c>
      <c r="F1298" s="39" t="str">
        <f aca="false">IF(COUNTIF(medicine_master!$A$2:$A$26,C1298)&gt;0,"Valid","Invalid")</f>
        <v>Valid</v>
      </c>
      <c r="G1298" s="39" t="str">
        <f aca="false">IFERROR(INDEX(medicine_master!$B$2:$B$26,MATCH($C1298,medicine_master!$A$2:$A$26,0)),"Not found")</f>
        <v>Cough Syrup 100ml</v>
      </c>
      <c r="H1298" s="39" t="str">
        <f aca="false">IFERROR(INDEX(medicine_master!$C$2:$C$26,MATCH($C1298,medicine_master!$A$2:$A$26,0)),"Not found")</f>
        <v>Cold &amp; Cough</v>
      </c>
      <c r="I1298" s="39" t="n">
        <f aca="false">YEAR(B1298)</f>
        <v>2026</v>
      </c>
      <c r="J1298" s="39" t="n">
        <f aca="false">MONTH(B1298)</f>
        <v>11</v>
      </c>
      <c r="K1298" s="39" t="str">
        <f aca="false">TEXT(B1298,"mmm")</f>
        <v>Nov</v>
      </c>
      <c r="L1298" s="45" t="n">
        <f aca="false">IFERROR(INDEX(medicine_master!$I$2:$I$26,MATCH($C1298,medicine_master!$A$2:$A$26,0)),0)</f>
        <v>72</v>
      </c>
      <c r="M1298" s="45" t="n">
        <f aca="false">IFERROR(INDEX(medicine_master!$G$2:$G$26,MATCH($C1298,medicine_master!$A$2:$A$26,0)),0)</f>
        <v>52</v>
      </c>
      <c r="N1298" s="45" t="n">
        <f aca="false">IF(D1298="Sale",E1298*L1298,0)</f>
        <v>2880</v>
      </c>
      <c r="O1298" s="45" t="n">
        <f aca="false">IF(D1298="Sale",E1298*M1298,0)</f>
        <v>2080</v>
      </c>
      <c r="P1298" s="45" t="n">
        <f aca="false">N1298-O1298</f>
        <v>800</v>
      </c>
      <c r="Q1298" s="45" t="n">
        <f aca="false">IF(D1298="Purchase",E1298*M1298,0)</f>
        <v>0</v>
      </c>
    </row>
    <row r="1299" customFormat="false" ht="15" hidden="false" customHeight="false" outlineLevel="0" collapsed="false">
      <c r="A1299" s="39" t="s">
        <v>1623</v>
      </c>
      <c r="B1299" s="44" t="n">
        <v>46135</v>
      </c>
      <c r="C1299" s="39" t="s">
        <v>152</v>
      </c>
      <c r="D1299" s="39" t="s">
        <v>137</v>
      </c>
      <c r="E1299" s="39" t="n">
        <v>15</v>
      </c>
      <c r="F1299" s="39" t="str">
        <f aca="false">IF(COUNTIF(medicine_master!$A$2:$A$26,C1299)&gt;0,"Valid","Invalid")</f>
        <v>Valid</v>
      </c>
      <c r="G1299" s="39" t="str">
        <f aca="false">IFERROR(INDEX(medicine_master!$B$2:$B$26,MATCH($C1299,medicine_master!$A$2:$A$26,0)),"Not found")</f>
        <v>Amoxicillin 500mg</v>
      </c>
      <c r="H1299" s="39" t="str">
        <f aca="false">IFERROR(INDEX(medicine_master!$C$2:$C$26,MATCH($C1299,medicine_master!$A$2:$A$26,0)),"Not found")</f>
        <v>Antibiotic</v>
      </c>
      <c r="I1299" s="39" t="n">
        <f aca="false">YEAR(B1299)</f>
        <v>2026</v>
      </c>
      <c r="J1299" s="39" t="n">
        <f aca="false">MONTH(B1299)</f>
        <v>4</v>
      </c>
      <c r="K1299" s="39" t="str">
        <f aca="false">TEXT(B1299,"mmm")</f>
        <v>Apr</v>
      </c>
      <c r="L1299" s="45" t="n">
        <f aca="false">IFERROR(INDEX(medicine_master!$I$2:$I$26,MATCH($C1299,medicine_master!$A$2:$A$26,0)),0)</f>
        <v>40</v>
      </c>
      <c r="M1299" s="45" t="n">
        <f aca="false">IFERROR(INDEX(medicine_master!$G$2:$G$26,MATCH($C1299,medicine_master!$A$2:$A$26,0)),0)</f>
        <v>28</v>
      </c>
      <c r="N1299" s="45" t="n">
        <f aca="false">IF(D1299="Sale",E1299*L1299,0)</f>
        <v>600</v>
      </c>
      <c r="O1299" s="45" t="n">
        <f aca="false">IF(D1299="Sale",E1299*M1299,0)</f>
        <v>420</v>
      </c>
      <c r="P1299" s="45" t="n">
        <f aca="false">N1299-O1299</f>
        <v>180</v>
      </c>
      <c r="Q1299" s="45" t="n">
        <f aca="false">IF(D1299="Purchase",E1299*M1299,0)</f>
        <v>0</v>
      </c>
    </row>
    <row r="1300" customFormat="false" ht="15" hidden="false" customHeight="false" outlineLevel="0" collapsed="false">
      <c r="A1300" s="39" t="s">
        <v>1624</v>
      </c>
      <c r="B1300" s="44" t="n">
        <v>46230</v>
      </c>
      <c r="C1300" s="39" t="s">
        <v>153</v>
      </c>
      <c r="D1300" s="39" t="s">
        <v>137</v>
      </c>
      <c r="E1300" s="39" t="n">
        <v>20</v>
      </c>
      <c r="F1300" s="39" t="str">
        <f aca="false">IF(COUNTIF(medicine_master!$A$2:$A$26,C1300)&gt;0,"Valid","Invalid")</f>
        <v>Valid</v>
      </c>
      <c r="G1300" s="39" t="str">
        <f aca="false">IFERROR(INDEX(medicine_master!$B$2:$B$26,MATCH($C1300,medicine_master!$A$2:$A$26,0)),"Not found")</f>
        <v>Atorvastatin 10mg</v>
      </c>
      <c r="H1300" s="39" t="str">
        <f aca="false">IFERROR(INDEX(medicine_master!$C$2:$C$26,MATCH($C1300,medicine_master!$A$2:$A$26,0)),"Not found")</f>
        <v>Cardiac</v>
      </c>
      <c r="I1300" s="39" t="n">
        <f aca="false">YEAR(B1300)</f>
        <v>2026</v>
      </c>
      <c r="J1300" s="39" t="n">
        <f aca="false">MONTH(B1300)</f>
        <v>7</v>
      </c>
      <c r="K1300" s="39" t="str">
        <f aca="false">TEXT(B1300,"mmm")</f>
        <v>Jul</v>
      </c>
      <c r="L1300" s="45" t="n">
        <f aca="false">IFERROR(INDEX(medicine_master!$I$2:$I$26,MATCH($C1300,medicine_master!$A$2:$A$26,0)),0)</f>
        <v>28</v>
      </c>
      <c r="M1300" s="45" t="n">
        <f aca="false">IFERROR(INDEX(medicine_master!$G$2:$G$26,MATCH($C1300,medicine_master!$A$2:$A$26,0)),0)</f>
        <v>19</v>
      </c>
      <c r="N1300" s="45" t="n">
        <f aca="false">IF(D1300="Sale",E1300*L1300,0)</f>
        <v>560</v>
      </c>
      <c r="O1300" s="45" t="n">
        <f aca="false">IF(D1300="Sale",E1300*M1300,0)</f>
        <v>380</v>
      </c>
      <c r="P1300" s="45" t="n">
        <f aca="false">N1300-O1300</f>
        <v>180</v>
      </c>
      <c r="Q1300" s="45" t="n">
        <f aca="false">IF(D1300="Purchase",E1300*M1300,0)</f>
        <v>0</v>
      </c>
    </row>
    <row r="1301" customFormat="false" ht="15" hidden="false" customHeight="false" outlineLevel="0" collapsed="false">
      <c r="A1301" s="39" t="s">
        <v>1625</v>
      </c>
      <c r="B1301" s="44" t="n">
        <v>46328</v>
      </c>
      <c r="C1301" s="39" t="s">
        <v>144</v>
      </c>
      <c r="D1301" s="39" t="s">
        <v>137</v>
      </c>
      <c r="E1301" s="39" t="n">
        <v>30</v>
      </c>
      <c r="F1301" s="39" t="str">
        <f aca="false">IF(COUNTIF(medicine_master!$A$2:$A$26,C1301)&gt;0,"Valid","Invalid")</f>
        <v>Valid</v>
      </c>
      <c r="G1301" s="39" t="str">
        <f aca="false">IFERROR(INDEX(medicine_master!$B$2:$B$26,MATCH($C1301,medicine_master!$A$2:$A$26,0)),"Not found")</f>
        <v>Glimepiride 2mg</v>
      </c>
      <c r="H1301" s="39" t="str">
        <f aca="false">IFERROR(INDEX(medicine_master!$C$2:$C$26,MATCH($C1301,medicine_master!$A$2:$A$26,0)),"Not found")</f>
        <v>Diabetes</v>
      </c>
      <c r="I1301" s="39" t="n">
        <f aca="false">YEAR(B1301)</f>
        <v>2026</v>
      </c>
      <c r="J1301" s="39" t="n">
        <f aca="false">MONTH(B1301)</f>
        <v>11</v>
      </c>
      <c r="K1301" s="39" t="str">
        <f aca="false">TEXT(B1301,"mmm")</f>
        <v>Nov</v>
      </c>
      <c r="L1301" s="45" t="n">
        <f aca="false">IFERROR(INDEX(medicine_master!$I$2:$I$26,MATCH($C1301,medicine_master!$A$2:$A$26,0)),0)</f>
        <v>52</v>
      </c>
      <c r="M1301" s="45" t="n">
        <f aca="false">IFERROR(INDEX(medicine_master!$G$2:$G$26,MATCH($C1301,medicine_master!$A$2:$A$26,0)),0)</f>
        <v>38</v>
      </c>
      <c r="N1301" s="45" t="n">
        <f aca="false">IF(D1301="Sale",E1301*L1301,0)</f>
        <v>1560</v>
      </c>
      <c r="O1301" s="45" t="n">
        <f aca="false">IF(D1301="Sale",E1301*M1301,0)</f>
        <v>1140</v>
      </c>
      <c r="P1301" s="45" t="n">
        <f aca="false">N1301-O1301</f>
        <v>420</v>
      </c>
      <c r="Q1301" s="45" t="n">
        <f aca="false">IF(D1301="Purchase",E1301*M1301,0)</f>
        <v>0</v>
      </c>
    </row>
    <row r="1302" customFormat="false" ht="15" hidden="false" customHeight="false" outlineLevel="0" collapsed="false">
      <c r="A1302" s="39" t="s">
        <v>1626</v>
      </c>
      <c r="B1302" s="44" t="n">
        <v>46356</v>
      </c>
      <c r="C1302" s="39" t="s">
        <v>326</v>
      </c>
      <c r="D1302" s="39" t="s">
        <v>138</v>
      </c>
      <c r="E1302" s="39" t="n">
        <v>5</v>
      </c>
      <c r="F1302" s="39" t="str">
        <f aca="false">IF(COUNTIF(medicine_master!$A$2:$A$26,C1302)&gt;0,"Valid","Invalid")</f>
        <v>Valid</v>
      </c>
      <c r="G1302" s="39" t="str">
        <f aca="false">IFERROR(INDEX(medicine_master!$B$2:$B$26,MATCH($C1302,medicine_master!$A$2:$A$26,0)),"Not found")</f>
        <v>Omeprazole 20mg</v>
      </c>
      <c r="H1302" s="39" t="str">
        <f aca="false">IFERROR(INDEX(medicine_master!$C$2:$C$26,MATCH($C1302,medicine_master!$A$2:$A$26,0)),"Not found")</f>
        <v>Gastric</v>
      </c>
      <c r="I1302" s="39" t="n">
        <f aca="false">YEAR(B1302)</f>
        <v>2026</v>
      </c>
      <c r="J1302" s="39" t="n">
        <f aca="false">MONTH(B1302)</f>
        <v>11</v>
      </c>
      <c r="K1302" s="39" t="str">
        <f aca="false">TEXT(B1302,"mmm")</f>
        <v>Nov</v>
      </c>
      <c r="L1302" s="45" t="n">
        <f aca="false">IFERROR(INDEX(medicine_master!$I$2:$I$26,MATCH($C1302,medicine_master!$A$2:$A$26,0)),0)</f>
        <v>26</v>
      </c>
      <c r="M1302" s="45" t="n">
        <f aca="false">IFERROR(INDEX(medicine_master!$G$2:$G$26,MATCH($C1302,medicine_master!$A$2:$A$26,0)),0)</f>
        <v>18</v>
      </c>
      <c r="N1302" s="45" t="n">
        <f aca="false">IF(D1302="Sale",E1302*L1302,0)</f>
        <v>0</v>
      </c>
      <c r="O1302" s="45" t="n">
        <f aca="false">IF(D1302="Sale",E1302*M1302,0)</f>
        <v>0</v>
      </c>
      <c r="P1302" s="45" t="n">
        <f aca="false">N1302-O1302</f>
        <v>0</v>
      </c>
      <c r="Q1302" s="45" t="n">
        <f aca="false">IF(D1302="Purchase",E1302*M1302,0)</f>
        <v>90</v>
      </c>
    </row>
    <row r="1303" customFormat="false" ht="15" hidden="false" customHeight="false" outlineLevel="0" collapsed="false">
      <c r="A1303" s="39" t="s">
        <v>1627</v>
      </c>
      <c r="B1303" s="44" t="n">
        <v>46156</v>
      </c>
      <c r="C1303" s="39" t="s">
        <v>159</v>
      </c>
      <c r="D1303" s="39" t="s">
        <v>137</v>
      </c>
      <c r="E1303" s="39" t="n">
        <v>5</v>
      </c>
      <c r="F1303" s="39" t="str">
        <f aca="false">IF(COUNTIF(medicine_master!$A$2:$A$26,C1303)&gt;0,"Valid","Invalid")</f>
        <v>Valid</v>
      </c>
      <c r="G1303" s="39" t="str">
        <f aca="false">IFERROR(INDEX(medicine_master!$B$2:$B$26,MATCH($C1303,medicine_master!$A$2:$A$26,0)),"Not found")</f>
        <v>Antiseptic Liquid 100ml</v>
      </c>
      <c r="H1303" s="39" t="str">
        <f aca="false">IFERROR(INDEX(medicine_master!$C$2:$C$26,MATCH($C1303,medicine_master!$A$2:$A$26,0)),"Not found")</f>
        <v>First Aid</v>
      </c>
      <c r="I1303" s="39" t="n">
        <f aca="false">YEAR(B1303)</f>
        <v>2026</v>
      </c>
      <c r="J1303" s="39" t="n">
        <f aca="false">MONTH(B1303)</f>
        <v>5</v>
      </c>
      <c r="K1303" s="39" t="str">
        <f aca="false">TEXT(B1303,"mmm")</f>
        <v>May</v>
      </c>
      <c r="L1303" s="45" t="n">
        <f aca="false">IFERROR(INDEX(medicine_master!$I$2:$I$26,MATCH($C1303,medicine_master!$A$2:$A$26,0)),0)</f>
        <v>65</v>
      </c>
      <c r="M1303" s="45" t="n">
        <f aca="false">IFERROR(INDEX(medicine_master!$G$2:$G$26,MATCH($C1303,medicine_master!$A$2:$A$26,0)),0)</f>
        <v>48</v>
      </c>
      <c r="N1303" s="45" t="n">
        <f aca="false">IF(D1303="Sale",E1303*L1303,0)</f>
        <v>325</v>
      </c>
      <c r="O1303" s="45" t="n">
        <f aca="false">IF(D1303="Sale",E1303*M1303,0)</f>
        <v>240</v>
      </c>
      <c r="P1303" s="45" t="n">
        <f aca="false">N1303-O1303</f>
        <v>85</v>
      </c>
      <c r="Q1303" s="45" t="n">
        <f aca="false">IF(D1303="Purchase",E1303*M1303,0)</f>
        <v>0</v>
      </c>
    </row>
    <row r="1304" customFormat="false" ht="15" hidden="false" customHeight="false" outlineLevel="0" collapsed="false">
      <c r="A1304" s="39" t="s">
        <v>1628</v>
      </c>
      <c r="B1304" s="44" t="n">
        <v>46212</v>
      </c>
      <c r="C1304" s="39" t="s">
        <v>167</v>
      </c>
      <c r="D1304" s="39" t="s">
        <v>138</v>
      </c>
      <c r="E1304" s="39" t="n">
        <v>15</v>
      </c>
      <c r="F1304" s="39" t="str">
        <f aca="false">IF(COUNTIF(medicine_master!$A$2:$A$26,C1304)&gt;0,"Valid","Invalid")</f>
        <v>Valid</v>
      </c>
      <c r="G1304" s="39" t="str">
        <f aca="false">IFERROR(INDEX(medicine_master!$B$2:$B$26,MATCH($C1304,medicine_master!$A$2:$A$26,0)),"Not found")</f>
        <v>Amlodipine 5mg</v>
      </c>
      <c r="H1304" s="39" t="str">
        <f aca="false">IFERROR(INDEX(medicine_master!$C$2:$C$26,MATCH($C1304,medicine_master!$A$2:$A$26,0)),"Not found")</f>
        <v>Cardiac</v>
      </c>
      <c r="I1304" s="39" t="n">
        <f aca="false">YEAR(B1304)</f>
        <v>2026</v>
      </c>
      <c r="J1304" s="39" t="n">
        <f aca="false">MONTH(B1304)</f>
        <v>7</v>
      </c>
      <c r="K1304" s="39" t="str">
        <f aca="false">TEXT(B1304,"mmm")</f>
        <v>Jul</v>
      </c>
      <c r="L1304" s="45" t="n">
        <f aca="false">IFERROR(INDEX(medicine_master!$I$2:$I$26,MATCH($C1304,medicine_master!$A$2:$A$26,0)),0)</f>
        <v>19</v>
      </c>
      <c r="M1304" s="45" t="n">
        <f aca="false">IFERROR(INDEX(medicine_master!$G$2:$G$26,MATCH($C1304,medicine_master!$A$2:$A$26,0)),0)</f>
        <v>13</v>
      </c>
      <c r="N1304" s="45" t="n">
        <f aca="false">IF(D1304="Sale",E1304*L1304,0)</f>
        <v>0</v>
      </c>
      <c r="O1304" s="45" t="n">
        <f aca="false">IF(D1304="Sale",E1304*M1304,0)</f>
        <v>0</v>
      </c>
      <c r="P1304" s="45" t="n">
        <f aca="false">N1304-O1304</f>
        <v>0</v>
      </c>
      <c r="Q1304" s="45" t="n">
        <f aca="false">IF(D1304="Purchase",E1304*M1304,0)</f>
        <v>195</v>
      </c>
    </row>
    <row r="1305" customFormat="false" ht="15" hidden="false" customHeight="false" outlineLevel="0" collapsed="false">
      <c r="A1305" s="39" t="s">
        <v>1629</v>
      </c>
      <c r="B1305" s="44" t="n">
        <v>46337</v>
      </c>
      <c r="C1305" s="39" t="s">
        <v>178</v>
      </c>
      <c r="D1305" s="39" t="s">
        <v>138</v>
      </c>
      <c r="E1305" s="39" t="n">
        <v>15</v>
      </c>
      <c r="F1305" s="39" t="str">
        <f aca="false">IF(COUNTIF(medicine_master!$A$2:$A$26,C1305)&gt;0,"Valid","Invalid")</f>
        <v>Valid</v>
      </c>
      <c r="G1305" s="39" t="str">
        <f aca="false">IFERROR(INDEX(medicine_master!$B$2:$B$26,MATCH($C1305,medicine_master!$A$2:$A$26,0)),"Not found")</f>
        <v>Aspirin 75mg</v>
      </c>
      <c r="H1305" s="39" t="str">
        <f aca="false">IFERROR(INDEX(medicine_master!$C$2:$C$26,MATCH($C1305,medicine_master!$A$2:$A$26,0)),"Not found")</f>
        <v>Cardiac</v>
      </c>
      <c r="I1305" s="39" t="n">
        <f aca="false">YEAR(B1305)</f>
        <v>2026</v>
      </c>
      <c r="J1305" s="39" t="n">
        <f aca="false">MONTH(B1305)</f>
        <v>11</v>
      </c>
      <c r="K1305" s="39" t="str">
        <f aca="false">TEXT(B1305,"mmm")</f>
        <v>Nov</v>
      </c>
      <c r="L1305" s="45" t="n">
        <f aca="false">IFERROR(INDEX(medicine_master!$I$2:$I$26,MATCH($C1305,medicine_master!$A$2:$A$26,0)),0)</f>
        <v>15</v>
      </c>
      <c r="M1305" s="45" t="n">
        <f aca="false">IFERROR(INDEX(medicine_master!$G$2:$G$26,MATCH($C1305,medicine_master!$A$2:$A$26,0)),0)</f>
        <v>10</v>
      </c>
      <c r="N1305" s="45" t="n">
        <f aca="false">IF(D1305="Sale",E1305*L1305,0)</f>
        <v>0</v>
      </c>
      <c r="O1305" s="45" t="n">
        <f aca="false">IF(D1305="Sale",E1305*M1305,0)</f>
        <v>0</v>
      </c>
      <c r="P1305" s="45" t="n">
        <f aca="false">N1305-O1305</f>
        <v>0</v>
      </c>
      <c r="Q1305" s="45" t="n">
        <f aca="false">IF(D1305="Purchase",E1305*M1305,0)</f>
        <v>150</v>
      </c>
    </row>
    <row r="1306" customFormat="false" ht="15" hidden="false" customHeight="false" outlineLevel="0" collapsed="false">
      <c r="A1306" s="39" t="s">
        <v>1630</v>
      </c>
      <c r="B1306" s="44" t="n">
        <v>46182</v>
      </c>
      <c r="C1306" s="39" t="s">
        <v>159</v>
      </c>
      <c r="D1306" s="39" t="s">
        <v>137</v>
      </c>
      <c r="E1306" s="39" t="n">
        <v>25</v>
      </c>
      <c r="F1306" s="39" t="str">
        <f aca="false">IF(COUNTIF(medicine_master!$A$2:$A$26,C1306)&gt;0,"Valid","Invalid")</f>
        <v>Valid</v>
      </c>
      <c r="G1306" s="39" t="str">
        <f aca="false">IFERROR(INDEX(medicine_master!$B$2:$B$26,MATCH($C1306,medicine_master!$A$2:$A$26,0)),"Not found")</f>
        <v>Antiseptic Liquid 100ml</v>
      </c>
      <c r="H1306" s="39" t="str">
        <f aca="false">IFERROR(INDEX(medicine_master!$C$2:$C$26,MATCH($C1306,medicine_master!$A$2:$A$26,0)),"Not found")</f>
        <v>First Aid</v>
      </c>
      <c r="I1306" s="39" t="n">
        <f aca="false">YEAR(B1306)</f>
        <v>2026</v>
      </c>
      <c r="J1306" s="39" t="n">
        <f aca="false">MONTH(B1306)</f>
        <v>6</v>
      </c>
      <c r="K1306" s="39" t="str">
        <f aca="false">TEXT(B1306,"mmm")</f>
        <v>Jun</v>
      </c>
      <c r="L1306" s="45" t="n">
        <f aca="false">IFERROR(INDEX(medicine_master!$I$2:$I$26,MATCH($C1306,medicine_master!$A$2:$A$26,0)),0)</f>
        <v>65</v>
      </c>
      <c r="M1306" s="45" t="n">
        <f aca="false">IFERROR(INDEX(medicine_master!$G$2:$G$26,MATCH($C1306,medicine_master!$A$2:$A$26,0)),0)</f>
        <v>48</v>
      </c>
      <c r="N1306" s="45" t="n">
        <f aca="false">IF(D1306="Sale",E1306*L1306,0)</f>
        <v>1625</v>
      </c>
      <c r="O1306" s="45" t="n">
        <f aca="false">IF(D1306="Sale",E1306*M1306,0)</f>
        <v>1200</v>
      </c>
      <c r="P1306" s="45" t="n">
        <f aca="false">N1306-O1306</f>
        <v>425</v>
      </c>
      <c r="Q1306" s="45" t="n">
        <f aca="false">IF(D1306="Purchase",E1306*M1306,0)</f>
        <v>0</v>
      </c>
    </row>
    <row r="1307" customFormat="false" ht="15" hidden="false" customHeight="false" outlineLevel="0" collapsed="false">
      <c r="A1307" s="39" t="s">
        <v>1631</v>
      </c>
      <c r="B1307" s="44" t="n">
        <v>46242</v>
      </c>
      <c r="C1307" s="39" t="s">
        <v>345</v>
      </c>
      <c r="D1307" s="39" t="s">
        <v>138</v>
      </c>
      <c r="E1307" s="39" t="n">
        <v>50</v>
      </c>
      <c r="F1307" s="39" t="str">
        <f aca="false">IF(COUNTIF(medicine_master!$A$2:$A$26,C1307)&gt;0,"Valid","Invalid")</f>
        <v>Valid</v>
      </c>
      <c r="G1307" s="39" t="str">
        <f aca="false">IFERROR(INDEX(medicine_master!$B$2:$B$26,MATCH($C1307,medicine_master!$A$2:$A$26,0)),"Not found")</f>
        <v>Paracetamol 500mg</v>
      </c>
      <c r="H1307" s="39" t="str">
        <f aca="false">IFERROR(INDEX(medicine_master!$C$2:$C$26,MATCH($C1307,medicine_master!$A$2:$A$26,0)),"Not found")</f>
        <v>Pain Relief</v>
      </c>
      <c r="I1307" s="39" t="n">
        <f aca="false">YEAR(B1307)</f>
        <v>2026</v>
      </c>
      <c r="J1307" s="39" t="n">
        <f aca="false">MONTH(B1307)</f>
        <v>8</v>
      </c>
      <c r="K1307" s="39" t="str">
        <f aca="false">TEXT(B1307,"mmm")</f>
        <v>Aug</v>
      </c>
      <c r="L1307" s="45" t="n">
        <f aca="false">IFERROR(INDEX(medicine_master!$I$2:$I$26,MATCH($C1307,medicine_master!$A$2:$A$26,0)),0)</f>
        <v>18</v>
      </c>
      <c r="M1307" s="45" t="n">
        <f aca="false">IFERROR(INDEX(medicine_master!$G$2:$G$26,MATCH($C1307,medicine_master!$A$2:$A$26,0)),0)</f>
        <v>12</v>
      </c>
      <c r="N1307" s="45" t="n">
        <f aca="false">IF(D1307="Sale",E1307*L1307,0)</f>
        <v>0</v>
      </c>
      <c r="O1307" s="45" t="n">
        <f aca="false">IF(D1307="Sale",E1307*M1307,0)</f>
        <v>0</v>
      </c>
      <c r="P1307" s="45" t="n">
        <f aca="false">N1307-O1307</f>
        <v>0</v>
      </c>
      <c r="Q1307" s="45" t="n">
        <f aca="false">IF(D1307="Purchase",E1307*M1307,0)</f>
        <v>600</v>
      </c>
    </row>
    <row r="1308" customFormat="false" ht="15" hidden="false" customHeight="false" outlineLevel="0" collapsed="false">
      <c r="A1308" s="39" t="s">
        <v>1632</v>
      </c>
      <c r="B1308" s="44" t="n">
        <v>46345</v>
      </c>
      <c r="C1308" s="39" t="s">
        <v>157</v>
      </c>
      <c r="D1308" s="39" t="s">
        <v>137</v>
      </c>
      <c r="E1308" s="39" t="n">
        <v>50</v>
      </c>
      <c r="F1308" s="39" t="str">
        <f aca="false">IF(COUNTIF(medicine_master!$A$2:$A$26,C1308)&gt;0,"Valid","Invalid")</f>
        <v>Valid</v>
      </c>
      <c r="G1308" s="39" t="str">
        <f aca="false">IFERROR(INDEX(medicine_master!$B$2:$B$26,MATCH($C1308,medicine_master!$A$2:$A$26,0)),"Not found")</f>
        <v>Multivitamin Tablets</v>
      </c>
      <c r="H1308" s="39" t="str">
        <f aca="false">IFERROR(INDEX(medicine_master!$C$2:$C$26,MATCH($C1308,medicine_master!$A$2:$A$26,0)),"Not found")</f>
        <v>Vitamin</v>
      </c>
      <c r="I1308" s="39" t="n">
        <f aca="false">YEAR(B1308)</f>
        <v>2026</v>
      </c>
      <c r="J1308" s="39" t="n">
        <f aca="false">MONTH(B1308)</f>
        <v>11</v>
      </c>
      <c r="K1308" s="39" t="str">
        <f aca="false">TEXT(B1308,"mmm")</f>
        <v>Nov</v>
      </c>
      <c r="L1308" s="45" t="n">
        <f aca="false">IFERROR(INDEX(medicine_master!$I$2:$I$26,MATCH($C1308,medicine_master!$A$2:$A$26,0)),0)</f>
        <v>105</v>
      </c>
      <c r="M1308" s="45" t="n">
        <f aca="false">IFERROR(INDEX(medicine_master!$G$2:$G$26,MATCH($C1308,medicine_master!$A$2:$A$26,0)),0)</f>
        <v>72</v>
      </c>
      <c r="N1308" s="45" t="n">
        <f aca="false">IF(D1308="Sale",E1308*L1308,0)</f>
        <v>5250</v>
      </c>
      <c r="O1308" s="45" t="n">
        <f aca="false">IF(D1308="Sale",E1308*M1308,0)</f>
        <v>3600</v>
      </c>
      <c r="P1308" s="45" t="n">
        <f aca="false">N1308-O1308</f>
        <v>1650</v>
      </c>
      <c r="Q1308" s="45" t="n">
        <f aca="false">IF(D1308="Purchase",E1308*M1308,0)</f>
        <v>0</v>
      </c>
    </row>
    <row r="1309" customFormat="false" ht="15" hidden="false" customHeight="false" outlineLevel="0" collapsed="false">
      <c r="A1309" s="39" t="s">
        <v>1633</v>
      </c>
      <c r="B1309" s="44" t="n">
        <v>46116</v>
      </c>
      <c r="C1309" s="39" t="s">
        <v>167</v>
      </c>
      <c r="D1309" s="39" t="s">
        <v>138</v>
      </c>
      <c r="E1309" s="39" t="n">
        <v>10</v>
      </c>
      <c r="F1309" s="39" t="str">
        <f aca="false">IF(COUNTIF(medicine_master!$A$2:$A$26,C1309)&gt;0,"Valid","Invalid")</f>
        <v>Valid</v>
      </c>
      <c r="G1309" s="39" t="str">
        <f aca="false">IFERROR(INDEX(medicine_master!$B$2:$B$26,MATCH($C1309,medicine_master!$A$2:$A$26,0)),"Not found")</f>
        <v>Amlodipine 5mg</v>
      </c>
      <c r="H1309" s="39" t="str">
        <f aca="false">IFERROR(INDEX(medicine_master!$C$2:$C$26,MATCH($C1309,medicine_master!$A$2:$A$26,0)),"Not found")</f>
        <v>Cardiac</v>
      </c>
      <c r="I1309" s="39" t="n">
        <f aca="false">YEAR(B1309)</f>
        <v>2026</v>
      </c>
      <c r="J1309" s="39" t="n">
        <f aca="false">MONTH(B1309)</f>
        <v>4</v>
      </c>
      <c r="K1309" s="39" t="str">
        <f aca="false">TEXT(B1309,"mmm")</f>
        <v>Apr</v>
      </c>
      <c r="L1309" s="45" t="n">
        <f aca="false">IFERROR(INDEX(medicine_master!$I$2:$I$26,MATCH($C1309,medicine_master!$A$2:$A$26,0)),0)</f>
        <v>19</v>
      </c>
      <c r="M1309" s="45" t="n">
        <f aca="false">IFERROR(INDEX(medicine_master!$G$2:$G$26,MATCH($C1309,medicine_master!$A$2:$A$26,0)),0)</f>
        <v>13</v>
      </c>
      <c r="N1309" s="45" t="n">
        <f aca="false">IF(D1309="Sale",E1309*L1309,0)</f>
        <v>0</v>
      </c>
      <c r="O1309" s="45" t="n">
        <f aca="false">IF(D1309="Sale",E1309*M1309,0)</f>
        <v>0</v>
      </c>
      <c r="P1309" s="45" t="n">
        <f aca="false">N1309-O1309</f>
        <v>0</v>
      </c>
      <c r="Q1309" s="45" t="n">
        <f aca="false">IF(D1309="Purchase",E1309*M1309,0)</f>
        <v>130</v>
      </c>
    </row>
    <row r="1310" customFormat="false" ht="15" hidden="false" customHeight="false" outlineLevel="0" collapsed="false">
      <c r="A1310" s="39" t="s">
        <v>1634</v>
      </c>
      <c r="B1310" s="44" t="n">
        <v>46140</v>
      </c>
      <c r="C1310" s="39" t="s">
        <v>160</v>
      </c>
      <c r="D1310" s="39" t="s">
        <v>137</v>
      </c>
      <c r="E1310" s="39" t="n">
        <v>25</v>
      </c>
      <c r="F1310" s="39" t="str">
        <f aca="false">IF(COUNTIF(medicine_master!$A$2:$A$26,C1310)&gt;0,"Valid","Invalid")</f>
        <v>Valid</v>
      </c>
      <c r="G1310" s="39" t="str">
        <f aca="false">IFERROR(INDEX(medicine_master!$B$2:$B$26,MATCH($C1310,medicine_master!$A$2:$A$26,0)),"Not found")</f>
        <v>Calamine Lotion</v>
      </c>
      <c r="H1310" s="39" t="str">
        <f aca="false">IFERROR(INDEX(medicine_master!$C$2:$C$26,MATCH($C1310,medicine_master!$A$2:$A$26,0)),"Not found")</f>
        <v>Dermatology</v>
      </c>
      <c r="I1310" s="39" t="n">
        <f aca="false">YEAR(B1310)</f>
        <v>2026</v>
      </c>
      <c r="J1310" s="39" t="n">
        <f aca="false">MONTH(B1310)</f>
        <v>4</v>
      </c>
      <c r="K1310" s="39" t="str">
        <f aca="false">TEXT(B1310,"mmm")</f>
        <v>Apr</v>
      </c>
      <c r="L1310" s="45" t="n">
        <f aca="false">IFERROR(INDEX(medicine_master!$I$2:$I$26,MATCH($C1310,medicine_master!$A$2:$A$26,0)),0)</f>
        <v>60</v>
      </c>
      <c r="M1310" s="45" t="n">
        <f aca="false">IFERROR(INDEX(medicine_master!$G$2:$G$26,MATCH($C1310,medicine_master!$A$2:$A$26,0)),0)</f>
        <v>42</v>
      </c>
      <c r="N1310" s="45" t="n">
        <f aca="false">IF(D1310="Sale",E1310*L1310,0)</f>
        <v>1500</v>
      </c>
      <c r="O1310" s="45" t="n">
        <f aca="false">IF(D1310="Sale",E1310*M1310,0)</f>
        <v>1050</v>
      </c>
      <c r="P1310" s="45" t="n">
        <f aca="false">N1310-O1310</f>
        <v>450</v>
      </c>
      <c r="Q1310" s="45" t="n">
        <f aca="false">IF(D1310="Purchase",E1310*M1310,0)</f>
        <v>0</v>
      </c>
    </row>
    <row r="1311" customFormat="false" ht="15" hidden="false" customHeight="false" outlineLevel="0" collapsed="false">
      <c r="A1311" s="39" t="s">
        <v>1635</v>
      </c>
      <c r="B1311" s="44" t="n">
        <v>46323</v>
      </c>
      <c r="C1311" s="39" t="s">
        <v>160</v>
      </c>
      <c r="D1311" s="39" t="s">
        <v>138</v>
      </c>
      <c r="E1311" s="39" t="n">
        <v>30</v>
      </c>
      <c r="F1311" s="39" t="str">
        <f aca="false">IF(COUNTIF(medicine_master!$A$2:$A$26,C1311)&gt;0,"Valid","Invalid")</f>
        <v>Valid</v>
      </c>
      <c r="G1311" s="39" t="str">
        <f aca="false">IFERROR(INDEX(medicine_master!$B$2:$B$26,MATCH($C1311,medicine_master!$A$2:$A$26,0)),"Not found")</f>
        <v>Calamine Lotion</v>
      </c>
      <c r="H1311" s="39" t="str">
        <f aca="false">IFERROR(INDEX(medicine_master!$C$2:$C$26,MATCH($C1311,medicine_master!$A$2:$A$26,0)),"Not found")</f>
        <v>Dermatology</v>
      </c>
      <c r="I1311" s="39" t="n">
        <f aca="false">YEAR(B1311)</f>
        <v>2026</v>
      </c>
      <c r="J1311" s="39" t="n">
        <f aca="false">MONTH(B1311)</f>
        <v>10</v>
      </c>
      <c r="K1311" s="39" t="str">
        <f aca="false">TEXT(B1311,"mmm")</f>
        <v>Oct</v>
      </c>
      <c r="L1311" s="45" t="n">
        <f aca="false">IFERROR(INDEX(medicine_master!$I$2:$I$26,MATCH($C1311,medicine_master!$A$2:$A$26,0)),0)</f>
        <v>60</v>
      </c>
      <c r="M1311" s="45" t="n">
        <f aca="false">IFERROR(INDEX(medicine_master!$G$2:$G$26,MATCH($C1311,medicine_master!$A$2:$A$26,0)),0)</f>
        <v>42</v>
      </c>
      <c r="N1311" s="45" t="n">
        <f aca="false">IF(D1311="Sale",E1311*L1311,0)</f>
        <v>0</v>
      </c>
      <c r="O1311" s="45" t="n">
        <f aca="false">IF(D1311="Sale",E1311*M1311,0)</f>
        <v>0</v>
      </c>
      <c r="P1311" s="45" t="n">
        <f aca="false">N1311-O1311</f>
        <v>0</v>
      </c>
      <c r="Q1311" s="45" t="n">
        <f aca="false">IF(D1311="Purchase",E1311*M1311,0)</f>
        <v>1260</v>
      </c>
    </row>
    <row r="1312" customFormat="false" ht="15" hidden="false" customHeight="false" outlineLevel="0" collapsed="false">
      <c r="A1312" s="39" t="s">
        <v>1636</v>
      </c>
      <c r="B1312" s="44" t="n">
        <v>46136</v>
      </c>
      <c r="C1312" s="39" t="s">
        <v>159</v>
      </c>
      <c r="D1312" s="39" t="s">
        <v>138</v>
      </c>
      <c r="E1312" s="39" t="n">
        <v>30</v>
      </c>
      <c r="F1312" s="39" t="str">
        <f aca="false">IF(COUNTIF(medicine_master!$A$2:$A$26,C1312)&gt;0,"Valid","Invalid")</f>
        <v>Valid</v>
      </c>
      <c r="G1312" s="39" t="str">
        <f aca="false">IFERROR(INDEX(medicine_master!$B$2:$B$26,MATCH($C1312,medicine_master!$A$2:$A$26,0)),"Not found")</f>
        <v>Antiseptic Liquid 100ml</v>
      </c>
      <c r="H1312" s="39" t="str">
        <f aca="false">IFERROR(INDEX(medicine_master!$C$2:$C$26,MATCH($C1312,medicine_master!$A$2:$A$26,0)),"Not found")</f>
        <v>First Aid</v>
      </c>
      <c r="I1312" s="39" t="n">
        <f aca="false">YEAR(B1312)</f>
        <v>2026</v>
      </c>
      <c r="J1312" s="39" t="n">
        <f aca="false">MONTH(B1312)</f>
        <v>4</v>
      </c>
      <c r="K1312" s="39" t="str">
        <f aca="false">TEXT(B1312,"mmm")</f>
        <v>Apr</v>
      </c>
      <c r="L1312" s="45" t="n">
        <f aca="false">IFERROR(INDEX(medicine_master!$I$2:$I$26,MATCH($C1312,medicine_master!$A$2:$A$26,0)),0)</f>
        <v>65</v>
      </c>
      <c r="M1312" s="45" t="n">
        <f aca="false">IFERROR(INDEX(medicine_master!$G$2:$G$26,MATCH($C1312,medicine_master!$A$2:$A$26,0)),0)</f>
        <v>48</v>
      </c>
      <c r="N1312" s="45" t="n">
        <f aca="false">IF(D1312="Sale",E1312*L1312,0)</f>
        <v>0</v>
      </c>
      <c r="O1312" s="45" t="n">
        <f aca="false">IF(D1312="Sale",E1312*M1312,0)</f>
        <v>0</v>
      </c>
      <c r="P1312" s="45" t="n">
        <f aca="false">N1312-O1312</f>
        <v>0</v>
      </c>
      <c r="Q1312" s="45" t="n">
        <f aca="false">IF(D1312="Purchase",E1312*M1312,0)</f>
        <v>1440</v>
      </c>
    </row>
    <row r="1313" customFormat="false" ht="15" hidden="false" customHeight="false" outlineLevel="0" collapsed="false">
      <c r="A1313" s="39" t="s">
        <v>1637</v>
      </c>
      <c r="B1313" s="44" t="n">
        <v>46057</v>
      </c>
      <c r="C1313" s="39" t="s">
        <v>180</v>
      </c>
      <c r="D1313" s="39" t="s">
        <v>138</v>
      </c>
      <c r="E1313" s="39" t="n">
        <v>40</v>
      </c>
      <c r="F1313" s="39" t="str">
        <f aca="false">IF(COUNTIF(medicine_master!$A$2:$A$26,C1313)&gt;0,"Valid","Invalid")</f>
        <v>Valid</v>
      </c>
      <c r="G1313" s="39" t="str">
        <f aca="false">IFERROR(INDEX(medicine_master!$B$2:$B$26,MATCH($C1313,medicine_master!$A$2:$A$26,0)),"Not found")</f>
        <v>Vitamin C 500mg</v>
      </c>
      <c r="H1313" s="39" t="str">
        <f aca="false">IFERROR(INDEX(medicine_master!$C$2:$C$26,MATCH($C1313,medicine_master!$A$2:$A$26,0)),"Not found")</f>
        <v>Vitamin</v>
      </c>
      <c r="I1313" s="39" t="n">
        <f aca="false">YEAR(B1313)</f>
        <v>2026</v>
      </c>
      <c r="J1313" s="39" t="n">
        <f aca="false">MONTH(B1313)</f>
        <v>2</v>
      </c>
      <c r="K1313" s="39" t="str">
        <f aca="false">TEXT(B1313,"mmm")</f>
        <v>Feb</v>
      </c>
      <c r="L1313" s="45" t="n">
        <f aca="false">IFERROR(INDEX(medicine_master!$I$2:$I$26,MATCH($C1313,medicine_master!$A$2:$A$26,0)),0)</f>
        <v>22</v>
      </c>
      <c r="M1313" s="45" t="n">
        <f aca="false">IFERROR(INDEX(medicine_master!$G$2:$G$26,MATCH($C1313,medicine_master!$A$2:$A$26,0)),0)</f>
        <v>14</v>
      </c>
      <c r="N1313" s="45" t="n">
        <f aca="false">IF(D1313="Sale",E1313*L1313,0)</f>
        <v>0</v>
      </c>
      <c r="O1313" s="45" t="n">
        <f aca="false">IF(D1313="Sale",E1313*M1313,0)</f>
        <v>0</v>
      </c>
      <c r="P1313" s="45" t="n">
        <f aca="false">N1313-O1313</f>
        <v>0</v>
      </c>
      <c r="Q1313" s="45" t="n">
        <f aca="false">IF(D1313="Purchase",E1313*M1313,0)</f>
        <v>560</v>
      </c>
    </row>
    <row r="1314" customFormat="false" ht="15" hidden="false" customHeight="false" outlineLevel="0" collapsed="false">
      <c r="A1314" s="39" t="s">
        <v>1638</v>
      </c>
      <c r="B1314" s="44" t="n">
        <v>46067</v>
      </c>
      <c r="C1314" s="39" t="s">
        <v>144</v>
      </c>
      <c r="D1314" s="39" t="s">
        <v>137</v>
      </c>
      <c r="E1314" s="39" t="n">
        <v>25</v>
      </c>
      <c r="F1314" s="39" t="str">
        <f aca="false">IF(COUNTIF(medicine_master!$A$2:$A$26,C1314)&gt;0,"Valid","Invalid")</f>
        <v>Valid</v>
      </c>
      <c r="G1314" s="39" t="str">
        <f aca="false">IFERROR(INDEX(medicine_master!$B$2:$B$26,MATCH($C1314,medicine_master!$A$2:$A$26,0)),"Not found")</f>
        <v>Glimepiride 2mg</v>
      </c>
      <c r="H1314" s="39" t="str">
        <f aca="false">IFERROR(INDEX(medicine_master!$C$2:$C$26,MATCH($C1314,medicine_master!$A$2:$A$26,0)),"Not found")</f>
        <v>Diabetes</v>
      </c>
      <c r="I1314" s="39" t="n">
        <f aca="false">YEAR(B1314)</f>
        <v>2026</v>
      </c>
      <c r="J1314" s="39" t="n">
        <f aca="false">MONTH(B1314)</f>
        <v>2</v>
      </c>
      <c r="K1314" s="39" t="str">
        <f aca="false">TEXT(B1314,"mmm")</f>
        <v>Feb</v>
      </c>
      <c r="L1314" s="45" t="n">
        <f aca="false">IFERROR(INDEX(medicine_master!$I$2:$I$26,MATCH($C1314,medicine_master!$A$2:$A$26,0)),0)</f>
        <v>52</v>
      </c>
      <c r="M1314" s="45" t="n">
        <f aca="false">IFERROR(INDEX(medicine_master!$G$2:$G$26,MATCH($C1314,medicine_master!$A$2:$A$26,0)),0)</f>
        <v>38</v>
      </c>
      <c r="N1314" s="45" t="n">
        <f aca="false">IF(D1314="Sale",E1314*L1314,0)</f>
        <v>1300</v>
      </c>
      <c r="O1314" s="45" t="n">
        <f aca="false">IF(D1314="Sale",E1314*M1314,0)</f>
        <v>950</v>
      </c>
      <c r="P1314" s="45" t="n">
        <f aca="false">N1314-O1314</f>
        <v>350</v>
      </c>
      <c r="Q1314" s="45" t="n">
        <f aca="false">IF(D1314="Purchase",E1314*M1314,0)</f>
        <v>0</v>
      </c>
    </row>
    <row r="1315" customFormat="false" ht="15" hidden="false" customHeight="false" outlineLevel="0" collapsed="false">
      <c r="A1315" s="39" t="s">
        <v>1639</v>
      </c>
      <c r="B1315" s="44" t="n">
        <v>46236</v>
      </c>
      <c r="C1315" s="39" t="s">
        <v>148</v>
      </c>
      <c r="D1315" s="39" t="s">
        <v>138</v>
      </c>
      <c r="E1315" s="39" t="n">
        <v>10</v>
      </c>
      <c r="F1315" s="39" t="str">
        <f aca="false">IF(COUNTIF(medicine_master!$A$2:$A$26,C1315)&gt;0,"Valid","Invalid")</f>
        <v>Valid</v>
      </c>
      <c r="G1315" s="39" t="str">
        <f aca="false">IFERROR(INDEX(medicine_master!$B$2:$B$26,MATCH($C1315,medicine_master!$A$2:$A$26,0)),"Not found")</f>
        <v>Dextromethorphan Syrup</v>
      </c>
      <c r="H1315" s="39" t="str">
        <f aca="false">IFERROR(INDEX(medicine_master!$C$2:$C$26,MATCH($C1315,medicine_master!$A$2:$A$26,0)),"Not found")</f>
        <v>Cold &amp; Cough</v>
      </c>
      <c r="I1315" s="39" t="n">
        <f aca="false">YEAR(B1315)</f>
        <v>2026</v>
      </c>
      <c r="J1315" s="39" t="n">
        <f aca="false">MONTH(B1315)</f>
        <v>8</v>
      </c>
      <c r="K1315" s="39" t="str">
        <f aca="false">TEXT(B1315,"mmm")</f>
        <v>Aug</v>
      </c>
      <c r="L1315" s="45" t="n">
        <f aca="false">IFERROR(INDEX(medicine_master!$I$2:$I$26,MATCH($C1315,medicine_master!$A$2:$A$26,0)),0)</f>
        <v>80</v>
      </c>
      <c r="M1315" s="45" t="n">
        <f aca="false">IFERROR(INDEX(medicine_master!$G$2:$G$26,MATCH($C1315,medicine_master!$A$2:$A$26,0)),0)</f>
        <v>58</v>
      </c>
      <c r="N1315" s="45" t="n">
        <f aca="false">IF(D1315="Sale",E1315*L1315,0)</f>
        <v>0</v>
      </c>
      <c r="O1315" s="45" t="n">
        <f aca="false">IF(D1315="Sale",E1315*M1315,0)</f>
        <v>0</v>
      </c>
      <c r="P1315" s="45" t="n">
        <f aca="false">N1315-O1315</f>
        <v>0</v>
      </c>
      <c r="Q1315" s="45" t="n">
        <f aca="false">IF(D1315="Purchase",E1315*M1315,0)</f>
        <v>580</v>
      </c>
    </row>
    <row r="1316" customFormat="false" ht="15" hidden="false" customHeight="false" outlineLevel="0" collapsed="false">
      <c r="A1316" s="39" t="s">
        <v>1640</v>
      </c>
      <c r="B1316" s="44" t="n">
        <v>46098</v>
      </c>
      <c r="C1316" s="39" t="s">
        <v>148</v>
      </c>
      <c r="D1316" s="39" t="s">
        <v>138</v>
      </c>
      <c r="E1316" s="39" t="n">
        <v>30</v>
      </c>
      <c r="F1316" s="39" t="str">
        <f aca="false">IF(COUNTIF(medicine_master!$A$2:$A$26,C1316)&gt;0,"Valid","Invalid")</f>
        <v>Valid</v>
      </c>
      <c r="G1316" s="39" t="str">
        <f aca="false">IFERROR(INDEX(medicine_master!$B$2:$B$26,MATCH($C1316,medicine_master!$A$2:$A$26,0)),"Not found")</f>
        <v>Dextromethorphan Syrup</v>
      </c>
      <c r="H1316" s="39" t="str">
        <f aca="false">IFERROR(INDEX(medicine_master!$C$2:$C$26,MATCH($C1316,medicine_master!$A$2:$A$26,0)),"Not found")</f>
        <v>Cold &amp; Cough</v>
      </c>
      <c r="I1316" s="39" t="n">
        <f aca="false">YEAR(B1316)</f>
        <v>2026</v>
      </c>
      <c r="J1316" s="39" t="n">
        <f aca="false">MONTH(B1316)</f>
        <v>3</v>
      </c>
      <c r="K1316" s="39" t="str">
        <f aca="false">TEXT(B1316,"mmm")</f>
        <v>Mar</v>
      </c>
      <c r="L1316" s="45" t="n">
        <f aca="false">IFERROR(INDEX(medicine_master!$I$2:$I$26,MATCH($C1316,medicine_master!$A$2:$A$26,0)),0)</f>
        <v>80</v>
      </c>
      <c r="M1316" s="45" t="n">
        <f aca="false">IFERROR(INDEX(medicine_master!$G$2:$G$26,MATCH($C1316,medicine_master!$A$2:$A$26,0)),0)</f>
        <v>58</v>
      </c>
      <c r="N1316" s="45" t="n">
        <f aca="false">IF(D1316="Sale",E1316*L1316,0)</f>
        <v>0</v>
      </c>
      <c r="O1316" s="45" t="n">
        <f aca="false">IF(D1316="Sale",E1316*M1316,0)</f>
        <v>0</v>
      </c>
      <c r="P1316" s="45" t="n">
        <f aca="false">N1316-O1316</f>
        <v>0</v>
      </c>
      <c r="Q1316" s="45" t="n">
        <f aca="false">IF(D1316="Purchase",E1316*M1316,0)</f>
        <v>1740</v>
      </c>
    </row>
    <row r="1317" customFormat="false" ht="15" hidden="false" customHeight="false" outlineLevel="0" collapsed="false">
      <c r="A1317" s="39" t="s">
        <v>1641</v>
      </c>
      <c r="B1317" s="44" t="n">
        <v>46311</v>
      </c>
      <c r="C1317" s="39" t="s">
        <v>404</v>
      </c>
      <c r="D1317" s="39" t="s">
        <v>137</v>
      </c>
      <c r="E1317" s="39" t="n">
        <v>5</v>
      </c>
      <c r="F1317" s="39" t="str">
        <f aca="false">IF(COUNTIF(medicine_master!$A$2:$A$26,C1317)&gt;0,"Valid","Invalid")</f>
        <v>Valid</v>
      </c>
      <c r="G1317" s="39" t="str">
        <f aca="false">IFERROR(INDEX(medicine_master!$B$2:$B$26,MATCH($C1317,medicine_master!$A$2:$A$26,0)),"Not found")</f>
        <v>ORS Sachet</v>
      </c>
      <c r="H1317" s="39" t="str">
        <f aca="false">IFERROR(INDEX(medicine_master!$C$2:$C$26,MATCH($C1317,medicine_master!$A$2:$A$26,0)),"Not found")</f>
        <v>First Aid</v>
      </c>
      <c r="I1317" s="39" t="n">
        <f aca="false">YEAR(B1317)</f>
        <v>2026</v>
      </c>
      <c r="J1317" s="39" t="n">
        <f aca="false">MONTH(B1317)</f>
        <v>10</v>
      </c>
      <c r="K1317" s="39" t="str">
        <f aca="false">TEXT(B1317,"mmm")</f>
        <v>Oct</v>
      </c>
      <c r="L1317" s="45" t="n">
        <f aca="false">IFERROR(INDEX(medicine_master!$I$2:$I$26,MATCH($C1317,medicine_master!$A$2:$A$26,0)),0)</f>
        <v>10</v>
      </c>
      <c r="M1317" s="45" t="n">
        <f aca="false">IFERROR(INDEX(medicine_master!$G$2:$G$26,MATCH($C1317,medicine_master!$A$2:$A$26,0)),0)</f>
        <v>6</v>
      </c>
      <c r="N1317" s="45" t="n">
        <f aca="false">IF(D1317="Sale",E1317*L1317,0)</f>
        <v>50</v>
      </c>
      <c r="O1317" s="45" t="n">
        <f aca="false">IF(D1317="Sale",E1317*M1317,0)</f>
        <v>30</v>
      </c>
      <c r="P1317" s="45" t="n">
        <f aca="false">N1317-O1317</f>
        <v>20</v>
      </c>
      <c r="Q1317" s="45" t="n">
        <f aca="false">IF(D1317="Purchase",E1317*M1317,0)</f>
        <v>0</v>
      </c>
    </row>
    <row r="1318" customFormat="false" ht="15" hidden="false" customHeight="false" outlineLevel="0" collapsed="false">
      <c r="A1318" s="39" t="s">
        <v>1642</v>
      </c>
      <c r="B1318" s="44" t="n">
        <v>46148</v>
      </c>
      <c r="C1318" s="39" t="s">
        <v>145</v>
      </c>
      <c r="D1318" s="39" t="s">
        <v>137</v>
      </c>
      <c r="E1318" s="39" t="n">
        <v>40</v>
      </c>
      <c r="F1318" s="39" t="str">
        <f aca="false">IF(COUNTIF(medicine_master!$A$2:$A$26,C1318)&gt;0,"Valid","Invalid")</f>
        <v>Valid</v>
      </c>
      <c r="G1318" s="39" t="str">
        <f aca="false">IFERROR(INDEX(medicine_master!$B$2:$B$26,MATCH($C1318,medicine_master!$A$2:$A$26,0)),"Not found")</f>
        <v>Clotrimazole Cream</v>
      </c>
      <c r="H1318" s="39" t="str">
        <f aca="false">IFERROR(INDEX(medicine_master!$C$2:$C$26,MATCH($C1318,medicine_master!$A$2:$A$26,0)),"Not found")</f>
        <v>Dermatology</v>
      </c>
      <c r="I1318" s="39" t="n">
        <f aca="false">YEAR(B1318)</f>
        <v>2026</v>
      </c>
      <c r="J1318" s="39" t="n">
        <f aca="false">MONTH(B1318)</f>
        <v>5</v>
      </c>
      <c r="K1318" s="39" t="str">
        <f aca="false">TEXT(B1318,"mmm")</f>
        <v>May</v>
      </c>
      <c r="L1318" s="45" t="n">
        <f aca="false">IFERROR(INDEX(medicine_master!$I$2:$I$26,MATCH($C1318,medicine_master!$A$2:$A$26,0)),0)</f>
        <v>48</v>
      </c>
      <c r="M1318" s="45" t="n">
        <f aca="false">IFERROR(INDEX(medicine_master!$G$2:$G$26,MATCH($C1318,medicine_master!$A$2:$A$26,0)),0)</f>
        <v>32</v>
      </c>
      <c r="N1318" s="45" t="n">
        <f aca="false">IF(D1318="Sale",E1318*L1318,0)</f>
        <v>1920</v>
      </c>
      <c r="O1318" s="45" t="n">
        <f aca="false">IF(D1318="Sale",E1318*M1318,0)</f>
        <v>1280</v>
      </c>
      <c r="P1318" s="45" t="n">
        <f aca="false">N1318-O1318</f>
        <v>640</v>
      </c>
      <c r="Q1318" s="45" t="n">
        <f aca="false">IF(D1318="Purchase",E1318*M1318,0)</f>
        <v>0</v>
      </c>
    </row>
    <row r="1319" customFormat="false" ht="15" hidden="false" customHeight="false" outlineLevel="0" collapsed="false">
      <c r="A1319" s="39" t="s">
        <v>1643</v>
      </c>
      <c r="B1319" s="44" t="n">
        <v>46149</v>
      </c>
      <c r="C1319" s="39" t="s">
        <v>151</v>
      </c>
      <c r="D1319" s="39" t="s">
        <v>137</v>
      </c>
      <c r="E1319" s="39" t="n">
        <v>25</v>
      </c>
      <c r="F1319" s="39" t="str">
        <f aca="false">IF(COUNTIF(medicine_master!$A$2:$A$26,C1319)&gt;0,"Valid","Invalid")</f>
        <v>Valid</v>
      </c>
      <c r="G1319" s="39" t="str">
        <f aca="false">IFERROR(INDEX(medicine_master!$B$2:$B$26,MATCH($C1319,medicine_master!$A$2:$A$26,0)),"Not found")</f>
        <v>Cetirizine 10mg</v>
      </c>
      <c r="H1319" s="39" t="str">
        <f aca="false">IFERROR(INDEX(medicine_master!$C$2:$C$26,MATCH($C1319,medicine_master!$A$2:$A$26,0)),"Not found")</f>
        <v>Allergy</v>
      </c>
      <c r="I1319" s="39" t="n">
        <f aca="false">YEAR(B1319)</f>
        <v>2026</v>
      </c>
      <c r="J1319" s="39" t="n">
        <f aca="false">MONTH(B1319)</f>
        <v>5</v>
      </c>
      <c r="K1319" s="39" t="str">
        <f aca="false">TEXT(B1319,"mmm")</f>
        <v>May</v>
      </c>
      <c r="L1319" s="45" t="n">
        <f aca="false">IFERROR(INDEX(medicine_master!$I$2:$I$26,MATCH($C1319,medicine_master!$A$2:$A$26,0)),0)</f>
        <v>13</v>
      </c>
      <c r="M1319" s="45" t="n">
        <f aca="false">IFERROR(INDEX(medicine_master!$G$2:$G$26,MATCH($C1319,medicine_master!$A$2:$A$26,0)),0)</f>
        <v>8</v>
      </c>
      <c r="N1319" s="45" t="n">
        <f aca="false">IF(D1319="Sale",E1319*L1319,0)</f>
        <v>325</v>
      </c>
      <c r="O1319" s="45" t="n">
        <f aca="false">IF(D1319="Sale",E1319*M1319,0)</f>
        <v>200</v>
      </c>
      <c r="P1319" s="45" t="n">
        <f aca="false">N1319-O1319</f>
        <v>125</v>
      </c>
      <c r="Q1319" s="45" t="n">
        <f aca="false">IF(D1319="Purchase",E1319*M1319,0)</f>
        <v>0</v>
      </c>
    </row>
    <row r="1320" customFormat="false" ht="15" hidden="false" customHeight="false" outlineLevel="0" collapsed="false">
      <c r="A1320" s="39" t="s">
        <v>1644</v>
      </c>
      <c r="B1320" s="44" t="n">
        <v>46148</v>
      </c>
      <c r="C1320" s="39" t="s">
        <v>148</v>
      </c>
      <c r="D1320" s="39" t="s">
        <v>137</v>
      </c>
      <c r="E1320" s="39" t="n">
        <v>5</v>
      </c>
      <c r="F1320" s="39" t="str">
        <f aca="false">IF(COUNTIF(medicine_master!$A$2:$A$26,C1320)&gt;0,"Valid","Invalid")</f>
        <v>Valid</v>
      </c>
      <c r="G1320" s="39" t="str">
        <f aca="false">IFERROR(INDEX(medicine_master!$B$2:$B$26,MATCH($C1320,medicine_master!$A$2:$A$26,0)),"Not found")</f>
        <v>Dextromethorphan Syrup</v>
      </c>
      <c r="H1320" s="39" t="str">
        <f aca="false">IFERROR(INDEX(medicine_master!$C$2:$C$26,MATCH($C1320,medicine_master!$A$2:$A$26,0)),"Not found")</f>
        <v>Cold &amp; Cough</v>
      </c>
      <c r="I1320" s="39" t="n">
        <f aca="false">YEAR(B1320)</f>
        <v>2026</v>
      </c>
      <c r="J1320" s="39" t="n">
        <f aca="false">MONTH(B1320)</f>
        <v>5</v>
      </c>
      <c r="K1320" s="39" t="str">
        <f aca="false">TEXT(B1320,"mmm")</f>
        <v>May</v>
      </c>
      <c r="L1320" s="45" t="n">
        <f aca="false">IFERROR(INDEX(medicine_master!$I$2:$I$26,MATCH($C1320,medicine_master!$A$2:$A$26,0)),0)</f>
        <v>80</v>
      </c>
      <c r="M1320" s="45" t="n">
        <f aca="false">IFERROR(INDEX(medicine_master!$G$2:$G$26,MATCH($C1320,medicine_master!$A$2:$A$26,0)),0)</f>
        <v>58</v>
      </c>
      <c r="N1320" s="45" t="n">
        <f aca="false">IF(D1320="Sale",E1320*L1320,0)</f>
        <v>400</v>
      </c>
      <c r="O1320" s="45" t="n">
        <f aca="false">IF(D1320="Sale",E1320*M1320,0)</f>
        <v>290</v>
      </c>
      <c r="P1320" s="45" t="n">
        <f aca="false">N1320-O1320</f>
        <v>110</v>
      </c>
      <c r="Q1320" s="45" t="n">
        <f aca="false">IF(D1320="Purchase",E1320*M1320,0)</f>
        <v>0</v>
      </c>
    </row>
    <row r="1321" customFormat="false" ht="15" hidden="false" customHeight="false" outlineLevel="0" collapsed="false">
      <c r="A1321" s="39" t="s">
        <v>1645</v>
      </c>
      <c r="B1321" s="44" t="n">
        <v>46050</v>
      </c>
      <c r="C1321" s="39" t="s">
        <v>177</v>
      </c>
      <c r="D1321" s="39" t="s">
        <v>137</v>
      </c>
      <c r="E1321" s="39" t="n">
        <v>50</v>
      </c>
      <c r="F1321" s="39" t="str">
        <f aca="false">IF(COUNTIF(medicine_master!$A$2:$A$26,C1321)&gt;0,"Valid","Invalid")</f>
        <v>Valid</v>
      </c>
      <c r="G1321" s="39" t="str">
        <f aca="false">IFERROR(INDEX(medicine_master!$B$2:$B$26,MATCH($C1321,medicine_master!$A$2:$A$26,0)),"Not found")</f>
        <v>Bandage Roll</v>
      </c>
      <c r="H1321" s="39" t="str">
        <f aca="false">IFERROR(INDEX(medicine_master!$C$2:$C$26,MATCH($C1321,medicine_master!$A$2:$A$26,0)),"Not found")</f>
        <v>First Aid</v>
      </c>
      <c r="I1321" s="39" t="n">
        <f aca="false">YEAR(B1321)</f>
        <v>2026</v>
      </c>
      <c r="J1321" s="39" t="n">
        <f aca="false">MONTH(B1321)</f>
        <v>1</v>
      </c>
      <c r="K1321" s="39" t="str">
        <f aca="false">TEXT(B1321,"mmm")</f>
        <v>Jan</v>
      </c>
      <c r="L1321" s="45" t="n">
        <f aca="false">IFERROR(INDEX(medicine_master!$I$2:$I$26,MATCH($C1321,medicine_master!$A$2:$A$26,0)),0)</f>
        <v>25</v>
      </c>
      <c r="M1321" s="45" t="n">
        <f aca="false">IFERROR(INDEX(medicine_master!$G$2:$G$26,MATCH($C1321,medicine_master!$A$2:$A$26,0)),0)</f>
        <v>15</v>
      </c>
      <c r="N1321" s="45" t="n">
        <f aca="false">IF(D1321="Sale",E1321*L1321,0)</f>
        <v>1250</v>
      </c>
      <c r="O1321" s="45" t="n">
        <f aca="false">IF(D1321="Sale",E1321*M1321,0)</f>
        <v>750</v>
      </c>
      <c r="P1321" s="45" t="n">
        <f aca="false">N1321-O1321</f>
        <v>500</v>
      </c>
      <c r="Q1321" s="45" t="n">
        <f aca="false">IF(D1321="Purchase",E1321*M1321,0)</f>
        <v>0</v>
      </c>
    </row>
    <row r="1322" customFormat="false" ht="15" hidden="false" customHeight="false" outlineLevel="0" collapsed="false">
      <c r="A1322" s="39" t="s">
        <v>1646</v>
      </c>
      <c r="B1322" s="44" t="n">
        <v>46350</v>
      </c>
      <c r="C1322" s="39" t="s">
        <v>144</v>
      </c>
      <c r="D1322" s="39" t="s">
        <v>137</v>
      </c>
      <c r="E1322" s="39" t="n">
        <v>25</v>
      </c>
      <c r="F1322" s="39" t="str">
        <f aca="false">IF(COUNTIF(medicine_master!$A$2:$A$26,C1322)&gt;0,"Valid","Invalid")</f>
        <v>Valid</v>
      </c>
      <c r="G1322" s="39" t="str">
        <f aca="false">IFERROR(INDEX(medicine_master!$B$2:$B$26,MATCH($C1322,medicine_master!$A$2:$A$26,0)),"Not found")</f>
        <v>Glimepiride 2mg</v>
      </c>
      <c r="H1322" s="39" t="str">
        <f aca="false">IFERROR(INDEX(medicine_master!$C$2:$C$26,MATCH($C1322,medicine_master!$A$2:$A$26,0)),"Not found")</f>
        <v>Diabetes</v>
      </c>
      <c r="I1322" s="39" t="n">
        <f aca="false">YEAR(B1322)</f>
        <v>2026</v>
      </c>
      <c r="J1322" s="39" t="n">
        <f aca="false">MONTH(B1322)</f>
        <v>11</v>
      </c>
      <c r="K1322" s="39" t="str">
        <f aca="false">TEXT(B1322,"mmm")</f>
        <v>Nov</v>
      </c>
      <c r="L1322" s="45" t="n">
        <f aca="false">IFERROR(INDEX(medicine_master!$I$2:$I$26,MATCH($C1322,medicine_master!$A$2:$A$26,0)),0)</f>
        <v>52</v>
      </c>
      <c r="M1322" s="45" t="n">
        <f aca="false">IFERROR(INDEX(medicine_master!$G$2:$G$26,MATCH($C1322,medicine_master!$A$2:$A$26,0)),0)</f>
        <v>38</v>
      </c>
      <c r="N1322" s="45" t="n">
        <f aca="false">IF(D1322="Sale",E1322*L1322,0)</f>
        <v>1300</v>
      </c>
      <c r="O1322" s="45" t="n">
        <f aca="false">IF(D1322="Sale",E1322*M1322,0)</f>
        <v>950</v>
      </c>
      <c r="P1322" s="45" t="n">
        <f aca="false">N1322-O1322</f>
        <v>350</v>
      </c>
      <c r="Q1322" s="45" t="n">
        <f aca="false">IF(D1322="Purchase",E1322*M1322,0)</f>
        <v>0</v>
      </c>
    </row>
    <row r="1323" customFormat="false" ht="15" hidden="false" customHeight="false" outlineLevel="0" collapsed="false">
      <c r="A1323" s="39" t="s">
        <v>1647</v>
      </c>
      <c r="B1323" s="44" t="n">
        <v>46304</v>
      </c>
      <c r="C1323" s="39" t="s">
        <v>157</v>
      </c>
      <c r="D1323" s="39" t="s">
        <v>138</v>
      </c>
      <c r="E1323" s="39" t="n">
        <v>20</v>
      </c>
      <c r="F1323" s="39" t="str">
        <f aca="false">IF(COUNTIF(medicine_master!$A$2:$A$26,C1323)&gt;0,"Valid","Invalid")</f>
        <v>Valid</v>
      </c>
      <c r="G1323" s="39" t="str">
        <f aca="false">IFERROR(INDEX(medicine_master!$B$2:$B$26,MATCH($C1323,medicine_master!$A$2:$A$26,0)),"Not found")</f>
        <v>Multivitamin Tablets</v>
      </c>
      <c r="H1323" s="39" t="str">
        <f aca="false">IFERROR(INDEX(medicine_master!$C$2:$C$26,MATCH($C1323,medicine_master!$A$2:$A$26,0)),"Not found")</f>
        <v>Vitamin</v>
      </c>
      <c r="I1323" s="39" t="n">
        <f aca="false">YEAR(B1323)</f>
        <v>2026</v>
      </c>
      <c r="J1323" s="39" t="n">
        <f aca="false">MONTH(B1323)</f>
        <v>10</v>
      </c>
      <c r="K1323" s="39" t="str">
        <f aca="false">TEXT(B1323,"mmm")</f>
        <v>Oct</v>
      </c>
      <c r="L1323" s="45" t="n">
        <f aca="false">IFERROR(INDEX(medicine_master!$I$2:$I$26,MATCH($C1323,medicine_master!$A$2:$A$26,0)),0)</f>
        <v>105</v>
      </c>
      <c r="M1323" s="45" t="n">
        <f aca="false">IFERROR(INDEX(medicine_master!$G$2:$G$26,MATCH($C1323,medicine_master!$A$2:$A$26,0)),0)</f>
        <v>72</v>
      </c>
      <c r="N1323" s="45" t="n">
        <f aca="false">IF(D1323="Sale",E1323*L1323,0)</f>
        <v>0</v>
      </c>
      <c r="O1323" s="45" t="n">
        <f aca="false">IF(D1323="Sale",E1323*M1323,0)</f>
        <v>0</v>
      </c>
      <c r="P1323" s="45" t="n">
        <f aca="false">N1323-O1323</f>
        <v>0</v>
      </c>
      <c r="Q1323" s="45" t="n">
        <f aca="false">IF(D1323="Purchase",E1323*M1323,0)</f>
        <v>1440</v>
      </c>
    </row>
    <row r="1324" customFormat="false" ht="15" hidden="false" customHeight="false" outlineLevel="0" collapsed="false">
      <c r="A1324" s="39" t="s">
        <v>1648</v>
      </c>
      <c r="B1324" s="44" t="n">
        <v>46156</v>
      </c>
      <c r="C1324" s="39" t="s">
        <v>148</v>
      </c>
      <c r="D1324" s="39" t="s">
        <v>138</v>
      </c>
      <c r="E1324" s="39" t="n">
        <v>30</v>
      </c>
      <c r="F1324" s="39" t="str">
        <f aca="false">IF(COUNTIF(medicine_master!$A$2:$A$26,C1324)&gt;0,"Valid","Invalid")</f>
        <v>Valid</v>
      </c>
      <c r="G1324" s="39" t="str">
        <f aca="false">IFERROR(INDEX(medicine_master!$B$2:$B$26,MATCH($C1324,medicine_master!$A$2:$A$26,0)),"Not found")</f>
        <v>Dextromethorphan Syrup</v>
      </c>
      <c r="H1324" s="39" t="str">
        <f aca="false">IFERROR(INDEX(medicine_master!$C$2:$C$26,MATCH($C1324,medicine_master!$A$2:$A$26,0)),"Not found")</f>
        <v>Cold &amp; Cough</v>
      </c>
      <c r="I1324" s="39" t="n">
        <f aca="false">YEAR(B1324)</f>
        <v>2026</v>
      </c>
      <c r="J1324" s="39" t="n">
        <f aca="false">MONTH(B1324)</f>
        <v>5</v>
      </c>
      <c r="K1324" s="39" t="str">
        <f aca="false">TEXT(B1324,"mmm")</f>
        <v>May</v>
      </c>
      <c r="L1324" s="45" t="n">
        <f aca="false">IFERROR(INDEX(medicine_master!$I$2:$I$26,MATCH($C1324,medicine_master!$A$2:$A$26,0)),0)</f>
        <v>80</v>
      </c>
      <c r="M1324" s="45" t="n">
        <f aca="false">IFERROR(INDEX(medicine_master!$G$2:$G$26,MATCH($C1324,medicine_master!$A$2:$A$26,0)),0)</f>
        <v>58</v>
      </c>
      <c r="N1324" s="45" t="n">
        <f aca="false">IF(D1324="Sale",E1324*L1324,0)</f>
        <v>0</v>
      </c>
      <c r="O1324" s="45" t="n">
        <f aca="false">IF(D1324="Sale",E1324*M1324,0)</f>
        <v>0</v>
      </c>
      <c r="P1324" s="45" t="n">
        <f aca="false">N1324-O1324</f>
        <v>0</v>
      </c>
      <c r="Q1324" s="45" t="n">
        <f aca="false">IF(D1324="Purchase",E1324*M1324,0)</f>
        <v>1740</v>
      </c>
    </row>
    <row r="1325" customFormat="false" ht="15" hidden="false" customHeight="false" outlineLevel="0" collapsed="false">
      <c r="A1325" s="39" t="s">
        <v>1649</v>
      </c>
      <c r="B1325" s="44" t="n">
        <v>46385</v>
      </c>
      <c r="C1325" s="39" t="s">
        <v>148</v>
      </c>
      <c r="D1325" s="39" t="s">
        <v>137</v>
      </c>
      <c r="E1325" s="39" t="n">
        <v>40</v>
      </c>
      <c r="F1325" s="39" t="str">
        <f aca="false">IF(COUNTIF(medicine_master!$A$2:$A$26,C1325)&gt;0,"Valid","Invalid")</f>
        <v>Valid</v>
      </c>
      <c r="G1325" s="39" t="str">
        <f aca="false">IFERROR(INDEX(medicine_master!$B$2:$B$26,MATCH($C1325,medicine_master!$A$2:$A$26,0)),"Not found")</f>
        <v>Dextromethorphan Syrup</v>
      </c>
      <c r="H1325" s="39" t="str">
        <f aca="false">IFERROR(INDEX(medicine_master!$C$2:$C$26,MATCH($C1325,medicine_master!$A$2:$A$26,0)),"Not found")</f>
        <v>Cold &amp; Cough</v>
      </c>
      <c r="I1325" s="39" t="n">
        <f aca="false">YEAR(B1325)</f>
        <v>2026</v>
      </c>
      <c r="J1325" s="39" t="n">
        <f aca="false">MONTH(B1325)</f>
        <v>12</v>
      </c>
      <c r="K1325" s="39" t="str">
        <f aca="false">TEXT(B1325,"mmm")</f>
        <v>Dec</v>
      </c>
      <c r="L1325" s="45" t="n">
        <f aca="false">IFERROR(INDEX(medicine_master!$I$2:$I$26,MATCH($C1325,medicine_master!$A$2:$A$26,0)),0)</f>
        <v>80</v>
      </c>
      <c r="M1325" s="45" t="n">
        <f aca="false">IFERROR(INDEX(medicine_master!$G$2:$G$26,MATCH($C1325,medicine_master!$A$2:$A$26,0)),0)</f>
        <v>58</v>
      </c>
      <c r="N1325" s="45" t="n">
        <f aca="false">IF(D1325="Sale",E1325*L1325,0)</f>
        <v>3200</v>
      </c>
      <c r="O1325" s="45" t="n">
        <f aca="false">IF(D1325="Sale",E1325*M1325,0)</f>
        <v>2320</v>
      </c>
      <c r="P1325" s="45" t="n">
        <f aca="false">N1325-O1325</f>
        <v>880</v>
      </c>
      <c r="Q1325" s="45" t="n">
        <f aca="false">IF(D1325="Purchase",E1325*M1325,0)</f>
        <v>0</v>
      </c>
    </row>
    <row r="1326" customFormat="false" ht="15" hidden="false" customHeight="false" outlineLevel="0" collapsed="false">
      <c r="A1326" s="39" t="s">
        <v>1650</v>
      </c>
      <c r="B1326" s="44" t="n">
        <v>46168</v>
      </c>
      <c r="C1326" s="39" t="s">
        <v>148</v>
      </c>
      <c r="D1326" s="39" t="s">
        <v>138</v>
      </c>
      <c r="E1326" s="39" t="n">
        <v>25</v>
      </c>
      <c r="F1326" s="39" t="str">
        <f aca="false">IF(COUNTIF(medicine_master!$A$2:$A$26,C1326)&gt;0,"Valid","Invalid")</f>
        <v>Valid</v>
      </c>
      <c r="G1326" s="39" t="str">
        <f aca="false">IFERROR(INDEX(medicine_master!$B$2:$B$26,MATCH($C1326,medicine_master!$A$2:$A$26,0)),"Not found")</f>
        <v>Dextromethorphan Syrup</v>
      </c>
      <c r="H1326" s="39" t="str">
        <f aca="false">IFERROR(INDEX(medicine_master!$C$2:$C$26,MATCH($C1326,medicine_master!$A$2:$A$26,0)),"Not found")</f>
        <v>Cold &amp; Cough</v>
      </c>
      <c r="I1326" s="39" t="n">
        <f aca="false">YEAR(B1326)</f>
        <v>2026</v>
      </c>
      <c r="J1326" s="39" t="n">
        <f aca="false">MONTH(B1326)</f>
        <v>5</v>
      </c>
      <c r="K1326" s="39" t="str">
        <f aca="false">TEXT(B1326,"mmm")</f>
        <v>May</v>
      </c>
      <c r="L1326" s="45" t="n">
        <f aca="false">IFERROR(INDEX(medicine_master!$I$2:$I$26,MATCH($C1326,medicine_master!$A$2:$A$26,0)),0)</f>
        <v>80</v>
      </c>
      <c r="M1326" s="45" t="n">
        <f aca="false">IFERROR(INDEX(medicine_master!$G$2:$G$26,MATCH($C1326,medicine_master!$A$2:$A$26,0)),0)</f>
        <v>58</v>
      </c>
      <c r="N1326" s="45" t="n">
        <f aca="false">IF(D1326="Sale",E1326*L1326,0)</f>
        <v>0</v>
      </c>
      <c r="O1326" s="45" t="n">
        <f aca="false">IF(D1326="Sale",E1326*M1326,0)</f>
        <v>0</v>
      </c>
      <c r="P1326" s="45" t="n">
        <f aca="false">N1326-O1326</f>
        <v>0</v>
      </c>
      <c r="Q1326" s="45" t="n">
        <f aca="false">IF(D1326="Purchase",E1326*M1326,0)</f>
        <v>1450</v>
      </c>
    </row>
    <row r="1327" customFormat="false" ht="15" hidden="false" customHeight="false" outlineLevel="0" collapsed="false">
      <c r="A1327" s="39" t="s">
        <v>1651</v>
      </c>
      <c r="B1327" s="44" t="n">
        <v>46125</v>
      </c>
      <c r="C1327" s="39" t="s">
        <v>148</v>
      </c>
      <c r="D1327" s="39" t="s">
        <v>138</v>
      </c>
      <c r="E1327" s="39" t="n">
        <v>15</v>
      </c>
      <c r="F1327" s="39" t="str">
        <f aca="false">IF(COUNTIF(medicine_master!$A$2:$A$26,C1327)&gt;0,"Valid","Invalid")</f>
        <v>Valid</v>
      </c>
      <c r="G1327" s="39" t="str">
        <f aca="false">IFERROR(INDEX(medicine_master!$B$2:$B$26,MATCH($C1327,medicine_master!$A$2:$A$26,0)),"Not found")</f>
        <v>Dextromethorphan Syrup</v>
      </c>
      <c r="H1327" s="39" t="str">
        <f aca="false">IFERROR(INDEX(medicine_master!$C$2:$C$26,MATCH($C1327,medicine_master!$A$2:$A$26,0)),"Not found")</f>
        <v>Cold &amp; Cough</v>
      </c>
      <c r="I1327" s="39" t="n">
        <f aca="false">YEAR(B1327)</f>
        <v>2026</v>
      </c>
      <c r="J1327" s="39" t="n">
        <f aca="false">MONTH(B1327)</f>
        <v>4</v>
      </c>
      <c r="K1327" s="39" t="str">
        <f aca="false">TEXT(B1327,"mmm")</f>
        <v>Apr</v>
      </c>
      <c r="L1327" s="45" t="n">
        <f aca="false">IFERROR(INDEX(medicine_master!$I$2:$I$26,MATCH($C1327,medicine_master!$A$2:$A$26,0)),0)</f>
        <v>80</v>
      </c>
      <c r="M1327" s="45" t="n">
        <f aca="false">IFERROR(INDEX(medicine_master!$G$2:$G$26,MATCH($C1327,medicine_master!$A$2:$A$26,0)),0)</f>
        <v>58</v>
      </c>
      <c r="N1327" s="45" t="n">
        <f aca="false">IF(D1327="Sale",E1327*L1327,0)</f>
        <v>0</v>
      </c>
      <c r="O1327" s="45" t="n">
        <f aca="false">IF(D1327="Sale",E1327*M1327,0)</f>
        <v>0</v>
      </c>
      <c r="P1327" s="45" t="n">
        <f aca="false">N1327-O1327</f>
        <v>0</v>
      </c>
      <c r="Q1327" s="45" t="n">
        <f aca="false">IF(D1327="Purchase",E1327*M1327,0)</f>
        <v>870</v>
      </c>
    </row>
    <row r="1328" customFormat="false" ht="15" hidden="false" customHeight="false" outlineLevel="0" collapsed="false">
      <c r="A1328" s="39" t="s">
        <v>1652</v>
      </c>
      <c r="B1328" s="44" t="n">
        <v>46110</v>
      </c>
      <c r="C1328" s="39" t="s">
        <v>404</v>
      </c>
      <c r="D1328" s="39" t="s">
        <v>137</v>
      </c>
      <c r="E1328" s="39" t="n">
        <v>15</v>
      </c>
      <c r="F1328" s="39" t="str">
        <f aca="false">IF(COUNTIF(medicine_master!$A$2:$A$26,C1328)&gt;0,"Valid","Invalid")</f>
        <v>Valid</v>
      </c>
      <c r="G1328" s="39" t="str">
        <f aca="false">IFERROR(INDEX(medicine_master!$B$2:$B$26,MATCH($C1328,medicine_master!$A$2:$A$26,0)),"Not found")</f>
        <v>ORS Sachet</v>
      </c>
      <c r="H1328" s="39" t="str">
        <f aca="false">IFERROR(INDEX(medicine_master!$C$2:$C$26,MATCH($C1328,medicine_master!$A$2:$A$26,0)),"Not found")</f>
        <v>First Aid</v>
      </c>
      <c r="I1328" s="39" t="n">
        <f aca="false">YEAR(B1328)</f>
        <v>2026</v>
      </c>
      <c r="J1328" s="39" t="n">
        <f aca="false">MONTH(B1328)</f>
        <v>3</v>
      </c>
      <c r="K1328" s="39" t="str">
        <f aca="false">TEXT(B1328,"mmm")</f>
        <v>Mar</v>
      </c>
      <c r="L1328" s="45" t="n">
        <f aca="false">IFERROR(INDEX(medicine_master!$I$2:$I$26,MATCH($C1328,medicine_master!$A$2:$A$26,0)),0)</f>
        <v>10</v>
      </c>
      <c r="M1328" s="45" t="n">
        <f aca="false">IFERROR(INDEX(medicine_master!$G$2:$G$26,MATCH($C1328,medicine_master!$A$2:$A$26,0)),0)</f>
        <v>6</v>
      </c>
      <c r="N1328" s="45" t="n">
        <f aca="false">IF(D1328="Sale",E1328*L1328,0)</f>
        <v>150</v>
      </c>
      <c r="O1328" s="45" t="n">
        <f aca="false">IF(D1328="Sale",E1328*M1328,0)</f>
        <v>90</v>
      </c>
      <c r="P1328" s="45" t="n">
        <f aca="false">N1328-O1328</f>
        <v>60</v>
      </c>
      <c r="Q1328" s="45" t="n">
        <f aca="false">IF(D1328="Purchase",E1328*M1328,0)</f>
        <v>0</v>
      </c>
    </row>
    <row r="1329" customFormat="false" ht="15" hidden="false" customHeight="false" outlineLevel="0" collapsed="false">
      <c r="A1329" s="39" t="s">
        <v>1653</v>
      </c>
      <c r="B1329" s="44" t="n">
        <v>46157</v>
      </c>
      <c r="C1329" s="39" t="s">
        <v>160</v>
      </c>
      <c r="D1329" s="39" t="s">
        <v>138</v>
      </c>
      <c r="E1329" s="39" t="n">
        <v>25</v>
      </c>
      <c r="F1329" s="39" t="str">
        <f aca="false">IF(COUNTIF(medicine_master!$A$2:$A$26,C1329)&gt;0,"Valid","Invalid")</f>
        <v>Valid</v>
      </c>
      <c r="G1329" s="39" t="str">
        <f aca="false">IFERROR(INDEX(medicine_master!$B$2:$B$26,MATCH($C1329,medicine_master!$A$2:$A$26,0)),"Not found")</f>
        <v>Calamine Lotion</v>
      </c>
      <c r="H1329" s="39" t="str">
        <f aca="false">IFERROR(INDEX(medicine_master!$C$2:$C$26,MATCH($C1329,medicine_master!$A$2:$A$26,0)),"Not found")</f>
        <v>Dermatology</v>
      </c>
      <c r="I1329" s="39" t="n">
        <f aca="false">YEAR(B1329)</f>
        <v>2026</v>
      </c>
      <c r="J1329" s="39" t="n">
        <f aca="false">MONTH(B1329)</f>
        <v>5</v>
      </c>
      <c r="K1329" s="39" t="str">
        <f aca="false">TEXT(B1329,"mmm")</f>
        <v>May</v>
      </c>
      <c r="L1329" s="45" t="n">
        <f aca="false">IFERROR(INDEX(medicine_master!$I$2:$I$26,MATCH($C1329,medicine_master!$A$2:$A$26,0)),0)</f>
        <v>60</v>
      </c>
      <c r="M1329" s="45" t="n">
        <f aca="false">IFERROR(INDEX(medicine_master!$G$2:$G$26,MATCH($C1329,medicine_master!$A$2:$A$26,0)),0)</f>
        <v>42</v>
      </c>
      <c r="N1329" s="45" t="n">
        <f aca="false">IF(D1329="Sale",E1329*L1329,0)</f>
        <v>0</v>
      </c>
      <c r="O1329" s="45" t="n">
        <f aca="false">IF(D1329="Sale",E1329*M1329,0)</f>
        <v>0</v>
      </c>
      <c r="P1329" s="45" t="n">
        <f aca="false">N1329-O1329</f>
        <v>0</v>
      </c>
      <c r="Q1329" s="45" t="n">
        <f aca="false">IF(D1329="Purchase",E1329*M1329,0)</f>
        <v>1050</v>
      </c>
    </row>
    <row r="1330" customFormat="false" ht="15" hidden="false" customHeight="false" outlineLevel="0" collapsed="false">
      <c r="A1330" s="39" t="s">
        <v>1654</v>
      </c>
      <c r="B1330" s="44" t="n">
        <v>46369</v>
      </c>
      <c r="C1330" s="39" t="s">
        <v>326</v>
      </c>
      <c r="D1330" s="39" t="s">
        <v>137</v>
      </c>
      <c r="E1330" s="39" t="n">
        <v>20</v>
      </c>
      <c r="F1330" s="39" t="str">
        <f aca="false">IF(COUNTIF(medicine_master!$A$2:$A$26,C1330)&gt;0,"Valid","Invalid")</f>
        <v>Valid</v>
      </c>
      <c r="G1330" s="39" t="str">
        <f aca="false">IFERROR(INDEX(medicine_master!$B$2:$B$26,MATCH($C1330,medicine_master!$A$2:$A$26,0)),"Not found")</f>
        <v>Omeprazole 20mg</v>
      </c>
      <c r="H1330" s="39" t="str">
        <f aca="false">IFERROR(INDEX(medicine_master!$C$2:$C$26,MATCH($C1330,medicine_master!$A$2:$A$26,0)),"Not found")</f>
        <v>Gastric</v>
      </c>
      <c r="I1330" s="39" t="n">
        <f aca="false">YEAR(B1330)</f>
        <v>2026</v>
      </c>
      <c r="J1330" s="39" t="n">
        <f aca="false">MONTH(B1330)</f>
        <v>12</v>
      </c>
      <c r="K1330" s="39" t="str">
        <f aca="false">TEXT(B1330,"mmm")</f>
        <v>Dec</v>
      </c>
      <c r="L1330" s="45" t="n">
        <f aca="false">IFERROR(INDEX(medicine_master!$I$2:$I$26,MATCH($C1330,medicine_master!$A$2:$A$26,0)),0)</f>
        <v>26</v>
      </c>
      <c r="M1330" s="45" t="n">
        <f aca="false">IFERROR(INDEX(medicine_master!$G$2:$G$26,MATCH($C1330,medicine_master!$A$2:$A$26,0)),0)</f>
        <v>18</v>
      </c>
      <c r="N1330" s="45" t="n">
        <f aca="false">IF(D1330="Sale",E1330*L1330,0)</f>
        <v>520</v>
      </c>
      <c r="O1330" s="45" t="n">
        <f aca="false">IF(D1330="Sale",E1330*M1330,0)</f>
        <v>360</v>
      </c>
      <c r="P1330" s="45" t="n">
        <f aca="false">N1330-O1330</f>
        <v>160</v>
      </c>
      <c r="Q1330" s="45" t="n">
        <f aca="false">IF(D1330="Purchase",E1330*M1330,0)</f>
        <v>0</v>
      </c>
    </row>
    <row r="1331" customFormat="false" ht="15" hidden="false" customHeight="false" outlineLevel="0" collapsed="false">
      <c r="A1331" s="39" t="s">
        <v>1655</v>
      </c>
      <c r="B1331" s="44" t="n">
        <v>46043</v>
      </c>
      <c r="C1331" s="39" t="s">
        <v>157</v>
      </c>
      <c r="D1331" s="39" t="s">
        <v>137</v>
      </c>
      <c r="E1331" s="39" t="n">
        <v>20</v>
      </c>
      <c r="F1331" s="39" t="str">
        <f aca="false">IF(COUNTIF(medicine_master!$A$2:$A$26,C1331)&gt;0,"Valid","Invalid")</f>
        <v>Valid</v>
      </c>
      <c r="G1331" s="39" t="str">
        <f aca="false">IFERROR(INDEX(medicine_master!$B$2:$B$26,MATCH($C1331,medicine_master!$A$2:$A$26,0)),"Not found")</f>
        <v>Multivitamin Tablets</v>
      </c>
      <c r="H1331" s="39" t="str">
        <f aca="false">IFERROR(INDEX(medicine_master!$C$2:$C$26,MATCH($C1331,medicine_master!$A$2:$A$26,0)),"Not found")</f>
        <v>Vitamin</v>
      </c>
      <c r="I1331" s="39" t="n">
        <f aca="false">YEAR(B1331)</f>
        <v>2026</v>
      </c>
      <c r="J1331" s="39" t="n">
        <f aca="false">MONTH(B1331)</f>
        <v>1</v>
      </c>
      <c r="K1331" s="39" t="str">
        <f aca="false">TEXT(B1331,"mmm")</f>
        <v>Jan</v>
      </c>
      <c r="L1331" s="45" t="n">
        <f aca="false">IFERROR(INDEX(medicine_master!$I$2:$I$26,MATCH($C1331,medicine_master!$A$2:$A$26,0)),0)</f>
        <v>105</v>
      </c>
      <c r="M1331" s="45" t="n">
        <f aca="false">IFERROR(INDEX(medicine_master!$G$2:$G$26,MATCH($C1331,medicine_master!$A$2:$A$26,0)),0)</f>
        <v>72</v>
      </c>
      <c r="N1331" s="45" t="n">
        <f aca="false">IF(D1331="Sale",E1331*L1331,0)</f>
        <v>2100</v>
      </c>
      <c r="O1331" s="45" t="n">
        <f aca="false">IF(D1331="Sale",E1331*M1331,0)</f>
        <v>1440</v>
      </c>
      <c r="P1331" s="45" t="n">
        <f aca="false">N1331-O1331</f>
        <v>660</v>
      </c>
      <c r="Q1331" s="45" t="n">
        <f aca="false">IF(D1331="Purchase",E1331*M1331,0)</f>
        <v>0</v>
      </c>
    </row>
    <row r="1332" customFormat="false" ht="15" hidden="false" customHeight="false" outlineLevel="0" collapsed="false">
      <c r="A1332" s="39" t="s">
        <v>1656</v>
      </c>
      <c r="B1332" s="44" t="n">
        <v>46365</v>
      </c>
      <c r="C1332" s="39" t="s">
        <v>146</v>
      </c>
      <c r="D1332" s="39" t="s">
        <v>138</v>
      </c>
      <c r="E1332" s="39" t="n">
        <v>20</v>
      </c>
      <c r="F1332" s="39" t="str">
        <f aca="false">IF(COUNTIF(medicine_master!$A$2:$A$26,C1332)&gt;0,"Valid","Invalid")</f>
        <v>Valid</v>
      </c>
      <c r="G1332" s="39" t="str">
        <f aca="false">IFERROR(INDEX(medicine_master!$B$2:$B$26,MATCH($C1332,medicine_master!$A$2:$A$26,0)),"Not found")</f>
        <v>Diclofenac Gel</v>
      </c>
      <c r="H1332" s="39" t="str">
        <f aca="false">IFERROR(INDEX(medicine_master!$C$2:$C$26,MATCH($C1332,medicine_master!$A$2:$A$26,0)),"Not found")</f>
        <v>Pain Relief</v>
      </c>
      <c r="I1332" s="39" t="n">
        <f aca="false">YEAR(B1332)</f>
        <v>2026</v>
      </c>
      <c r="J1332" s="39" t="n">
        <f aca="false">MONTH(B1332)</f>
        <v>12</v>
      </c>
      <c r="K1332" s="39" t="str">
        <f aca="false">TEXT(B1332,"mmm")</f>
        <v>Dec</v>
      </c>
      <c r="L1332" s="45" t="n">
        <f aca="false">IFERROR(INDEX(medicine_master!$I$2:$I$26,MATCH($C1332,medicine_master!$A$2:$A$26,0)),0)</f>
        <v>55</v>
      </c>
      <c r="M1332" s="45" t="n">
        <f aca="false">IFERROR(INDEX(medicine_master!$G$2:$G$26,MATCH($C1332,medicine_master!$A$2:$A$26,0)),0)</f>
        <v>38</v>
      </c>
      <c r="N1332" s="45" t="n">
        <f aca="false">IF(D1332="Sale",E1332*L1332,0)</f>
        <v>0</v>
      </c>
      <c r="O1332" s="45" t="n">
        <f aca="false">IF(D1332="Sale",E1332*M1332,0)</f>
        <v>0</v>
      </c>
      <c r="P1332" s="45" t="n">
        <f aca="false">N1332-O1332</f>
        <v>0</v>
      </c>
      <c r="Q1332" s="45" t="n">
        <f aca="false">IF(D1332="Purchase",E1332*M1332,0)</f>
        <v>760</v>
      </c>
    </row>
    <row r="1333" customFormat="false" ht="15" hidden="false" customHeight="false" outlineLevel="0" collapsed="false">
      <c r="A1333" s="39" t="s">
        <v>1657</v>
      </c>
      <c r="B1333" s="44" t="n">
        <v>46050</v>
      </c>
      <c r="C1333" s="39" t="s">
        <v>326</v>
      </c>
      <c r="D1333" s="39" t="s">
        <v>138</v>
      </c>
      <c r="E1333" s="39" t="n">
        <v>15</v>
      </c>
      <c r="F1333" s="39" t="str">
        <f aca="false">IF(COUNTIF(medicine_master!$A$2:$A$26,C1333)&gt;0,"Valid","Invalid")</f>
        <v>Valid</v>
      </c>
      <c r="G1333" s="39" t="str">
        <f aca="false">IFERROR(INDEX(medicine_master!$B$2:$B$26,MATCH($C1333,medicine_master!$A$2:$A$26,0)),"Not found")</f>
        <v>Omeprazole 20mg</v>
      </c>
      <c r="H1333" s="39" t="str">
        <f aca="false">IFERROR(INDEX(medicine_master!$C$2:$C$26,MATCH($C1333,medicine_master!$A$2:$A$26,0)),"Not found")</f>
        <v>Gastric</v>
      </c>
      <c r="I1333" s="39" t="n">
        <f aca="false">YEAR(B1333)</f>
        <v>2026</v>
      </c>
      <c r="J1333" s="39" t="n">
        <f aca="false">MONTH(B1333)</f>
        <v>1</v>
      </c>
      <c r="K1333" s="39" t="str">
        <f aca="false">TEXT(B1333,"mmm")</f>
        <v>Jan</v>
      </c>
      <c r="L1333" s="45" t="n">
        <f aca="false">IFERROR(INDEX(medicine_master!$I$2:$I$26,MATCH($C1333,medicine_master!$A$2:$A$26,0)),0)</f>
        <v>26</v>
      </c>
      <c r="M1333" s="45" t="n">
        <f aca="false">IFERROR(INDEX(medicine_master!$G$2:$G$26,MATCH($C1333,medicine_master!$A$2:$A$26,0)),0)</f>
        <v>18</v>
      </c>
      <c r="N1333" s="45" t="n">
        <f aca="false">IF(D1333="Sale",E1333*L1333,0)</f>
        <v>0</v>
      </c>
      <c r="O1333" s="45" t="n">
        <f aca="false">IF(D1333="Sale",E1333*M1333,0)</f>
        <v>0</v>
      </c>
      <c r="P1333" s="45" t="n">
        <f aca="false">N1333-O1333</f>
        <v>0</v>
      </c>
      <c r="Q1333" s="45" t="n">
        <f aca="false">IF(D1333="Purchase",E1333*M1333,0)</f>
        <v>270</v>
      </c>
    </row>
    <row r="1334" customFormat="false" ht="15" hidden="false" customHeight="false" outlineLevel="0" collapsed="false">
      <c r="A1334" s="39" t="s">
        <v>1658</v>
      </c>
      <c r="B1334" s="44" t="n">
        <v>46319</v>
      </c>
      <c r="C1334" s="39" t="s">
        <v>158</v>
      </c>
      <c r="D1334" s="39" t="s">
        <v>137</v>
      </c>
      <c r="E1334" s="39" t="n">
        <v>15</v>
      </c>
      <c r="F1334" s="39" t="str">
        <f aca="false">IF(COUNTIF(medicine_master!$A$2:$A$26,C1334)&gt;0,"Valid","Invalid")</f>
        <v>Valid</v>
      </c>
      <c r="G1334" s="39" t="str">
        <f aca="false">IFERROR(INDEX(medicine_master!$B$2:$B$26,MATCH($C1334,medicine_master!$A$2:$A$26,0)),"Not found")</f>
        <v>Cough Syrup 100ml</v>
      </c>
      <c r="H1334" s="39" t="str">
        <f aca="false">IFERROR(INDEX(medicine_master!$C$2:$C$26,MATCH($C1334,medicine_master!$A$2:$A$26,0)),"Not found")</f>
        <v>Cold &amp; Cough</v>
      </c>
      <c r="I1334" s="39" t="n">
        <f aca="false">YEAR(B1334)</f>
        <v>2026</v>
      </c>
      <c r="J1334" s="39" t="n">
        <f aca="false">MONTH(B1334)</f>
        <v>10</v>
      </c>
      <c r="K1334" s="39" t="str">
        <f aca="false">TEXT(B1334,"mmm")</f>
        <v>Oct</v>
      </c>
      <c r="L1334" s="45" t="n">
        <f aca="false">IFERROR(INDEX(medicine_master!$I$2:$I$26,MATCH($C1334,medicine_master!$A$2:$A$26,0)),0)</f>
        <v>72</v>
      </c>
      <c r="M1334" s="45" t="n">
        <f aca="false">IFERROR(INDEX(medicine_master!$G$2:$G$26,MATCH($C1334,medicine_master!$A$2:$A$26,0)),0)</f>
        <v>52</v>
      </c>
      <c r="N1334" s="45" t="n">
        <f aca="false">IF(D1334="Sale",E1334*L1334,0)</f>
        <v>1080</v>
      </c>
      <c r="O1334" s="45" t="n">
        <f aca="false">IF(D1334="Sale",E1334*M1334,0)</f>
        <v>780</v>
      </c>
      <c r="P1334" s="45" t="n">
        <f aca="false">N1334-O1334</f>
        <v>300</v>
      </c>
      <c r="Q1334" s="45" t="n">
        <f aca="false">IF(D1334="Purchase",E1334*M1334,0)</f>
        <v>0</v>
      </c>
    </row>
    <row r="1335" customFormat="false" ht="15" hidden="false" customHeight="false" outlineLevel="0" collapsed="false">
      <c r="A1335" s="39" t="s">
        <v>1659</v>
      </c>
      <c r="B1335" s="44" t="n">
        <v>46097</v>
      </c>
      <c r="C1335" s="39" t="s">
        <v>153</v>
      </c>
      <c r="D1335" s="39" t="s">
        <v>138</v>
      </c>
      <c r="E1335" s="39" t="n">
        <v>10</v>
      </c>
      <c r="F1335" s="39" t="str">
        <f aca="false">IF(COUNTIF(medicine_master!$A$2:$A$26,C1335)&gt;0,"Valid","Invalid")</f>
        <v>Valid</v>
      </c>
      <c r="G1335" s="39" t="str">
        <f aca="false">IFERROR(INDEX(medicine_master!$B$2:$B$26,MATCH($C1335,medicine_master!$A$2:$A$26,0)),"Not found")</f>
        <v>Atorvastatin 10mg</v>
      </c>
      <c r="H1335" s="39" t="str">
        <f aca="false">IFERROR(INDEX(medicine_master!$C$2:$C$26,MATCH($C1335,medicine_master!$A$2:$A$26,0)),"Not found")</f>
        <v>Cardiac</v>
      </c>
      <c r="I1335" s="39" t="n">
        <f aca="false">YEAR(B1335)</f>
        <v>2026</v>
      </c>
      <c r="J1335" s="39" t="n">
        <f aca="false">MONTH(B1335)</f>
        <v>3</v>
      </c>
      <c r="K1335" s="39" t="str">
        <f aca="false">TEXT(B1335,"mmm")</f>
        <v>Mar</v>
      </c>
      <c r="L1335" s="45" t="n">
        <f aca="false">IFERROR(INDEX(medicine_master!$I$2:$I$26,MATCH($C1335,medicine_master!$A$2:$A$26,0)),0)</f>
        <v>28</v>
      </c>
      <c r="M1335" s="45" t="n">
        <f aca="false">IFERROR(INDEX(medicine_master!$G$2:$G$26,MATCH($C1335,medicine_master!$A$2:$A$26,0)),0)</f>
        <v>19</v>
      </c>
      <c r="N1335" s="45" t="n">
        <f aca="false">IF(D1335="Sale",E1335*L1335,0)</f>
        <v>0</v>
      </c>
      <c r="O1335" s="45" t="n">
        <f aca="false">IF(D1335="Sale",E1335*M1335,0)</f>
        <v>0</v>
      </c>
      <c r="P1335" s="45" t="n">
        <f aca="false">N1335-O1335</f>
        <v>0</v>
      </c>
      <c r="Q1335" s="45" t="n">
        <f aca="false">IF(D1335="Purchase",E1335*M1335,0)</f>
        <v>190</v>
      </c>
    </row>
    <row r="1336" customFormat="false" ht="15" hidden="false" customHeight="false" outlineLevel="0" collapsed="false">
      <c r="A1336" s="39" t="s">
        <v>1660</v>
      </c>
      <c r="B1336" s="44" t="n">
        <v>46377</v>
      </c>
      <c r="C1336" s="39" t="s">
        <v>345</v>
      </c>
      <c r="D1336" s="39" t="s">
        <v>138</v>
      </c>
      <c r="E1336" s="39" t="n">
        <v>25</v>
      </c>
      <c r="F1336" s="39" t="str">
        <f aca="false">IF(COUNTIF(medicine_master!$A$2:$A$26,C1336)&gt;0,"Valid","Invalid")</f>
        <v>Valid</v>
      </c>
      <c r="G1336" s="39" t="str">
        <f aca="false">IFERROR(INDEX(medicine_master!$B$2:$B$26,MATCH($C1336,medicine_master!$A$2:$A$26,0)),"Not found")</f>
        <v>Paracetamol 500mg</v>
      </c>
      <c r="H1336" s="39" t="str">
        <f aca="false">IFERROR(INDEX(medicine_master!$C$2:$C$26,MATCH($C1336,medicine_master!$A$2:$A$26,0)),"Not found")</f>
        <v>Pain Relief</v>
      </c>
      <c r="I1336" s="39" t="n">
        <f aca="false">YEAR(B1336)</f>
        <v>2026</v>
      </c>
      <c r="J1336" s="39" t="n">
        <f aca="false">MONTH(B1336)</f>
        <v>12</v>
      </c>
      <c r="K1336" s="39" t="str">
        <f aca="false">TEXT(B1336,"mmm")</f>
        <v>Dec</v>
      </c>
      <c r="L1336" s="45" t="n">
        <f aca="false">IFERROR(INDEX(medicine_master!$I$2:$I$26,MATCH($C1336,medicine_master!$A$2:$A$26,0)),0)</f>
        <v>18</v>
      </c>
      <c r="M1336" s="45" t="n">
        <f aca="false">IFERROR(INDEX(medicine_master!$G$2:$G$26,MATCH($C1336,medicine_master!$A$2:$A$26,0)),0)</f>
        <v>12</v>
      </c>
      <c r="N1336" s="45" t="n">
        <f aca="false">IF(D1336="Sale",E1336*L1336,0)</f>
        <v>0</v>
      </c>
      <c r="O1336" s="45" t="n">
        <f aca="false">IF(D1336="Sale",E1336*M1336,0)</f>
        <v>0</v>
      </c>
      <c r="P1336" s="45" t="n">
        <f aca="false">N1336-O1336</f>
        <v>0</v>
      </c>
      <c r="Q1336" s="45" t="n">
        <f aca="false">IF(D1336="Purchase",E1336*M1336,0)</f>
        <v>300</v>
      </c>
    </row>
    <row r="1337" customFormat="false" ht="15" hidden="false" customHeight="false" outlineLevel="0" collapsed="false">
      <c r="A1337" s="39" t="s">
        <v>1661</v>
      </c>
      <c r="B1337" s="44" t="n">
        <v>46263</v>
      </c>
      <c r="C1337" s="39" t="s">
        <v>146</v>
      </c>
      <c r="D1337" s="39" t="s">
        <v>137</v>
      </c>
      <c r="E1337" s="39" t="n">
        <v>20</v>
      </c>
      <c r="F1337" s="39" t="str">
        <f aca="false">IF(COUNTIF(medicine_master!$A$2:$A$26,C1337)&gt;0,"Valid","Invalid")</f>
        <v>Valid</v>
      </c>
      <c r="G1337" s="39" t="str">
        <f aca="false">IFERROR(INDEX(medicine_master!$B$2:$B$26,MATCH($C1337,medicine_master!$A$2:$A$26,0)),"Not found")</f>
        <v>Diclofenac Gel</v>
      </c>
      <c r="H1337" s="39" t="str">
        <f aca="false">IFERROR(INDEX(medicine_master!$C$2:$C$26,MATCH($C1337,medicine_master!$A$2:$A$26,0)),"Not found")</f>
        <v>Pain Relief</v>
      </c>
      <c r="I1337" s="39" t="n">
        <f aca="false">YEAR(B1337)</f>
        <v>2026</v>
      </c>
      <c r="J1337" s="39" t="n">
        <f aca="false">MONTH(B1337)</f>
        <v>8</v>
      </c>
      <c r="K1337" s="39" t="str">
        <f aca="false">TEXT(B1337,"mmm")</f>
        <v>Aug</v>
      </c>
      <c r="L1337" s="45" t="n">
        <f aca="false">IFERROR(INDEX(medicine_master!$I$2:$I$26,MATCH($C1337,medicine_master!$A$2:$A$26,0)),0)</f>
        <v>55</v>
      </c>
      <c r="M1337" s="45" t="n">
        <f aca="false">IFERROR(INDEX(medicine_master!$G$2:$G$26,MATCH($C1337,medicine_master!$A$2:$A$26,0)),0)</f>
        <v>38</v>
      </c>
      <c r="N1337" s="45" t="n">
        <f aca="false">IF(D1337="Sale",E1337*L1337,0)</f>
        <v>1100</v>
      </c>
      <c r="O1337" s="45" t="n">
        <f aca="false">IF(D1337="Sale",E1337*M1337,0)</f>
        <v>760</v>
      </c>
      <c r="P1337" s="45" t="n">
        <f aca="false">N1337-O1337</f>
        <v>340</v>
      </c>
      <c r="Q1337" s="45" t="n">
        <f aca="false">IF(D1337="Purchase",E1337*M1337,0)</f>
        <v>0</v>
      </c>
    </row>
    <row r="1338" customFormat="false" ht="15" hidden="false" customHeight="false" outlineLevel="0" collapsed="false">
      <c r="A1338" s="39" t="s">
        <v>1662</v>
      </c>
      <c r="B1338" s="44" t="n">
        <v>46212</v>
      </c>
      <c r="C1338" s="39" t="s">
        <v>345</v>
      </c>
      <c r="D1338" s="39" t="s">
        <v>138</v>
      </c>
      <c r="E1338" s="39" t="n">
        <v>5</v>
      </c>
      <c r="F1338" s="39" t="str">
        <f aca="false">IF(COUNTIF(medicine_master!$A$2:$A$26,C1338)&gt;0,"Valid","Invalid")</f>
        <v>Valid</v>
      </c>
      <c r="G1338" s="39" t="str">
        <f aca="false">IFERROR(INDEX(medicine_master!$B$2:$B$26,MATCH($C1338,medicine_master!$A$2:$A$26,0)),"Not found")</f>
        <v>Paracetamol 500mg</v>
      </c>
      <c r="H1338" s="39" t="str">
        <f aca="false">IFERROR(INDEX(medicine_master!$C$2:$C$26,MATCH($C1338,medicine_master!$A$2:$A$26,0)),"Not found")</f>
        <v>Pain Relief</v>
      </c>
      <c r="I1338" s="39" t="n">
        <f aca="false">YEAR(B1338)</f>
        <v>2026</v>
      </c>
      <c r="J1338" s="39" t="n">
        <f aca="false">MONTH(B1338)</f>
        <v>7</v>
      </c>
      <c r="K1338" s="39" t="str">
        <f aca="false">TEXT(B1338,"mmm")</f>
        <v>Jul</v>
      </c>
      <c r="L1338" s="45" t="n">
        <f aca="false">IFERROR(INDEX(medicine_master!$I$2:$I$26,MATCH($C1338,medicine_master!$A$2:$A$26,0)),0)</f>
        <v>18</v>
      </c>
      <c r="M1338" s="45" t="n">
        <f aca="false">IFERROR(INDEX(medicine_master!$G$2:$G$26,MATCH($C1338,medicine_master!$A$2:$A$26,0)),0)</f>
        <v>12</v>
      </c>
      <c r="N1338" s="45" t="n">
        <f aca="false">IF(D1338="Sale",E1338*L1338,0)</f>
        <v>0</v>
      </c>
      <c r="O1338" s="45" t="n">
        <f aca="false">IF(D1338="Sale",E1338*M1338,0)</f>
        <v>0</v>
      </c>
      <c r="P1338" s="45" t="n">
        <f aca="false">N1338-O1338</f>
        <v>0</v>
      </c>
      <c r="Q1338" s="45" t="n">
        <f aca="false">IF(D1338="Purchase",E1338*M1338,0)</f>
        <v>60</v>
      </c>
    </row>
    <row r="1339" customFormat="false" ht="15" hidden="false" customHeight="false" outlineLevel="0" collapsed="false">
      <c r="A1339" s="39" t="s">
        <v>1663</v>
      </c>
      <c r="B1339" s="44" t="n">
        <v>46148</v>
      </c>
      <c r="C1339" s="39" t="s">
        <v>495</v>
      </c>
      <c r="D1339" s="39" t="s">
        <v>137</v>
      </c>
      <c r="E1339" s="39" t="n">
        <v>15</v>
      </c>
      <c r="F1339" s="39" t="str">
        <f aca="false">IF(COUNTIF(medicine_master!$A$2:$A$26,C1339)&gt;0,"Valid","Invalid")</f>
        <v>Valid</v>
      </c>
      <c r="G1339" s="39" t="str">
        <f aca="false">IFERROR(INDEX(medicine_master!$B$2:$B$26,MATCH($C1339,medicine_master!$A$2:$A$26,0)),"Not found")</f>
        <v>Metformin 500mg</v>
      </c>
      <c r="H1339" s="39" t="str">
        <f aca="false">IFERROR(INDEX(medicine_master!$C$2:$C$26,MATCH($C1339,medicine_master!$A$2:$A$26,0)),"Not found")</f>
        <v>Diabetes</v>
      </c>
      <c r="I1339" s="39" t="n">
        <f aca="false">YEAR(B1339)</f>
        <v>2026</v>
      </c>
      <c r="J1339" s="39" t="n">
        <f aca="false">MONTH(B1339)</f>
        <v>5</v>
      </c>
      <c r="K1339" s="39" t="str">
        <f aca="false">TEXT(B1339,"mmm")</f>
        <v>May</v>
      </c>
      <c r="L1339" s="45" t="n">
        <f aca="false">IFERROR(INDEX(medicine_master!$I$2:$I$26,MATCH($C1339,medicine_master!$A$2:$A$26,0)),0)</f>
        <v>24</v>
      </c>
      <c r="M1339" s="45" t="n">
        <f aca="false">IFERROR(INDEX(medicine_master!$G$2:$G$26,MATCH($C1339,medicine_master!$A$2:$A$26,0)),0)</f>
        <v>16</v>
      </c>
      <c r="N1339" s="45" t="n">
        <f aca="false">IF(D1339="Sale",E1339*L1339,0)</f>
        <v>360</v>
      </c>
      <c r="O1339" s="45" t="n">
        <f aca="false">IF(D1339="Sale",E1339*M1339,0)</f>
        <v>240</v>
      </c>
      <c r="P1339" s="45" t="n">
        <f aca="false">N1339-O1339</f>
        <v>120</v>
      </c>
      <c r="Q1339" s="45" t="n">
        <f aca="false">IF(D1339="Purchase",E1339*M1339,0)</f>
        <v>0</v>
      </c>
    </row>
    <row r="1340" customFormat="false" ht="15" hidden="false" customHeight="false" outlineLevel="0" collapsed="false">
      <c r="A1340" s="39" t="s">
        <v>1664</v>
      </c>
      <c r="B1340" s="44" t="n">
        <v>46243</v>
      </c>
      <c r="C1340" s="39" t="s">
        <v>404</v>
      </c>
      <c r="D1340" s="39" t="s">
        <v>137</v>
      </c>
      <c r="E1340" s="39" t="n">
        <v>25</v>
      </c>
      <c r="F1340" s="39" t="str">
        <f aca="false">IF(COUNTIF(medicine_master!$A$2:$A$26,C1340)&gt;0,"Valid","Invalid")</f>
        <v>Valid</v>
      </c>
      <c r="G1340" s="39" t="str">
        <f aca="false">IFERROR(INDEX(medicine_master!$B$2:$B$26,MATCH($C1340,medicine_master!$A$2:$A$26,0)),"Not found")</f>
        <v>ORS Sachet</v>
      </c>
      <c r="H1340" s="39" t="str">
        <f aca="false">IFERROR(INDEX(medicine_master!$C$2:$C$26,MATCH($C1340,medicine_master!$A$2:$A$26,0)),"Not found")</f>
        <v>First Aid</v>
      </c>
      <c r="I1340" s="39" t="n">
        <f aca="false">YEAR(B1340)</f>
        <v>2026</v>
      </c>
      <c r="J1340" s="39" t="n">
        <f aca="false">MONTH(B1340)</f>
        <v>8</v>
      </c>
      <c r="K1340" s="39" t="str">
        <f aca="false">TEXT(B1340,"mmm")</f>
        <v>Aug</v>
      </c>
      <c r="L1340" s="45" t="n">
        <f aca="false">IFERROR(INDEX(medicine_master!$I$2:$I$26,MATCH($C1340,medicine_master!$A$2:$A$26,0)),0)</f>
        <v>10</v>
      </c>
      <c r="M1340" s="45" t="n">
        <f aca="false">IFERROR(INDEX(medicine_master!$G$2:$G$26,MATCH($C1340,medicine_master!$A$2:$A$26,0)),0)</f>
        <v>6</v>
      </c>
      <c r="N1340" s="45" t="n">
        <f aca="false">IF(D1340="Sale",E1340*L1340,0)</f>
        <v>250</v>
      </c>
      <c r="O1340" s="45" t="n">
        <f aca="false">IF(D1340="Sale",E1340*M1340,0)</f>
        <v>150</v>
      </c>
      <c r="P1340" s="45" t="n">
        <f aca="false">N1340-O1340</f>
        <v>100</v>
      </c>
      <c r="Q1340" s="45" t="n">
        <f aca="false">IF(D1340="Purchase",E1340*M1340,0)</f>
        <v>0</v>
      </c>
    </row>
    <row r="1341" customFormat="false" ht="15" hidden="false" customHeight="false" outlineLevel="0" collapsed="false">
      <c r="A1341" s="39" t="s">
        <v>1665</v>
      </c>
      <c r="B1341" s="44" t="n">
        <v>46204</v>
      </c>
      <c r="C1341" s="39" t="s">
        <v>404</v>
      </c>
      <c r="D1341" s="39" t="s">
        <v>138</v>
      </c>
      <c r="E1341" s="39" t="n">
        <v>15</v>
      </c>
      <c r="F1341" s="39" t="str">
        <f aca="false">IF(COUNTIF(medicine_master!$A$2:$A$26,C1341)&gt;0,"Valid","Invalid")</f>
        <v>Valid</v>
      </c>
      <c r="G1341" s="39" t="str">
        <f aca="false">IFERROR(INDEX(medicine_master!$B$2:$B$26,MATCH($C1341,medicine_master!$A$2:$A$26,0)),"Not found")</f>
        <v>ORS Sachet</v>
      </c>
      <c r="H1341" s="39" t="str">
        <f aca="false">IFERROR(INDEX(medicine_master!$C$2:$C$26,MATCH($C1341,medicine_master!$A$2:$A$26,0)),"Not found")</f>
        <v>First Aid</v>
      </c>
      <c r="I1341" s="39" t="n">
        <f aca="false">YEAR(B1341)</f>
        <v>2026</v>
      </c>
      <c r="J1341" s="39" t="n">
        <f aca="false">MONTH(B1341)</f>
        <v>7</v>
      </c>
      <c r="K1341" s="39" t="str">
        <f aca="false">TEXT(B1341,"mmm")</f>
        <v>Jul</v>
      </c>
      <c r="L1341" s="45" t="n">
        <f aca="false">IFERROR(INDEX(medicine_master!$I$2:$I$26,MATCH($C1341,medicine_master!$A$2:$A$26,0)),0)</f>
        <v>10</v>
      </c>
      <c r="M1341" s="45" t="n">
        <f aca="false">IFERROR(INDEX(medicine_master!$G$2:$G$26,MATCH($C1341,medicine_master!$A$2:$A$26,0)),0)</f>
        <v>6</v>
      </c>
      <c r="N1341" s="45" t="n">
        <f aca="false">IF(D1341="Sale",E1341*L1341,0)</f>
        <v>0</v>
      </c>
      <c r="O1341" s="45" t="n">
        <f aca="false">IF(D1341="Sale",E1341*M1341,0)</f>
        <v>0</v>
      </c>
      <c r="P1341" s="45" t="n">
        <f aca="false">N1341-O1341</f>
        <v>0</v>
      </c>
      <c r="Q1341" s="45" t="n">
        <f aca="false">IF(D1341="Purchase",E1341*M1341,0)</f>
        <v>90</v>
      </c>
    </row>
    <row r="1342" customFormat="false" ht="15" hidden="false" customHeight="false" outlineLevel="0" collapsed="false">
      <c r="A1342" s="39" t="s">
        <v>1666</v>
      </c>
      <c r="B1342" s="44" t="n">
        <v>46358</v>
      </c>
      <c r="C1342" s="39" t="s">
        <v>144</v>
      </c>
      <c r="D1342" s="39" t="s">
        <v>137</v>
      </c>
      <c r="E1342" s="39" t="n">
        <v>20</v>
      </c>
      <c r="F1342" s="39" t="str">
        <f aca="false">IF(COUNTIF(medicine_master!$A$2:$A$26,C1342)&gt;0,"Valid","Invalid")</f>
        <v>Valid</v>
      </c>
      <c r="G1342" s="39" t="str">
        <f aca="false">IFERROR(INDEX(medicine_master!$B$2:$B$26,MATCH($C1342,medicine_master!$A$2:$A$26,0)),"Not found")</f>
        <v>Glimepiride 2mg</v>
      </c>
      <c r="H1342" s="39" t="str">
        <f aca="false">IFERROR(INDEX(medicine_master!$C$2:$C$26,MATCH($C1342,medicine_master!$A$2:$A$26,0)),"Not found")</f>
        <v>Diabetes</v>
      </c>
      <c r="I1342" s="39" t="n">
        <f aca="false">YEAR(B1342)</f>
        <v>2026</v>
      </c>
      <c r="J1342" s="39" t="n">
        <f aca="false">MONTH(B1342)</f>
        <v>12</v>
      </c>
      <c r="K1342" s="39" t="str">
        <f aca="false">TEXT(B1342,"mmm")</f>
        <v>Dec</v>
      </c>
      <c r="L1342" s="45" t="n">
        <f aca="false">IFERROR(INDEX(medicine_master!$I$2:$I$26,MATCH($C1342,medicine_master!$A$2:$A$26,0)),0)</f>
        <v>52</v>
      </c>
      <c r="M1342" s="45" t="n">
        <f aca="false">IFERROR(INDEX(medicine_master!$G$2:$G$26,MATCH($C1342,medicine_master!$A$2:$A$26,0)),0)</f>
        <v>38</v>
      </c>
      <c r="N1342" s="45" t="n">
        <f aca="false">IF(D1342="Sale",E1342*L1342,0)</f>
        <v>1040</v>
      </c>
      <c r="O1342" s="45" t="n">
        <f aca="false">IF(D1342="Sale",E1342*M1342,0)</f>
        <v>760</v>
      </c>
      <c r="P1342" s="45" t="n">
        <f aca="false">N1342-O1342</f>
        <v>280</v>
      </c>
      <c r="Q1342" s="45" t="n">
        <f aca="false">IF(D1342="Purchase",E1342*M1342,0)</f>
        <v>0</v>
      </c>
    </row>
    <row r="1343" customFormat="false" ht="15" hidden="false" customHeight="false" outlineLevel="0" collapsed="false">
      <c r="A1343" s="39" t="s">
        <v>1667</v>
      </c>
      <c r="B1343" s="44" t="n">
        <v>46367</v>
      </c>
      <c r="C1343" s="39" t="s">
        <v>167</v>
      </c>
      <c r="D1343" s="39" t="s">
        <v>137</v>
      </c>
      <c r="E1343" s="39" t="n">
        <v>20</v>
      </c>
      <c r="F1343" s="39" t="str">
        <f aca="false">IF(COUNTIF(medicine_master!$A$2:$A$26,C1343)&gt;0,"Valid","Invalid")</f>
        <v>Valid</v>
      </c>
      <c r="G1343" s="39" t="str">
        <f aca="false">IFERROR(INDEX(medicine_master!$B$2:$B$26,MATCH($C1343,medicine_master!$A$2:$A$26,0)),"Not found")</f>
        <v>Amlodipine 5mg</v>
      </c>
      <c r="H1343" s="39" t="str">
        <f aca="false">IFERROR(INDEX(medicine_master!$C$2:$C$26,MATCH($C1343,medicine_master!$A$2:$A$26,0)),"Not found")</f>
        <v>Cardiac</v>
      </c>
      <c r="I1343" s="39" t="n">
        <f aca="false">YEAR(B1343)</f>
        <v>2026</v>
      </c>
      <c r="J1343" s="39" t="n">
        <f aca="false">MONTH(B1343)</f>
        <v>12</v>
      </c>
      <c r="K1343" s="39" t="str">
        <f aca="false">TEXT(B1343,"mmm")</f>
        <v>Dec</v>
      </c>
      <c r="L1343" s="45" t="n">
        <f aca="false">IFERROR(INDEX(medicine_master!$I$2:$I$26,MATCH($C1343,medicine_master!$A$2:$A$26,0)),0)</f>
        <v>19</v>
      </c>
      <c r="M1343" s="45" t="n">
        <f aca="false">IFERROR(INDEX(medicine_master!$G$2:$G$26,MATCH($C1343,medicine_master!$A$2:$A$26,0)),0)</f>
        <v>13</v>
      </c>
      <c r="N1343" s="45" t="n">
        <f aca="false">IF(D1343="Sale",E1343*L1343,0)</f>
        <v>380</v>
      </c>
      <c r="O1343" s="45" t="n">
        <f aca="false">IF(D1343="Sale",E1343*M1343,0)</f>
        <v>260</v>
      </c>
      <c r="P1343" s="45" t="n">
        <f aca="false">N1343-O1343</f>
        <v>120</v>
      </c>
      <c r="Q1343" s="45" t="n">
        <f aca="false">IF(D1343="Purchase",E1343*M1343,0)</f>
        <v>0</v>
      </c>
    </row>
    <row r="1344" customFormat="false" ht="15" hidden="false" customHeight="false" outlineLevel="0" collapsed="false">
      <c r="A1344" s="39" t="s">
        <v>1668</v>
      </c>
      <c r="B1344" s="44" t="n">
        <v>46374</v>
      </c>
      <c r="C1344" s="39" t="s">
        <v>326</v>
      </c>
      <c r="D1344" s="39" t="s">
        <v>138</v>
      </c>
      <c r="E1344" s="39" t="n">
        <v>10</v>
      </c>
      <c r="F1344" s="39" t="str">
        <f aca="false">IF(COUNTIF(medicine_master!$A$2:$A$26,C1344)&gt;0,"Valid","Invalid")</f>
        <v>Valid</v>
      </c>
      <c r="G1344" s="39" t="str">
        <f aca="false">IFERROR(INDEX(medicine_master!$B$2:$B$26,MATCH($C1344,medicine_master!$A$2:$A$26,0)),"Not found")</f>
        <v>Omeprazole 20mg</v>
      </c>
      <c r="H1344" s="39" t="str">
        <f aca="false">IFERROR(INDEX(medicine_master!$C$2:$C$26,MATCH($C1344,medicine_master!$A$2:$A$26,0)),"Not found")</f>
        <v>Gastric</v>
      </c>
      <c r="I1344" s="39" t="n">
        <f aca="false">YEAR(B1344)</f>
        <v>2026</v>
      </c>
      <c r="J1344" s="39" t="n">
        <f aca="false">MONTH(B1344)</f>
        <v>12</v>
      </c>
      <c r="K1344" s="39" t="str">
        <f aca="false">TEXT(B1344,"mmm")</f>
        <v>Dec</v>
      </c>
      <c r="L1344" s="45" t="n">
        <f aca="false">IFERROR(INDEX(medicine_master!$I$2:$I$26,MATCH($C1344,medicine_master!$A$2:$A$26,0)),0)</f>
        <v>26</v>
      </c>
      <c r="M1344" s="45" t="n">
        <f aca="false">IFERROR(INDEX(medicine_master!$G$2:$G$26,MATCH($C1344,medicine_master!$A$2:$A$26,0)),0)</f>
        <v>18</v>
      </c>
      <c r="N1344" s="45" t="n">
        <f aca="false">IF(D1344="Sale",E1344*L1344,0)</f>
        <v>0</v>
      </c>
      <c r="O1344" s="45" t="n">
        <f aca="false">IF(D1344="Sale",E1344*M1344,0)</f>
        <v>0</v>
      </c>
      <c r="P1344" s="45" t="n">
        <f aca="false">N1344-O1344</f>
        <v>0</v>
      </c>
      <c r="Q1344" s="45" t="n">
        <f aca="false">IF(D1344="Purchase",E1344*M1344,0)</f>
        <v>180</v>
      </c>
    </row>
    <row r="1345" customFormat="false" ht="15" hidden="false" customHeight="false" outlineLevel="0" collapsed="false">
      <c r="A1345" s="39" t="s">
        <v>1669</v>
      </c>
      <c r="B1345" s="44" t="n">
        <v>46032</v>
      </c>
      <c r="C1345" s="39" t="s">
        <v>178</v>
      </c>
      <c r="D1345" s="39" t="s">
        <v>138</v>
      </c>
      <c r="E1345" s="39" t="n">
        <v>15</v>
      </c>
      <c r="F1345" s="39" t="str">
        <f aca="false">IF(COUNTIF(medicine_master!$A$2:$A$26,C1345)&gt;0,"Valid","Invalid")</f>
        <v>Valid</v>
      </c>
      <c r="G1345" s="39" t="str">
        <f aca="false">IFERROR(INDEX(medicine_master!$B$2:$B$26,MATCH($C1345,medicine_master!$A$2:$A$26,0)),"Not found")</f>
        <v>Aspirin 75mg</v>
      </c>
      <c r="H1345" s="39" t="str">
        <f aca="false">IFERROR(INDEX(medicine_master!$C$2:$C$26,MATCH($C1345,medicine_master!$A$2:$A$26,0)),"Not found")</f>
        <v>Cardiac</v>
      </c>
      <c r="I1345" s="39" t="n">
        <f aca="false">YEAR(B1345)</f>
        <v>2026</v>
      </c>
      <c r="J1345" s="39" t="n">
        <f aca="false">MONTH(B1345)</f>
        <v>1</v>
      </c>
      <c r="K1345" s="39" t="str">
        <f aca="false">TEXT(B1345,"mmm")</f>
        <v>Jan</v>
      </c>
      <c r="L1345" s="45" t="n">
        <f aca="false">IFERROR(INDEX(medicine_master!$I$2:$I$26,MATCH($C1345,medicine_master!$A$2:$A$26,0)),0)</f>
        <v>15</v>
      </c>
      <c r="M1345" s="45" t="n">
        <f aca="false">IFERROR(INDEX(medicine_master!$G$2:$G$26,MATCH($C1345,medicine_master!$A$2:$A$26,0)),0)</f>
        <v>10</v>
      </c>
      <c r="N1345" s="45" t="n">
        <f aca="false">IF(D1345="Sale",E1345*L1345,0)</f>
        <v>0</v>
      </c>
      <c r="O1345" s="45" t="n">
        <f aca="false">IF(D1345="Sale",E1345*M1345,0)</f>
        <v>0</v>
      </c>
      <c r="P1345" s="45" t="n">
        <f aca="false">N1345-O1345</f>
        <v>0</v>
      </c>
      <c r="Q1345" s="45" t="n">
        <f aca="false">IF(D1345="Purchase",E1345*M1345,0)</f>
        <v>150</v>
      </c>
    </row>
    <row r="1346" customFormat="false" ht="15" hidden="false" customHeight="false" outlineLevel="0" collapsed="false">
      <c r="A1346" s="39" t="s">
        <v>1670</v>
      </c>
      <c r="B1346" s="44" t="n">
        <v>46266</v>
      </c>
      <c r="C1346" s="39" t="s">
        <v>326</v>
      </c>
      <c r="D1346" s="39" t="s">
        <v>137</v>
      </c>
      <c r="E1346" s="39" t="n">
        <v>20</v>
      </c>
      <c r="F1346" s="39" t="str">
        <f aca="false">IF(COUNTIF(medicine_master!$A$2:$A$26,C1346)&gt;0,"Valid","Invalid")</f>
        <v>Valid</v>
      </c>
      <c r="G1346" s="39" t="str">
        <f aca="false">IFERROR(INDEX(medicine_master!$B$2:$B$26,MATCH($C1346,medicine_master!$A$2:$A$26,0)),"Not found")</f>
        <v>Omeprazole 20mg</v>
      </c>
      <c r="H1346" s="39" t="str">
        <f aca="false">IFERROR(INDEX(medicine_master!$C$2:$C$26,MATCH($C1346,medicine_master!$A$2:$A$26,0)),"Not found")</f>
        <v>Gastric</v>
      </c>
      <c r="I1346" s="39" t="n">
        <f aca="false">YEAR(B1346)</f>
        <v>2026</v>
      </c>
      <c r="J1346" s="39" t="n">
        <f aca="false">MONTH(B1346)</f>
        <v>9</v>
      </c>
      <c r="K1346" s="39" t="str">
        <f aca="false">TEXT(B1346,"mmm")</f>
        <v>Sep</v>
      </c>
      <c r="L1346" s="45" t="n">
        <f aca="false">IFERROR(INDEX(medicine_master!$I$2:$I$26,MATCH($C1346,medicine_master!$A$2:$A$26,0)),0)</f>
        <v>26</v>
      </c>
      <c r="M1346" s="45" t="n">
        <f aca="false">IFERROR(INDEX(medicine_master!$G$2:$G$26,MATCH($C1346,medicine_master!$A$2:$A$26,0)),0)</f>
        <v>18</v>
      </c>
      <c r="N1346" s="45" t="n">
        <f aca="false">IF(D1346="Sale",E1346*L1346,0)</f>
        <v>520</v>
      </c>
      <c r="O1346" s="45" t="n">
        <f aca="false">IF(D1346="Sale",E1346*M1346,0)</f>
        <v>360</v>
      </c>
      <c r="P1346" s="45" t="n">
        <f aca="false">N1346-O1346</f>
        <v>160</v>
      </c>
      <c r="Q1346" s="45" t="n">
        <f aca="false">IF(D1346="Purchase",E1346*M1346,0)</f>
        <v>0</v>
      </c>
    </row>
    <row r="1347" customFormat="false" ht="15" hidden="false" customHeight="false" outlineLevel="0" collapsed="false">
      <c r="A1347" s="39" t="s">
        <v>1671</v>
      </c>
      <c r="B1347" s="44" t="n">
        <v>46190</v>
      </c>
      <c r="C1347" s="39" t="s">
        <v>326</v>
      </c>
      <c r="D1347" s="39" t="s">
        <v>138</v>
      </c>
      <c r="E1347" s="39" t="n">
        <v>15</v>
      </c>
      <c r="F1347" s="39" t="str">
        <f aca="false">IF(COUNTIF(medicine_master!$A$2:$A$26,C1347)&gt;0,"Valid","Invalid")</f>
        <v>Valid</v>
      </c>
      <c r="G1347" s="39" t="str">
        <f aca="false">IFERROR(INDEX(medicine_master!$B$2:$B$26,MATCH($C1347,medicine_master!$A$2:$A$26,0)),"Not found")</f>
        <v>Omeprazole 20mg</v>
      </c>
      <c r="H1347" s="39" t="str">
        <f aca="false">IFERROR(INDEX(medicine_master!$C$2:$C$26,MATCH($C1347,medicine_master!$A$2:$A$26,0)),"Not found")</f>
        <v>Gastric</v>
      </c>
      <c r="I1347" s="39" t="n">
        <f aca="false">YEAR(B1347)</f>
        <v>2026</v>
      </c>
      <c r="J1347" s="39" t="n">
        <f aca="false">MONTH(B1347)</f>
        <v>6</v>
      </c>
      <c r="K1347" s="39" t="str">
        <f aca="false">TEXT(B1347,"mmm")</f>
        <v>Jun</v>
      </c>
      <c r="L1347" s="45" t="n">
        <f aca="false">IFERROR(INDEX(medicine_master!$I$2:$I$26,MATCH($C1347,medicine_master!$A$2:$A$26,0)),0)</f>
        <v>26</v>
      </c>
      <c r="M1347" s="45" t="n">
        <f aca="false">IFERROR(INDEX(medicine_master!$G$2:$G$26,MATCH($C1347,medicine_master!$A$2:$A$26,0)),0)</f>
        <v>18</v>
      </c>
      <c r="N1347" s="45" t="n">
        <f aca="false">IF(D1347="Sale",E1347*L1347,0)</f>
        <v>0</v>
      </c>
      <c r="O1347" s="45" t="n">
        <f aca="false">IF(D1347="Sale",E1347*M1347,0)</f>
        <v>0</v>
      </c>
      <c r="P1347" s="45" t="n">
        <f aca="false">N1347-O1347</f>
        <v>0</v>
      </c>
      <c r="Q1347" s="45" t="n">
        <f aca="false">IF(D1347="Purchase",E1347*M1347,0)</f>
        <v>270</v>
      </c>
    </row>
    <row r="1348" customFormat="false" ht="15" hidden="false" customHeight="false" outlineLevel="0" collapsed="false">
      <c r="A1348" s="39" t="s">
        <v>1672</v>
      </c>
      <c r="B1348" s="44" t="n">
        <v>46231</v>
      </c>
      <c r="C1348" s="39" t="s">
        <v>177</v>
      </c>
      <c r="D1348" s="39" t="s">
        <v>138</v>
      </c>
      <c r="E1348" s="39" t="n">
        <v>25</v>
      </c>
      <c r="F1348" s="39" t="str">
        <f aca="false">IF(COUNTIF(medicine_master!$A$2:$A$26,C1348)&gt;0,"Valid","Invalid")</f>
        <v>Valid</v>
      </c>
      <c r="G1348" s="39" t="str">
        <f aca="false">IFERROR(INDEX(medicine_master!$B$2:$B$26,MATCH($C1348,medicine_master!$A$2:$A$26,0)),"Not found")</f>
        <v>Bandage Roll</v>
      </c>
      <c r="H1348" s="39" t="str">
        <f aca="false">IFERROR(INDEX(medicine_master!$C$2:$C$26,MATCH($C1348,medicine_master!$A$2:$A$26,0)),"Not found")</f>
        <v>First Aid</v>
      </c>
      <c r="I1348" s="39" t="n">
        <f aca="false">YEAR(B1348)</f>
        <v>2026</v>
      </c>
      <c r="J1348" s="39" t="n">
        <f aca="false">MONTH(B1348)</f>
        <v>7</v>
      </c>
      <c r="K1348" s="39" t="str">
        <f aca="false">TEXT(B1348,"mmm")</f>
        <v>Jul</v>
      </c>
      <c r="L1348" s="45" t="n">
        <f aca="false">IFERROR(INDEX(medicine_master!$I$2:$I$26,MATCH($C1348,medicine_master!$A$2:$A$26,0)),0)</f>
        <v>25</v>
      </c>
      <c r="M1348" s="45" t="n">
        <f aca="false">IFERROR(INDEX(medicine_master!$G$2:$G$26,MATCH($C1348,medicine_master!$A$2:$A$26,0)),0)</f>
        <v>15</v>
      </c>
      <c r="N1348" s="45" t="n">
        <f aca="false">IF(D1348="Sale",E1348*L1348,0)</f>
        <v>0</v>
      </c>
      <c r="O1348" s="45" t="n">
        <f aca="false">IF(D1348="Sale",E1348*M1348,0)</f>
        <v>0</v>
      </c>
      <c r="P1348" s="45" t="n">
        <f aca="false">N1348-O1348</f>
        <v>0</v>
      </c>
      <c r="Q1348" s="45" t="n">
        <f aca="false">IF(D1348="Purchase",E1348*M1348,0)</f>
        <v>375</v>
      </c>
    </row>
    <row r="1349" customFormat="false" ht="15" hidden="false" customHeight="false" outlineLevel="0" collapsed="false">
      <c r="A1349" s="39" t="s">
        <v>1673</v>
      </c>
      <c r="B1349" s="44" t="n">
        <v>46091</v>
      </c>
      <c r="C1349" s="39" t="s">
        <v>148</v>
      </c>
      <c r="D1349" s="39" t="s">
        <v>137</v>
      </c>
      <c r="E1349" s="39" t="n">
        <v>30</v>
      </c>
      <c r="F1349" s="39" t="str">
        <f aca="false">IF(COUNTIF(medicine_master!$A$2:$A$26,C1349)&gt;0,"Valid","Invalid")</f>
        <v>Valid</v>
      </c>
      <c r="G1349" s="39" t="str">
        <f aca="false">IFERROR(INDEX(medicine_master!$B$2:$B$26,MATCH($C1349,medicine_master!$A$2:$A$26,0)),"Not found")</f>
        <v>Dextromethorphan Syrup</v>
      </c>
      <c r="H1349" s="39" t="str">
        <f aca="false">IFERROR(INDEX(medicine_master!$C$2:$C$26,MATCH($C1349,medicine_master!$A$2:$A$26,0)),"Not found")</f>
        <v>Cold &amp; Cough</v>
      </c>
      <c r="I1349" s="39" t="n">
        <f aca="false">YEAR(B1349)</f>
        <v>2026</v>
      </c>
      <c r="J1349" s="39" t="n">
        <f aca="false">MONTH(B1349)</f>
        <v>3</v>
      </c>
      <c r="K1349" s="39" t="str">
        <f aca="false">TEXT(B1349,"mmm")</f>
        <v>Mar</v>
      </c>
      <c r="L1349" s="45" t="n">
        <f aca="false">IFERROR(INDEX(medicine_master!$I$2:$I$26,MATCH($C1349,medicine_master!$A$2:$A$26,0)),0)</f>
        <v>80</v>
      </c>
      <c r="M1349" s="45" t="n">
        <f aca="false">IFERROR(INDEX(medicine_master!$G$2:$G$26,MATCH($C1349,medicine_master!$A$2:$A$26,0)),0)</f>
        <v>58</v>
      </c>
      <c r="N1349" s="45" t="n">
        <f aca="false">IF(D1349="Sale",E1349*L1349,0)</f>
        <v>2400</v>
      </c>
      <c r="O1349" s="45" t="n">
        <f aca="false">IF(D1349="Sale",E1349*M1349,0)</f>
        <v>1740</v>
      </c>
      <c r="P1349" s="45" t="n">
        <f aca="false">N1349-O1349</f>
        <v>660</v>
      </c>
      <c r="Q1349" s="45" t="n">
        <f aca="false">IF(D1349="Purchase",E1349*M1349,0)</f>
        <v>0</v>
      </c>
    </row>
    <row r="1350" customFormat="false" ht="15" hidden="false" customHeight="false" outlineLevel="0" collapsed="false">
      <c r="A1350" s="39" t="s">
        <v>1674</v>
      </c>
      <c r="B1350" s="44" t="n">
        <v>46133</v>
      </c>
      <c r="C1350" s="39" t="s">
        <v>179</v>
      </c>
      <c r="D1350" s="39" t="s">
        <v>137</v>
      </c>
      <c r="E1350" s="39" t="n">
        <v>5</v>
      </c>
      <c r="F1350" s="39" t="str">
        <f aca="false">IF(COUNTIF(medicine_master!$A$2:$A$26,C1350)&gt;0,"Valid","Invalid")</f>
        <v>Valid</v>
      </c>
      <c r="G1350" s="39" t="str">
        <f aca="false">IFERROR(INDEX(medicine_master!$B$2:$B$26,MATCH($C1350,medicine_master!$A$2:$A$26,0)),"Not found")</f>
        <v>Ibuprofen 400mg</v>
      </c>
      <c r="H1350" s="39" t="str">
        <f aca="false">IFERROR(INDEX(medicine_master!$C$2:$C$26,MATCH($C1350,medicine_master!$A$2:$A$26,0)),"Not found")</f>
        <v>Pain Relief</v>
      </c>
      <c r="I1350" s="39" t="n">
        <f aca="false">YEAR(B1350)</f>
        <v>2026</v>
      </c>
      <c r="J1350" s="39" t="n">
        <f aca="false">MONTH(B1350)</f>
        <v>4</v>
      </c>
      <c r="K1350" s="39" t="str">
        <f aca="false">TEXT(B1350,"mmm")</f>
        <v>Apr</v>
      </c>
      <c r="L1350" s="45" t="n">
        <f aca="false">IFERROR(INDEX(medicine_master!$I$2:$I$26,MATCH($C1350,medicine_master!$A$2:$A$26,0)),0)</f>
        <v>30</v>
      </c>
      <c r="M1350" s="45" t="n">
        <f aca="false">IFERROR(INDEX(medicine_master!$G$2:$G$26,MATCH($C1350,medicine_master!$A$2:$A$26,0)),0)</f>
        <v>22</v>
      </c>
      <c r="N1350" s="45" t="n">
        <f aca="false">IF(D1350="Sale",E1350*L1350,0)</f>
        <v>150</v>
      </c>
      <c r="O1350" s="45" t="n">
        <f aca="false">IF(D1350="Sale",E1350*M1350,0)</f>
        <v>110</v>
      </c>
      <c r="P1350" s="45" t="n">
        <f aca="false">N1350-O1350</f>
        <v>40</v>
      </c>
      <c r="Q1350" s="45" t="n">
        <f aca="false">IF(D1350="Purchase",E1350*M1350,0)</f>
        <v>0</v>
      </c>
    </row>
    <row r="1351" customFormat="false" ht="15" hidden="false" customHeight="false" outlineLevel="0" collapsed="false">
      <c r="A1351" s="39" t="s">
        <v>1675</v>
      </c>
      <c r="B1351" s="44" t="n">
        <v>46131</v>
      </c>
      <c r="C1351" s="39" t="s">
        <v>150</v>
      </c>
      <c r="D1351" s="39" t="s">
        <v>138</v>
      </c>
      <c r="E1351" s="39" t="n">
        <v>10</v>
      </c>
      <c r="F1351" s="39" t="str">
        <f aca="false">IF(COUNTIF(medicine_master!$A$2:$A$26,C1351)&gt;0,"Valid","Invalid")</f>
        <v>Valid</v>
      </c>
      <c r="G1351" s="39" t="str">
        <f aca="false">IFERROR(INDEX(medicine_master!$B$2:$B$26,MATCH($C1351,medicine_master!$A$2:$A$26,0)),"Not found")</f>
        <v>Pantoprazole 40mg</v>
      </c>
      <c r="H1351" s="39" t="str">
        <f aca="false">IFERROR(INDEX(medicine_master!$C$2:$C$26,MATCH($C1351,medicine_master!$A$2:$A$26,0)),"Not found")</f>
        <v>Gastric</v>
      </c>
      <c r="I1351" s="39" t="n">
        <f aca="false">YEAR(B1351)</f>
        <v>2026</v>
      </c>
      <c r="J1351" s="39" t="n">
        <f aca="false">MONTH(B1351)</f>
        <v>4</v>
      </c>
      <c r="K1351" s="39" t="str">
        <f aca="false">TEXT(B1351,"mmm")</f>
        <v>Apr</v>
      </c>
      <c r="L1351" s="45" t="n">
        <f aca="false">IFERROR(INDEX(medicine_master!$I$2:$I$26,MATCH($C1351,medicine_master!$A$2:$A$26,0)),0)</f>
        <v>35</v>
      </c>
      <c r="M1351" s="45" t="n">
        <f aca="false">IFERROR(INDEX(medicine_master!$G$2:$G$26,MATCH($C1351,medicine_master!$A$2:$A$26,0)),0)</f>
        <v>24</v>
      </c>
      <c r="N1351" s="45" t="n">
        <f aca="false">IF(D1351="Sale",E1351*L1351,0)</f>
        <v>0</v>
      </c>
      <c r="O1351" s="45" t="n">
        <f aca="false">IF(D1351="Sale",E1351*M1351,0)</f>
        <v>0</v>
      </c>
      <c r="P1351" s="45" t="n">
        <f aca="false">N1351-O1351</f>
        <v>0</v>
      </c>
      <c r="Q1351" s="45" t="n">
        <f aca="false">IF(D1351="Purchase",E1351*M1351,0)</f>
        <v>240</v>
      </c>
    </row>
    <row r="1352" customFormat="false" ht="15" hidden="false" customHeight="false" outlineLevel="0" collapsed="false">
      <c r="A1352" s="39" t="s">
        <v>1676</v>
      </c>
      <c r="B1352" s="44" t="n">
        <v>46089</v>
      </c>
      <c r="C1352" s="39" t="s">
        <v>177</v>
      </c>
      <c r="D1352" s="39" t="s">
        <v>138</v>
      </c>
      <c r="E1352" s="39" t="n">
        <v>5</v>
      </c>
      <c r="F1352" s="39" t="str">
        <f aca="false">IF(COUNTIF(medicine_master!$A$2:$A$26,C1352)&gt;0,"Valid","Invalid")</f>
        <v>Valid</v>
      </c>
      <c r="G1352" s="39" t="str">
        <f aca="false">IFERROR(INDEX(medicine_master!$B$2:$B$26,MATCH($C1352,medicine_master!$A$2:$A$26,0)),"Not found")</f>
        <v>Bandage Roll</v>
      </c>
      <c r="H1352" s="39" t="str">
        <f aca="false">IFERROR(INDEX(medicine_master!$C$2:$C$26,MATCH($C1352,medicine_master!$A$2:$A$26,0)),"Not found")</f>
        <v>First Aid</v>
      </c>
      <c r="I1352" s="39" t="n">
        <f aca="false">YEAR(B1352)</f>
        <v>2026</v>
      </c>
      <c r="J1352" s="39" t="n">
        <f aca="false">MONTH(B1352)</f>
        <v>3</v>
      </c>
      <c r="K1352" s="39" t="str">
        <f aca="false">TEXT(B1352,"mmm")</f>
        <v>Mar</v>
      </c>
      <c r="L1352" s="45" t="n">
        <f aca="false">IFERROR(INDEX(medicine_master!$I$2:$I$26,MATCH($C1352,medicine_master!$A$2:$A$26,0)),0)</f>
        <v>25</v>
      </c>
      <c r="M1352" s="45" t="n">
        <f aca="false">IFERROR(INDEX(medicine_master!$G$2:$G$26,MATCH($C1352,medicine_master!$A$2:$A$26,0)),0)</f>
        <v>15</v>
      </c>
      <c r="N1352" s="45" t="n">
        <f aca="false">IF(D1352="Sale",E1352*L1352,0)</f>
        <v>0</v>
      </c>
      <c r="O1352" s="45" t="n">
        <f aca="false">IF(D1352="Sale",E1352*M1352,0)</f>
        <v>0</v>
      </c>
      <c r="P1352" s="45" t="n">
        <f aca="false">N1352-O1352</f>
        <v>0</v>
      </c>
      <c r="Q1352" s="45" t="n">
        <f aca="false">IF(D1352="Purchase",E1352*M1352,0)</f>
        <v>75</v>
      </c>
    </row>
    <row r="1353" customFormat="false" ht="15" hidden="false" customHeight="false" outlineLevel="0" collapsed="false">
      <c r="A1353" s="39" t="s">
        <v>1677</v>
      </c>
      <c r="B1353" s="44" t="n">
        <v>46139</v>
      </c>
      <c r="C1353" s="39" t="s">
        <v>495</v>
      </c>
      <c r="D1353" s="39" t="s">
        <v>138</v>
      </c>
      <c r="E1353" s="39" t="n">
        <v>10</v>
      </c>
      <c r="F1353" s="39" t="str">
        <f aca="false">IF(COUNTIF(medicine_master!$A$2:$A$26,C1353)&gt;0,"Valid","Invalid")</f>
        <v>Valid</v>
      </c>
      <c r="G1353" s="39" t="str">
        <f aca="false">IFERROR(INDEX(medicine_master!$B$2:$B$26,MATCH($C1353,medicine_master!$A$2:$A$26,0)),"Not found")</f>
        <v>Metformin 500mg</v>
      </c>
      <c r="H1353" s="39" t="str">
        <f aca="false">IFERROR(INDEX(medicine_master!$C$2:$C$26,MATCH($C1353,medicine_master!$A$2:$A$26,0)),"Not found")</f>
        <v>Diabetes</v>
      </c>
      <c r="I1353" s="39" t="n">
        <f aca="false">YEAR(B1353)</f>
        <v>2026</v>
      </c>
      <c r="J1353" s="39" t="n">
        <f aca="false">MONTH(B1353)</f>
        <v>4</v>
      </c>
      <c r="K1353" s="39" t="str">
        <f aca="false">TEXT(B1353,"mmm")</f>
        <v>Apr</v>
      </c>
      <c r="L1353" s="45" t="n">
        <f aca="false">IFERROR(INDEX(medicine_master!$I$2:$I$26,MATCH($C1353,medicine_master!$A$2:$A$26,0)),0)</f>
        <v>24</v>
      </c>
      <c r="M1353" s="45" t="n">
        <f aca="false">IFERROR(INDEX(medicine_master!$G$2:$G$26,MATCH($C1353,medicine_master!$A$2:$A$26,0)),0)</f>
        <v>16</v>
      </c>
      <c r="N1353" s="45" t="n">
        <f aca="false">IF(D1353="Sale",E1353*L1353,0)</f>
        <v>0</v>
      </c>
      <c r="O1353" s="45" t="n">
        <f aca="false">IF(D1353="Sale",E1353*M1353,0)</f>
        <v>0</v>
      </c>
      <c r="P1353" s="45" t="n">
        <f aca="false">N1353-O1353</f>
        <v>0</v>
      </c>
      <c r="Q1353" s="45" t="n">
        <f aca="false">IF(D1353="Purchase",E1353*M1353,0)</f>
        <v>160</v>
      </c>
    </row>
    <row r="1354" customFormat="false" ht="15" hidden="false" customHeight="false" outlineLevel="0" collapsed="false">
      <c r="A1354" s="39" t="s">
        <v>1678</v>
      </c>
      <c r="B1354" s="44" t="n">
        <v>46186</v>
      </c>
      <c r="C1354" s="39" t="s">
        <v>147</v>
      </c>
      <c r="D1354" s="39" t="s">
        <v>137</v>
      </c>
      <c r="E1354" s="39" t="n">
        <v>15</v>
      </c>
      <c r="F1354" s="39" t="str">
        <f aca="false">IF(COUNTIF(medicine_master!$A$2:$A$26,C1354)&gt;0,"Valid","Invalid")</f>
        <v>Valid</v>
      </c>
      <c r="G1354" s="39" t="str">
        <f aca="false">IFERROR(INDEX(medicine_master!$B$2:$B$26,MATCH($C1354,medicine_master!$A$2:$A$26,0)),"Not found")</f>
        <v>Insulin Injection</v>
      </c>
      <c r="H1354" s="39" t="str">
        <f aca="false">IFERROR(INDEX(medicine_master!$C$2:$C$26,MATCH($C1354,medicine_master!$A$2:$A$26,0)),"Not found")</f>
        <v>Diabetes</v>
      </c>
      <c r="I1354" s="39" t="n">
        <f aca="false">YEAR(B1354)</f>
        <v>2026</v>
      </c>
      <c r="J1354" s="39" t="n">
        <f aca="false">MONTH(B1354)</f>
        <v>6</v>
      </c>
      <c r="K1354" s="39" t="str">
        <f aca="false">TEXT(B1354,"mmm")</f>
        <v>Jun</v>
      </c>
      <c r="L1354" s="45" t="n">
        <f aca="false">IFERROR(INDEX(medicine_master!$I$2:$I$26,MATCH($C1354,medicine_master!$A$2:$A$26,0)),0)</f>
        <v>225</v>
      </c>
      <c r="M1354" s="45" t="n">
        <f aca="false">IFERROR(INDEX(medicine_master!$G$2:$G$26,MATCH($C1354,medicine_master!$A$2:$A$26,0)),0)</f>
        <v>165</v>
      </c>
      <c r="N1354" s="45" t="n">
        <f aca="false">IF(D1354="Sale",E1354*L1354,0)</f>
        <v>3375</v>
      </c>
      <c r="O1354" s="45" t="n">
        <f aca="false">IF(D1354="Sale",E1354*M1354,0)</f>
        <v>2475</v>
      </c>
      <c r="P1354" s="45" t="n">
        <f aca="false">N1354-O1354</f>
        <v>900</v>
      </c>
      <c r="Q1354" s="45" t="n">
        <f aca="false">IF(D1354="Purchase",E1354*M1354,0)</f>
        <v>0</v>
      </c>
    </row>
    <row r="1355" customFormat="false" ht="15" hidden="false" customHeight="false" outlineLevel="0" collapsed="false">
      <c r="A1355" s="39" t="s">
        <v>1679</v>
      </c>
      <c r="B1355" s="44" t="n">
        <v>46095</v>
      </c>
      <c r="C1355" s="39" t="s">
        <v>146</v>
      </c>
      <c r="D1355" s="39" t="s">
        <v>137</v>
      </c>
      <c r="E1355" s="39" t="n">
        <v>25</v>
      </c>
      <c r="F1355" s="39" t="str">
        <f aca="false">IF(COUNTIF(medicine_master!$A$2:$A$26,C1355)&gt;0,"Valid","Invalid")</f>
        <v>Valid</v>
      </c>
      <c r="G1355" s="39" t="str">
        <f aca="false">IFERROR(INDEX(medicine_master!$B$2:$B$26,MATCH($C1355,medicine_master!$A$2:$A$26,0)),"Not found")</f>
        <v>Diclofenac Gel</v>
      </c>
      <c r="H1355" s="39" t="str">
        <f aca="false">IFERROR(INDEX(medicine_master!$C$2:$C$26,MATCH($C1355,medicine_master!$A$2:$A$26,0)),"Not found")</f>
        <v>Pain Relief</v>
      </c>
      <c r="I1355" s="39" t="n">
        <f aca="false">YEAR(B1355)</f>
        <v>2026</v>
      </c>
      <c r="J1355" s="39" t="n">
        <f aca="false">MONTH(B1355)</f>
        <v>3</v>
      </c>
      <c r="K1355" s="39" t="str">
        <f aca="false">TEXT(B1355,"mmm")</f>
        <v>Mar</v>
      </c>
      <c r="L1355" s="45" t="n">
        <f aca="false">IFERROR(INDEX(medicine_master!$I$2:$I$26,MATCH($C1355,medicine_master!$A$2:$A$26,0)),0)</f>
        <v>55</v>
      </c>
      <c r="M1355" s="45" t="n">
        <f aca="false">IFERROR(INDEX(medicine_master!$G$2:$G$26,MATCH($C1355,medicine_master!$A$2:$A$26,0)),0)</f>
        <v>38</v>
      </c>
      <c r="N1355" s="45" t="n">
        <f aca="false">IF(D1355="Sale",E1355*L1355,0)</f>
        <v>1375</v>
      </c>
      <c r="O1355" s="45" t="n">
        <f aca="false">IF(D1355="Sale",E1355*M1355,0)</f>
        <v>950</v>
      </c>
      <c r="P1355" s="45" t="n">
        <f aca="false">N1355-O1355</f>
        <v>425</v>
      </c>
      <c r="Q1355" s="45" t="n">
        <f aca="false">IF(D1355="Purchase",E1355*M1355,0)</f>
        <v>0</v>
      </c>
    </row>
    <row r="1356" customFormat="false" ht="15" hidden="false" customHeight="false" outlineLevel="0" collapsed="false">
      <c r="A1356" s="39" t="s">
        <v>1680</v>
      </c>
      <c r="B1356" s="44" t="n">
        <v>46082</v>
      </c>
      <c r="C1356" s="39" t="s">
        <v>148</v>
      </c>
      <c r="D1356" s="39" t="s">
        <v>137</v>
      </c>
      <c r="E1356" s="39" t="n">
        <v>30</v>
      </c>
      <c r="F1356" s="39" t="str">
        <f aca="false">IF(COUNTIF(medicine_master!$A$2:$A$26,C1356)&gt;0,"Valid","Invalid")</f>
        <v>Valid</v>
      </c>
      <c r="G1356" s="39" t="str">
        <f aca="false">IFERROR(INDEX(medicine_master!$B$2:$B$26,MATCH($C1356,medicine_master!$A$2:$A$26,0)),"Not found")</f>
        <v>Dextromethorphan Syrup</v>
      </c>
      <c r="H1356" s="39" t="str">
        <f aca="false">IFERROR(INDEX(medicine_master!$C$2:$C$26,MATCH($C1356,medicine_master!$A$2:$A$26,0)),"Not found")</f>
        <v>Cold &amp; Cough</v>
      </c>
      <c r="I1356" s="39" t="n">
        <f aca="false">YEAR(B1356)</f>
        <v>2026</v>
      </c>
      <c r="J1356" s="39" t="n">
        <f aca="false">MONTH(B1356)</f>
        <v>3</v>
      </c>
      <c r="K1356" s="39" t="str">
        <f aca="false">TEXT(B1356,"mmm")</f>
        <v>Mar</v>
      </c>
      <c r="L1356" s="45" t="n">
        <f aca="false">IFERROR(INDEX(medicine_master!$I$2:$I$26,MATCH($C1356,medicine_master!$A$2:$A$26,0)),0)</f>
        <v>80</v>
      </c>
      <c r="M1356" s="45" t="n">
        <f aca="false">IFERROR(INDEX(medicine_master!$G$2:$G$26,MATCH($C1356,medicine_master!$A$2:$A$26,0)),0)</f>
        <v>58</v>
      </c>
      <c r="N1356" s="45" t="n">
        <f aca="false">IF(D1356="Sale",E1356*L1356,0)</f>
        <v>2400</v>
      </c>
      <c r="O1356" s="45" t="n">
        <f aca="false">IF(D1356="Sale",E1356*M1356,0)</f>
        <v>1740</v>
      </c>
      <c r="P1356" s="45" t="n">
        <f aca="false">N1356-O1356</f>
        <v>660</v>
      </c>
      <c r="Q1356" s="45" t="n">
        <f aca="false">IF(D1356="Purchase",E1356*M1356,0)</f>
        <v>0</v>
      </c>
    </row>
    <row r="1357" customFormat="false" ht="15" hidden="false" customHeight="false" outlineLevel="0" collapsed="false">
      <c r="A1357" s="39" t="s">
        <v>1681</v>
      </c>
      <c r="B1357" s="44" t="n">
        <v>46363</v>
      </c>
      <c r="C1357" s="39" t="s">
        <v>148</v>
      </c>
      <c r="D1357" s="39" t="s">
        <v>137</v>
      </c>
      <c r="E1357" s="39" t="n">
        <v>20</v>
      </c>
      <c r="F1357" s="39" t="str">
        <f aca="false">IF(COUNTIF(medicine_master!$A$2:$A$26,C1357)&gt;0,"Valid","Invalid")</f>
        <v>Valid</v>
      </c>
      <c r="G1357" s="39" t="str">
        <f aca="false">IFERROR(INDEX(medicine_master!$B$2:$B$26,MATCH($C1357,medicine_master!$A$2:$A$26,0)),"Not found")</f>
        <v>Dextromethorphan Syrup</v>
      </c>
      <c r="H1357" s="39" t="str">
        <f aca="false">IFERROR(INDEX(medicine_master!$C$2:$C$26,MATCH($C1357,medicine_master!$A$2:$A$26,0)),"Not found")</f>
        <v>Cold &amp; Cough</v>
      </c>
      <c r="I1357" s="39" t="n">
        <f aca="false">YEAR(B1357)</f>
        <v>2026</v>
      </c>
      <c r="J1357" s="39" t="n">
        <f aca="false">MONTH(B1357)</f>
        <v>12</v>
      </c>
      <c r="K1357" s="39" t="str">
        <f aca="false">TEXT(B1357,"mmm")</f>
        <v>Dec</v>
      </c>
      <c r="L1357" s="45" t="n">
        <f aca="false">IFERROR(INDEX(medicine_master!$I$2:$I$26,MATCH($C1357,medicine_master!$A$2:$A$26,0)),0)</f>
        <v>80</v>
      </c>
      <c r="M1357" s="45" t="n">
        <f aca="false">IFERROR(INDEX(medicine_master!$G$2:$G$26,MATCH($C1357,medicine_master!$A$2:$A$26,0)),0)</f>
        <v>58</v>
      </c>
      <c r="N1357" s="45" t="n">
        <f aca="false">IF(D1357="Sale",E1357*L1357,0)</f>
        <v>1600</v>
      </c>
      <c r="O1357" s="45" t="n">
        <f aca="false">IF(D1357="Sale",E1357*M1357,0)</f>
        <v>1160</v>
      </c>
      <c r="P1357" s="45" t="n">
        <f aca="false">N1357-O1357</f>
        <v>440</v>
      </c>
      <c r="Q1357" s="45" t="n">
        <f aca="false">IF(D1357="Purchase",E1357*M1357,0)</f>
        <v>0</v>
      </c>
    </row>
    <row r="1358" customFormat="false" ht="15" hidden="false" customHeight="false" outlineLevel="0" collapsed="false">
      <c r="A1358" s="39" t="s">
        <v>1682</v>
      </c>
      <c r="B1358" s="44" t="n">
        <v>46219</v>
      </c>
      <c r="C1358" s="39" t="s">
        <v>148</v>
      </c>
      <c r="D1358" s="39" t="s">
        <v>138</v>
      </c>
      <c r="E1358" s="39" t="n">
        <v>10</v>
      </c>
      <c r="F1358" s="39" t="str">
        <f aca="false">IF(COUNTIF(medicine_master!$A$2:$A$26,C1358)&gt;0,"Valid","Invalid")</f>
        <v>Valid</v>
      </c>
      <c r="G1358" s="39" t="str">
        <f aca="false">IFERROR(INDEX(medicine_master!$B$2:$B$26,MATCH($C1358,medicine_master!$A$2:$A$26,0)),"Not found")</f>
        <v>Dextromethorphan Syrup</v>
      </c>
      <c r="H1358" s="39" t="str">
        <f aca="false">IFERROR(INDEX(medicine_master!$C$2:$C$26,MATCH($C1358,medicine_master!$A$2:$A$26,0)),"Not found")</f>
        <v>Cold &amp; Cough</v>
      </c>
      <c r="I1358" s="39" t="n">
        <f aca="false">YEAR(B1358)</f>
        <v>2026</v>
      </c>
      <c r="J1358" s="39" t="n">
        <f aca="false">MONTH(B1358)</f>
        <v>7</v>
      </c>
      <c r="K1358" s="39" t="str">
        <f aca="false">TEXT(B1358,"mmm")</f>
        <v>Jul</v>
      </c>
      <c r="L1358" s="45" t="n">
        <f aca="false">IFERROR(INDEX(medicine_master!$I$2:$I$26,MATCH($C1358,medicine_master!$A$2:$A$26,0)),0)</f>
        <v>80</v>
      </c>
      <c r="M1358" s="45" t="n">
        <f aca="false">IFERROR(INDEX(medicine_master!$G$2:$G$26,MATCH($C1358,medicine_master!$A$2:$A$26,0)),0)</f>
        <v>58</v>
      </c>
      <c r="N1358" s="45" t="n">
        <f aca="false">IF(D1358="Sale",E1358*L1358,0)</f>
        <v>0</v>
      </c>
      <c r="O1358" s="45" t="n">
        <f aca="false">IF(D1358="Sale",E1358*M1358,0)</f>
        <v>0</v>
      </c>
      <c r="P1358" s="45" t="n">
        <f aca="false">N1358-O1358</f>
        <v>0</v>
      </c>
      <c r="Q1358" s="45" t="n">
        <f aca="false">IF(D1358="Purchase",E1358*M1358,0)</f>
        <v>580</v>
      </c>
    </row>
    <row r="1359" customFormat="false" ht="15" hidden="false" customHeight="false" outlineLevel="0" collapsed="false">
      <c r="A1359" s="39" t="s">
        <v>1683</v>
      </c>
      <c r="B1359" s="44" t="n">
        <v>46298</v>
      </c>
      <c r="C1359" s="39" t="s">
        <v>144</v>
      </c>
      <c r="D1359" s="39" t="s">
        <v>138</v>
      </c>
      <c r="E1359" s="39" t="n">
        <v>10</v>
      </c>
      <c r="F1359" s="39" t="str">
        <f aca="false">IF(COUNTIF(medicine_master!$A$2:$A$26,C1359)&gt;0,"Valid","Invalid")</f>
        <v>Valid</v>
      </c>
      <c r="G1359" s="39" t="str">
        <f aca="false">IFERROR(INDEX(medicine_master!$B$2:$B$26,MATCH($C1359,medicine_master!$A$2:$A$26,0)),"Not found")</f>
        <v>Glimepiride 2mg</v>
      </c>
      <c r="H1359" s="39" t="str">
        <f aca="false">IFERROR(INDEX(medicine_master!$C$2:$C$26,MATCH($C1359,medicine_master!$A$2:$A$26,0)),"Not found")</f>
        <v>Diabetes</v>
      </c>
      <c r="I1359" s="39" t="n">
        <f aca="false">YEAR(B1359)</f>
        <v>2026</v>
      </c>
      <c r="J1359" s="39" t="n">
        <f aca="false">MONTH(B1359)</f>
        <v>10</v>
      </c>
      <c r="K1359" s="39" t="str">
        <f aca="false">TEXT(B1359,"mmm")</f>
        <v>Oct</v>
      </c>
      <c r="L1359" s="45" t="n">
        <f aca="false">IFERROR(INDEX(medicine_master!$I$2:$I$26,MATCH($C1359,medicine_master!$A$2:$A$26,0)),0)</f>
        <v>52</v>
      </c>
      <c r="M1359" s="45" t="n">
        <f aca="false">IFERROR(INDEX(medicine_master!$G$2:$G$26,MATCH($C1359,medicine_master!$A$2:$A$26,0)),0)</f>
        <v>38</v>
      </c>
      <c r="N1359" s="45" t="n">
        <f aca="false">IF(D1359="Sale",E1359*L1359,0)</f>
        <v>0</v>
      </c>
      <c r="O1359" s="45" t="n">
        <f aca="false">IF(D1359="Sale",E1359*M1359,0)</f>
        <v>0</v>
      </c>
      <c r="P1359" s="45" t="n">
        <f aca="false">N1359-O1359</f>
        <v>0</v>
      </c>
      <c r="Q1359" s="45" t="n">
        <f aca="false">IF(D1359="Purchase",E1359*M1359,0)</f>
        <v>380</v>
      </c>
    </row>
    <row r="1360" customFormat="false" ht="15" hidden="false" customHeight="false" outlineLevel="0" collapsed="false">
      <c r="A1360" s="39" t="s">
        <v>1684</v>
      </c>
      <c r="B1360" s="44" t="n">
        <v>46175</v>
      </c>
      <c r="C1360" s="39" t="s">
        <v>167</v>
      </c>
      <c r="D1360" s="39" t="s">
        <v>137</v>
      </c>
      <c r="E1360" s="39" t="n">
        <v>25</v>
      </c>
      <c r="F1360" s="39" t="str">
        <f aca="false">IF(COUNTIF(medicine_master!$A$2:$A$26,C1360)&gt;0,"Valid","Invalid")</f>
        <v>Valid</v>
      </c>
      <c r="G1360" s="39" t="str">
        <f aca="false">IFERROR(INDEX(medicine_master!$B$2:$B$26,MATCH($C1360,medicine_master!$A$2:$A$26,0)),"Not found")</f>
        <v>Amlodipine 5mg</v>
      </c>
      <c r="H1360" s="39" t="str">
        <f aca="false">IFERROR(INDEX(medicine_master!$C$2:$C$26,MATCH($C1360,medicine_master!$A$2:$A$26,0)),"Not found")</f>
        <v>Cardiac</v>
      </c>
      <c r="I1360" s="39" t="n">
        <f aca="false">YEAR(B1360)</f>
        <v>2026</v>
      </c>
      <c r="J1360" s="39" t="n">
        <f aca="false">MONTH(B1360)</f>
        <v>6</v>
      </c>
      <c r="K1360" s="39" t="str">
        <f aca="false">TEXT(B1360,"mmm")</f>
        <v>Jun</v>
      </c>
      <c r="L1360" s="45" t="n">
        <f aca="false">IFERROR(INDEX(medicine_master!$I$2:$I$26,MATCH($C1360,medicine_master!$A$2:$A$26,0)),0)</f>
        <v>19</v>
      </c>
      <c r="M1360" s="45" t="n">
        <f aca="false">IFERROR(INDEX(medicine_master!$G$2:$G$26,MATCH($C1360,medicine_master!$A$2:$A$26,0)),0)</f>
        <v>13</v>
      </c>
      <c r="N1360" s="45" t="n">
        <f aca="false">IF(D1360="Sale",E1360*L1360,0)</f>
        <v>475</v>
      </c>
      <c r="O1360" s="45" t="n">
        <f aca="false">IF(D1360="Sale",E1360*M1360,0)</f>
        <v>325</v>
      </c>
      <c r="P1360" s="45" t="n">
        <f aca="false">N1360-O1360</f>
        <v>150</v>
      </c>
      <c r="Q1360" s="45" t="n">
        <f aca="false">IF(D1360="Purchase",E1360*M1360,0)</f>
        <v>0</v>
      </c>
    </row>
    <row r="1361" customFormat="false" ht="15" hidden="false" customHeight="false" outlineLevel="0" collapsed="false">
      <c r="A1361" s="39" t="s">
        <v>1685</v>
      </c>
      <c r="B1361" s="44" t="n">
        <v>46092</v>
      </c>
      <c r="C1361" s="39" t="s">
        <v>151</v>
      </c>
      <c r="D1361" s="39" t="s">
        <v>138</v>
      </c>
      <c r="E1361" s="39" t="n">
        <v>20</v>
      </c>
      <c r="F1361" s="39" t="str">
        <f aca="false">IF(COUNTIF(medicine_master!$A$2:$A$26,C1361)&gt;0,"Valid","Invalid")</f>
        <v>Valid</v>
      </c>
      <c r="G1361" s="39" t="str">
        <f aca="false">IFERROR(INDEX(medicine_master!$B$2:$B$26,MATCH($C1361,medicine_master!$A$2:$A$26,0)),"Not found")</f>
        <v>Cetirizine 10mg</v>
      </c>
      <c r="H1361" s="39" t="str">
        <f aca="false">IFERROR(INDEX(medicine_master!$C$2:$C$26,MATCH($C1361,medicine_master!$A$2:$A$26,0)),"Not found")</f>
        <v>Allergy</v>
      </c>
      <c r="I1361" s="39" t="n">
        <f aca="false">YEAR(B1361)</f>
        <v>2026</v>
      </c>
      <c r="J1361" s="39" t="n">
        <f aca="false">MONTH(B1361)</f>
        <v>3</v>
      </c>
      <c r="K1361" s="39" t="str">
        <f aca="false">TEXT(B1361,"mmm")</f>
        <v>Mar</v>
      </c>
      <c r="L1361" s="45" t="n">
        <f aca="false">IFERROR(INDEX(medicine_master!$I$2:$I$26,MATCH($C1361,medicine_master!$A$2:$A$26,0)),0)</f>
        <v>13</v>
      </c>
      <c r="M1361" s="45" t="n">
        <f aca="false">IFERROR(INDEX(medicine_master!$G$2:$G$26,MATCH($C1361,medicine_master!$A$2:$A$26,0)),0)</f>
        <v>8</v>
      </c>
      <c r="N1361" s="45" t="n">
        <f aca="false">IF(D1361="Sale",E1361*L1361,0)</f>
        <v>0</v>
      </c>
      <c r="O1361" s="45" t="n">
        <f aca="false">IF(D1361="Sale",E1361*M1361,0)</f>
        <v>0</v>
      </c>
      <c r="P1361" s="45" t="n">
        <f aca="false">N1361-O1361</f>
        <v>0</v>
      </c>
      <c r="Q1361" s="45" t="n">
        <f aca="false">IF(D1361="Purchase",E1361*M1361,0)</f>
        <v>160</v>
      </c>
    </row>
    <row r="1362" customFormat="false" ht="15" hidden="false" customHeight="false" outlineLevel="0" collapsed="false">
      <c r="A1362" s="39" t="s">
        <v>1686</v>
      </c>
      <c r="B1362" s="44" t="n">
        <v>46362</v>
      </c>
      <c r="C1362" s="39" t="s">
        <v>152</v>
      </c>
      <c r="D1362" s="39" t="s">
        <v>138</v>
      </c>
      <c r="E1362" s="39" t="n">
        <v>20</v>
      </c>
      <c r="F1362" s="39" t="str">
        <f aca="false">IF(COUNTIF(medicine_master!$A$2:$A$26,C1362)&gt;0,"Valid","Invalid")</f>
        <v>Valid</v>
      </c>
      <c r="G1362" s="39" t="str">
        <f aca="false">IFERROR(INDEX(medicine_master!$B$2:$B$26,MATCH($C1362,medicine_master!$A$2:$A$26,0)),"Not found")</f>
        <v>Amoxicillin 500mg</v>
      </c>
      <c r="H1362" s="39" t="str">
        <f aca="false">IFERROR(INDEX(medicine_master!$C$2:$C$26,MATCH($C1362,medicine_master!$A$2:$A$26,0)),"Not found")</f>
        <v>Antibiotic</v>
      </c>
      <c r="I1362" s="39" t="n">
        <f aca="false">YEAR(B1362)</f>
        <v>2026</v>
      </c>
      <c r="J1362" s="39" t="n">
        <f aca="false">MONTH(B1362)</f>
        <v>12</v>
      </c>
      <c r="K1362" s="39" t="str">
        <f aca="false">TEXT(B1362,"mmm")</f>
        <v>Dec</v>
      </c>
      <c r="L1362" s="45" t="n">
        <f aca="false">IFERROR(INDEX(medicine_master!$I$2:$I$26,MATCH($C1362,medicine_master!$A$2:$A$26,0)),0)</f>
        <v>40</v>
      </c>
      <c r="M1362" s="45" t="n">
        <f aca="false">IFERROR(INDEX(medicine_master!$G$2:$G$26,MATCH($C1362,medicine_master!$A$2:$A$26,0)),0)</f>
        <v>28</v>
      </c>
      <c r="N1362" s="45" t="n">
        <f aca="false">IF(D1362="Sale",E1362*L1362,0)</f>
        <v>0</v>
      </c>
      <c r="O1362" s="45" t="n">
        <f aca="false">IF(D1362="Sale",E1362*M1362,0)</f>
        <v>0</v>
      </c>
      <c r="P1362" s="45" t="n">
        <f aca="false">N1362-O1362</f>
        <v>0</v>
      </c>
      <c r="Q1362" s="45" t="n">
        <f aca="false">IF(D1362="Purchase",E1362*M1362,0)</f>
        <v>560</v>
      </c>
    </row>
    <row r="1363" customFormat="false" ht="15" hidden="false" customHeight="false" outlineLevel="0" collapsed="false">
      <c r="A1363" s="39" t="s">
        <v>1687</v>
      </c>
      <c r="B1363" s="44" t="n">
        <v>46340</v>
      </c>
      <c r="C1363" s="39" t="s">
        <v>177</v>
      </c>
      <c r="D1363" s="39" t="s">
        <v>137</v>
      </c>
      <c r="E1363" s="39" t="n">
        <v>30</v>
      </c>
      <c r="F1363" s="39" t="str">
        <f aca="false">IF(COUNTIF(medicine_master!$A$2:$A$26,C1363)&gt;0,"Valid","Invalid")</f>
        <v>Valid</v>
      </c>
      <c r="G1363" s="39" t="str">
        <f aca="false">IFERROR(INDEX(medicine_master!$B$2:$B$26,MATCH($C1363,medicine_master!$A$2:$A$26,0)),"Not found")</f>
        <v>Bandage Roll</v>
      </c>
      <c r="H1363" s="39" t="str">
        <f aca="false">IFERROR(INDEX(medicine_master!$C$2:$C$26,MATCH($C1363,medicine_master!$A$2:$A$26,0)),"Not found")</f>
        <v>First Aid</v>
      </c>
      <c r="I1363" s="39" t="n">
        <f aca="false">YEAR(B1363)</f>
        <v>2026</v>
      </c>
      <c r="J1363" s="39" t="n">
        <f aca="false">MONTH(B1363)</f>
        <v>11</v>
      </c>
      <c r="K1363" s="39" t="str">
        <f aca="false">TEXT(B1363,"mmm")</f>
        <v>Nov</v>
      </c>
      <c r="L1363" s="45" t="n">
        <f aca="false">IFERROR(INDEX(medicine_master!$I$2:$I$26,MATCH($C1363,medicine_master!$A$2:$A$26,0)),0)</f>
        <v>25</v>
      </c>
      <c r="M1363" s="45" t="n">
        <f aca="false">IFERROR(INDEX(medicine_master!$G$2:$G$26,MATCH($C1363,medicine_master!$A$2:$A$26,0)),0)</f>
        <v>15</v>
      </c>
      <c r="N1363" s="45" t="n">
        <f aca="false">IF(D1363="Sale",E1363*L1363,0)</f>
        <v>750</v>
      </c>
      <c r="O1363" s="45" t="n">
        <f aca="false">IF(D1363="Sale",E1363*M1363,0)</f>
        <v>450</v>
      </c>
      <c r="P1363" s="45" t="n">
        <f aca="false">N1363-O1363</f>
        <v>300</v>
      </c>
      <c r="Q1363" s="45" t="n">
        <f aca="false">IF(D1363="Purchase",E1363*M1363,0)</f>
        <v>0</v>
      </c>
    </row>
    <row r="1364" customFormat="false" ht="15" hidden="false" customHeight="false" outlineLevel="0" collapsed="false">
      <c r="A1364" s="39" t="s">
        <v>1688</v>
      </c>
      <c r="B1364" s="44" t="n">
        <v>46037</v>
      </c>
      <c r="C1364" s="39" t="s">
        <v>178</v>
      </c>
      <c r="D1364" s="39" t="s">
        <v>138</v>
      </c>
      <c r="E1364" s="39" t="n">
        <v>30</v>
      </c>
      <c r="F1364" s="39" t="str">
        <f aca="false">IF(COUNTIF(medicine_master!$A$2:$A$26,C1364)&gt;0,"Valid","Invalid")</f>
        <v>Valid</v>
      </c>
      <c r="G1364" s="39" t="str">
        <f aca="false">IFERROR(INDEX(medicine_master!$B$2:$B$26,MATCH($C1364,medicine_master!$A$2:$A$26,0)),"Not found")</f>
        <v>Aspirin 75mg</v>
      </c>
      <c r="H1364" s="39" t="str">
        <f aca="false">IFERROR(INDEX(medicine_master!$C$2:$C$26,MATCH($C1364,medicine_master!$A$2:$A$26,0)),"Not found")</f>
        <v>Cardiac</v>
      </c>
      <c r="I1364" s="39" t="n">
        <f aca="false">YEAR(B1364)</f>
        <v>2026</v>
      </c>
      <c r="J1364" s="39" t="n">
        <f aca="false">MONTH(B1364)</f>
        <v>1</v>
      </c>
      <c r="K1364" s="39" t="str">
        <f aca="false">TEXT(B1364,"mmm")</f>
        <v>Jan</v>
      </c>
      <c r="L1364" s="45" t="n">
        <f aca="false">IFERROR(INDEX(medicine_master!$I$2:$I$26,MATCH($C1364,medicine_master!$A$2:$A$26,0)),0)</f>
        <v>15</v>
      </c>
      <c r="M1364" s="45" t="n">
        <f aca="false">IFERROR(INDEX(medicine_master!$G$2:$G$26,MATCH($C1364,medicine_master!$A$2:$A$26,0)),0)</f>
        <v>10</v>
      </c>
      <c r="N1364" s="45" t="n">
        <f aca="false">IF(D1364="Sale",E1364*L1364,0)</f>
        <v>0</v>
      </c>
      <c r="O1364" s="45" t="n">
        <f aca="false">IF(D1364="Sale",E1364*M1364,0)</f>
        <v>0</v>
      </c>
      <c r="P1364" s="45" t="n">
        <f aca="false">N1364-O1364</f>
        <v>0</v>
      </c>
      <c r="Q1364" s="45" t="n">
        <f aca="false">IF(D1364="Purchase",E1364*M1364,0)</f>
        <v>300</v>
      </c>
    </row>
    <row r="1365" customFormat="false" ht="15" hidden="false" customHeight="false" outlineLevel="0" collapsed="false">
      <c r="A1365" s="39" t="s">
        <v>1689</v>
      </c>
      <c r="B1365" s="44" t="n">
        <v>46292</v>
      </c>
      <c r="C1365" s="39" t="s">
        <v>145</v>
      </c>
      <c r="D1365" s="39" t="s">
        <v>137</v>
      </c>
      <c r="E1365" s="39" t="n">
        <v>25</v>
      </c>
      <c r="F1365" s="39" t="str">
        <f aca="false">IF(COUNTIF(medicine_master!$A$2:$A$26,C1365)&gt;0,"Valid","Invalid")</f>
        <v>Valid</v>
      </c>
      <c r="G1365" s="39" t="str">
        <f aca="false">IFERROR(INDEX(medicine_master!$B$2:$B$26,MATCH($C1365,medicine_master!$A$2:$A$26,0)),"Not found")</f>
        <v>Clotrimazole Cream</v>
      </c>
      <c r="H1365" s="39" t="str">
        <f aca="false">IFERROR(INDEX(medicine_master!$C$2:$C$26,MATCH($C1365,medicine_master!$A$2:$A$26,0)),"Not found")</f>
        <v>Dermatology</v>
      </c>
      <c r="I1365" s="39" t="n">
        <f aca="false">YEAR(B1365)</f>
        <v>2026</v>
      </c>
      <c r="J1365" s="39" t="n">
        <f aca="false">MONTH(B1365)</f>
        <v>9</v>
      </c>
      <c r="K1365" s="39" t="str">
        <f aca="false">TEXT(B1365,"mmm")</f>
        <v>Sep</v>
      </c>
      <c r="L1365" s="45" t="n">
        <f aca="false">IFERROR(INDEX(medicine_master!$I$2:$I$26,MATCH($C1365,medicine_master!$A$2:$A$26,0)),0)</f>
        <v>48</v>
      </c>
      <c r="M1365" s="45" t="n">
        <f aca="false">IFERROR(INDEX(medicine_master!$G$2:$G$26,MATCH($C1365,medicine_master!$A$2:$A$26,0)),0)</f>
        <v>32</v>
      </c>
      <c r="N1365" s="45" t="n">
        <f aca="false">IF(D1365="Sale",E1365*L1365,0)</f>
        <v>1200</v>
      </c>
      <c r="O1365" s="45" t="n">
        <f aca="false">IF(D1365="Sale",E1365*M1365,0)</f>
        <v>800</v>
      </c>
      <c r="P1365" s="45" t="n">
        <f aca="false">N1365-O1365</f>
        <v>400</v>
      </c>
      <c r="Q1365" s="45" t="n">
        <f aca="false">IF(D1365="Purchase",E1365*M1365,0)</f>
        <v>0</v>
      </c>
    </row>
    <row r="1366" customFormat="false" ht="15" hidden="false" customHeight="false" outlineLevel="0" collapsed="false">
      <c r="A1366" s="39" t="s">
        <v>1690</v>
      </c>
      <c r="B1366" s="44" t="n">
        <v>46052</v>
      </c>
      <c r="C1366" s="39" t="s">
        <v>404</v>
      </c>
      <c r="D1366" s="39" t="s">
        <v>137</v>
      </c>
      <c r="E1366" s="39" t="n">
        <v>40</v>
      </c>
      <c r="F1366" s="39" t="str">
        <f aca="false">IF(COUNTIF(medicine_master!$A$2:$A$26,C1366)&gt;0,"Valid","Invalid")</f>
        <v>Valid</v>
      </c>
      <c r="G1366" s="39" t="str">
        <f aca="false">IFERROR(INDEX(medicine_master!$B$2:$B$26,MATCH($C1366,medicine_master!$A$2:$A$26,0)),"Not found")</f>
        <v>ORS Sachet</v>
      </c>
      <c r="H1366" s="39" t="str">
        <f aca="false">IFERROR(INDEX(medicine_master!$C$2:$C$26,MATCH($C1366,medicine_master!$A$2:$A$26,0)),"Not found")</f>
        <v>First Aid</v>
      </c>
      <c r="I1366" s="39" t="n">
        <f aca="false">YEAR(B1366)</f>
        <v>2026</v>
      </c>
      <c r="J1366" s="39" t="n">
        <f aca="false">MONTH(B1366)</f>
        <v>1</v>
      </c>
      <c r="K1366" s="39" t="str">
        <f aca="false">TEXT(B1366,"mmm")</f>
        <v>Jan</v>
      </c>
      <c r="L1366" s="45" t="n">
        <f aca="false">IFERROR(INDEX(medicine_master!$I$2:$I$26,MATCH($C1366,medicine_master!$A$2:$A$26,0)),0)</f>
        <v>10</v>
      </c>
      <c r="M1366" s="45" t="n">
        <f aca="false">IFERROR(INDEX(medicine_master!$G$2:$G$26,MATCH($C1366,medicine_master!$A$2:$A$26,0)),0)</f>
        <v>6</v>
      </c>
      <c r="N1366" s="45" t="n">
        <f aca="false">IF(D1366="Sale",E1366*L1366,0)</f>
        <v>400</v>
      </c>
      <c r="O1366" s="45" t="n">
        <f aca="false">IF(D1366="Sale",E1366*M1366,0)</f>
        <v>240</v>
      </c>
      <c r="P1366" s="45" t="n">
        <f aca="false">N1366-O1366</f>
        <v>160</v>
      </c>
      <c r="Q1366" s="45" t="n">
        <f aca="false">IF(D1366="Purchase",E1366*M1366,0)</f>
        <v>0</v>
      </c>
    </row>
    <row r="1367" customFormat="false" ht="15" hidden="false" customHeight="false" outlineLevel="0" collapsed="false">
      <c r="A1367" s="39" t="s">
        <v>1691</v>
      </c>
      <c r="B1367" s="44" t="n">
        <v>46254</v>
      </c>
      <c r="C1367" s="39" t="s">
        <v>404</v>
      </c>
      <c r="D1367" s="39" t="s">
        <v>138</v>
      </c>
      <c r="E1367" s="39" t="n">
        <v>15</v>
      </c>
      <c r="F1367" s="39" t="str">
        <f aca="false">IF(COUNTIF(medicine_master!$A$2:$A$26,C1367)&gt;0,"Valid","Invalid")</f>
        <v>Valid</v>
      </c>
      <c r="G1367" s="39" t="str">
        <f aca="false">IFERROR(INDEX(medicine_master!$B$2:$B$26,MATCH($C1367,medicine_master!$A$2:$A$26,0)),"Not found")</f>
        <v>ORS Sachet</v>
      </c>
      <c r="H1367" s="39" t="str">
        <f aca="false">IFERROR(INDEX(medicine_master!$C$2:$C$26,MATCH($C1367,medicine_master!$A$2:$A$26,0)),"Not found")</f>
        <v>First Aid</v>
      </c>
      <c r="I1367" s="39" t="n">
        <f aca="false">YEAR(B1367)</f>
        <v>2026</v>
      </c>
      <c r="J1367" s="39" t="n">
        <f aca="false">MONTH(B1367)</f>
        <v>8</v>
      </c>
      <c r="K1367" s="39" t="str">
        <f aca="false">TEXT(B1367,"mmm")</f>
        <v>Aug</v>
      </c>
      <c r="L1367" s="45" t="n">
        <f aca="false">IFERROR(INDEX(medicine_master!$I$2:$I$26,MATCH($C1367,medicine_master!$A$2:$A$26,0)),0)</f>
        <v>10</v>
      </c>
      <c r="M1367" s="45" t="n">
        <f aca="false">IFERROR(INDEX(medicine_master!$G$2:$G$26,MATCH($C1367,medicine_master!$A$2:$A$26,0)),0)</f>
        <v>6</v>
      </c>
      <c r="N1367" s="45" t="n">
        <f aca="false">IF(D1367="Sale",E1367*L1367,0)</f>
        <v>0</v>
      </c>
      <c r="O1367" s="45" t="n">
        <f aca="false">IF(D1367="Sale",E1367*M1367,0)</f>
        <v>0</v>
      </c>
      <c r="P1367" s="45" t="n">
        <f aca="false">N1367-O1367</f>
        <v>0</v>
      </c>
      <c r="Q1367" s="45" t="n">
        <f aca="false">IF(D1367="Purchase",E1367*M1367,0)</f>
        <v>90</v>
      </c>
    </row>
    <row r="1368" customFormat="false" ht="15" hidden="false" customHeight="false" outlineLevel="0" collapsed="false">
      <c r="A1368" s="39" t="s">
        <v>1692</v>
      </c>
      <c r="B1368" s="44" t="n">
        <v>46105</v>
      </c>
      <c r="C1368" s="39" t="s">
        <v>150</v>
      </c>
      <c r="D1368" s="39" t="s">
        <v>137</v>
      </c>
      <c r="E1368" s="39" t="n">
        <v>40</v>
      </c>
      <c r="F1368" s="39" t="str">
        <f aca="false">IF(COUNTIF(medicine_master!$A$2:$A$26,C1368)&gt;0,"Valid","Invalid")</f>
        <v>Valid</v>
      </c>
      <c r="G1368" s="39" t="str">
        <f aca="false">IFERROR(INDEX(medicine_master!$B$2:$B$26,MATCH($C1368,medicine_master!$A$2:$A$26,0)),"Not found")</f>
        <v>Pantoprazole 40mg</v>
      </c>
      <c r="H1368" s="39" t="str">
        <f aca="false">IFERROR(INDEX(medicine_master!$C$2:$C$26,MATCH($C1368,medicine_master!$A$2:$A$26,0)),"Not found")</f>
        <v>Gastric</v>
      </c>
      <c r="I1368" s="39" t="n">
        <f aca="false">YEAR(B1368)</f>
        <v>2026</v>
      </c>
      <c r="J1368" s="39" t="n">
        <f aca="false">MONTH(B1368)</f>
        <v>3</v>
      </c>
      <c r="K1368" s="39" t="str">
        <f aca="false">TEXT(B1368,"mmm")</f>
        <v>Mar</v>
      </c>
      <c r="L1368" s="45" t="n">
        <f aca="false">IFERROR(INDEX(medicine_master!$I$2:$I$26,MATCH($C1368,medicine_master!$A$2:$A$26,0)),0)</f>
        <v>35</v>
      </c>
      <c r="M1368" s="45" t="n">
        <f aca="false">IFERROR(INDEX(medicine_master!$G$2:$G$26,MATCH($C1368,medicine_master!$A$2:$A$26,0)),0)</f>
        <v>24</v>
      </c>
      <c r="N1368" s="45" t="n">
        <f aca="false">IF(D1368="Sale",E1368*L1368,0)</f>
        <v>1400</v>
      </c>
      <c r="O1368" s="45" t="n">
        <f aca="false">IF(D1368="Sale",E1368*M1368,0)</f>
        <v>960</v>
      </c>
      <c r="P1368" s="45" t="n">
        <f aca="false">N1368-O1368</f>
        <v>440</v>
      </c>
      <c r="Q1368" s="45" t="n">
        <f aca="false">IF(D1368="Purchase",E1368*M1368,0)</f>
        <v>0</v>
      </c>
    </row>
    <row r="1369" customFormat="false" ht="15" hidden="false" customHeight="false" outlineLevel="0" collapsed="false">
      <c r="A1369" s="39" t="s">
        <v>1693</v>
      </c>
      <c r="B1369" s="44" t="n">
        <v>46029</v>
      </c>
      <c r="C1369" s="39" t="s">
        <v>150</v>
      </c>
      <c r="D1369" s="39" t="s">
        <v>137</v>
      </c>
      <c r="E1369" s="39" t="n">
        <v>10</v>
      </c>
      <c r="F1369" s="39" t="str">
        <f aca="false">IF(COUNTIF(medicine_master!$A$2:$A$26,C1369)&gt;0,"Valid","Invalid")</f>
        <v>Valid</v>
      </c>
      <c r="G1369" s="39" t="str">
        <f aca="false">IFERROR(INDEX(medicine_master!$B$2:$B$26,MATCH($C1369,medicine_master!$A$2:$A$26,0)),"Not found")</f>
        <v>Pantoprazole 40mg</v>
      </c>
      <c r="H1369" s="39" t="str">
        <f aca="false">IFERROR(INDEX(medicine_master!$C$2:$C$26,MATCH($C1369,medicine_master!$A$2:$A$26,0)),"Not found")</f>
        <v>Gastric</v>
      </c>
      <c r="I1369" s="39" t="n">
        <f aca="false">YEAR(B1369)</f>
        <v>2026</v>
      </c>
      <c r="J1369" s="39" t="n">
        <f aca="false">MONTH(B1369)</f>
        <v>1</v>
      </c>
      <c r="K1369" s="39" t="str">
        <f aca="false">TEXT(B1369,"mmm")</f>
        <v>Jan</v>
      </c>
      <c r="L1369" s="45" t="n">
        <f aca="false">IFERROR(INDEX(medicine_master!$I$2:$I$26,MATCH($C1369,medicine_master!$A$2:$A$26,0)),0)</f>
        <v>35</v>
      </c>
      <c r="M1369" s="45" t="n">
        <f aca="false">IFERROR(INDEX(medicine_master!$G$2:$G$26,MATCH($C1369,medicine_master!$A$2:$A$26,0)),0)</f>
        <v>24</v>
      </c>
      <c r="N1369" s="45" t="n">
        <f aca="false">IF(D1369="Sale",E1369*L1369,0)</f>
        <v>350</v>
      </c>
      <c r="O1369" s="45" t="n">
        <f aca="false">IF(D1369="Sale",E1369*M1369,0)</f>
        <v>240</v>
      </c>
      <c r="P1369" s="45" t="n">
        <f aca="false">N1369-O1369</f>
        <v>110</v>
      </c>
      <c r="Q1369" s="45" t="n">
        <f aca="false">IF(D1369="Purchase",E1369*M1369,0)</f>
        <v>0</v>
      </c>
    </row>
    <row r="1370" customFormat="false" ht="15" hidden="false" customHeight="false" outlineLevel="0" collapsed="false">
      <c r="A1370" s="39" t="s">
        <v>1694</v>
      </c>
      <c r="B1370" s="44" t="n">
        <v>46237</v>
      </c>
      <c r="C1370" s="39" t="s">
        <v>158</v>
      </c>
      <c r="D1370" s="39" t="s">
        <v>137</v>
      </c>
      <c r="E1370" s="39" t="n">
        <v>15</v>
      </c>
      <c r="F1370" s="39" t="str">
        <f aca="false">IF(COUNTIF(medicine_master!$A$2:$A$26,C1370)&gt;0,"Valid","Invalid")</f>
        <v>Valid</v>
      </c>
      <c r="G1370" s="39" t="str">
        <f aca="false">IFERROR(INDEX(medicine_master!$B$2:$B$26,MATCH($C1370,medicine_master!$A$2:$A$26,0)),"Not found")</f>
        <v>Cough Syrup 100ml</v>
      </c>
      <c r="H1370" s="39" t="str">
        <f aca="false">IFERROR(INDEX(medicine_master!$C$2:$C$26,MATCH($C1370,medicine_master!$A$2:$A$26,0)),"Not found")</f>
        <v>Cold &amp; Cough</v>
      </c>
      <c r="I1370" s="39" t="n">
        <f aca="false">YEAR(B1370)</f>
        <v>2026</v>
      </c>
      <c r="J1370" s="39" t="n">
        <f aca="false">MONTH(B1370)</f>
        <v>8</v>
      </c>
      <c r="K1370" s="39" t="str">
        <f aca="false">TEXT(B1370,"mmm")</f>
        <v>Aug</v>
      </c>
      <c r="L1370" s="45" t="n">
        <f aca="false">IFERROR(INDEX(medicine_master!$I$2:$I$26,MATCH($C1370,medicine_master!$A$2:$A$26,0)),0)</f>
        <v>72</v>
      </c>
      <c r="M1370" s="45" t="n">
        <f aca="false">IFERROR(INDEX(medicine_master!$G$2:$G$26,MATCH($C1370,medicine_master!$A$2:$A$26,0)),0)</f>
        <v>52</v>
      </c>
      <c r="N1370" s="45" t="n">
        <f aca="false">IF(D1370="Sale",E1370*L1370,0)</f>
        <v>1080</v>
      </c>
      <c r="O1370" s="45" t="n">
        <f aca="false">IF(D1370="Sale",E1370*M1370,0)</f>
        <v>780</v>
      </c>
      <c r="P1370" s="45" t="n">
        <f aca="false">N1370-O1370</f>
        <v>300</v>
      </c>
      <c r="Q1370" s="45" t="n">
        <f aca="false">IF(D1370="Purchase",E1370*M1370,0)</f>
        <v>0</v>
      </c>
    </row>
    <row r="1371" customFormat="false" ht="15" hidden="false" customHeight="false" outlineLevel="0" collapsed="false">
      <c r="A1371" s="39" t="s">
        <v>1695</v>
      </c>
      <c r="B1371" s="44" t="n">
        <v>46359</v>
      </c>
      <c r="C1371" s="39" t="s">
        <v>153</v>
      </c>
      <c r="D1371" s="39" t="s">
        <v>137</v>
      </c>
      <c r="E1371" s="39" t="n">
        <v>20</v>
      </c>
      <c r="F1371" s="39" t="str">
        <f aca="false">IF(COUNTIF(medicine_master!$A$2:$A$26,C1371)&gt;0,"Valid","Invalid")</f>
        <v>Valid</v>
      </c>
      <c r="G1371" s="39" t="str">
        <f aca="false">IFERROR(INDEX(medicine_master!$B$2:$B$26,MATCH($C1371,medicine_master!$A$2:$A$26,0)),"Not found")</f>
        <v>Atorvastatin 10mg</v>
      </c>
      <c r="H1371" s="39" t="str">
        <f aca="false">IFERROR(INDEX(medicine_master!$C$2:$C$26,MATCH($C1371,medicine_master!$A$2:$A$26,0)),"Not found")</f>
        <v>Cardiac</v>
      </c>
      <c r="I1371" s="39" t="n">
        <f aca="false">YEAR(B1371)</f>
        <v>2026</v>
      </c>
      <c r="J1371" s="39" t="n">
        <f aca="false">MONTH(B1371)</f>
        <v>12</v>
      </c>
      <c r="K1371" s="39" t="str">
        <f aca="false">TEXT(B1371,"mmm")</f>
        <v>Dec</v>
      </c>
      <c r="L1371" s="45" t="n">
        <f aca="false">IFERROR(INDEX(medicine_master!$I$2:$I$26,MATCH($C1371,medicine_master!$A$2:$A$26,0)),0)</f>
        <v>28</v>
      </c>
      <c r="M1371" s="45" t="n">
        <f aca="false">IFERROR(INDEX(medicine_master!$G$2:$G$26,MATCH($C1371,medicine_master!$A$2:$A$26,0)),0)</f>
        <v>19</v>
      </c>
      <c r="N1371" s="45" t="n">
        <f aca="false">IF(D1371="Sale",E1371*L1371,0)</f>
        <v>560</v>
      </c>
      <c r="O1371" s="45" t="n">
        <f aca="false">IF(D1371="Sale",E1371*M1371,0)</f>
        <v>380</v>
      </c>
      <c r="P1371" s="45" t="n">
        <f aca="false">N1371-O1371</f>
        <v>180</v>
      </c>
      <c r="Q1371" s="45" t="n">
        <f aca="false">IF(D1371="Purchase",E1371*M1371,0)</f>
        <v>0</v>
      </c>
    </row>
    <row r="1372" customFormat="false" ht="15" hidden="false" customHeight="false" outlineLevel="0" collapsed="false">
      <c r="A1372" s="39" t="s">
        <v>1696</v>
      </c>
      <c r="B1372" s="44" t="n">
        <v>46137</v>
      </c>
      <c r="C1372" s="39" t="s">
        <v>179</v>
      </c>
      <c r="D1372" s="39" t="s">
        <v>138</v>
      </c>
      <c r="E1372" s="39" t="n">
        <v>10</v>
      </c>
      <c r="F1372" s="39" t="str">
        <f aca="false">IF(COUNTIF(medicine_master!$A$2:$A$26,C1372)&gt;0,"Valid","Invalid")</f>
        <v>Valid</v>
      </c>
      <c r="G1372" s="39" t="str">
        <f aca="false">IFERROR(INDEX(medicine_master!$B$2:$B$26,MATCH($C1372,medicine_master!$A$2:$A$26,0)),"Not found")</f>
        <v>Ibuprofen 400mg</v>
      </c>
      <c r="H1372" s="39" t="str">
        <f aca="false">IFERROR(INDEX(medicine_master!$C$2:$C$26,MATCH($C1372,medicine_master!$A$2:$A$26,0)),"Not found")</f>
        <v>Pain Relief</v>
      </c>
      <c r="I1372" s="39" t="n">
        <f aca="false">YEAR(B1372)</f>
        <v>2026</v>
      </c>
      <c r="J1372" s="39" t="n">
        <f aca="false">MONTH(B1372)</f>
        <v>4</v>
      </c>
      <c r="K1372" s="39" t="str">
        <f aca="false">TEXT(B1372,"mmm")</f>
        <v>Apr</v>
      </c>
      <c r="L1372" s="45" t="n">
        <f aca="false">IFERROR(INDEX(medicine_master!$I$2:$I$26,MATCH($C1372,medicine_master!$A$2:$A$26,0)),0)</f>
        <v>30</v>
      </c>
      <c r="M1372" s="45" t="n">
        <f aca="false">IFERROR(INDEX(medicine_master!$G$2:$G$26,MATCH($C1372,medicine_master!$A$2:$A$26,0)),0)</f>
        <v>22</v>
      </c>
      <c r="N1372" s="45" t="n">
        <f aca="false">IF(D1372="Sale",E1372*L1372,0)</f>
        <v>0</v>
      </c>
      <c r="O1372" s="45" t="n">
        <f aca="false">IF(D1372="Sale",E1372*M1372,0)</f>
        <v>0</v>
      </c>
      <c r="P1372" s="45" t="n">
        <f aca="false">N1372-O1372</f>
        <v>0</v>
      </c>
      <c r="Q1372" s="45" t="n">
        <f aca="false">IF(D1372="Purchase",E1372*M1372,0)</f>
        <v>220</v>
      </c>
    </row>
    <row r="1373" customFormat="false" ht="15" hidden="false" customHeight="false" outlineLevel="0" collapsed="false">
      <c r="A1373" s="39" t="s">
        <v>1697</v>
      </c>
      <c r="B1373" s="44" t="n">
        <v>46211</v>
      </c>
      <c r="C1373" s="39" t="s">
        <v>153</v>
      </c>
      <c r="D1373" s="39" t="s">
        <v>137</v>
      </c>
      <c r="E1373" s="39" t="n">
        <v>10</v>
      </c>
      <c r="F1373" s="39" t="str">
        <f aca="false">IF(COUNTIF(medicine_master!$A$2:$A$26,C1373)&gt;0,"Valid","Invalid")</f>
        <v>Valid</v>
      </c>
      <c r="G1373" s="39" t="str">
        <f aca="false">IFERROR(INDEX(medicine_master!$B$2:$B$26,MATCH($C1373,medicine_master!$A$2:$A$26,0)),"Not found")</f>
        <v>Atorvastatin 10mg</v>
      </c>
      <c r="H1373" s="39" t="str">
        <f aca="false">IFERROR(INDEX(medicine_master!$C$2:$C$26,MATCH($C1373,medicine_master!$A$2:$A$26,0)),"Not found")</f>
        <v>Cardiac</v>
      </c>
      <c r="I1373" s="39" t="n">
        <f aca="false">YEAR(B1373)</f>
        <v>2026</v>
      </c>
      <c r="J1373" s="39" t="n">
        <f aca="false">MONTH(B1373)</f>
        <v>7</v>
      </c>
      <c r="K1373" s="39" t="str">
        <f aca="false">TEXT(B1373,"mmm")</f>
        <v>Jul</v>
      </c>
      <c r="L1373" s="45" t="n">
        <f aca="false">IFERROR(INDEX(medicine_master!$I$2:$I$26,MATCH($C1373,medicine_master!$A$2:$A$26,0)),0)</f>
        <v>28</v>
      </c>
      <c r="M1373" s="45" t="n">
        <f aca="false">IFERROR(INDEX(medicine_master!$G$2:$G$26,MATCH($C1373,medicine_master!$A$2:$A$26,0)),0)</f>
        <v>19</v>
      </c>
      <c r="N1373" s="45" t="n">
        <f aca="false">IF(D1373="Sale",E1373*L1373,0)</f>
        <v>280</v>
      </c>
      <c r="O1373" s="45" t="n">
        <f aca="false">IF(D1373="Sale",E1373*M1373,0)</f>
        <v>190</v>
      </c>
      <c r="P1373" s="45" t="n">
        <f aca="false">N1373-O1373</f>
        <v>90</v>
      </c>
      <c r="Q1373" s="45" t="n">
        <f aca="false">IF(D1373="Purchase",E1373*M1373,0)</f>
        <v>0</v>
      </c>
    </row>
    <row r="1374" customFormat="false" ht="15" hidden="false" customHeight="false" outlineLevel="0" collapsed="false">
      <c r="A1374" s="39" t="s">
        <v>1698</v>
      </c>
      <c r="B1374" s="44" t="n">
        <v>46076</v>
      </c>
      <c r="C1374" s="39" t="s">
        <v>147</v>
      </c>
      <c r="D1374" s="39" t="s">
        <v>138</v>
      </c>
      <c r="E1374" s="39" t="n">
        <v>50</v>
      </c>
      <c r="F1374" s="39" t="str">
        <f aca="false">IF(COUNTIF(medicine_master!$A$2:$A$26,C1374)&gt;0,"Valid","Invalid")</f>
        <v>Valid</v>
      </c>
      <c r="G1374" s="39" t="str">
        <f aca="false">IFERROR(INDEX(medicine_master!$B$2:$B$26,MATCH($C1374,medicine_master!$A$2:$A$26,0)),"Not found")</f>
        <v>Insulin Injection</v>
      </c>
      <c r="H1374" s="39" t="str">
        <f aca="false">IFERROR(INDEX(medicine_master!$C$2:$C$26,MATCH($C1374,medicine_master!$A$2:$A$26,0)),"Not found")</f>
        <v>Diabetes</v>
      </c>
      <c r="I1374" s="39" t="n">
        <f aca="false">YEAR(B1374)</f>
        <v>2026</v>
      </c>
      <c r="J1374" s="39" t="n">
        <f aca="false">MONTH(B1374)</f>
        <v>2</v>
      </c>
      <c r="K1374" s="39" t="str">
        <f aca="false">TEXT(B1374,"mmm")</f>
        <v>Feb</v>
      </c>
      <c r="L1374" s="45" t="n">
        <f aca="false">IFERROR(INDEX(medicine_master!$I$2:$I$26,MATCH($C1374,medicine_master!$A$2:$A$26,0)),0)</f>
        <v>225</v>
      </c>
      <c r="M1374" s="45" t="n">
        <f aca="false">IFERROR(INDEX(medicine_master!$G$2:$G$26,MATCH($C1374,medicine_master!$A$2:$A$26,0)),0)</f>
        <v>165</v>
      </c>
      <c r="N1374" s="45" t="n">
        <f aca="false">IF(D1374="Sale",E1374*L1374,0)</f>
        <v>0</v>
      </c>
      <c r="O1374" s="45" t="n">
        <f aca="false">IF(D1374="Sale",E1374*M1374,0)</f>
        <v>0</v>
      </c>
      <c r="P1374" s="45" t="n">
        <f aca="false">N1374-O1374</f>
        <v>0</v>
      </c>
      <c r="Q1374" s="45" t="n">
        <f aca="false">IF(D1374="Purchase",E1374*M1374,0)</f>
        <v>8250</v>
      </c>
    </row>
    <row r="1375" customFormat="false" ht="15" hidden="false" customHeight="false" outlineLevel="0" collapsed="false">
      <c r="A1375" s="39" t="s">
        <v>1699</v>
      </c>
      <c r="B1375" s="44" t="n">
        <v>46201</v>
      </c>
      <c r="C1375" s="39" t="s">
        <v>146</v>
      </c>
      <c r="D1375" s="39" t="s">
        <v>138</v>
      </c>
      <c r="E1375" s="39" t="n">
        <v>30</v>
      </c>
      <c r="F1375" s="39" t="str">
        <f aca="false">IF(COUNTIF(medicine_master!$A$2:$A$26,C1375)&gt;0,"Valid","Invalid")</f>
        <v>Valid</v>
      </c>
      <c r="G1375" s="39" t="str">
        <f aca="false">IFERROR(INDEX(medicine_master!$B$2:$B$26,MATCH($C1375,medicine_master!$A$2:$A$26,0)),"Not found")</f>
        <v>Diclofenac Gel</v>
      </c>
      <c r="H1375" s="39" t="str">
        <f aca="false">IFERROR(INDEX(medicine_master!$C$2:$C$26,MATCH($C1375,medicine_master!$A$2:$A$26,0)),"Not found")</f>
        <v>Pain Relief</v>
      </c>
      <c r="I1375" s="39" t="n">
        <f aca="false">YEAR(B1375)</f>
        <v>2026</v>
      </c>
      <c r="J1375" s="39" t="n">
        <f aca="false">MONTH(B1375)</f>
        <v>6</v>
      </c>
      <c r="K1375" s="39" t="str">
        <f aca="false">TEXT(B1375,"mmm")</f>
        <v>Jun</v>
      </c>
      <c r="L1375" s="45" t="n">
        <f aca="false">IFERROR(INDEX(medicine_master!$I$2:$I$26,MATCH($C1375,medicine_master!$A$2:$A$26,0)),0)</f>
        <v>55</v>
      </c>
      <c r="M1375" s="45" t="n">
        <f aca="false">IFERROR(INDEX(medicine_master!$G$2:$G$26,MATCH($C1375,medicine_master!$A$2:$A$26,0)),0)</f>
        <v>38</v>
      </c>
      <c r="N1375" s="45" t="n">
        <f aca="false">IF(D1375="Sale",E1375*L1375,0)</f>
        <v>0</v>
      </c>
      <c r="O1375" s="45" t="n">
        <f aca="false">IF(D1375="Sale",E1375*M1375,0)</f>
        <v>0</v>
      </c>
      <c r="P1375" s="45" t="n">
        <f aca="false">N1375-O1375</f>
        <v>0</v>
      </c>
      <c r="Q1375" s="45" t="n">
        <f aca="false">IF(D1375="Purchase",E1375*M1375,0)</f>
        <v>1140</v>
      </c>
    </row>
    <row r="1376" customFormat="false" ht="15" hidden="false" customHeight="false" outlineLevel="0" collapsed="false">
      <c r="A1376" s="39" t="s">
        <v>1700</v>
      </c>
      <c r="B1376" s="44" t="n">
        <v>46349</v>
      </c>
      <c r="C1376" s="39" t="s">
        <v>326</v>
      </c>
      <c r="D1376" s="39" t="s">
        <v>137</v>
      </c>
      <c r="E1376" s="39" t="n">
        <v>25</v>
      </c>
      <c r="F1376" s="39" t="str">
        <f aca="false">IF(COUNTIF(medicine_master!$A$2:$A$26,C1376)&gt;0,"Valid","Invalid")</f>
        <v>Valid</v>
      </c>
      <c r="G1376" s="39" t="str">
        <f aca="false">IFERROR(INDEX(medicine_master!$B$2:$B$26,MATCH($C1376,medicine_master!$A$2:$A$26,0)),"Not found")</f>
        <v>Omeprazole 20mg</v>
      </c>
      <c r="H1376" s="39" t="str">
        <f aca="false">IFERROR(INDEX(medicine_master!$C$2:$C$26,MATCH($C1376,medicine_master!$A$2:$A$26,0)),"Not found")</f>
        <v>Gastric</v>
      </c>
      <c r="I1376" s="39" t="n">
        <f aca="false">YEAR(B1376)</f>
        <v>2026</v>
      </c>
      <c r="J1376" s="39" t="n">
        <f aca="false">MONTH(B1376)</f>
        <v>11</v>
      </c>
      <c r="K1376" s="39" t="str">
        <f aca="false">TEXT(B1376,"mmm")</f>
        <v>Nov</v>
      </c>
      <c r="L1376" s="45" t="n">
        <f aca="false">IFERROR(INDEX(medicine_master!$I$2:$I$26,MATCH($C1376,medicine_master!$A$2:$A$26,0)),0)</f>
        <v>26</v>
      </c>
      <c r="M1376" s="45" t="n">
        <f aca="false">IFERROR(INDEX(medicine_master!$G$2:$G$26,MATCH($C1376,medicine_master!$A$2:$A$26,0)),0)</f>
        <v>18</v>
      </c>
      <c r="N1376" s="45" t="n">
        <f aca="false">IF(D1376="Sale",E1376*L1376,0)</f>
        <v>650</v>
      </c>
      <c r="O1376" s="45" t="n">
        <f aca="false">IF(D1376="Sale",E1376*M1376,0)</f>
        <v>450</v>
      </c>
      <c r="P1376" s="45" t="n">
        <f aca="false">N1376-O1376</f>
        <v>200</v>
      </c>
      <c r="Q1376" s="45" t="n">
        <f aca="false">IF(D1376="Purchase",E1376*M1376,0)</f>
        <v>0</v>
      </c>
    </row>
    <row r="1377" customFormat="false" ht="15" hidden="false" customHeight="false" outlineLevel="0" collapsed="false">
      <c r="A1377" s="39" t="s">
        <v>1701</v>
      </c>
      <c r="B1377" s="44" t="n">
        <v>46222</v>
      </c>
      <c r="C1377" s="39" t="s">
        <v>147</v>
      </c>
      <c r="D1377" s="39" t="s">
        <v>137</v>
      </c>
      <c r="E1377" s="39" t="n">
        <v>25</v>
      </c>
      <c r="F1377" s="39" t="str">
        <f aca="false">IF(COUNTIF(medicine_master!$A$2:$A$26,C1377)&gt;0,"Valid","Invalid")</f>
        <v>Valid</v>
      </c>
      <c r="G1377" s="39" t="str">
        <f aca="false">IFERROR(INDEX(medicine_master!$B$2:$B$26,MATCH($C1377,medicine_master!$A$2:$A$26,0)),"Not found")</f>
        <v>Insulin Injection</v>
      </c>
      <c r="H1377" s="39" t="str">
        <f aca="false">IFERROR(INDEX(medicine_master!$C$2:$C$26,MATCH($C1377,medicine_master!$A$2:$A$26,0)),"Not found")</f>
        <v>Diabetes</v>
      </c>
      <c r="I1377" s="39" t="n">
        <f aca="false">YEAR(B1377)</f>
        <v>2026</v>
      </c>
      <c r="J1377" s="39" t="n">
        <f aca="false">MONTH(B1377)</f>
        <v>7</v>
      </c>
      <c r="K1377" s="39" t="str">
        <f aca="false">TEXT(B1377,"mmm")</f>
        <v>Jul</v>
      </c>
      <c r="L1377" s="45" t="n">
        <f aca="false">IFERROR(INDEX(medicine_master!$I$2:$I$26,MATCH($C1377,medicine_master!$A$2:$A$26,0)),0)</f>
        <v>225</v>
      </c>
      <c r="M1377" s="45" t="n">
        <f aca="false">IFERROR(INDEX(medicine_master!$G$2:$G$26,MATCH($C1377,medicine_master!$A$2:$A$26,0)),0)</f>
        <v>165</v>
      </c>
      <c r="N1377" s="45" t="n">
        <f aca="false">IF(D1377="Sale",E1377*L1377,0)</f>
        <v>5625</v>
      </c>
      <c r="O1377" s="45" t="n">
        <f aca="false">IF(D1377="Sale",E1377*M1377,0)</f>
        <v>4125</v>
      </c>
      <c r="P1377" s="45" t="n">
        <f aca="false">N1377-O1377</f>
        <v>1500</v>
      </c>
      <c r="Q1377" s="45" t="n">
        <f aca="false">IF(D1377="Purchase",E1377*M1377,0)</f>
        <v>0</v>
      </c>
    </row>
    <row r="1378" customFormat="false" ht="15" hidden="false" customHeight="false" outlineLevel="0" collapsed="false">
      <c r="A1378" s="39" t="s">
        <v>1702</v>
      </c>
      <c r="B1378" s="44" t="n">
        <v>46268</v>
      </c>
      <c r="C1378" s="39" t="s">
        <v>167</v>
      </c>
      <c r="D1378" s="39" t="s">
        <v>138</v>
      </c>
      <c r="E1378" s="39" t="n">
        <v>30</v>
      </c>
      <c r="F1378" s="39" t="str">
        <f aca="false">IF(COUNTIF(medicine_master!$A$2:$A$26,C1378)&gt;0,"Valid","Invalid")</f>
        <v>Valid</v>
      </c>
      <c r="G1378" s="39" t="str">
        <f aca="false">IFERROR(INDEX(medicine_master!$B$2:$B$26,MATCH($C1378,medicine_master!$A$2:$A$26,0)),"Not found")</f>
        <v>Amlodipine 5mg</v>
      </c>
      <c r="H1378" s="39" t="str">
        <f aca="false">IFERROR(INDEX(medicine_master!$C$2:$C$26,MATCH($C1378,medicine_master!$A$2:$A$26,0)),"Not found")</f>
        <v>Cardiac</v>
      </c>
      <c r="I1378" s="39" t="n">
        <f aca="false">YEAR(B1378)</f>
        <v>2026</v>
      </c>
      <c r="J1378" s="39" t="n">
        <f aca="false">MONTH(B1378)</f>
        <v>9</v>
      </c>
      <c r="K1378" s="39" t="str">
        <f aca="false">TEXT(B1378,"mmm")</f>
        <v>Sep</v>
      </c>
      <c r="L1378" s="45" t="n">
        <f aca="false">IFERROR(INDEX(medicine_master!$I$2:$I$26,MATCH($C1378,medicine_master!$A$2:$A$26,0)),0)</f>
        <v>19</v>
      </c>
      <c r="M1378" s="45" t="n">
        <f aca="false">IFERROR(INDEX(medicine_master!$G$2:$G$26,MATCH($C1378,medicine_master!$A$2:$A$26,0)),0)</f>
        <v>13</v>
      </c>
      <c r="N1378" s="45" t="n">
        <f aca="false">IF(D1378="Sale",E1378*L1378,0)</f>
        <v>0</v>
      </c>
      <c r="O1378" s="45" t="n">
        <f aca="false">IF(D1378="Sale",E1378*M1378,0)</f>
        <v>0</v>
      </c>
      <c r="P1378" s="45" t="n">
        <f aca="false">N1378-O1378</f>
        <v>0</v>
      </c>
      <c r="Q1378" s="45" t="n">
        <f aca="false">IF(D1378="Purchase",E1378*M1378,0)</f>
        <v>390</v>
      </c>
    </row>
    <row r="1379" customFormat="false" ht="15" hidden="false" customHeight="false" outlineLevel="0" collapsed="false">
      <c r="A1379" s="39" t="s">
        <v>1703</v>
      </c>
      <c r="B1379" s="44" t="n">
        <v>46241</v>
      </c>
      <c r="C1379" s="39" t="s">
        <v>177</v>
      </c>
      <c r="D1379" s="39" t="s">
        <v>137</v>
      </c>
      <c r="E1379" s="39" t="n">
        <v>20</v>
      </c>
      <c r="F1379" s="39" t="str">
        <f aca="false">IF(COUNTIF(medicine_master!$A$2:$A$26,C1379)&gt;0,"Valid","Invalid")</f>
        <v>Valid</v>
      </c>
      <c r="G1379" s="39" t="str">
        <f aca="false">IFERROR(INDEX(medicine_master!$B$2:$B$26,MATCH($C1379,medicine_master!$A$2:$A$26,0)),"Not found")</f>
        <v>Bandage Roll</v>
      </c>
      <c r="H1379" s="39" t="str">
        <f aca="false">IFERROR(INDEX(medicine_master!$C$2:$C$26,MATCH($C1379,medicine_master!$A$2:$A$26,0)),"Not found")</f>
        <v>First Aid</v>
      </c>
      <c r="I1379" s="39" t="n">
        <f aca="false">YEAR(B1379)</f>
        <v>2026</v>
      </c>
      <c r="J1379" s="39" t="n">
        <f aca="false">MONTH(B1379)</f>
        <v>8</v>
      </c>
      <c r="K1379" s="39" t="str">
        <f aca="false">TEXT(B1379,"mmm")</f>
        <v>Aug</v>
      </c>
      <c r="L1379" s="45" t="n">
        <f aca="false">IFERROR(INDEX(medicine_master!$I$2:$I$26,MATCH($C1379,medicine_master!$A$2:$A$26,0)),0)</f>
        <v>25</v>
      </c>
      <c r="M1379" s="45" t="n">
        <f aca="false">IFERROR(INDEX(medicine_master!$G$2:$G$26,MATCH($C1379,medicine_master!$A$2:$A$26,0)),0)</f>
        <v>15</v>
      </c>
      <c r="N1379" s="45" t="n">
        <f aca="false">IF(D1379="Sale",E1379*L1379,0)</f>
        <v>500</v>
      </c>
      <c r="O1379" s="45" t="n">
        <f aca="false">IF(D1379="Sale",E1379*M1379,0)</f>
        <v>300</v>
      </c>
      <c r="P1379" s="45" t="n">
        <f aca="false">N1379-O1379</f>
        <v>200</v>
      </c>
      <c r="Q1379" s="45" t="n">
        <f aca="false">IF(D1379="Purchase",E1379*M1379,0)</f>
        <v>0</v>
      </c>
    </row>
    <row r="1380" customFormat="false" ht="15" hidden="false" customHeight="false" outlineLevel="0" collapsed="false">
      <c r="A1380" s="39" t="s">
        <v>1704</v>
      </c>
      <c r="B1380" s="44" t="n">
        <v>46063</v>
      </c>
      <c r="C1380" s="39" t="s">
        <v>495</v>
      </c>
      <c r="D1380" s="39" t="s">
        <v>137</v>
      </c>
      <c r="E1380" s="39" t="n">
        <v>25</v>
      </c>
      <c r="F1380" s="39" t="str">
        <f aca="false">IF(COUNTIF(medicine_master!$A$2:$A$26,C1380)&gt;0,"Valid","Invalid")</f>
        <v>Valid</v>
      </c>
      <c r="G1380" s="39" t="str">
        <f aca="false">IFERROR(INDEX(medicine_master!$B$2:$B$26,MATCH($C1380,medicine_master!$A$2:$A$26,0)),"Not found")</f>
        <v>Metformin 500mg</v>
      </c>
      <c r="H1380" s="39" t="str">
        <f aca="false">IFERROR(INDEX(medicine_master!$C$2:$C$26,MATCH($C1380,medicine_master!$A$2:$A$26,0)),"Not found")</f>
        <v>Diabetes</v>
      </c>
      <c r="I1380" s="39" t="n">
        <f aca="false">YEAR(B1380)</f>
        <v>2026</v>
      </c>
      <c r="J1380" s="39" t="n">
        <f aca="false">MONTH(B1380)</f>
        <v>2</v>
      </c>
      <c r="K1380" s="39" t="str">
        <f aca="false">TEXT(B1380,"mmm")</f>
        <v>Feb</v>
      </c>
      <c r="L1380" s="45" t="n">
        <f aca="false">IFERROR(INDEX(medicine_master!$I$2:$I$26,MATCH($C1380,medicine_master!$A$2:$A$26,0)),0)</f>
        <v>24</v>
      </c>
      <c r="M1380" s="45" t="n">
        <f aca="false">IFERROR(INDEX(medicine_master!$G$2:$G$26,MATCH($C1380,medicine_master!$A$2:$A$26,0)),0)</f>
        <v>16</v>
      </c>
      <c r="N1380" s="45" t="n">
        <f aca="false">IF(D1380="Sale",E1380*L1380,0)</f>
        <v>600</v>
      </c>
      <c r="O1380" s="45" t="n">
        <f aca="false">IF(D1380="Sale",E1380*M1380,0)</f>
        <v>400</v>
      </c>
      <c r="P1380" s="45" t="n">
        <f aca="false">N1380-O1380</f>
        <v>200</v>
      </c>
      <c r="Q1380" s="45" t="n">
        <f aca="false">IF(D1380="Purchase",E1380*M1380,0)</f>
        <v>0</v>
      </c>
    </row>
    <row r="1381" customFormat="false" ht="15" hidden="false" customHeight="false" outlineLevel="0" collapsed="false">
      <c r="A1381" s="39" t="s">
        <v>1705</v>
      </c>
      <c r="B1381" s="44" t="n">
        <v>46085</v>
      </c>
      <c r="C1381" s="39" t="s">
        <v>149</v>
      </c>
      <c r="D1381" s="39" t="s">
        <v>137</v>
      </c>
      <c r="E1381" s="39" t="n">
        <v>15</v>
      </c>
      <c r="F1381" s="39" t="str">
        <f aca="false">IF(COUNTIF(medicine_master!$A$2:$A$26,C1381)&gt;0,"Valid","Invalid")</f>
        <v>Valid</v>
      </c>
      <c r="G1381" s="39" t="str">
        <f aca="false">IFERROR(INDEX(medicine_master!$B$2:$B$26,MATCH($C1381,medicine_master!$A$2:$A$26,0)),"Not found")</f>
        <v>Azithromycin 500mg</v>
      </c>
      <c r="H1381" s="39" t="str">
        <f aca="false">IFERROR(INDEX(medicine_master!$C$2:$C$26,MATCH($C1381,medicine_master!$A$2:$A$26,0)),"Not found")</f>
        <v>Antibiotic</v>
      </c>
      <c r="I1381" s="39" t="n">
        <f aca="false">YEAR(B1381)</f>
        <v>2026</v>
      </c>
      <c r="J1381" s="39" t="n">
        <f aca="false">MONTH(B1381)</f>
        <v>3</v>
      </c>
      <c r="K1381" s="39" t="str">
        <f aca="false">TEXT(B1381,"mmm")</f>
        <v>Mar</v>
      </c>
      <c r="L1381" s="45" t="n">
        <f aca="false">IFERROR(INDEX(medicine_master!$I$2:$I$26,MATCH($C1381,medicine_master!$A$2:$A$26,0)),0)</f>
        <v>50</v>
      </c>
      <c r="M1381" s="45" t="n">
        <f aca="false">IFERROR(INDEX(medicine_master!$G$2:$G$26,MATCH($C1381,medicine_master!$A$2:$A$26,0)),0)</f>
        <v>35</v>
      </c>
      <c r="N1381" s="45" t="n">
        <f aca="false">IF(D1381="Sale",E1381*L1381,0)</f>
        <v>750</v>
      </c>
      <c r="O1381" s="45" t="n">
        <f aca="false">IF(D1381="Sale",E1381*M1381,0)</f>
        <v>525</v>
      </c>
      <c r="P1381" s="45" t="n">
        <f aca="false">N1381-O1381</f>
        <v>225</v>
      </c>
      <c r="Q1381" s="45" t="n">
        <f aca="false">IF(D1381="Purchase",E1381*M1381,0)</f>
        <v>0</v>
      </c>
    </row>
    <row r="1382" customFormat="false" ht="15" hidden="false" customHeight="false" outlineLevel="0" collapsed="false">
      <c r="A1382" s="39" t="s">
        <v>1706</v>
      </c>
      <c r="B1382" s="44" t="n">
        <v>46231</v>
      </c>
      <c r="C1382" s="39" t="s">
        <v>151</v>
      </c>
      <c r="D1382" s="39" t="s">
        <v>137</v>
      </c>
      <c r="E1382" s="39" t="n">
        <v>50</v>
      </c>
      <c r="F1382" s="39" t="str">
        <f aca="false">IF(COUNTIF(medicine_master!$A$2:$A$26,C1382)&gt;0,"Valid","Invalid")</f>
        <v>Valid</v>
      </c>
      <c r="G1382" s="39" t="str">
        <f aca="false">IFERROR(INDEX(medicine_master!$B$2:$B$26,MATCH($C1382,medicine_master!$A$2:$A$26,0)),"Not found")</f>
        <v>Cetirizine 10mg</v>
      </c>
      <c r="H1382" s="39" t="str">
        <f aca="false">IFERROR(INDEX(medicine_master!$C$2:$C$26,MATCH($C1382,medicine_master!$A$2:$A$26,0)),"Not found")</f>
        <v>Allergy</v>
      </c>
      <c r="I1382" s="39" t="n">
        <f aca="false">YEAR(B1382)</f>
        <v>2026</v>
      </c>
      <c r="J1382" s="39" t="n">
        <f aca="false">MONTH(B1382)</f>
        <v>7</v>
      </c>
      <c r="K1382" s="39" t="str">
        <f aca="false">TEXT(B1382,"mmm")</f>
        <v>Jul</v>
      </c>
      <c r="L1382" s="45" t="n">
        <f aca="false">IFERROR(INDEX(medicine_master!$I$2:$I$26,MATCH($C1382,medicine_master!$A$2:$A$26,0)),0)</f>
        <v>13</v>
      </c>
      <c r="M1382" s="45" t="n">
        <f aca="false">IFERROR(INDEX(medicine_master!$G$2:$G$26,MATCH($C1382,medicine_master!$A$2:$A$26,0)),0)</f>
        <v>8</v>
      </c>
      <c r="N1382" s="45" t="n">
        <f aca="false">IF(D1382="Sale",E1382*L1382,0)</f>
        <v>650</v>
      </c>
      <c r="O1382" s="45" t="n">
        <f aca="false">IF(D1382="Sale",E1382*M1382,0)</f>
        <v>400</v>
      </c>
      <c r="P1382" s="45" t="n">
        <f aca="false">N1382-O1382</f>
        <v>250</v>
      </c>
      <c r="Q1382" s="45" t="n">
        <f aca="false">IF(D1382="Purchase",E1382*M1382,0)</f>
        <v>0</v>
      </c>
    </row>
    <row r="1383" customFormat="false" ht="15" hidden="false" customHeight="false" outlineLevel="0" collapsed="false">
      <c r="A1383" s="39" t="s">
        <v>1707</v>
      </c>
      <c r="B1383" s="44" t="n">
        <v>46025</v>
      </c>
      <c r="C1383" s="39" t="s">
        <v>146</v>
      </c>
      <c r="D1383" s="39" t="s">
        <v>137</v>
      </c>
      <c r="E1383" s="39" t="n">
        <v>20</v>
      </c>
      <c r="F1383" s="39" t="str">
        <f aca="false">IF(COUNTIF(medicine_master!$A$2:$A$26,C1383)&gt;0,"Valid","Invalid")</f>
        <v>Valid</v>
      </c>
      <c r="G1383" s="39" t="str">
        <f aca="false">IFERROR(INDEX(medicine_master!$B$2:$B$26,MATCH($C1383,medicine_master!$A$2:$A$26,0)),"Not found")</f>
        <v>Diclofenac Gel</v>
      </c>
      <c r="H1383" s="39" t="str">
        <f aca="false">IFERROR(INDEX(medicine_master!$C$2:$C$26,MATCH($C1383,medicine_master!$A$2:$A$26,0)),"Not found")</f>
        <v>Pain Relief</v>
      </c>
      <c r="I1383" s="39" t="n">
        <f aca="false">YEAR(B1383)</f>
        <v>2026</v>
      </c>
      <c r="J1383" s="39" t="n">
        <f aca="false">MONTH(B1383)</f>
        <v>1</v>
      </c>
      <c r="K1383" s="39" t="str">
        <f aca="false">TEXT(B1383,"mmm")</f>
        <v>Jan</v>
      </c>
      <c r="L1383" s="45" t="n">
        <f aca="false">IFERROR(INDEX(medicine_master!$I$2:$I$26,MATCH($C1383,medicine_master!$A$2:$A$26,0)),0)</f>
        <v>55</v>
      </c>
      <c r="M1383" s="45" t="n">
        <f aca="false">IFERROR(INDEX(medicine_master!$G$2:$G$26,MATCH($C1383,medicine_master!$A$2:$A$26,0)),0)</f>
        <v>38</v>
      </c>
      <c r="N1383" s="45" t="n">
        <f aca="false">IF(D1383="Sale",E1383*L1383,0)</f>
        <v>1100</v>
      </c>
      <c r="O1383" s="45" t="n">
        <f aca="false">IF(D1383="Sale",E1383*M1383,0)</f>
        <v>760</v>
      </c>
      <c r="P1383" s="45" t="n">
        <f aca="false">N1383-O1383</f>
        <v>340</v>
      </c>
      <c r="Q1383" s="45" t="n">
        <f aca="false">IF(D1383="Purchase",E1383*M1383,0)</f>
        <v>0</v>
      </c>
    </row>
    <row r="1384" customFormat="false" ht="15" hidden="false" customHeight="false" outlineLevel="0" collapsed="false">
      <c r="A1384" s="39" t="s">
        <v>1708</v>
      </c>
      <c r="B1384" s="44" t="n">
        <v>46292</v>
      </c>
      <c r="C1384" s="39" t="s">
        <v>177</v>
      </c>
      <c r="D1384" s="39" t="s">
        <v>137</v>
      </c>
      <c r="E1384" s="39" t="n">
        <v>20</v>
      </c>
      <c r="F1384" s="39" t="str">
        <f aca="false">IF(COUNTIF(medicine_master!$A$2:$A$26,C1384)&gt;0,"Valid","Invalid")</f>
        <v>Valid</v>
      </c>
      <c r="G1384" s="39" t="str">
        <f aca="false">IFERROR(INDEX(medicine_master!$B$2:$B$26,MATCH($C1384,medicine_master!$A$2:$A$26,0)),"Not found")</f>
        <v>Bandage Roll</v>
      </c>
      <c r="H1384" s="39" t="str">
        <f aca="false">IFERROR(INDEX(medicine_master!$C$2:$C$26,MATCH($C1384,medicine_master!$A$2:$A$26,0)),"Not found")</f>
        <v>First Aid</v>
      </c>
      <c r="I1384" s="39" t="n">
        <f aca="false">YEAR(B1384)</f>
        <v>2026</v>
      </c>
      <c r="J1384" s="39" t="n">
        <f aca="false">MONTH(B1384)</f>
        <v>9</v>
      </c>
      <c r="K1384" s="39" t="str">
        <f aca="false">TEXT(B1384,"mmm")</f>
        <v>Sep</v>
      </c>
      <c r="L1384" s="45" t="n">
        <f aca="false">IFERROR(INDEX(medicine_master!$I$2:$I$26,MATCH($C1384,medicine_master!$A$2:$A$26,0)),0)</f>
        <v>25</v>
      </c>
      <c r="M1384" s="45" t="n">
        <f aca="false">IFERROR(INDEX(medicine_master!$G$2:$G$26,MATCH($C1384,medicine_master!$A$2:$A$26,0)),0)</f>
        <v>15</v>
      </c>
      <c r="N1384" s="45" t="n">
        <f aca="false">IF(D1384="Sale",E1384*L1384,0)</f>
        <v>500</v>
      </c>
      <c r="O1384" s="45" t="n">
        <f aca="false">IF(D1384="Sale",E1384*M1384,0)</f>
        <v>300</v>
      </c>
      <c r="P1384" s="45" t="n">
        <f aca="false">N1384-O1384</f>
        <v>200</v>
      </c>
      <c r="Q1384" s="45" t="n">
        <f aca="false">IF(D1384="Purchase",E1384*M1384,0)</f>
        <v>0</v>
      </c>
    </row>
    <row r="1385" customFormat="false" ht="15" hidden="false" customHeight="false" outlineLevel="0" collapsed="false">
      <c r="A1385" s="39" t="s">
        <v>1709</v>
      </c>
      <c r="B1385" s="44" t="n">
        <v>46295</v>
      </c>
      <c r="C1385" s="39" t="s">
        <v>147</v>
      </c>
      <c r="D1385" s="39" t="s">
        <v>138</v>
      </c>
      <c r="E1385" s="39" t="n">
        <v>25</v>
      </c>
      <c r="F1385" s="39" t="str">
        <f aca="false">IF(COUNTIF(medicine_master!$A$2:$A$26,C1385)&gt;0,"Valid","Invalid")</f>
        <v>Valid</v>
      </c>
      <c r="G1385" s="39" t="str">
        <f aca="false">IFERROR(INDEX(medicine_master!$B$2:$B$26,MATCH($C1385,medicine_master!$A$2:$A$26,0)),"Not found")</f>
        <v>Insulin Injection</v>
      </c>
      <c r="H1385" s="39" t="str">
        <f aca="false">IFERROR(INDEX(medicine_master!$C$2:$C$26,MATCH($C1385,medicine_master!$A$2:$A$26,0)),"Not found")</f>
        <v>Diabetes</v>
      </c>
      <c r="I1385" s="39" t="n">
        <f aca="false">YEAR(B1385)</f>
        <v>2026</v>
      </c>
      <c r="J1385" s="39" t="n">
        <f aca="false">MONTH(B1385)</f>
        <v>9</v>
      </c>
      <c r="K1385" s="39" t="str">
        <f aca="false">TEXT(B1385,"mmm")</f>
        <v>Sep</v>
      </c>
      <c r="L1385" s="45" t="n">
        <f aca="false">IFERROR(INDEX(medicine_master!$I$2:$I$26,MATCH($C1385,medicine_master!$A$2:$A$26,0)),0)</f>
        <v>225</v>
      </c>
      <c r="M1385" s="45" t="n">
        <f aca="false">IFERROR(INDEX(medicine_master!$G$2:$G$26,MATCH($C1385,medicine_master!$A$2:$A$26,0)),0)</f>
        <v>165</v>
      </c>
      <c r="N1385" s="45" t="n">
        <f aca="false">IF(D1385="Sale",E1385*L1385,0)</f>
        <v>0</v>
      </c>
      <c r="O1385" s="45" t="n">
        <f aca="false">IF(D1385="Sale",E1385*M1385,0)</f>
        <v>0</v>
      </c>
      <c r="P1385" s="45" t="n">
        <f aca="false">N1385-O1385</f>
        <v>0</v>
      </c>
      <c r="Q1385" s="45" t="n">
        <f aca="false">IF(D1385="Purchase",E1385*M1385,0)</f>
        <v>4125</v>
      </c>
    </row>
    <row r="1386" customFormat="false" ht="15" hidden="false" customHeight="false" outlineLevel="0" collapsed="false">
      <c r="A1386" s="39" t="s">
        <v>1710</v>
      </c>
      <c r="B1386" s="44" t="n">
        <v>46228</v>
      </c>
      <c r="C1386" s="39" t="s">
        <v>160</v>
      </c>
      <c r="D1386" s="39" t="s">
        <v>138</v>
      </c>
      <c r="E1386" s="39" t="n">
        <v>50</v>
      </c>
      <c r="F1386" s="39" t="str">
        <f aca="false">IF(COUNTIF(medicine_master!$A$2:$A$26,C1386)&gt;0,"Valid","Invalid")</f>
        <v>Valid</v>
      </c>
      <c r="G1386" s="39" t="str">
        <f aca="false">IFERROR(INDEX(medicine_master!$B$2:$B$26,MATCH($C1386,medicine_master!$A$2:$A$26,0)),"Not found")</f>
        <v>Calamine Lotion</v>
      </c>
      <c r="H1386" s="39" t="str">
        <f aca="false">IFERROR(INDEX(medicine_master!$C$2:$C$26,MATCH($C1386,medicine_master!$A$2:$A$26,0)),"Not found")</f>
        <v>Dermatology</v>
      </c>
      <c r="I1386" s="39" t="n">
        <f aca="false">YEAR(B1386)</f>
        <v>2026</v>
      </c>
      <c r="J1386" s="39" t="n">
        <f aca="false">MONTH(B1386)</f>
        <v>7</v>
      </c>
      <c r="K1386" s="39" t="str">
        <f aca="false">TEXT(B1386,"mmm")</f>
        <v>Jul</v>
      </c>
      <c r="L1386" s="45" t="n">
        <f aca="false">IFERROR(INDEX(medicine_master!$I$2:$I$26,MATCH($C1386,medicine_master!$A$2:$A$26,0)),0)</f>
        <v>60</v>
      </c>
      <c r="M1386" s="45" t="n">
        <f aca="false">IFERROR(INDEX(medicine_master!$G$2:$G$26,MATCH($C1386,medicine_master!$A$2:$A$26,0)),0)</f>
        <v>42</v>
      </c>
      <c r="N1386" s="45" t="n">
        <f aca="false">IF(D1386="Sale",E1386*L1386,0)</f>
        <v>0</v>
      </c>
      <c r="O1386" s="45" t="n">
        <f aca="false">IF(D1386="Sale",E1386*M1386,0)</f>
        <v>0</v>
      </c>
      <c r="P1386" s="45" t="n">
        <f aca="false">N1386-O1386</f>
        <v>0</v>
      </c>
      <c r="Q1386" s="45" t="n">
        <f aca="false">IF(D1386="Purchase",E1386*M1386,0)</f>
        <v>2100</v>
      </c>
    </row>
    <row r="1387" customFormat="false" ht="15" hidden="false" customHeight="false" outlineLevel="0" collapsed="false">
      <c r="A1387" s="39" t="s">
        <v>1711</v>
      </c>
      <c r="B1387" s="44" t="n">
        <v>46293</v>
      </c>
      <c r="C1387" s="39" t="s">
        <v>160</v>
      </c>
      <c r="D1387" s="39" t="s">
        <v>137</v>
      </c>
      <c r="E1387" s="39" t="n">
        <v>15</v>
      </c>
      <c r="F1387" s="39" t="str">
        <f aca="false">IF(COUNTIF(medicine_master!$A$2:$A$26,C1387)&gt;0,"Valid","Invalid")</f>
        <v>Valid</v>
      </c>
      <c r="G1387" s="39" t="str">
        <f aca="false">IFERROR(INDEX(medicine_master!$B$2:$B$26,MATCH($C1387,medicine_master!$A$2:$A$26,0)),"Not found")</f>
        <v>Calamine Lotion</v>
      </c>
      <c r="H1387" s="39" t="str">
        <f aca="false">IFERROR(INDEX(medicine_master!$C$2:$C$26,MATCH($C1387,medicine_master!$A$2:$A$26,0)),"Not found")</f>
        <v>Dermatology</v>
      </c>
      <c r="I1387" s="39" t="n">
        <f aca="false">YEAR(B1387)</f>
        <v>2026</v>
      </c>
      <c r="J1387" s="39" t="n">
        <f aca="false">MONTH(B1387)</f>
        <v>9</v>
      </c>
      <c r="K1387" s="39" t="str">
        <f aca="false">TEXT(B1387,"mmm")</f>
        <v>Sep</v>
      </c>
      <c r="L1387" s="45" t="n">
        <f aca="false">IFERROR(INDEX(medicine_master!$I$2:$I$26,MATCH($C1387,medicine_master!$A$2:$A$26,0)),0)</f>
        <v>60</v>
      </c>
      <c r="M1387" s="45" t="n">
        <f aca="false">IFERROR(INDEX(medicine_master!$G$2:$G$26,MATCH($C1387,medicine_master!$A$2:$A$26,0)),0)</f>
        <v>42</v>
      </c>
      <c r="N1387" s="45" t="n">
        <f aca="false">IF(D1387="Sale",E1387*L1387,0)</f>
        <v>900</v>
      </c>
      <c r="O1387" s="45" t="n">
        <f aca="false">IF(D1387="Sale",E1387*M1387,0)</f>
        <v>630</v>
      </c>
      <c r="P1387" s="45" t="n">
        <f aca="false">N1387-O1387</f>
        <v>270</v>
      </c>
      <c r="Q1387" s="45" t="n">
        <f aca="false">IF(D1387="Purchase",E1387*M1387,0)</f>
        <v>0</v>
      </c>
    </row>
    <row r="1388" customFormat="false" ht="15" hidden="false" customHeight="false" outlineLevel="0" collapsed="false">
      <c r="A1388" s="39" t="s">
        <v>1712</v>
      </c>
      <c r="B1388" s="44" t="n">
        <v>46212</v>
      </c>
      <c r="C1388" s="39" t="s">
        <v>159</v>
      </c>
      <c r="D1388" s="39" t="s">
        <v>137</v>
      </c>
      <c r="E1388" s="39" t="n">
        <v>10</v>
      </c>
      <c r="F1388" s="39" t="str">
        <f aca="false">IF(COUNTIF(medicine_master!$A$2:$A$26,C1388)&gt;0,"Valid","Invalid")</f>
        <v>Valid</v>
      </c>
      <c r="G1388" s="39" t="str">
        <f aca="false">IFERROR(INDEX(medicine_master!$B$2:$B$26,MATCH($C1388,medicine_master!$A$2:$A$26,0)),"Not found")</f>
        <v>Antiseptic Liquid 100ml</v>
      </c>
      <c r="H1388" s="39" t="str">
        <f aca="false">IFERROR(INDEX(medicine_master!$C$2:$C$26,MATCH($C1388,medicine_master!$A$2:$A$26,0)),"Not found")</f>
        <v>First Aid</v>
      </c>
      <c r="I1388" s="39" t="n">
        <f aca="false">YEAR(B1388)</f>
        <v>2026</v>
      </c>
      <c r="J1388" s="39" t="n">
        <f aca="false">MONTH(B1388)</f>
        <v>7</v>
      </c>
      <c r="K1388" s="39" t="str">
        <f aca="false">TEXT(B1388,"mmm")</f>
        <v>Jul</v>
      </c>
      <c r="L1388" s="45" t="n">
        <f aca="false">IFERROR(INDEX(medicine_master!$I$2:$I$26,MATCH($C1388,medicine_master!$A$2:$A$26,0)),0)</f>
        <v>65</v>
      </c>
      <c r="M1388" s="45" t="n">
        <f aca="false">IFERROR(INDEX(medicine_master!$G$2:$G$26,MATCH($C1388,medicine_master!$A$2:$A$26,0)),0)</f>
        <v>48</v>
      </c>
      <c r="N1388" s="45" t="n">
        <f aca="false">IF(D1388="Sale",E1388*L1388,0)</f>
        <v>650</v>
      </c>
      <c r="O1388" s="45" t="n">
        <f aca="false">IF(D1388="Sale",E1388*M1388,0)</f>
        <v>480</v>
      </c>
      <c r="P1388" s="45" t="n">
        <f aca="false">N1388-O1388</f>
        <v>170</v>
      </c>
      <c r="Q1388" s="45" t="n">
        <f aca="false">IF(D1388="Purchase",E1388*M1388,0)</f>
        <v>0</v>
      </c>
    </row>
    <row r="1389" customFormat="false" ht="15" hidden="false" customHeight="false" outlineLevel="0" collapsed="false">
      <c r="A1389" s="39" t="s">
        <v>1713</v>
      </c>
      <c r="B1389" s="44" t="n">
        <v>46374</v>
      </c>
      <c r="C1389" s="39" t="s">
        <v>146</v>
      </c>
      <c r="D1389" s="39" t="s">
        <v>137</v>
      </c>
      <c r="E1389" s="39" t="n">
        <v>50</v>
      </c>
      <c r="F1389" s="39" t="str">
        <f aca="false">IF(COUNTIF(medicine_master!$A$2:$A$26,C1389)&gt;0,"Valid","Invalid")</f>
        <v>Valid</v>
      </c>
      <c r="G1389" s="39" t="str">
        <f aca="false">IFERROR(INDEX(medicine_master!$B$2:$B$26,MATCH($C1389,medicine_master!$A$2:$A$26,0)),"Not found")</f>
        <v>Diclofenac Gel</v>
      </c>
      <c r="H1389" s="39" t="str">
        <f aca="false">IFERROR(INDEX(medicine_master!$C$2:$C$26,MATCH($C1389,medicine_master!$A$2:$A$26,0)),"Not found")</f>
        <v>Pain Relief</v>
      </c>
      <c r="I1389" s="39" t="n">
        <f aca="false">YEAR(B1389)</f>
        <v>2026</v>
      </c>
      <c r="J1389" s="39" t="n">
        <f aca="false">MONTH(B1389)</f>
        <v>12</v>
      </c>
      <c r="K1389" s="39" t="str">
        <f aca="false">TEXT(B1389,"mmm")</f>
        <v>Dec</v>
      </c>
      <c r="L1389" s="45" t="n">
        <f aca="false">IFERROR(INDEX(medicine_master!$I$2:$I$26,MATCH($C1389,medicine_master!$A$2:$A$26,0)),0)</f>
        <v>55</v>
      </c>
      <c r="M1389" s="45" t="n">
        <f aca="false">IFERROR(INDEX(medicine_master!$G$2:$G$26,MATCH($C1389,medicine_master!$A$2:$A$26,0)),0)</f>
        <v>38</v>
      </c>
      <c r="N1389" s="45" t="n">
        <f aca="false">IF(D1389="Sale",E1389*L1389,0)</f>
        <v>2750</v>
      </c>
      <c r="O1389" s="45" t="n">
        <f aca="false">IF(D1389="Sale",E1389*M1389,0)</f>
        <v>1900</v>
      </c>
      <c r="P1389" s="45" t="n">
        <f aca="false">N1389-O1389</f>
        <v>850</v>
      </c>
      <c r="Q1389" s="45" t="n">
        <f aca="false">IF(D1389="Purchase",E1389*M1389,0)</f>
        <v>0</v>
      </c>
    </row>
    <row r="1390" customFormat="false" ht="15" hidden="false" customHeight="false" outlineLevel="0" collapsed="false">
      <c r="A1390" s="39" t="s">
        <v>1714</v>
      </c>
      <c r="B1390" s="44" t="n">
        <v>46101</v>
      </c>
      <c r="C1390" s="39" t="s">
        <v>144</v>
      </c>
      <c r="D1390" s="39" t="s">
        <v>137</v>
      </c>
      <c r="E1390" s="39" t="n">
        <v>10</v>
      </c>
      <c r="F1390" s="39" t="str">
        <f aca="false">IF(COUNTIF(medicine_master!$A$2:$A$26,C1390)&gt;0,"Valid","Invalid")</f>
        <v>Valid</v>
      </c>
      <c r="G1390" s="39" t="str">
        <f aca="false">IFERROR(INDEX(medicine_master!$B$2:$B$26,MATCH($C1390,medicine_master!$A$2:$A$26,0)),"Not found")</f>
        <v>Glimepiride 2mg</v>
      </c>
      <c r="H1390" s="39" t="str">
        <f aca="false">IFERROR(INDEX(medicine_master!$C$2:$C$26,MATCH($C1390,medicine_master!$A$2:$A$26,0)),"Not found")</f>
        <v>Diabetes</v>
      </c>
      <c r="I1390" s="39" t="n">
        <f aca="false">YEAR(B1390)</f>
        <v>2026</v>
      </c>
      <c r="J1390" s="39" t="n">
        <f aca="false">MONTH(B1390)</f>
        <v>3</v>
      </c>
      <c r="K1390" s="39" t="str">
        <f aca="false">TEXT(B1390,"mmm")</f>
        <v>Mar</v>
      </c>
      <c r="L1390" s="45" t="n">
        <f aca="false">IFERROR(INDEX(medicine_master!$I$2:$I$26,MATCH($C1390,medicine_master!$A$2:$A$26,0)),0)</f>
        <v>52</v>
      </c>
      <c r="M1390" s="45" t="n">
        <f aca="false">IFERROR(INDEX(medicine_master!$G$2:$G$26,MATCH($C1390,medicine_master!$A$2:$A$26,0)),0)</f>
        <v>38</v>
      </c>
      <c r="N1390" s="45" t="n">
        <f aca="false">IF(D1390="Sale",E1390*L1390,0)</f>
        <v>520</v>
      </c>
      <c r="O1390" s="45" t="n">
        <f aca="false">IF(D1390="Sale",E1390*M1390,0)</f>
        <v>380</v>
      </c>
      <c r="P1390" s="45" t="n">
        <f aca="false">N1390-O1390</f>
        <v>140</v>
      </c>
      <c r="Q1390" s="45" t="n">
        <f aca="false">IF(D1390="Purchase",E1390*M1390,0)</f>
        <v>0</v>
      </c>
    </row>
    <row r="1391" customFormat="false" ht="15" hidden="false" customHeight="false" outlineLevel="0" collapsed="false">
      <c r="A1391" s="39" t="s">
        <v>1715</v>
      </c>
      <c r="B1391" s="44" t="n">
        <v>46104</v>
      </c>
      <c r="C1391" s="39" t="s">
        <v>321</v>
      </c>
      <c r="D1391" s="39" t="s">
        <v>137</v>
      </c>
      <c r="E1391" s="39" t="n">
        <v>5</v>
      </c>
      <c r="F1391" s="39" t="str">
        <f aca="false">IF(COUNTIF(medicine_master!$A$2:$A$26,C1391)&gt;0,"Valid","Invalid")</f>
        <v>Valid</v>
      </c>
      <c r="G1391" s="39" t="str">
        <f aca="false">IFERROR(INDEX(medicine_master!$B$2:$B$26,MATCH($C1391,medicine_master!$A$2:$A$26,0)),"Not found")</f>
        <v>Levocetirizine 5mg</v>
      </c>
      <c r="H1391" s="39" t="str">
        <f aca="false">IFERROR(INDEX(medicine_master!$C$2:$C$26,MATCH($C1391,medicine_master!$A$2:$A$26,0)),"Not found")</f>
        <v>Allergy</v>
      </c>
      <c r="I1391" s="39" t="n">
        <f aca="false">YEAR(B1391)</f>
        <v>2026</v>
      </c>
      <c r="J1391" s="39" t="n">
        <f aca="false">MONTH(B1391)</f>
        <v>3</v>
      </c>
      <c r="K1391" s="39" t="str">
        <f aca="false">TEXT(B1391,"mmm")</f>
        <v>Mar</v>
      </c>
      <c r="L1391" s="45" t="n">
        <f aca="false">IFERROR(INDEX(medicine_master!$I$2:$I$26,MATCH($C1391,medicine_master!$A$2:$A$26,0)),0)</f>
        <v>22</v>
      </c>
      <c r="M1391" s="45" t="n">
        <f aca="false">IFERROR(INDEX(medicine_master!$G$2:$G$26,MATCH($C1391,medicine_master!$A$2:$A$26,0)),0)</f>
        <v>14</v>
      </c>
      <c r="N1391" s="45" t="n">
        <f aca="false">IF(D1391="Sale",E1391*L1391,0)</f>
        <v>110</v>
      </c>
      <c r="O1391" s="45" t="n">
        <f aca="false">IF(D1391="Sale",E1391*M1391,0)</f>
        <v>70</v>
      </c>
      <c r="P1391" s="45" t="n">
        <f aca="false">N1391-O1391</f>
        <v>40</v>
      </c>
      <c r="Q1391" s="45" t="n">
        <f aca="false">IF(D1391="Purchase",E1391*M1391,0)</f>
        <v>0</v>
      </c>
    </row>
    <row r="1392" customFormat="false" ht="15" hidden="false" customHeight="false" outlineLevel="0" collapsed="false">
      <c r="A1392" s="39" t="s">
        <v>1716</v>
      </c>
      <c r="B1392" s="44" t="n">
        <v>46214</v>
      </c>
      <c r="C1392" s="39" t="s">
        <v>178</v>
      </c>
      <c r="D1392" s="39" t="s">
        <v>138</v>
      </c>
      <c r="E1392" s="39" t="n">
        <v>50</v>
      </c>
      <c r="F1392" s="39" t="str">
        <f aca="false">IF(COUNTIF(medicine_master!$A$2:$A$26,C1392)&gt;0,"Valid","Invalid")</f>
        <v>Valid</v>
      </c>
      <c r="G1392" s="39" t="str">
        <f aca="false">IFERROR(INDEX(medicine_master!$B$2:$B$26,MATCH($C1392,medicine_master!$A$2:$A$26,0)),"Not found")</f>
        <v>Aspirin 75mg</v>
      </c>
      <c r="H1392" s="39" t="str">
        <f aca="false">IFERROR(INDEX(medicine_master!$C$2:$C$26,MATCH($C1392,medicine_master!$A$2:$A$26,0)),"Not found")</f>
        <v>Cardiac</v>
      </c>
      <c r="I1392" s="39" t="n">
        <f aca="false">YEAR(B1392)</f>
        <v>2026</v>
      </c>
      <c r="J1392" s="39" t="n">
        <f aca="false">MONTH(B1392)</f>
        <v>7</v>
      </c>
      <c r="K1392" s="39" t="str">
        <f aca="false">TEXT(B1392,"mmm")</f>
        <v>Jul</v>
      </c>
      <c r="L1392" s="45" t="n">
        <f aca="false">IFERROR(INDEX(medicine_master!$I$2:$I$26,MATCH($C1392,medicine_master!$A$2:$A$26,0)),0)</f>
        <v>15</v>
      </c>
      <c r="M1392" s="45" t="n">
        <f aca="false">IFERROR(INDEX(medicine_master!$G$2:$G$26,MATCH($C1392,medicine_master!$A$2:$A$26,0)),0)</f>
        <v>10</v>
      </c>
      <c r="N1392" s="45" t="n">
        <f aca="false">IF(D1392="Sale",E1392*L1392,0)</f>
        <v>0</v>
      </c>
      <c r="O1392" s="45" t="n">
        <f aca="false">IF(D1392="Sale",E1392*M1392,0)</f>
        <v>0</v>
      </c>
      <c r="P1392" s="45" t="n">
        <f aca="false">N1392-O1392</f>
        <v>0</v>
      </c>
      <c r="Q1392" s="45" t="n">
        <f aca="false">IF(D1392="Purchase",E1392*M1392,0)</f>
        <v>500</v>
      </c>
    </row>
    <row r="1393" customFormat="false" ht="15" hidden="false" customHeight="false" outlineLevel="0" collapsed="false">
      <c r="A1393" s="39" t="s">
        <v>1717</v>
      </c>
      <c r="B1393" s="44" t="n">
        <v>46332</v>
      </c>
      <c r="C1393" s="39" t="s">
        <v>179</v>
      </c>
      <c r="D1393" s="39" t="s">
        <v>138</v>
      </c>
      <c r="E1393" s="39" t="n">
        <v>25</v>
      </c>
      <c r="F1393" s="39" t="str">
        <f aca="false">IF(COUNTIF(medicine_master!$A$2:$A$26,C1393)&gt;0,"Valid","Invalid")</f>
        <v>Valid</v>
      </c>
      <c r="G1393" s="39" t="str">
        <f aca="false">IFERROR(INDEX(medicine_master!$B$2:$B$26,MATCH($C1393,medicine_master!$A$2:$A$26,0)),"Not found")</f>
        <v>Ibuprofen 400mg</v>
      </c>
      <c r="H1393" s="39" t="str">
        <f aca="false">IFERROR(INDEX(medicine_master!$C$2:$C$26,MATCH($C1393,medicine_master!$A$2:$A$26,0)),"Not found")</f>
        <v>Pain Relief</v>
      </c>
      <c r="I1393" s="39" t="n">
        <f aca="false">YEAR(B1393)</f>
        <v>2026</v>
      </c>
      <c r="J1393" s="39" t="n">
        <f aca="false">MONTH(B1393)</f>
        <v>11</v>
      </c>
      <c r="K1393" s="39" t="str">
        <f aca="false">TEXT(B1393,"mmm")</f>
        <v>Nov</v>
      </c>
      <c r="L1393" s="45" t="n">
        <f aca="false">IFERROR(INDEX(medicine_master!$I$2:$I$26,MATCH($C1393,medicine_master!$A$2:$A$26,0)),0)</f>
        <v>30</v>
      </c>
      <c r="M1393" s="45" t="n">
        <f aca="false">IFERROR(INDEX(medicine_master!$G$2:$G$26,MATCH($C1393,medicine_master!$A$2:$A$26,0)),0)</f>
        <v>22</v>
      </c>
      <c r="N1393" s="45" t="n">
        <f aca="false">IF(D1393="Sale",E1393*L1393,0)</f>
        <v>0</v>
      </c>
      <c r="O1393" s="45" t="n">
        <f aca="false">IF(D1393="Sale",E1393*M1393,0)</f>
        <v>0</v>
      </c>
      <c r="P1393" s="45" t="n">
        <f aca="false">N1393-O1393</f>
        <v>0</v>
      </c>
      <c r="Q1393" s="45" t="n">
        <f aca="false">IF(D1393="Purchase",E1393*M1393,0)</f>
        <v>550</v>
      </c>
    </row>
    <row r="1394" customFormat="false" ht="15" hidden="false" customHeight="false" outlineLevel="0" collapsed="false">
      <c r="A1394" s="39" t="s">
        <v>1718</v>
      </c>
      <c r="B1394" s="44" t="n">
        <v>46078</v>
      </c>
      <c r="C1394" s="39" t="s">
        <v>146</v>
      </c>
      <c r="D1394" s="39" t="s">
        <v>137</v>
      </c>
      <c r="E1394" s="39" t="n">
        <v>30</v>
      </c>
      <c r="F1394" s="39" t="str">
        <f aca="false">IF(COUNTIF(medicine_master!$A$2:$A$26,C1394)&gt;0,"Valid","Invalid")</f>
        <v>Valid</v>
      </c>
      <c r="G1394" s="39" t="str">
        <f aca="false">IFERROR(INDEX(medicine_master!$B$2:$B$26,MATCH($C1394,medicine_master!$A$2:$A$26,0)),"Not found")</f>
        <v>Diclofenac Gel</v>
      </c>
      <c r="H1394" s="39" t="str">
        <f aca="false">IFERROR(INDEX(medicine_master!$C$2:$C$26,MATCH($C1394,medicine_master!$A$2:$A$26,0)),"Not found")</f>
        <v>Pain Relief</v>
      </c>
      <c r="I1394" s="39" t="n">
        <f aca="false">YEAR(B1394)</f>
        <v>2026</v>
      </c>
      <c r="J1394" s="39" t="n">
        <f aca="false">MONTH(B1394)</f>
        <v>2</v>
      </c>
      <c r="K1394" s="39" t="str">
        <f aca="false">TEXT(B1394,"mmm")</f>
        <v>Feb</v>
      </c>
      <c r="L1394" s="45" t="n">
        <f aca="false">IFERROR(INDEX(medicine_master!$I$2:$I$26,MATCH($C1394,medicine_master!$A$2:$A$26,0)),0)</f>
        <v>55</v>
      </c>
      <c r="M1394" s="45" t="n">
        <f aca="false">IFERROR(INDEX(medicine_master!$G$2:$G$26,MATCH($C1394,medicine_master!$A$2:$A$26,0)),0)</f>
        <v>38</v>
      </c>
      <c r="N1394" s="45" t="n">
        <f aca="false">IF(D1394="Sale",E1394*L1394,0)</f>
        <v>1650</v>
      </c>
      <c r="O1394" s="45" t="n">
        <f aca="false">IF(D1394="Sale",E1394*M1394,0)</f>
        <v>1140</v>
      </c>
      <c r="P1394" s="45" t="n">
        <f aca="false">N1394-O1394</f>
        <v>510</v>
      </c>
      <c r="Q1394" s="45" t="n">
        <f aca="false">IF(D1394="Purchase",E1394*M1394,0)</f>
        <v>0</v>
      </c>
    </row>
    <row r="1395" customFormat="false" ht="15" hidden="false" customHeight="false" outlineLevel="0" collapsed="false">
      <c r="A1395" s="39" t="s">
        <v>1719</v>
      </c>
      <c r="B1395" s="44" t="n">
        <v>46313</v>
      </c>
      <c r="C1395" s="39" t="s">
        <v>152</v>
      </c>
      <c r="D1395" s="39" t="s">
        <v>137</v>
      </c>
      <c r="E1395" s="39" t="n">
        <v>25</v>
      </c>
      <c r="F1395" s="39" t="str">
        <f aca="false">IF(COUNTIF(medicine_master!$A$2:$A$26,C1395)&gt;0,"Valid","Invalid")</f>
        <v>Valid</v>
      </c>
      <c r="G1395" s="39" t="str">
        <f aca="false">IFERROR(INDEX(medicine_master!$B$2:$B$26,MATCH($C1395,medicine_master!$A$2:$A$26,0)),"Not found")</f>
        <v>Amoxicillin 500mg</v>
      </c>
      <c r="H1395" s="39" t="str">
        <f aca="false">IFERROR(INDEX(medicine_master!$C$2:$C$26,MATCH($C1395,medicine_master!$A$2:$A$26,0)),"Not found")</f>
        <v>Antibiotic</v>
      </c>
      <c r="I1395" s="39" t="n">
        <f aca="false">YEAR(B1395)</f>
        <v>2026</v>
      </c>
      <c r="J1395" s="39" t="n">
        <f aca="false">MONTH(B1395)</f>
        <v>10</v>
      </c>
      <c r="K1395" s="39" t="str">
        <f aca="false">TEXT(B1395,"mmm")</f>
        <v>Oct</v>
      </c>
      <c r="L1395" s="45" t="n">
        <f aca="false">IFERROR(INDEX(medicine_master!$I$2:$I$26,MATCH($C1395,medicine_master!$A$2:$A$26,0)),0)</f>
        <v>40</v>
      </c>
      <c r="M1395" s="45" t="n">
        <f aca="false">IFERROR(INDEX(medicine_master!$G$2:$G$26,MATCH($C1395,medicine_master!$A$2:$A$26,0)),0)</f>
        <v>28</v>
      </c>
      <c r="N1395" s="45" t="n">
        <f aca="false">IF(D1395="Sale",E1395*L1395,0)</f>
        <v>1000</v>
      </c>
      <c r="O1395" s="45" t="n">
        <f aca="false">IF(D1395="Sale",E1395*M1395,0)</f>
        <v>700</v>
      </c>
      <c r="P1395" s="45" t="n">
        <f aca="false">N1395-O1395</f>
        <v>300</v>
      </c>
      <c r="Q1395" s="45" t="n">
        <f aca="false">IF(D1395="Purchase",E1395*M1395,0)</f>
        <v>0</v>
      </c>
    </row>
    <row r="1396" customFormat="false" ht="15" hidden="false" customHeight="false" outlineLevel="0" collapsed="false">
      <c r="A1396" s="39" t="s">
        <v>1720</v>
      </c>
      <c r="B1396" s="44" t="n">
        <v>46135</v>
      </c>
      <c r="C1396" s="39" t="s">
        <v>495</v>
      </c>
      <c r="D1396" s="39" t="s">
        <v>137</v>
      </c>
      <c r="E1396" s="39" t="n">
        <v>15</v>
      </c>
      <c r="F1396" s="39" t="str">
        <f aca="false">IF(COUNTIF(medicine_master!$A$2:$A$26,C1396)&gt;0,"Valid","Invalid")</f>
        <v>Valid</v>
      </c>
      <c r="G1396" s="39" t="str">
        <f aca="false">IFERROR(INDEX(medicine_master!$B$2:$B$26,MATCH($C1396,medicine_master!$A$2:$A$26,0)),"Not found")</f>
        <v>Metformin 500mg</v>
      </c>
      <c r="H1396" s="39" t="str">
        <f aca="false">IFERROR(INDEX(medicine_master!$C$2:$C$26,MATCH($C1396,medicine_master!$A$2:$A$26,0)),"Not found")</f>
        <v>Diabetes</v>
      </c>
      <c r="I1396" s="39" t="n">
        <f aca="false">YEAR(B1396)</f>
        <v>2026</v>
      </c>
      <c r="J1396" s="39" t="n">
        <f aca="false">MONTH(B1396)</f>
        <v>4</v>
      </c>
      <c r="K1396" s="39" t="str">
        <f aca="false">TEXT(B1396,"mmm")</f>
        <v>Apr</v>
      </c>
      <c r="L1396" s="45" t="n">
        <f aca="false">IFERROR(INDEX(medicine_master!$I$2:$I$26,MATCH($C1396,medicine_master!$A$2:$A$26,0)),0)</f>
        <v>24</v>
      </c>
      <c r="M1396" s="45" t="n">
        <f aca="false">IFERROR(INDEX(medicine_master!$G$2:$G$26,MATCH($C1396,medicine_master!$A$2:$A$26,0)),0)</f>
        <v>16</v>
      </c>
      <c r="N1396" s="45" t="n">
        <f aca="false">IF(D1396="Sale",E1396*L1396,0)</f>
        <v>360</v>
      </c>
      <c r="O1396" s="45" t="n">
        <f aca="false">IF(D1396="Sale",E1396*M1396,0)</f>
        <v>240</v>
      </c>
      <c r="P1396" s="45" t="n">
        <f aca="false">N1396-O1396</f>
        <v>120</v>
      </c>
      <c r="Q1396" s="45" t="n">
        <f aca="false">IF(D1396="Purchase",E1396*M1396,0)</f>
        <v>0</v>
      </c>
    </row>
    <row r="1397" customFormat="false" ht="15" hidden="false" customHeight="false" outlineLevel="0" collapsed="false">
      <c r="A1397" s="39" t="s">
        <v>1721</v>
      </c>
      <c r="B1397" s="44" t="n">
        <v>46152</v>
      </c>
      <c r="C1397" s="39" t="s">
        <v>149</v>
      </c>
      <c r="D1397" s="39" t="s">
        <v>137</v>
      </c>
      <c r="E1397" s="39" t="n">
        <v>15</v>
      </c>
      <c r="F1397" s="39" t="str">
        <f aca="false">IF(COUNTIF(medicine_master!$A$2:$A$26,C1397)&gt;0,"Valid","Invalid")</f>
        <v>Valid</v>
      </c>
      <c r="G1397" s="39" t="str">
        <f aca="false">IFERROR(INDEX(medicine_master!$B$2:$B$26,MATCH($C1397,medicine_master!$A$2:$A$26,0)),"Not found")</f>
        <v>Azithromycin 500mg</v>
      </c>
      <c r="H1397" s="39" t="str">
        <f aca="false">IFERROR(INDEX(medicine_master!$C$2:$C$26,MATCH($C1397,medicine_master!$A$2:$A$26,0)),"Not found")</f>
        <v>Antibiotic</v>
      </c>
      <c r="I1397" s="39" t="n">
        <f aca="false">YEAR(B1397)</f>
        <v>2026</v>
      </c>
      <c r="J1397" s="39" t="n">
        <f aca="false">MONTH(B1397)</f>
        <v>5</v>
      </c>
      <c r="K1397" s="39" t="str">
        <f aca="false">TEXT(B1397,"mmm")</f>
        <v>May</v>
      </c>
      <c r="L1397" s="45" t="n">
        <f aca="false">IFERROR(INDEX(medicine_master!$I$2:$I$26,MATCH($C1397,medicine_master!$A$2:$A$26,0)),0)</f>
        <v>50</v>
      </c>
      <c r="M1397" s="45" t="n">
        <f aca="false">IFERROR(INDEX(medicine_master!$G$2:$G$26,MATCH($C1397,medicine_master!$A$2:$A$26,0)),0)</f>
        <v>35</v>
      </c>
      <c r="N1397" s="45" t="n">
        <f aca="false">IF(D1397="Sale",E1397*L1397,0)</f>
        <v>750</v>
      </c>
      <c r="O1397" s="45" t="n">
        <f aca="false">IF(D1397="Sale",E1397*M1397,0)</f>
        <v>525</v>
      </c>
      <c r="P1397" s="45" t="n">
        <f aca="false">N1397-O1397</f>
        <v>225</v>
      </c>
      <c r="Q1397" s="45" t="n">
        <f aca="false">IF(D1397="Purchase",E1397*M1397,0)</f>
        <v>0</v>
      </c>
    </row>
    <row r="1398" customFormat="false" ht="15" hidden="false" customHeight="false" outlineLevel="0" collapsed="false">
      <c r="A1398" s="39" t="s">
        <v>1722</v>
      </c>
      <c r="B1398" s="44" t="n">
        <v>46103</v>
      </c>
      <c r="C1398" s="39" t="s">
        <v>180</v>
      </c>
      <c r="D1398" s="39" t="s">
        <v>137</v>
      </c>
      <c r="E1398" s="39" t="n">
        <v>15</v>
      </c>
      <c r="F1398" s="39" t="str">
        <f aca="false">IF(COUNTIF(medicine_master!$A$2:$A$26,C1398)&gt;0,"Valid","Invalid")</f>
        <v>Valid</v>
      </c>
      <c r="G1398" s="39" t="str">
        <f aca="false">IFERROR(INDEX(medicine_master!$B$2:$B$26,MATCH($C1398,medicine_master!$A$2:$A$26,0)),"Not found")</f>
        <v>Vitamin C 500mg</v>
      </c>
      <c r="H1398" s="39" t="str">
        <f aca="false">IFERROR(INDEX(medicine_master!$C$2:$C$26,MATCH($C1398,medicine_master!$A$2:$A$26,0)),"Not found")</f>
        <v>Vitamin</v>
      </c>
      <c r="I1398" s="39" t="n">
        <f aca="false">YEAR(B1398)</f>
        <v>2026</v>
      </c>
      <c r="J1398" s="39" t="n">
        <f aca="false">MONTH(B1398)</f>
        <v>3</v>
      </c>
      <c r="K1398" s="39" t="str">
        <f aca="false">TEXT(B1398,"mmm")</f>
        <v>Mar</v>
      </c>
      <c r="L1398" s="45" t="n">
        <f aca="false">IFERROR(INDEX(medicine_master!$I$2:$I$26,MATCH($C1398,medicine_master!$A$2:$A$26,0)),0)</f>
        <v>22</v>
      </c>
      <c r="M1398" s="45" t="n">
        <f aca="false">IFERROR(INDEX(medicine_master!$G$2:$G$26,MATCH($C1398,medicine_master!$A$2:$A$26,0)),0)</f>
        <v>14</v>
      </c>
      <c r="N1398" s="45" t="n">
        <f aca="false">IF(D1398="Sale",E1398*L1398,0)</f>
        <v>330</v>
      </c>
      <c r="O1398" s="45" t="n">
        <f aca="false">IF(D1398="Sale",E1398*M1398,0)</f>
        <v>210</v>
      </c>
      <c r="P1398" s="45" t="n">
        <f aca="false">N1398-O1398</f>
        <v>120</v>
      </c>
      <c r="Q1398" s="45" t="n">
        <f aca="false">IF(D1398="Purchase",E1398*M1398,0)</f>
        <v>0</v>
      </c>
    </row>
    <row r="1399" customFormat="false" ht="15" hidden="false" customHeight="false" outlineLevel="0" collapsed="false">
      <c r="A1399" s="39" t="s">
        <v>1723</v>
      </c>
      <c r="B1399" s="44" t="n">
        <v>46038</v>
      </c>
      <c r="C1399" s="39" t="s">
        <v>404</v>
      </c>
      <c r="D1399" s="39" t="s">
        <v>138</v>
      </c>
      <c r="E1399" s="39" t="n">
        <v>15</v>
      </c>
      <c r="F1399" s="39" t="str">
        <f aca="false">IF(COUNTIF(medicine_master!$A$2:$A$26,C1399)&gt;0,"Valid","Invalid")</f>
        <v>Valid</v>
      </c>
      <c r="G1399" s="39" t="str">
        <f aca="false">IFERROR(INDEX(medicine_master!$B$2:$B$26,MATCH($C1399,medicine_master!$A$2:$A$26,0)),"Not found")</f>
        <v>ORS Sachet</v>
      </c>
      <c r="H1399" s="39" t="str">
        <f aca="false">IFERROR(INDEX(medicine_master!$C$2:$C$26,MATCH($C1399,medicine_master!$A$2:$A$26,0)),"Not found")</f>
        <v>First Aid</v>
      </c>
      <c r="I1399" s="39" t="n">
        <f aca="false">YEAR(B1399)</f>
        <v>2026</v>
      </c>
      <c r="J1399" s="39" t="n">
        <f aca="false">MONTH(B1399)</f>
        <v>1</v>
      </c>
      <c r="K1399" s="39" t="str">
        <f aca="false">TEXT(B1399,"mmm")</f>
        <v>Jan</v>
      </c>
      <c r="L1399" s="45" t="n">
        <f aca="false">IFERROR(INDEX(medicine_master!$I$2:$I$26,MATCH($C1399,medicine_master!$A$2:$A$26,0)),0)</f>
        <v>10</v>
      </c>
      <c r="M1399" s="45" t="n">
        <f aca="false">IFERROR(INDEX(medicine_master!$G$2:$G$26,MATCH($C1399,medicine_master!$A$2:$A$26,0)),0)</f>
        <v>6</v>
      </c>
      <c r="N1399" s="45" t="n">
        <f aca="false">IF(D1399="Sale",E1399*L1399,0)</f>
        <v>0</v>
      </c>
      <c r="O1399" s="45" t="n">
        <f aca="false">IF(D1399="Sale",E1399*M1399,0)</f>
        <v>0</v>
      </c>
      <c r="P1399" s="45" t="n">
        <f aca="false">N1399-O1399</f>
        <v>0</v>
      </c>
      <c r="Q1399" s="45" t="n">
        <f aca="false">IF(D1399="Purchase",E1399*M1399,0)</f>
        <v>90</v>
      </c>
    </row>
    <row r="1400" customFormat="false" ht="15" hidden="false" customHeight="false" outlineLevel="0" collapsed="false">
      <c r="A1400" s="39" t="s">
        <v>1724</v>
      </c>
      <c r="B1400" s="44" t="n">
        <v>46219</v>
      </c>
      <c r="C1400" s="39" t="s">
        <v>150</v>
      </c>
      <c r="D1400" s="39" t="s">
        <v>138</v>
      </c>
      <c r="E1400" s="39" t="n">
        <v>5</v>
      </c>
      <c r="F1400" s="39" t="str">
        <f aca="false">IF(COUNTIF(medicine_master!$A$2:$A$26,C1400)&gt;0,"Valid","Invalid")</f>
        <v>Valid</v>
      </c>
      <c r="G1400" s="39" t="str">
        <f aca="false">IFERROR(INDEX(medicine_master!$B$2:$B$26,MATCH($C1400,medicine_master!$A$2:$A$26,0)),"Not found")</f>
        <v>Pantoprazole 40mg</v>
      </c>
      <c r="H1400" s="39" t="str">
        <f aca="false">IFERROR(INDEX(medicine_master!$C$2:$C$26,MATCH($C1400,medicine_master!$A$2:$A$26,0)),"Not found")</f>
        <v>Gastric</v>
      </c>
      <c r="I1400" s="39" t="n">
        <f aca="false">YEAR(B1400)</f>
        <v>2026</v>
      </c>
      <c r="J1400" s="39" t="n">
        <f aca="false">MONTH(B1400)</f>
        <v>7</v>
      </c>
      <c r="K1400" s="39" t="str">
        <f aca="false">TEXT(B1400,"mmm")</f>
        <v>Jul</v>
      </c>
      <c r="L1400" s="45" t="n">
        <f aca="false">IFERROR(INDEX(medicine_master!$I$2:$I$26,MATCH($C1400,medicine_master!$A$2:$A$26,0)),0)</f>
        <v>35</v>
      </c>
      <c r="M1400" s="45" t="n">
        <f aca="false">IFERROR(INDEX(medicine_master!$G$2:$G$26,MATCH($C1400,medicine_master!$A$2:$A$26,0)),0)</f>
        <v>24</v>
      </c>
      <c r="N1400" s="45" t="n">
        <f aca="false">IF(D1400="Sale",E1400*L1400,0)</f>
        <v>0</v>
      </c>
      <c r="O1400" s="45" t="n">
        <f aca="false">IF(D1400="Sale",E1400*M1400,0)</f>
        <v>0</v>
      </c>
      <c r="P1400" s="45" t="n">
        <f aca="false">N1400-O1400</f>
        <v>0</v>
      </c>
      <c r="Q1400" s="45" t="n">
        <f aca="false">IF(D1400="Purchase",E1400*M1400,0)</f>
        <v>120</v>
      </c>
    </row>
    <row r="1401" customFormat="false" ht="15" hidden="false" customHeight="false" outlineLevel="0" collapsed="false">
      <c r="A1401" s="39" t="s">
        <v>1725</v>
      </c>
      <c r="B1401" s="44" t="n">
        <v>46122</v>
      </c>
      <c r="C1401" s="39" t="s">
        <v>321</v>
      </c>
      <c r="D1401" s="39" t="s">
        <v>137</v>
      </c>
      <c r="E1401" s="39" t="n">
        <v>30</v>
      </c>
      <c r="F1401" s="39" t="str">
        <f aca="false">IF(COUNTIF(medicine_master!$A$2:$A$26,C1401)&gt;0,"Valid","Invalid")</f>
        <v>Valid</v>
      </c>
      <c r="G1401" s="39" t="str">
        <f aca="false">IFERROR(INDEX(medicine_master!$B$2:$B$26,MATCH($C1401,medicine_master!$A$2:$A$26,0)),"Not found")</f>
        <v>Levocetirizine 5mg</v>
      </c>
      <c r="H1401" s="39" t="str">
        <f aca="false">IFERROR(INDEX(medicine_master!$C$2:$C$26,MATCH($C1401,medicine_master!$A$2:$A$26,0)),"Not found")</f>
        <v>Allergy</v>
      </c>
      <c r="I1401" s="39" t="n">
        <f aca="false">YEAR(B1401)</f>
        <v>2026</v>
      </c>
      <c r="J1401" s="39" t="n">
        <f aca="false">MONTH(B1401)</f>
        <v>4</v>
      </c>
      <c r="K1401" s="39" t="str">
        <f aca="false">TEXT(B1401,"mmm")</f>
        <v>Apr</v>
      </c>
      <c r="L1401" s="45" t="n">
        <f aca="false">IFERROR(INDEX(medicine_master!$I$2:$I$26,MATCH($C1401,medicine_master!$A$2:$A$26,0)),0)</f>
        <v>22</v>
      </c>
      <c r="M1401" s="45" t="n">
        <f aca="false">IFERROR(INDEX(medicine_master!$G$2:$G$26,MATCH($C1401,medicine_master!$A$2:$A$26,0)),0)</f>
        <v>14</v>
      </c>
      <c r="N1401" s="45" t="n">
        <f aca="false">IF(D1401="Sale",E1401*L1401,0)</f>
        <v>660</v>
      </c>
      <c r="O1401" s="45" t="n">
        <f aca="false">IF(D1401="Sale",E1401*M1401,0)</f>
        <v>420</v>
      </c>
      <c r="P1401" s="45" t="n">
        <f aca="false">N1401-O1401</f>
        <v>240</v>
      </c>
      <c r="Q1401" s="45" t="n">
        <f aca="false">IF(D1401="Purchase",E1401*M1401,0)</f>
        <v>0</v>
      </c>
    </row>
    <row r="1402" customFormat="false" ht="15" hidden="false" customHeight="false" outlineLevel="0" collapsed="false">
      <c r="A1402" s="39" t="s">
        <v>1726</v>
      </c>
      <c r="B1402" s="44" t="n">
        <v>46179</v>
      </c>
      <c r="C1402" s="39" t="s">
        <v>158</v>
      </c>
      <c r="D1402" s="39" t="s">
        <v>137</v>
      </c>
      <c r="E1402" s="39" t="n">
        <v>40</v>
      </c>
      <c r="F1402" s="39" t="str">
        <f aca="false">IF(COUNTIF(medicine_master!$A$2:$A$26,C1402)&gt;0,"Valid","Invalid")</f>
        <v>Valid</v>
      </c>
      <c r="G1402" s="39" t="str">
        <f aca="false">IFERROR(INDEX(medicine_master!$B$2:$B$26,MATCH($C1402,medicine_master!$A$2:$A$26,0)),"Not found")</f>
        <v>Cough Syrup 100ml</v>
      </c>
      <c r="H1402" s="39" t="str">
        <f aca="false">IFERROR(INDEX(medicine_master!$C$2:$C$26,MATCH($C1402,medicine_master!$A$2:$A$26,0)),"Not found")</f>
        <v>Cold &amp; Cough</v>
      </c>
      <c r="I1402" s="39" t="n">
        <f aca="false">YEAR(B1402)</f>
        <v>2026</v>
      </c>
      <c r="J1402" s="39" t="n">
        <f aca="false">MONTH(B1402)</f>
        <v>6</v>
      </c>
      <c r="K1402" s="39" t="str">
        <f aca="false">TEXT(B1402,"mmm")</f>
        <v>Jun</v>
      </c>
      <c r="L1402" s="45" t="n">
        <f aca="false">IFERROR(INDEX(medicine_master!$I$2:$I$26,MATCH($C1402,medicine_master!$A$2:$A$26,0)),0)</f>
        <v>72</v>
      </c>
      <c r="M1402" s="45" t="n">
        <f aca="false">IFERROR(INDEX(medicine_master!$G$2:$G$26,MATCH($C1402,medicine_master!$A$2:$A$26,0)),0)</f>
        <v>52</v>
      </c>
      <c r="N1402" s="45" t="n">
        <f aca="false">IF(D1402="Sale",E1402*L1402,0)</f>
        <v>2880</v>
      </c>
      <c r="O1402" s="45" t="n">
        <f aca="false">IF(D1402="Sale",E1402*M1402,0)</f>
        <v>2080</v>
      </c>
      <c r="P1402" s="45" t="n">
        <f aca="false">N1402-O1402</f>
        <v>800</v>
      </c>
      <c r="Q1402" s="45" t="n">
        <f aca="false">IF(D1402="Purchase",E1402*M1402,0)</f>
        <v>0</v>
      </c>
    </row>
    <row r="1403" customFormat="false" ht="15" hidden="false" customHeight="false" outlineLevel="0" collapsed="false">
      <c r="A1403" s="39" t="s">
        <v>1727</v>
      </c>
      <c r="B1403" s="44" t="n">
        <v>46349</v>
      </c>
      <c r="C1403" s="39" t="s">
        <v>345</v>
      </c>
      <c r="D1403" s="39" t="s">
        <v>138</v>
      </c>
      <c r="E1403" s="39" t="n">
        <v>30</v>
      </c>
      <c r="F1403" s="39" t="str">
        <f aca="false">IF(COUNTIF(medicine_master!$A$2:$A$26,C1403)&gt;0,"Valid","Invalid")</f>
        <v>Valid</v>
      </c>
      <c r="G1403" s="39" t="str">
        <f aca="false">IFERROR(INDEX(medicine_master!$B$2:$B$26,MATCH($C1403,medicine_master!$A$2:$A$26,0)),"Not found")</f>
        <v>Paracetamol 500mg</v>
      </c>
      <c r="H1403" s="39" t="str">
        <f aca="false">IFERROR(INDEX(medicine_master!$C$2:$C$26,MATCH($C1403,medicine_master!$A$2:$A$26,0)),"Not found")</f>
        <v>Pain Relief</v>
      </c>
      <c r="I1403" s="39" t="n">
        <f aca="false">YEAR(B1403)</f>
        <v>2026</v>
      </c>
      <c r="J1403" s="39" t="n">
        <f aca="false">MONTH(B1403)</f>
        <v>11</v>
      </c>
      <c r="K1403" s="39" t="str">
        <f aca="false">TEXT(B1403,"mmm")</f>
        <v>Nov</v>
      </c>
      <c r="L1403" s="45" t="n">
        <f aca="false">IFERROR(INDEX(medicine_master!$I$2:$I$26,MATCH($C1403,medicine_master!$A$2:$A$26,0)),0)</f>
        <v>18</v>
      </c>
      <c r="M1403" s="45" t="n">
        <f aca="false">IFERROR(INDEX(medicine_master!$G$2:$G$26,MATCH($C1403,medicine_master!$A$2:$A$26,0)),0)</f>
        <v>12</v>
      </c>
      <c r="N1403" s="45" t="n">
        <f aca="false">IF(D1403="Sale",E1403*L1403,0)</f>
        <v>0</v>
      </c>
      <c r="O1403" s="45" t="n">
        <f aca="false">IF(D1403="Sale",E1403*M1403,0)</f>
        <v>0</v>
      </c>
      <c r="P1403" s="45" t="n">
        <f aca="false">N1403-O1403</f>
        <v>0</v>
      </c>
      <c r="Q1403" s="45" t="n">
        <f aca="false">IF(D1403="Purchase",E1403*M1403,0)</f>
        <v>360</v>
      </c>
    </row>
    <row r="1404" customFormat="false" ht="15" hidden="false" customHeight="false" outlineLevel="0" collapsed="false">
      <c r="A1404" s="39" t="s">
        <v>1728</v>
      </c>
      <c r="B1404" s="44" t="n">
        <v>46154</v>
      </c>
      <c r="C1404" s="39" t="s">
        <v>149</v>
      </c>
      <c r="D1404" s="39" t="s">
        <v>138</v>
      </c>
      <c r="E1404" s="39" t="n">
        <v>5</v>
      </c>
      <c r="F1404" s="39" t="str">
        <f aca="false">IF(COUNTIF(medicine_master!$A$2:$A$26,C1404)&gt;0,"Valid","Invalid")</f>
        <v>Valid</v>
      </c>
      <c r="G1404" s="39" t="str">
        <f aca="false">IFERROR(INDEX(medicine_master!$B$2:$B$26,MATCH($C1404,medicine_master!$A$2:$A$26,0)),"Not found")</f>
        <v>Azithromycin 500mg</v>
      </c>
      <c r="H1404" s="39" t="str">
        <f aca="false">IFERROR(INDEX(medicine_master!$C$2:$C$26,MATCH($C1404,medicine_master!$A$2:$A$26,0)),"Not found")</f>
        <v>Antibiotic</v>
      </c>
      <c r="I1404" s="39" t="n">
        <f aca="false">YEAR(B1404)</f>
        <v>2026</v>
      </c>
      <c r="J1404" s="39" t="n">
        <f aca="false">MONTH(B1404)</f>
        <v>5</v>
      </c>
      <c r="K1404" s="39" t="str">
        <f aca="false">TEXT(B1404,"mmm")</f>
        <v>May</v>
      </c>
      <c r="L1404" s="45" t="n">
        <f aca="false">IFERROR(INDEX(medicine_master!$I$2:$I$26,MATCH($C1404,medicine_master!$A$2:$A$26,0)),0)</f>
        <v>50</v>
      </c>
      <c r="M1404" s="45" t="n">
        <f aca="false">IFERROR(INDEX(medicine_master!$G$2:$G$26,MATCH($C1404,medicine_master!$A$2:$A$26,0)),0)</f>
        <v>35</v>
      </c>
      <c r="N1404" s="45" t="n">
        <f aca="false">IF(D1404="Sale",E1404*L1404,0)</f>
        <v>0</v>
      </c>
      <c r="O1404" s="45" t="n">
        <f aca="false">IF(D1404="Sale",E1404*M1404,0)</f>
        <v>0</v>
      </c>
      <c r="P1404" s="45" t="n">
        <f aca="false">N1404-O1404</f>
        <v>0</v>
      </c>
      <c r="Q1404" s="45" t="n">
        <f aca="false">IF(D1404="Purchase",E1404*M1404,0)</f>
        <v>175</v>
      </c>
    </row>
    <row r="1405" customFormat="false" ht="15" hidden="false" customHeight="false" outlineLevel="0" collapsed="false">
      <c r="A1405" s="39" t="s">
        <v>1729</v>
      </c>
      <c r="B1405" s="44" t="n">
        <v>46081</v>
      </c>
      <c r="C1405" s="39" t="s">
        <v>345</v>
      </c>
      <c r="D1405" s="39" t="s">
        <v>137</v>
      </c>
      <c r="E1405" s="39" t="n">
        <v>10</v>
      </c>
      <c r="F1405" s="39" t="str">
        <f aca="false">IF(COUNTIF(medicine_master!$A$2:$A$26,C1405)&gt;0,"Valid","Invalid")</f>
        <v>Valid</v>
      </c>
      <c r="G1405" s="39" t="str">
        <f aca="false">IFERROR(INDEX(medicine_master!$B$2:$B$26,MATCH($C1405,medicine_master!$A$2:$A$26,0)),"Not found")</f>
        <v>Paracetamol 500mg</v>
      </c>
      <c r="H1405" s="39" t="str">
        <f aca="false">IFERROR(INDEX(medicine_master!$C$2:$C$26,MATCH($C1405,medicine_master!$A$2:$A$26,0)),"Not found")</f>
        <v>Pain Relief</v>
      </c>
      <c r="I1405" s="39" t="n">
        <f aca="false">YEAR(B1405)</f>
        <v>2026</v>
      </c>
      <c r="J1405" s="39" t="n">
        <f aca="false">MONTH(B1405)</f>
        <v>2</v>
      </c>
      <c r="K1405" s="39" t="str">
        <f aca="false">TEXT(B1405,"mmm")</f>
        <v>Feb</v>
      </c>
      <c r="L1405" s="45" t="n">
        <f aca="false">IFERROR(INDEX(medicine_master!$I$2:$I$26,MATCH($C1405,medicine_master!$A$2:$A$26,0)),0)</f>
        <v>18</v>
      </c>
      <c r="M1405" s="45" t="n">
        <f aca="false">IFERROR(INDEX(medicine_master!$G$2:$G$26,MATCH($C1405,medicine_master!$A$2:$A$26,0)),0)</f>
        <v>12</v>
      </c>
      <c r="N1405" s="45" t="n">
        <f aca="false">IF(D1405="Sale",E1405*L1405,0)</f>
        <v>180</v>
      </c>
      <c r="O1405" s="45" t="n">
        <f aca="false">IF(D1405="Sale",E1405*M1405,0)</f>
        <v>120</v>
      </c>
      <c r="P1405" s="45" t="n">
        <f aca="false">N1405-O1405</f>
        <v>60</v>
      </c>
      <c r="Q1405" s="45" t="n">
        <f aca="false">IF(D1405="Purchase",E1405*M1405,0)</f>
        <v>0</v>
      </c>
    </row>
    <row r="1406" customFormat="false" ht="15" hidden="false" customHeight="false" outlineLevel="0" collapsed="false">
      <c r="A1406" s="39" t="s">
        <v>1730</v>
      </c>
      <c r="B1406" s="44" t="n">
        <v>46250</v>
      </c>
      <c r="C1406" s="39" t="s">
        <v>158</v>
      </c>
      <c r="D1406" s="39" t="s">
        <v>138</v>
      </c>
      <c r="E1406" s="39" t="n">
        <v>15</v>
      </c>
      <c r="F1406" s="39" t="str">
        <f aca="false">IF(COUNTIF(medicine_master!$A$2:$A$26,C1406)&gt;0,"Valid","Invalid")</f>
        <v>Valid</v>
      </c>
      <c r="G1406" s="39" t="str">
        <f aca="false">IFERROR(INDEX(medicine_master!$B$2:$B$26,MATCH($C1406,medicine_master!$A$2:$A$26,0)),"Not found")</f>
        <v>Cough Syrup 100ml</v>
      </c>
      <c r="H1406" s="39" t="str">
        <f aca="false">IFERROR(INDEX(medicine_master!$C$2:$C$26,MATCH($C1406,medicine_master!$A$2:$A$26,0)),"Not found")</f>
        <v>Cold &amp; Cough</v>
      </c>
      <c r="I1406" s="39" t="n">
        <f aca="false">YEAR(B1406)</f>
        <v>2026</v>
      </c>
      <c r="J1406" s="39" t="n">
        <f aca="false">MONTH(B1406)</f>
        <v>8</v>
      </c>
      <c r="K1406" s="39" t="str">
        <f aca="false">TEXT(B1406,"mmm")</f>
        <v>Aug</v>
      </c>
      <c r="L1406" s="45" t="n">
        <f aca="false">IFERROR(INDEX(medicine_master!$I$2:$I$26,MATCH($C1406,medicine_master!$A$2:$A$26,0)),0)</f>
        <v>72</v>
      </c>
      <c r="M1406" s="45" t="n">
        <f aca="false">IFERROR(INDEX(medicine_master!$G$2:$G$26,MATCH($C1406,medicine_master!$A$2:$A$26,0)),0)</f>
        <v>52</v>
      </c>
      <c r="N1406" s="45" t="n">
        <f aca="false">IF(D1406="Sale",E1406*L1406,0)</f>
        <v>0</v>
      </c>
      <c r="O1406" s="45" t="n">
        <f aca="false">IF(D1406="Sale",E1406*M1406,0)</f>
        <v>0</v>
      </c>
      <c r="P1406" s="45" t="n">
        <f aca="false">N1406-O1406</f>
        <v>0</v>
      </c>
      <c r="Q1406" s="45" t="n">
        <f aca="false">IF(D1406="Purchase",E1406*M1406,0)</f>
        <v>780</v>
      </c>
    </row>
    <row r="1407" customFormat="false" ht="15" hidden="false" customHeight="false" outlineLevel="0" collapsed="false">
      <c r="A1407" s="39" t="s">
        <v>1731</v>
      </c>
      <c r="B1407" s="44" t="n">
        <v>46384</v>
      </c>
      <c r="C1407" s="39" t="s">
        <v>147</v>
      </c>
      <c r="D1407" s="39" t="s">
        <v>138</v>
      </c>
      <c r="E1407" s="39" t="n">
        <v>20</v>
      </c>
      <c r="F1407" s="39" t="str">
        <f aca="false">IF(COUNTIF(medicine_master!$A$2:$A$26,C1407)&gt;0,"Valid","Invalid")</f>
        <v>Valid</v>
      </c>
      <c r="G1407" s="39" t="str">
        <f aca="false">IFERROR(INDEX(medicine_master!$B$2:$B$26,MATCH($C1407,medicine_master!$A$2:$A$26,0)),"Not found")</f>
        <v>Insulin Injection</v>
      </c>
      <c r="H1407" s="39" t="str">
        <f aca="false">IFERROR(INDEX(medicine_master!$C$2:$C$26,MATCH($C1407,medicine_master!$A$2:$A$26,0)),"Not found")</f>
        <v>Diabetes</v>
      </c>
      <c r="I1407" s="39" t="n">
        <f aca="false">YEAR(B1407)</f>
        <v>2026</v>
      </c>
      <c r="J1407" s="39" t="n">
        <f aca="false">MONTH(B1407)</f>
        <v>12</v>
      </c>
      <c r="K1407" s="39" t="str">
        <f aca="false">TEXT(B1407,"mmm")</f>
        <v>Dec</v>
      </c>
      <c r="L1407" s="45" t="n">
        <f aca="false">IFERROR(INDEX(medicine_master!$I$2:$I$26,MATCH($C1407,medicine_master!$A$2:$A$26,0)),0)</f>
        <v>225</v>
      </c>
      <c r="M1407" s="45" t="n">
        <f aca="false">IFERROR(INDEX(medicine_master!$G$2:$G$26,MATCH($C1407,medicine_master!$A$2:$A$26,0)),0)</f>
        <v>165</v>
      </c>
      <c r="N1407" s="45" t="n">
        <f aca="false">IF(D1407="Sale",E1407*L1407,0)</f>
        <v>0</v>
      </c>
      <c r="O1407" s="45" t="n">
        <f aca="false">IF(D1407="Sale",E1407*M1407,0)</f>
        <v>0</v>
      </c>
      <c r="P1407" s="45" t="n">
        <f aca="false">N1407-O1407</f>
        <v>0</v>
      </c>
      <c r="Q1407" s="45" t="n">
        <f aca="false">IF(D1407="Purchase",E1407*M1407,0)</f>
        <v>3300</v>
      </c>
    </row>
    <row r="1408" customFormat="false" ht="15" hidden="false" customHeight="false" outlineLevel="0" collapsed="false">
      <c r="A1408" s="39" t="s">
        <v>1732</v>
      </c>
      <c r="B1408" s="44" t="n">
        <v>46040</v>
      </c>
      <c r="C1408" s="39" t="s">
        <v>321</v>
      </c>
      <c r="D1408" s="39" t="s">
        <v>138</v>
      </c>
      <c r="E1408" s="39" t="n">
        <v>20</v>
      </c>
      <c r="F1408" s="39" t="str">
        <f aca="false">IF(COUNTIF(medicine_master!$A$2:$A$26,C1408)&gt;0,"Valid","Invalid")</f>
        <v>Valid</v>
      </c>
      <c r="G1408" s="39" t="str">
        <f aca="false">IFERROR(INDEX(medicine_master!$B$2:$B$26,MATCH($C1408,medicine_master!$A$2:$A$26,0)),"Not found")</f>
        <v>Levocetirizine 5mg</v>
      </c>
      <c r="H1408" s="39" t="str">
        <f aca="false">IFERROR(INDEX(medicine_master!$C$2:$C$26,MATCH($C1408,medicine_master!$A$2:$A$26,0)),"Not found")</f>
        <v>Allergy</v>
      </c>
      <c r="I1408" s="39" t="n">
        <f aca="false">YEAR(B1408)</f>
        <v>2026</v>
      </c>
      <c r="J1408" s="39" t="n">
        <f aca="false">MONTH(B1408)</f>
        <v>1</v>
      </c>
      <c r="K1408" s="39" t="str">
        <f aca="false">TEXT(B1408,"mmm")</f>
        <v>Jan</v>
      </c>
      <c r="L1408" s="45" t="n">
        <f aca="false">IFERROR(INDEX(medicine_master!$I$2:$I$26,MATCH($C1408,medicine_master!$A$2:$A$26,0)),0)</f>
        <v>22</v>
      </c>
      <c r="M1408" s="45" t="n">
        <f aca="false">IFERROR(INDEX(medicine_master!$G$2:$G$26,MATCH($C1408,medicine_master!$A$2:$A$26,0)),0)</f>
        <v>14</v>
      </c>
      <c r="N1408" s="45" t="n">
        <f aca="false">IF(D1408="Sale",E1408*L1408,0)</f>
        <v>0</v>
      </c>
      <c r="O1408" s="45" t="n">
        <f aca="false">IF(D1408="Sale",E1408*M1408,0)</f>
        <v>0</v>
      </c>
      <c r="P1408" s="45" t="n">
        <f aca="false">N1408-O1408</f>
        <v>0</v>
      </c>
      <c r="Q1408" s="45" t="n">
        <f aca="false">IF(D1408="Purchase",E1408*M1408,0)</f>
        <v>280</v>
      </c>
    </row>
    <row r="1409" customFormat="false" ht="15" hidden="false" customHeight="false" outlineLevel="0" collapsed="false">
      <c r="A1409" s="39" t="s">
        <v>1733</v>
      </c>
      <c r="B1409" s="44" t="n">
        <v>46317</v>
      </c>
      <c r="C1409" s="39" t="s">
        <v>150</v>
      </c>
      <c r="D1409" s="39" t="s">
        <v>137</v>
      </c>
      <c r="E1409" s="39" t="n">
        <v>30</v>
      </c>
      <c r="F1409" s="39" t="str">
        <f aca="false">IF(COUNTIF(medicine_master!$A$2:$A$26,C1409)&gt;0,"Valid","Invalid")</f>
        <v>Valid</v>
      </c>
      <c r="G1409" s="39" t="str">
        <f aca="false">IFERROR(INDEX(medicine_master!$B$2:$B$26,MATCH($C1409,medicine_master!$A$2:$A$26,0)),"Not found")</f>
        <v>Pantoprazole 40mg</v>
      </c>
      <c r="H1409" s="39" t="str">
        <f aca="false">IFERROR(INDEX(medicine_master!$C$2:$C$26,MATCH($C1409,medicine_master!$A$2:$A$26,0)),"Not found")</f>
        <v>Gastric</v>
      </c>
      <c r="I1409" s="39" t="n">
        <f aca="false">YEAR(B1409)</f>
        <v>2026</v>
      </c>
      <c r="J1409" s="39" t="n">
        <f aca="false">MONTH(B1409)</f>
        <v>10</v>
      </c>
      <c r="K1409" s="39" t="str">
        <f aca="false">TEXT(B1409,"mmm")</f>
        <v>Oct</v>
      </c>
      <c r="L1409" s="45" t="n">
        <f aca="false">IFERROR(INDEX(medicine_master!$I$2:$I$26,MATCH($C1409,medicine_master!$A$2:$A$26,0)),0)</f>
        <v>35</v>
      </c>
      <c r="M1409" s="45" t="n">
        <f aca="false">IFERROR(INDEX(medicine_master!$G$2:$G$26,MATCH($C1409,medicine_master!$A$2:$A$26,0)),0)</f>
        <v>24</v>
      </c>
      <c r="N1409" s="45" t="n">
        <f aca="false">IF(D1409="Sale",E1409*L1409,0)</f>
        <v>1050</v>
      </c>
      <c r="O1409" s="45" t="n">
        <f aca="false">IF(D1409="Sale",E1409*M1409,0)</f>
        <v>720</v>
      </c>
      <c r="P1409" s="45" t="n">
        <f aca="false">N1409-O1409</f>
        <v>330</v>
      </c>
      <c r="Q1409" s="45" t="n">
        <f aca="false">IF(D1409="Purchase",E1409*M1409,0)</f>
        <v>0</v>
      </c>
    </row>
    <row r="1410" customFormat="false" ht="15" hidden="false" customHeight="false" outlineLevel="0" collapsed="false">
      <c r="A1410" s="39" t="s">
        <v>1734</v>
      </c>
      <c r="B1410" s="44" t="n">
        <v>46204</v>
      </c>
      <c r="C1410" s="39" t="s">
        <v>404</v>
      </c>
      <c r="D1410" s="39" t="s">
        <v>138</v>
      </c>
      <c r="E1410" s="39" t="n">
        <v>20</v>
      </c>
      <c r="F1410" s="39" t="str">
        <f aca="false">IF(COUNTIF(medicine_master!$A$2:$A$26,C1410)&gt;0,"Valid","Invalid")</f>
        <v>Valid</v>
      </c>
      <c r="G1410" s="39" t="str">
        <f aca="false">IFERROR(INDEX(medicine_master!$B$2:$B$26,MATCH($C1410,medicine_master!$A$2:$A$26,0)),"Not found")</f>
        <v>ORS Sachet</v>
      </c>
      <c r="H1410" s="39" t="str">
        <f aca="false">IFERROR(INDEX(medicine_master!$C$2:$C$26,MATCH($C1410,medicine_master!$A$2:$A$26,0)),"Not found")</f>
        <v>First Aid</v>
      </c>
      <c r="I1410" s="39" t="n">
        <f aca="false">YEAR(B1410)</f>
        <v>2026</v>
      </c>
      <c r="J1410" s="39" t="n">
        <f aca="false">MONTH(B1410)</f>
        <v>7</v>
      </c>
      <c r="K1410" s="39" t="str">
        <f aca="false">TEXT(B1410,"mmm")</f>
        <v>Jul</v>
      </c>
      <c r="L1410" s="45" t="n">
        <f aca="false">IFERROR(INDEX(medicine_master!$I$2:$I$26,MATCH($C1410,medicine_master!$A$2:$A$26,0)),0)</f>
        <v>10</v>
      </c>
      <c r="M1410" s="45" t="n">
        <f aca="false">IFERROR(INDEX(medicine_master!$G$2:$G$26,MATCH($C1410,medicine_master!$A$2:$A$26,0)),0)</f>
        <v>6</v>
      </c>
      <c r="N1410" s="45" t="n">
        <f aca="false">IF(D1410="Sale",E1410*L1410,0)</f>
        <v>0</v>
      </c>
      <c r="O1410" s="45" t="n">
        <f aca="false">IF(D1410="Sale",E1410*M1410,0)</f>
        <v>0</v>
      </c>
      <c r="P1410" s="45" t="n">
        <f aca="false">N1410-O1410</f>
        <v>0</v>
      </c>
      <c r="Q1410" s="45" t="n">
        <f aca="false">IF(D1410="Purchase",E1410*M1410,0)</f>
        <v>120</v>
      </c>
    </row>
    <row r="1411" customFormat="false" ht="15" hidden="false" customHeight="false" outlineLevel="0" collapsed="false">
      <c r="A1411" s="39" t="s">
        <v>1735</v>
      </c>
      <c r="B1411" s="44" t="n">
        <v>46218</v>
      </c>
      <c r="C1411" s="39" t="s">
        <v>151</v>
      </c>
      <c r="D1411" s="39" t="s">
        <v>137</v>
      </c>
      <c r="E1411" s="39" t="n">
        <v>15</v>
      </c>
      <c r="F1411" s="39" t="str">
        <f aca="false">IF(COUNTIF(medicine_master!$A$2:$A$26,C1411)&gt;0,"Valid","Invalid")</f>
        <v>Valid</v>
      </c>
      <c r="G1411" s="39" t="str">
        <f aca="false">IFERROR(INDEX(medicine_master!$B$2:$B$26,MATCH($C1411,medicine_master!$A$2:$A$26,0)),"Not found")</f>
        <v>Cetirizine 10mg</v>
      </c>
      <c r="H1411" s="39" t="str">
        <f aca="false">IFERROR(INDEX(medicine_master!$C$2:$C$26,MATCH($C1411,medicine_master!$A$2:$A$26,0)),"Not found")</f>
        <v>Allergy</v>
      </c>
      <c r="I1411" s="39" t="n">
        <f aca="false">YEAR(B1411)</f>
        <v>2026</v>
      </c>
      <c r="J1411" s="39" t="n">
        <f aca="false">MONTH(B1411)</f>
        <v>7</v>
      </c>
      <c r="K1411" s="39" t="str">
        <f aca="false">TEXT(B1411,"mmm")</f>
        <v>Jul</v>
      </c>
      <c r="L1411" s="45" t="n">
        <f aca="false">IFERROR(INDEX(medicine_master!$I$2:$I$26,MATCH($C1411,medicine_master!$A$2:$A$26,0)),0)</f>
        <v>13</v>
      </c>
      <c r="M1411" s="45" t="n">
        <f aca="false">IFERROR(INDEX(medicine_master!$G$2:$G$26,MATCH($C1411,medicine_master!$A$2:$A$26,0)),0)</f>
        <v>8</v>
      </c>
      <c r="N1411" s="45" t="n">
        <f aca="false">IF(D1411="Sale",E1411*L1411,0)</f>
        <v>195</v>
      </c>
      <c r="O1411" s="45" t="n">
        <f aca="false">IF(D1411="Sale",E1411*M1411,0)</f>
        <v>120</v>
      </c>
      <c r="P1411" s="45" t="n">
        <f aca="false">N1411-O1411</f>
        <v>75</v>
      </c>
      <c r="Q1411" s="45" t="n">
        <f aca="false">IF(D1411="Purchase",E1411*M1411,0)</f>
        <v>0</v>
      </c>
    </row>
    <row r="1412" customFormat="false" ht="15" hidden="false" customHeight="false" outlineLevel="0" collapsed="false">
      <c r="A1412" s="39" t="s">
        <v>1736</v>
      </c>
      <c r="B1412" s="44" t="n">
        <v>46285</v>
      </c>
      <c r="C1412" s="39" t="s">
        <v>157</v>
      </c>
      <c r="D1412" s="39" t="s">
        <v>138</v>
      </c>
      <c r="E1412" s="39" t="n">
        <v>30</v>
      </c>
      <c r="F1412" s="39" t="str">
        <f aca="false">IF(COUNTIF(medicine_master!$A$2:$A$26,C1412)&gt;0,"Valid","Invalid")</f>
        <v>Valid</v>
      </c>
      <c r="G1412" s="39" t="str">
        <f aca="false">IFERROR(INDEX(medicine_master!$B$2:$B$26,MATCH($C1412,medicine_master!$A$2:$A$26,0)),"Not found")</f>
        <v>Multivitamin Tablets</v>
      </c>
      <c r="H1412" s="39" t="str">
        <f aca="false">IFERROR(INDEX(medicine_master!$C$2:$C$26,MATCH($C1412,medicine_master!$A$2:$A$26,0)),"Not found")</f>
        <v>Vitamin</v>
      </c>
      <c r="I1412" s="39" t="n">
        <f aca="false">YEAR(B1412)</f>
        <v>2026</v>
      </c>
      <c r="J1412" s="39" t="n">
        <f aca="false">MONTH(B1412)</f>
        <v>9</v>
      </c>
      <c r="K1412" s="39" t="str">
        <f aca="false">TEXT(B1412,"mmm")</f>
        <v>Sep</v>
      </c>
      <c r="L1412" s="45" t="n">
        <f aca="false">IFERROR(INDEX(medicine_master!$I$2:$I$26,MATCH($C1412,medicine_master!$A$2:$A$26,0)),0)</f>
        <v>105</v>
      </c>
      <c r="M1412" s="45" t="n">
        <f aca="false">IFERROR(INDEX(medicine_master!$G$2:$G$26,MATCH($C1412,medicine_master!$A$2:$A$26,0)),0)</f>
        <v>72</v>
      </c>
      <c r="N1412" s="45" t="n">
        <f aca="false">IF(D1412="Sale",E1412*L1412,0)</f>
        <v>0</v>
      </c>
      <c r="O1412" s="45" t="n">
        <f aca="false">IF(D1412="Sale",E1412*M1412,0)</f>
        <v>0</v>
      </c>
      <c r="P1412" s="45" t="n">
        <f aca="false">N1412-O1412</f>
        <v>0</v>
      </c>
      <c r="Q1412" s="45" t="n">
        <f aca="false">IF(D1412="Purchase",E1412*M1412,0)</f>
        <v>2160</v>
      </c>
    </row>
    <row r="1413" customFormat="false" ht="15" hidden="false" customHeight="false" outlineLevel="0" collapsed="false">
      <c r="A1413" s="39" t="s">
        <v>1737</v>
      </c>
      <c r="B1413" s="44" t="n">
        <v>46090</v>
      </c>
      <c r="C1413" s="39" t="s">
        <v>153</v>
      </c>
      <c r="D1413" s="39" t="s">
        <v>137</v>
      </c>
      <c r="E1413" s="39" t="n">
        <v>40</v>
      </c>
      <c r="F1413" s="39" t="str">
        <f aca="false">IF(COUNTIF(medicine_master!$A$2:$A$26,C1413)&gt;0,"Valid","Invalid")</f>
        <v>Valid</v>
      </c>
      <c r="G1413" s="39" t="str">
        <f aca="false">IFERROR(INDEX(medicine_master!$B$2:$B$26,MATCH($C1413,medicine_master!$A$2:$A$26,0)),"Not found")</f>
        <v>Atorvastatin 10mg</v>
      </c>
      <c r="H1413" s="39" t="str">
        <f aca="false">IFERROR(INDEX(medicine_master!$C$2:$C$26,MATCH($C1413,medicine_master!$A$2:$A$26,0)),"Not found")</f>
        <v>Cardiac</v>
      </c>
      <c r="I1413" s="39" t="n">
        <f aca="false">YEAR(B1413)</f>
        <v>2026</v>
      </c>
      <c r="J1413" s="39" t="n">
        <f aca="false">MONTH(B1413)</f>
        <v>3</v>
      </c>
      <c r="K1413" s="39" t="str">
        <f aca="false">TEXT(B1413,"mmm")</f>
        <v>Mar</v>
      </c>
      <c r="L1413" s="45" t="n">
        <f aca="false">IFERROR(INDEX(medicine_master!$I$2:$I$26,MATCH($C1413,medicine_master!$A$2:$A$26,0)),0)</f>
        <v>28</v>
      </c>
      <c r="M1413" s="45" t="n">
        <f aca="false">IFERROR(INDEX(medicine_master!$G$2:$G$26,MATCH($C1413,medicine_master!$A$2:$A$26,0)),0)</f>
        <v>19</v>
      </c>
      <c r="N1413" s="45" t="n">
        <f aca="false">IF(D1413="Sale",E1413*L1413,0)</f>
        <v>1120</v>
      </c>
      <c r="O1413" s="45" t="n">
        <f aca="false">IF(D1413="Sale",E1413*M1413,0)</f>
        <v>760</v>
      </c>
      <c r="P1413" s="45" t="n">
        <f aca="false">N1413-O1413</f>
        <v>360</v>
      </c>
      <c r="Q1413" s="45" t="n">
        <f aca="false">IF(D1413="Purchase",E1413*M1413,0)</f>
        <v>0</v>
      </c>
    </row>
    <row r="1414" customFormat="false" ht="15" hidden="false" customHeight="false" outlineLevel="0" collapsed="false">
      <c r="A1414" s="39" t="s">
        <v>1738</v>
      </c>
      <c r="B1414" s="44" t="n">
        <v>46307</v>
      </c>
      <c r="C1414" s="39" t="s">
        <v>390</v>
      </c>
      <c r="D1414" s="39" t="s">
        <v>137</v>
      </c>
      <c r="E1414" s="39" t="n">
        <v>40</v>
      </c>
      <c r="F1414" s="39" t="str">
        <f aca="false">IF(COUNTIF(medicine_master!$A$2:$A$26,C1414)&gt;0,"Valid","Invalid")</f>
        <v>Valid</v>
      </c>
      <c r="G1414" s="39" t="str">
        <f aca="false">IFERROR(INDEX(medicine_master!$B$2:$B$26,MATCH($C1414,medicine_master!$A$2:$A$26,0)),"Not found")</f>
        <v>Montelukast 10mg</v>
      </c>
      <c r="H1414" s="39" t="str">
        <f aca="false">IFERROR(INDEX(medicine_master!$C$2:$C$26,MATCH($C1414,medicine_master!$A$2:$A$26,0)),"Not found")</f>
        <v>Allergy</v>
      </c>
      <c r="I1414" s="39" t="n">
        <f aca="false">YEAR(B1414)</f>
        <v>2026</v>
      </c>
      <c r="J1414" s="39" t="n">
        <f aca="false">MONTH(B1414)</f>
        <v>10</v>
      </c>
      <c r="K1414" s="39" t="str">
        <f aca="false">TEXT(B1414,"mmm")</f>
        <v>Oct</v>
      </c>
      <c r="L1414" s="45" t="n">
        <f aca="false">IFERROR(INDEX(medicine_master!$I$2:$I$26,MATCH($C1414,medicine_master!$A$2:$A$26,0)),0)</f>
        <v>39</v>
      </c>
      <c r="M1414" s="45" t="n">
        <f aca="false">IFERROR(INDEX(medicine_master!$G$2:$G$26,MATCH($C1414,medicine_master!$A$2:$A$26,0)),0)</f>
        <v>27</v>
      </c>
      <c r="N1414" s="45" t="n">
        <f aca="false">IF(D1414="Sale",E1414*L1414,0)</f>
        <v>1560</v>
      </c>
      <c r="O1414" s="45" t="n">
        <f aca="false">IF(D1414="Sale",E1414*M1414,0)</f>
        <v>1080</v>
      </c>
      <c r="P1414" s="45" t="n">
        <f aca="false">N1414-O1414</f>
        <v>480</v>
      </c>
      <c r="Q1414" s="45" t="n">
        <f aca="false">IF(D1414="Purchase",E1414*M1414,0)</f>
        <v>0</v>
      </c>
    </row>
    <row r="1415" customFormat="false" ht="15" hidden="false" customHeight="false" outlineLevel="0" collapsed="false">
      <c r="A1415" s="39" t="s">
        <v>1739</v>
      </c>
      <c r="B1415" s="44" t="n">
        <v>46354</v>
      </c>
      <c r="C1415" s="39" t="s">
        <v>150</v>
      </c>
      <c r="D1415" s="39" t="s">
        <v>138</v>
      </c>
      <c r="E1415" s="39" t="n">
        <v>30</v>
      </c>
      <c r="F1415" s="39" t="str">
        <f aca="false">IF(COUNTIF(medicine_master!$A$2:$A$26,C1415)&gt;0,"Valid","Invalid")</f>
        <v>Valid</v>
      </c>
      <c r="G1415" s="39" t="str">
        <f aca="false">IFERROR(INDEX(medicine_master!$B$2:$B$26,MATCH($C1415,medicine_master!$A$2:$A$26,0)),"Not found")</f>
        <v>Pantoprazole 40mg</v>
      </c>
      <c r="H1415" s="39" t="str">
        <f aca="false">IFERROR(INDEX(medicine_master!$C$2:$C$26,MATCH($C1415,medicine_master!$A$2:$A$26,0)),"Not found")</f>
        <v>Gastric</v>
      </c>
      <c r="I1415" s="39" t="n">
        <f aca="false">YEAR(B1415)</f>
        <v>2026</v>
      </c>
      <c r="J1415" s="39" t="n">
        <f aca="false">MONTH(B1415)</f>
        <v>11</v>
      </c>
      <c r="K1415" s="39" t="str">
        <f aca="false">TEXT(B1415,"mmm")</f>
        <v>Nov</v>
      </c>
      <c r="L1415" s="45" t="n">
        <f aca="false">IFERROR(INDEX(medicine_master!$I$2:$I$26,MATCH($C1415,medicine_master!$A$2:$A$26,0)),0)</f>
        <v>35</v>
      </c>
      <c r="M1415" s="45" t="n">
        <f aca="false">IFERROR(INDEX(medicine_master!$G$2:$G$26,MATCH($C1415,medicine_master!$A$2:$A$26,0)),0)</f>
        <v>24</v>
      </c>
      <c r="N1415" s="45" t="n">
        <f aca="false">IF(D1415="Sale",E1415*L1415,0)</f>
        <v>0</v>
      </c>
      <c r="O1415" s="45" t="n">
        <f aca="false">IF(D1415="Sale",E1415*M1415,0)</f>
        <v>0</v>
      </c>
      <c r="P1415" s="45" t="n">
        <f aca="false">N1415-O1415</f>
        <v>0</v>
      </c>
      <c r="Q1415" s="45" t="n">
        <f aca="false">IF(D1415="Purchase",E1415*M1415,0)</f>
        <v>720</v>
      </c>
    </row>
    <row r="1416" customFormat="false" ht="15" hidden="false" customHeight="false" outlineLevel="0" collapsed="false">
      <c r="A1416" s="39" t="s">
        <v>1740</v>
      </c>
      <c r="B1416" s="44" t="n">
        <v>46150</v>
      </c>
      <c r="C1416" s="39" t="s">
        <v>146</v>
      </c>
      <c r="D1416" s="39" t="s">
        <v>137</v>
      </c>
      <c r="E1416" s="39" t="n">
        <v>5</v>
      </c>
      <c r="F1416" s="39" t="str">
        <f aca="false">IF(COUNTIF(medicine_master!$A$2:$A$26,C1416)&gt;0,"Valid","Invalid")</f>
        <v>Valid</v>
      </c>
      <c r="G1416" s="39" t="str">
        <f aca="false">IFERROR(INDEX(medicine_master!$B$2:$B$26,MATCH($C1416,medicine_master!$A$2:$A$26,0)),"Not found")</f>
        <v>Diclofenac Gel</v>
      </c>
      <c r="H1416" s="39" t="str">
        <f aca="false">IFERROR(INDEX(medicine_master!$C$2:$C$26,MATCH($C1416,medicine_master!$A$2:$A$26,0)),"Not found")</f>
        <v>Pain Relief</v>
      </c>
      <c r="I1416" s="39" t="n">
        <f aca="false">YEAR(B1416)</f>
        <v>2026</v>
      </c>
      <c r="J1416" s="39" t="n">
        <f aca="false">MONTH(B1416)</f>
        <v>5</v>
      </c>
      <c r="K1416" s="39" t="str">
        <f aca="false">TEXT(B1416,"mmm")</f>
        <v>May</v>
      </c>
      <c r="L1416" s="45" t="n">
        <f aca="false">IFERROR(INDEX(medicine_master!$I$2:$I$26,MATCH($C1416,medicine_master!$A$2:$A$26,0)),0)</f>
        <v>55</v>
      </c>
      <c r="M1416" s="45" t="n">
        <f aca="false">IFERROR(INDEX(medicine_master!$G$2:$G$26,MATCH($C1416,medicine_master!$A$2:$A$26,0)),0)</f>
        <v>38</v>
      </c>
      <c r="N1416" s="45" t="n">
        <f aca="false">IF(D1416="Sale",E1416*L1416,0)</f>
        <v>275</v>
      </c>
      <c r="O1416" s="45" t="n">
        <f aca="false">IF(D1416="Sale",E1416*M1416,0)</f>
        <v>190</v>
      </c>
      <c r="P1416" s="45" t="n">
        <f aca="false">N1416-O1416</f>
        <v>85</v>
      </c>
      <c r="Q1416" s="45" t="n">
        <f aca="false">IF(D1416="Purchase",E1416*M1416,0)</f>
        <v>0</v>
      </c>
    </row>
    <row r="1417" customFormat="false" ht="15" hidden="false" customHeight="false" outlineLevel="0" collapsed="false">
      <c r="A1417" s="39" t="s">
        <v>1741</v>
      </c>
      <c r="B1417" s="44" t="n">
        <v>46087</v>
      </c>
      <c r="C1417" s="39" t="s">
        <v>321</v>
      </c>
      <c r="D1417" s="39" t="s">
        <v>138</v>
      </c>
      <c r="E1417" s="39" t="n">
        <v>15</v>
      </c>
      <c r="F1417" s="39" t="str">
        <f aca="false">IF(COUNTIF(medicine_master!$A$2:$A$26,C1417)&gt;0,"Valid","Invalid")</f>
        <v>Valid</v>
      </c>
      <c r="G1417" s="39" t="str">
        <f aca="false">IFERROR(INDEX(medicine_master!$B$2:$B$26,MATCH($C1417,medicine_master!$A$2:$A$26,0)),"Not found")</f>
        <v>Levocetirizine 5mg</v>
      </c>
      <c r="H1417" s="39" t="str">
        <f aca="false">IFERROR(INDEX(medicine_master!$C$2:$C$26,MATCH($C1417,medicine_master!$A$2:$A$26,0)),"Not found")</f>
        <v>Allergy</v>
      </c>
      <c r="I1417" s="39" t="n">
        <f aca="false">YEAR(B1417)</f>
        <v>2026</v>
      </c>
      <c r="J1417" s="39" t="n">
        <f aca="false">MONTH(B1417)</f>
        <v>3</v>
      </c>
      <c r="K1417" s="39" t="str">
        <f aca="false">TEXT(B1417,"mmm")</f>
        <v>Mar</v>
      </c>
      <c r="L1417" s="45" t="n">
        <f aca="false">IFERROR(INDEX(medicine_master!$I$2:$I$26,MATCH($C1417,medicine_master!$A$2:$A$26,0)),0)</f>
        <v>22</v>
      </c>
      <c r="M1417" s="45" t="n">
        <f aca="false">IFERROR(INDEX(medicine_master!$G$2:$G$26,MATCH($C1417,medicine_master!$A$2:$A$26,0)),0)</f>
        <v>14</v>
      </c>
      <c r="N1417" s="45" t="n">
        <f aca="false">IF(D1417="Sale",E1417*L1417,0)</f>
        <v>0</v>
      </c>
      <c r="O1417" s="45" t="n">
        <f aca="false">IF(D1417="Sale",E1417*M1417,0)</f>
        <v>0</v>
      </c>
      <c r="P1417" s="45" t="n">
        <f aca="false">N1417-O1417</f>
        <v>0</v>
      </c>
      <c r="Q1417" s="45" t="n">
        <f aca="false">IF(D1417="Purchase",E1417*M1417,0)</f>
        <v>210</v>
      </c>
    </row>
    <row r="1418" customFormat="false" ht="15" hidden="false" customHeight="false" outlineLevel="0" collapsed="false">
      <c r="A1418" s="39" t="s">
        <v>1742</v>
      </c>
      <c r="B1418" s="44" t="n">
        <v>46105</v>
      </c>
      <c r="C1418" s="39" t="s">
        <v>321</v>
      </c>
      <c r="D1418" s="39" t="s">
        <v>137</v>
      </c>
      <c r="E1418" s="39" t="n">
        <v>15</v>
      </c>
      <c r="F1418" s="39" t="str">
        <f aca="false">IF(COUNTIF(medicine_master!$A$2:$A$26,C1418)&gt;0,"Valid","Invalid")</f>
        <v>Valid</v>
      </c>
      <c r="G1418" s="39" t="str">
        <f aca="false">IFERROR(INDEX(medicine_master!$B$2:$B$26,MATCH($C1418,medicine_master!$A$2:$A$26,0)),"Not found")</f>
        <v>Levocetirizine 5mg</v>
      </c>
      <c r="H1418" s="39" t="str">
        <f aca="false">IFERROR(INDEX(medicine_master!$C$2:$C$26,MATCH($C1418,medicine_master!$A$2:$A$26,0)),"Not found")</f>
        <v>Allergy</v>
      </c>
      <c r="I1418" s="39" t="n">
        <f aca="false">YEAR(B1418)</f>
        <v>2026</v>
      </c>
      <c r="J1418" s="39" t="n">
        <f aca="false">MONTH(B1418)</f>
        <v>3</v>
      </c>
      <c r="K1418" s="39" t="str">
        <f aca="false">TEXT(B1418,"mmm")</f>
        <v>Mar</v>
      </c>
      <c r="L1418" s="45" t="n">
        <f aca="false">IFERROR(INDEX(medicine_master!$I$2:$I$26,MATCH($C1418,medicine_master!$A$2:$A$26,0)),0)</f>
        <v>22</v>
      </c>
      <c r="M1418" s="45" t="n">
        <f aca="false">IFERROR(INDEX(medicine_master!$G$2:$G$26,MATCH($C1418,medicine_master!$A$2:$A$26,0)),0)</f>
        <v>14</v>
      </c>
      <c r="N1418" s="45" t="n">
        <f aca="false">IF(D1418="Sale",E1418*L1418,0)</f>
        <v>330</v>
      </c>
      <c r="O1418" s="45" t="n">
        <f aca="false">IF(D1418="Sale",E1418*M1418,0)</f>
        <v>210</v>
      </c>
      <c r="P1418" s="45" t="n">
        <f aca="false">N1418-O1418</f>
        <v>120</v>
      </c>
      <c r="Q1418" s="45" t="n">
        <f aca="false">IF(D1418="Purchase",E1418*M1418,0)</f>
        <v>0</v>
      </c>
    </row>
    <row r="1419" customFormat="false" ht="15" hidden="false" customHeight="false" outlineLevel="0" collapsed="false">
      <c r="A1419" s="39" t="s">
        <v>1743</v>
      </c>
      <c r="B1419" s="44" t="n">
        <v>46121</v>
      </c>
      <c r="C1419" s="39" t="s">
        <v>321</v>
      </c>
      <c r="D1419" s="39" t="s">
        <v>137</v>
      </c>
      <c r="E1419" s="39" t="n">
        <v>30</v>
      </c>
      <c r="F1419" s="39" t="str">
        <f aca="false">IF(COUNTIF(medicine_master!$A$2:$A$26,C1419)&gt;0,"Valid","Invalid")</f>
        <v>Valid</v>
      </c>
      <c r="G1419" s="39" t="str">
        <f aca="false">IFERROR(INDEX(medicine_master!$B$2:$B$26,MATCH($C1419,medicine_master!$A$2:$A$26,0)),"Not found")</f>
        <v>Levocetirizine 5mg</v>
      </c>
      <c r="H1419" s="39" t="str">
        <f aca="false">IFERROR(INDEX(medicine_master!$C$2:$C$26,MATCH($C1419,medicine_master!$A$2:$A$26,0)),"Not found")</f>
        <v>Allergy</v>
      </c>
      <c r="I1419" s="39" t="n">
        <f aca="false">YEAR(B1419)</f>
        <v>2026</v>
      </c>
      <c r="J1419" s="39" t="n">
        <f aca="false">MONTH(B1419)</f>
        <v>4</v>
      </c>
      <c r="K1419" s="39" t="str">
        <f aca="false">TEXT(B1419,"mmm")</f>
        <v>Apr</v>
      </c>
      <c r="L1419" s="45" t="n">
        <f aca="false">IFERROR(INDEX(medicine_master!$I$2:$I$26,MATCH($C1419,medicine_master!$A$2:$A$26,0)),0)</f>
        <v>22</v>
      </c>
      <c r="M1419" s="45" t="n">
        <f aca="false">IFERROR(INDEX(medicine_master!$G$2:$G$26,MATCH($C1419,medicine_master!$A$2:$A$26,0)),0)</f>
        <v>14</v>
      </c>
      <c r="N1419" s="45" t="n">
        <f aca="false">IF(D1419="Sale",E1419*L1419,0)</f>
        <v>660</v>
      </c>
      <c r="O1419" s="45" t="n">
        <f aca="false">IF(D1419="Sale",E1419*M1419,0)</f>
        <v>420</v>
      </c>
      <c r="P1419" s="45" t="n">
        <f aca="false">N1419-O1419</f>
        <v>240</v>
      </c>
      <c r="Q1419" s="45" t="n">
        <f aca="false">IF(D1419="Purchase",E1419*M1419,0)</f>
        <v>0</v>
      </c>
    </row>
    <row r="1420" customFormat="false" ht="15" hidden="false" customHeight="false" outlineLevel="0" collapsed="false">
      <c r="A1420" s="39" t="s">
        <v>1744</v>
      </c>
      <c r="B1420" s="44" t="n">
        <v>46064</v>
      </c>
      <c r="C1420" s="39" t="s">
        <v>179</v>
      </c>
      <c r="D1420" s="39" t="s">
        <v>137</v>
      </c>
      <c r="E1420" s="39" t="n">
        <v>15</v>
      </c>
      <c r="F1420" s="39" t="str">
        <f aca="false">IF(COUNTIF(medicine_master!$A$2:$A$26,C1420)&gt;0,"Valid","Invalid")</f>
        <v>Valid</v>
      </c>
      <c r="G1420" s="39" t="str">
        <f aca="false">IFERROR(INDEX(medicine_master!$B$2:$B$26,MATCH($C1420,medicine_master!$A$2:$A$26,0)),"Not found")</f>
        <v>Ibuprofen 400mg</v>
      </c>
      <c r="H1420" s="39" t="str">
        <f aca="false">IFERROR(INDEX(medicine_master!$C$2:$C$26,MATCH($C1420,medicine_master!$A$2:$A$26,0)),"Not found")</f>
        <v>Pain Relief</v>
      </c>
      <c r="I1420" s="39" t="n">
        <f aca="false">YEAR(B1420)</f>
        <v>2026</v>
      </c>
      <c r="J1420" s="39" t="n">
        <f aca="false">MONTH(B1420)</f>
        <v>2</v>
      </c>
      <c r="K1420" s="39" t="str">
        <f aca="false">TEXT(B1420,"mmm")</f>
        <v>Feb</v>
      </c>
      <c r="L1420" s="45" t="n">
        <f aca="false">IFERROR(INDEX(medicine_master!$I$2:$I$26,MATCH($C1420,medicine_master!$A$2:$A$26,0)),0)</f>
        <v>30</v>
      </c>
      <c r="M1420" s="45" t="n">
        <f aca="false">IFERROR(INDEX(medicine_master!$G$2:$G$26,MATCH($C1420,medicine_master!$A$2:$A$26,0)),0)</f>
        <v>22</v>
      </c>
      <c r="N1420" s="45" t="n">
        <f aca="false">IF(D1420="Sale",E1420*L1420,0)</f>
        <v>450</v>
      </c>
      <c r="O1420" s="45" t="n">
        <f aca="false">IF(D1420="Sale",E1420*M1420,0)</f>
        <v>330</v>
      </c>
      <c r="P1420" s="45" t="n">
        <f aca="false">N1420-O1420</f>
        <v>120</v>
      </c>
      <c r="Q1420" s="45" t="n">
        <f aca="false">IF(D1420="Purchase",E1420*M1420,0)</f>
        <v>0</v>
      </c>
    </row>
    <row r="1421" customFormat="false" ht="15" hidden="false" customHeight="false" outlineLevel="0" collapsed="false">
      <c r="A1421" s="39" t="s">
        <v>1745</v>
      </c>
      <c r="B1421" s="44" t="n">
        <v>46269</v>
      </c>
      <c r="C1421" s="39" t="s">
        <v>145</v>
      </c>
      <c r="D1421" s="39" t="s">
        <v>138</v>
      </c>
      <c r="E1421" s="39" t="n">
        <v>25</v>
      </c>
      <c r="F1421" s="39" t="str">
        <f aca="false">IF(COUNTIF(medicine_master!$A$2:$A$26,C1421)&gt;0,"Valid","Invalid")</f>
        <v>Valid</v>
      </c>
      <c r="G1421" s="39" t="str">
        <f aca="false">IFERROR(INDEX(medicine_master!$B$2:$B$26,MATCH($C1421,medicine_master!$A$2:$A$26,0)),"Not found")</f>
        <v>Clotrimazole Cream</v>
      </c>
      <c r="H1421" s="39" t="str">
        <f aca="false">IFERROR(INDEX(medicine_master!$C$2:$C$26,MATCH($C1421,medicine_master!$A$2:$A$26,0)),"Not found")</f>
        <v>Dermatology</v>
      </c>
      <c r="I1421" s="39" t="n">
        <f aca="false">YEAR(B1421)</f>
        <v>2026</v>
      </c>
      <c r="J1421" s="39" t="n">
        <f aca="false">MONTH(B1421)</f>
        <v>9</v>
      </c>
      <c r="K1421" s="39" t="str">
        <f aca="false">TEXT(B1421,"mmm")</f>
        <v>Sep</v>
      </c>
      <c r="L1421" s="45" t="n">
        <f aca="false">IFERROR(INDEX(medicine_master!$I$2:$I$26,MATCH($C1421,medicine_master!$A$2:$A$26,0)),0)</f>
        <v>48</v>
      </c>
      <c r="M1421" s="45" t="n">
        <f aca="false">IFERROR(INDEX(medicine_master!$G$2:$G$26,MATCH($C1421,medicine_master!$A$2:$A$26,0)),0)</f>
        <v>32</v>
      </c>
      <c r="N1421" s="45" t="n">
        <f aca="false">IF(D1421="Sale",E1421*L1421,0)</f>
        <v>0</v>
      </c>
      <c r="O1421" s="45" t="n">
        <f aca="false">IF(D1421="Sale",E1421*M1421,0)</f>
        <v>0</v>
      </c>
      <c r="P1421" s="45" t="n">
        <f aca="false">N1421-O1421</f>
        <v>0</v>
      </c>
      <c r="Q1421" s="45" t="n">
        <f aca="false">IF(D1421="Purchase",E1421*M1421,0)</f>
        <v>800</v>
      </c>
    </row>
    <row r="1422" customFormat="false" ht="15" hidden="false" customHeight="false" outlineLevel="0" collapsed="false">
      <c r="A1422" s="39" t="s">
        <v>1746</v>
      </c>
      <c r="B1422" s="44" t="n">
        <v>46229</v>
      </c>
      <c r="C1422" s="39" t="s">
        <v>153</v>
      </c>
      <c r="D1422" s="39" t="s">
        <v>137</v>
      </c>
      <c r="E1422" s="39" t="n">
        <v>30</v>
      </c>
      <c r="F1422" s="39" t="str">
        <f aca="false">IF(COUNTIF(medicine_master!$A$2:$A$26,C1422)&gt;0,"Valid","Invalid")</f>
        <v>Valid</v>
      </c>
      <c r="G1422" s="39" t="str">
        <f aca="false">IFERROR(INDEX(medicine_master!$B$2:$B$26,MATCH($C1422,medicine_master!$A$2:$A$26,0)),"Not found")</f>
        <v>Atorvastatin 10mg</v>
      </c>
      <c r="H1422" s="39" t="str">
        <f aca="false">IFERROR(INDEX(medicine_master!$C$2:$C$26,MATCH($C1422,medicine_master!$A$2:$A$26,0)),"Not found")</f>
        <v>Cardiac</v>
      </c>
      <c r="I1422" s="39" t="n">
        <f aca="false">YEAR(B1422)</f>
        <v>2026</v>
      </c>
      <c r="J1422" s="39" t="n">
        <f aca="false">MONTH(B1422)</f>
        <v>7</v>
      </c>
      <c r="K1422" s="39" t="str">
        <f aca="false">TEXT(B1422,"mmm")</f>
        <v>Jul</v>
      </c>
      <c r="L1422" s="45" t="n">
        <f aca="false">IFERROR(INDEX(medicine_master!$I$2:$I$26,MATCH($C1422,medicine_master!$A$2:$A$26,0)),0)</f>
        <v>28</v>
      </c>
      <c r="M1422" s="45" t="n">
        <f aca="false">IFERROR(INDEX(medicine_master!$G$2:$G$26,MATCH($C1422,medicine_master!$A$2:$A$26,0)),0)</f>
        <v>19</v>
      </c>
      <c r="N1422" s="45" t="n">
        <f aca="false">IF(D1422="Sale",E1422*L1422,0)</f>
        <v>840</v>
      </c>
      <c r="O1422" s="45" t="n">
        <f aca="false">IF(D1422="Sale",E1422*M1422,0)</f>
        <v>570</v>
      </c>
      <c r="P1422" s="45" t="n">
        <f aca="false">N1422-O1422</f>
        <v>270</v>
      </c>
      <c r="Q1422" s="45" t="n">
        <f aca="false">IF(D1422="Purchase",E1422*M1422,0)</f>
        <v>0</v>
      </c>
    </row>
    <row r="1423" customFormat="false" ht="15" hidden="false" customHeight="false" outlineLevel="0" collapsed="false">
      <c r="A1423" s="39" t="s">
        <v>1747</v>
      </c>
      <c r="B1423" s="44" t="n">
        <v>46079</v>
      </c>
      <c r="C1423" s="39" t="s">
        <v>144</v>
      </c>
      <c r="D1423" s="39" t="s">
        <v>138</v>
      </c>
      <c r="E1423" s="39" t="n">
        <v>30</v>
      </c>
      <c r="F1423" s="39" t="str">
        <f aca="false">IF(COUNTIF(medicine_master!$A$2:$A$26,C1423)&gt;0,"Valid","Invalid")</f>
        <v>Valid</v>
      </c>
      <c r="G1423" s="39" t="str">
        <f aca="false">IFERROR(INDEX(medicine_master!$B$2:$B$26,MATCH($C1423,medicine_master!$A$2:$A$26,0)),"Not found")</f>
        <v>Glimepiride 2mg</v>
      </c>
      <c r="H1423" s="39" t="str">
        <f aca="false">IFERROR(INDEX(medicine_master!$C$2:$C$26,MATCH($C1423,medicine_master!$A$2:$A$26,0)),"Not found")</f>
        <v>Diabetes</v>
      </c>
      <c r="I1423" s="39" t="n">
        <f aca="false">YEAR(B1423)</f>
        <v>2026</v>
      </c>
      <c r="J1423" s="39" t="n">
        <f aca="false">MONTH(B1423)</f>
        <v>2</v>
      </c>
      <c r="K1423" s="39" t="str">
        <f aca="false">TEXT(B1423,"mmm")</f>
        <v>Feb</v>
      </c>
      <c r="L1423" s="45" t="n">
        <f aca="false">IFERROR(INDEX(medicine_master!$I$2:$I$26,MATCH($C1423,medicine_master!$A$2:$A$26,0)),0)</f>
        <v>52</v>
      </c>
      <c r="M1423" s="45" t="n">
        <f aca="false">IFERROR(INDEX(medicine_master!$G$2:$G$26,MATCH($C1423,medicine_master!$A$2:$A$26,0)),0)</f>
        <v>38</v>
      </c>
      <c r="N1423" s="45" t="n">
        <f aca="false">IF(D1423="Sale",E1423*L1423,0)</f>
        <v>0</v>
      </c>
      <c r="O1423" s="45" t="n">
        <f aca="false">IF(D1423="Sale",E1423*M1423,0)</f>
        <v>0</v>
      </c>
      <c r="P1423" s="45" t="n">
        <f aca="false">N1423-O1423</f>
        <v>0</v>
      </c>
      <c r="Q1423" s="45" t="n">
        <f aca="false">IF(D1423="Purchase",E1423*M1423,0)</f>
        <v>1140</v>
      </c>
    </row>
    <row r="1424" customFormat="false" ht="15" hidden="false" customHeight="false" outlineLevel="0" collapsed="false">
      <c r="A1424" s="39" t="s">
        <v>1748</v>
      </c>
      <c r="B1424" s="44" t="n">
        <v>46330</v>
      </c>
      <c r="C1424" s="39" t="s">
        <v>390</v>
      </c>
      <c r="D1424" s="39" t="s">
        <v>137</v>
      </c>
      <c r="E1424" s="39" t="n">
        <v>5</v>
      </c>
      <c r="F1424" s="39" t="str">
        <f aca="false">IF(COUNTIF(medicine_master!$A$2:$A$26,C1424)&gt;0,"Valid","Invalid")</f>
        <v>Valid</v>
      </c>
      <c r="G1424" s="39" t="str">
        <f aca="false">IFERROR(INDEX(medicine_master!$B$2:$B$26,MATCH($C1424,medicine_master!$A$2:$A$26,0)),"Not found")</f>
        <v>Montelukast 10mg</v>
      </c>
      <c r="H1424" s="39" t="str">
        <f aca="false">IFERROR(INDEX(medicine_master!$C$2:$C$26,MATCH($C1424,medicine_master!$A$2:$A$26,0)),"Not found")</f>
        <v>Allergy</v>
      </c>
      <c r="I1424" s="39" t="n">
        <f aca="false">YEAR(B1424)</f>
        <v>2026</v>
      </c>
      <c r="J1424" s="39" t="n">
        <f aca="false">MONTH(B1424)</f>
        <v>11</v>
      </c>
      <c r="K1424" s="39" t="str">
        <f aca="false">TEXT(B1424,"mmm")</f>
        <v>Nov</v>
      </c>
      <c r="L1424" s="45" t="n">
        <f aca="false">IFERROR(INDEX(medicine_master!$I$2:$I$26,MATCH($C1424,medicine_master!$A$2:$A$26,0)),0)</f>
        <v>39</v>
      </c>
      <c r="M1424" s="45" t="n">
        <f aca="false">IFERROR(INDEX(medicine_master!$G$2:$G$26,MATCH($C1424,medicine_master!$A$2:$A$26,0)),0)</f>
        <v>27</v>
      </c>
      <c r="N1424" s="45" t="n">
        <f aca="false">IF(D1424="Sale",E1424*L1424,0)</f>
        <v>195</v>
      </c>
      <c r="O1424" s="45" t="n">
        <f aca="false">IF(D1424="Sale",E1424*M1424,0)</f>
        <v>135</v>
      </c>
      <c r="P1424" s="45" t="n">
        <f aca="false">N1424-O1424</f>
        <v>60</v>
      </c>
      <c r="Q1424" s="45" t="n">
        <f aca="false">IF(D1424="Purchase",E1424*M1424,0)</f>
        <v>0</v>
      </c>
    </row>
    <row r="1425" customFormat="false" ht="15" hidden="false" customHeight="false" outlineLevel="0" collapsed="false">
      <c r="A1425" s="39" t="s">
        <v>1749</v>
      </c>
      <c r="B1425" s="44" t="n">
        <v>46201</v>
      </c>
      <c r="C1425" s="39" t="s">
        <v>345</v>
      </c>
      <c r="D1425" s="39" t="s">
        <v>138</v>
      </c>
      <c r="E1425" s="39" t="n">
        <v>40</v>
      </c>
      <c r="F1425" s="39" t="str">
        <f aca="false">IF(COUNTIF(medicine_master!$A$2:$A$26,C1425)&gt;0,"Valid","Invalid")</f>
        <v>Valid</v>
      </c>
      <c r="G1425" s="39" t="str">
        <f aca="false">IFERROR(INDEX(medicine_master!$B$2:$B$26,MATCH($C1425,medicine_master!$A$2:$A$26,0)),"Not found")</f>
        <v>Paracetamol 500mg</v>
      </c>
      <c r="H1425" s="39" t="str">
        <f aca="false">IFERROR(INDEX(medicine_master!$C$2:$C$26,MATCH($C1425,medicine_master!$A$2:$A$26,0)),"Not found")</f>
        <v>Pain Relief</v>
      </c>
      <c r="I1425" s="39" t="n">
        <f aca="false">YEAR(B1425)</f>
        <v>2026</v>
      </c>
      <c r="J1425" s="39" t="n">
        <f aca="false">MONTH(B1425)</f>
        <v>6</v>
      </c>
      <c r="K1425" s="39" t="str">
        <f aca="false">TEXT(B1425,"mmm")</f>
        <v>Jun</v>
      </c>
      <c r="L1425" s="45" t="n">
        <f aca="false">IFERROR(INDEX(medicine_master!$I$2:$I$26,MATCH($C1425,medicine_master!$A$2:$A$26,0)),0)</f>
        <v>18</v>
      </c>
      <c r="M1425" s="45" t="n">
        <f aca="false">IFERROR(INDEX(medicine_master!$G$2:$G$26,MATCH($C1425,medicine_master!$A$2:$A$26,0)),0)</f>
        <v>12</v>
      </c>
      <c r="N1425" s="45" t="n">
        <f aca="false">IF(D1425="Sale",E1425*L1425,0)</f>
        <v>0</v>
      </c>
      <c r="O1425" s="45" t="n">
        <f aca="false">IF(D1425="Sale",E1425*M1425,0)</f>
        <v>0</v>
      </c>
      <c r="P1425" s="45" t="n">
        <f aca="false">N1425-O1425</f>
        <v>0</v>
      </c>
      <c r="Q1425" s="45" t="n">
        <f aca="false">IF(D1425="Purchase",E1425*M1425,0)</f>
        <v>480</v>
      </c>
    </row>
    <row r="1426" customFormat="false" ht="15" hidden="false" customHeight="false" outlineLevel="0" collapsed="false">
      <c r="A1426" s="39" t="s">
        <v>1750</v>
      </c>
      <c r="B1426" s="44" t="n">
        <v>46083</v>
      </c>
      <c r="C1426" s="39" t="s">
        <v>321</v>
      </c>
      <c r="D1426" s="39" t="s">
        <v>138</v>
      </c>
      <c r="E1426" s="39" t="n">
        <v>20</v>
      </c>
      <c r="F1426" s="39" t="str">
        <f aca="false">IF(COUNTIF(medicine_master!$A$2:$A$26,C1426)&gt;0,"Valid","Invalid")</f>
        <v>Valid</v>
      </c>
      <c r="G1426" s="39" t="str">
        <f aca="false">IFERROR(INDEX(medicine_master!$B$2:$B$26,MATCH($C1426,medicine_master!$A$2:$A$26,0)),"Not found")</f>
        <v>Levocetirizine 5mg</v>
      </c>
      <c r="H1426" s="39" t="str">
        <f aca="false">IFERROR(INDEX(medicine_master!$C$2:$C$26,MATCH($C1426,medicine_master!$A$2:$A$26,0)),"Not found")</f>
        <v>Allergy</v>
      </c>
      <c r="I1426" s="39" t="n">
        <f aca="false">YEAR(B1426)</f>
        <v>2026</v>
      </c>
      <c r="J1426" s="39" t="n">
        <f aca="false">MONTH(B1426)</f>
        <v>3</v>
      </c>
      <c r="K1426" s="39" t="str">
        <f aca="false">TEXT(B1426,"mmm")</f>
        <v>Mar</v>
      </c>
      <c r="L1426" s="45" t="n">
        <f aca="false">IFERROR(INDEX(medicine_master!$I$2:$I$26,MATCH($C1426,medicine_master!$A$2:$A$26,0)),0)</f>
        <v>22</v>
      </c>
      <c r="M1426" s="45" t="n">
        <f aca="false">IFERROR(INDEX(medicine_master!$G$2:$G$26,MATCH($C1426,medicine_master!$A$2:$A$26,0)),0)</f>
        <v>14</v>
      </c>
      <c r="N1426" s="45" t="n">
        <f aca="false">IF(D1426="Sale",E1426*L1426,0)</f>
        <v>0</v>
      </c>
      <c r="O1426" s="45" t="n">
        <f aca="false">IF(D1426="Sale",E1426*M1426,0)</f>
        <v>0</v>
      </c>
      <c r="P1426" s="45" t="n">
        <f aca="false">N1426-O1426</f>
        <v>0</v>
      </c>
      <c r="Q1426" s="45" t="n">
        <f aca="false">IF(D1426="Purchase",E1426*M1426,0)</f>
        <v>280</v>
      </c>
    </row>
    <row r="1427" customFormat="false" ht="15" hidden="false" customHeight="false" outlineLevel="0" collapsed="false">
      <c r="A1427" s="39" t="s">
        <v>1751</v>
      </c>
      <c r="B1427" s="44" t="n">
        <v>46087</v>
      </c>
      <c r="C1427" s="39" t="s">
        <v>149</v>
      </c>
      <c r="D1427" s="39" t="s">
        <v>137</v>
      </c>
      <c r="E1427" s="39" t="n">
        <v>40</v>
      </c>
      <c r="F1427" s="39" t="str">
        <f aca="false">IF(COUNTIF(medicine_master!$A$2:$A$26,C1427)&gt;0,"Valid","Invalid")</f>
        <v>Valid</v>
      </c>
      <c r="G1427" s="39" t="str">
        <f aca="false">IFERROR(INDEX(medicine_master!$B$2:$B$26,MATCH($C1427,medicine_master!$A$2:$A$26,0)),"Not found")</f>
        <v>Azithromycin 500mg</v>
      </c>
      <c r="H1427" s="39" t="str">
        <f aca="false">IFERROR(INDEX(medicine_master!$C$2:$C$26,MATCH($C1427,medicine_master!$A$2:$A$26,0)),"Not found")</f>
        <v>Antibiotic</v>
      </c>
      <c r="I1427" s="39" t="n">
        <f aca="false">YEAR(B1427)</f>
        <v>2026</v>
      </c>
      <c r="J1427" s="39" t="n">
        <f aca="false">MONTH(B1427)</f>
        <v>3</v>
      </c>
      <c r="K1427" s="39" t="str">
        <f aca="false">TEXT(B1427,"mmm")</f>
        <v>Mar</v>
      </c>
      <c r="L1427" s="45" t="n">
        <f aca="false">IFERROR(INDEX(medicine_master!$I$2:$I$26,MATCH($C1427,medicine_master!$A$2:$A$26,0)),0)</f>
        <v>50</v>
      </c>
      <c r="M1427" s="45" t="n">
        <f aca="false">IFERROR(INDEX(medicine_master!$G$2:$G$26,MATCH($C1427,medicine_master!$A$2:$A$26,0)),0)</f>
        <v>35</v>
      </c>
      <c r="N1427" s="45" t="n">
        <f aca="false">IF(D1427="Sale",E1427*L1427,0)</f>
        <v>2000</v>
      </c>
      <c r="O1427" s="45" t="n">
        <f aca="false">IF(D1427="Sale",E1427*M1427,0)</f>
        <v>1400</v>
      </c>
      <c r="P1427" s="45" t="n">
        <f aca="false">N1427-O1427</f>
        <v>600</v>
      </c>
      <c r="Q1427" s="45" t="n">
        <f aca="false">IF(D1427="Purchase",E1427*M1427,0)</f>
        <v>0</v>
      </c>
    </row>
    <row r="1428" customFormat="false" ht="15" hidden="false" customHeight="false" outlineLevel="0" collapsed="false">
      <c r="A1428" s="39" t="s">
        <v>1752</v>
      </c>
      <c r="B1428" s="44" t="n">
        <v>46209</v>
      </c>
      <c r="C1428" s="39" t="s">
        <v>148</v>
      </c>
      <c r="D1428" s="39" t="s">
        <v>137</v>
      </c>
      <c r="E1428" s="39" t="n">
        <v>25</v>
      </c>
      <c r="F1428" s="39" t="str">
        <f aca="false">IF(COUNTIF(medicine_master!$A$2:$A$26,C1428)&gt;0,"Valid","Invalid")</f>
        <v>Valid</v>
      </c>
      <c r="G1428" s="39" t="str">
        <f aca="false">IFERROR(INDEX(medicine_master!$B$2:$B$26,MATCH($C1428,medicine_master!$A$2:$A$26,0)),"Not found")</f>
        <v>Dextromethorphan Syrup</v>
      </c>
      <c r="H1428" s="39" t="str">
        <f aca="false">IFERROR(INDEX(medicine_master!$C$2:$C$26,MATCH($C1428,medicine_master!$A$2:$A$26,0)),"Not found")</f>
        <v>Cold &amp; Cough</v>
      </c>
      <c r="I1428" s="39" t="n">
        <f aca="false">YEAR(B1428)</f>
        <v>2026</v>
      </c>
      <c r="J1428" s="39" t="n">
        <f aca="false">MONTH(B1428)</f>
        <v>7</v>
      </c>
      <c r="K1428" s="39" t="str">
        <f aca="false">TEXT(B1428,"mmm")</f>
        <v>Jul</v>
      </c>
      <c r="L1428" s="45" t="n">
        <f aca="false">IFERROR(INDEX(medicine_master!$I$2:$I$26,MATCH($C1428,medicine_master!$A$2:$A$26,0)),0)</f>
        <v>80</v>
      </c>
      <c r="M1428" s="45" t="n">
        <f aca="false">IFERROR(INDEX(medicine_master!$G$2:$G$26,MATCH($C1428,medicine_master!$A$2:$A$26,0)),0)</f>
        <v>58</v>
      </c>
      <c r="N1428" s="45" t="n">
        <f aca="false">IF(D1428="Sale",E1428*L1428,0)</f>
        <v>2000</v>
      </c>
      <c r="O1428" s="45" t="n">
        <f aca="false">IF(D1428="Sale",E1428*M1428,0)</f>
        <v>1450</v>
      </c>
      <c r="P1428" s="45" t="n">
        <f aca="false">N1428-O1428</f>
        <v>550</v>
      </c>
      <c r="Q1428" s="45" t="n">
        <f aca="false">IF(D1428="Purchase",E1428*M1428,0)</f>
        <v>0</v>
      </c>
    </row>
    <row r="1429" customFormat="false" ht="15" hidden="false" customHeight="false" outlineLevel="0" collapsed="false">
      <c r="A1429" s="39" t="s">
        <v>1753</v>
      </c>
      <c r="B1429" s="44" t="n">
        <v>46130</v>
      </c>
      <c r="C1429" s="39" t="s">
        <v>159</v>
      </c>
      <c r="D1429" s="39" t="s">
        <v>137</v>
      </c>
      <c r="E1429" s="39" t="n">
        <v>50</v>
      </c>
      <c r="F1429" s="39" t="str">
        <f aca="false">IF(COUNTIF(medicine_master!$A$2:$A$26,C1429)&gt;0,"Valid","Invalid")</f>
        <v>Valid</v>
      </c>
      <c r="G1429" s="39" t="str">
        <f aca="false">IFERROR(INDEX(medicine_master!$B$2:$B$26,MATCH($C1429,medicine_master!$A$2:$A$26,0)),"Not found")</f>
        <v>Antiseptic Liquid 100ml</v>
      </c>
      <c r="H1429" s="39" t="str">
        <f aca="false">IFERROR(INDEX(medicine_master!$C$2:$C$26,MATCH($C1429,medicine_master!$A$2:$A$26,0)),"Not found")</f>
        <v>First Aid</v>
      </c>
      <c r="I1429" s="39" t="n">
        <f aca="false">YEAR(B1429)</f>
        <v>2026</v>
      </c>
      <c r="J1429" s="39" t="n">
        <f aca="false">MONTH(B1429)</f>
        <v>4</v>
      </c>
      <c r="K1429" s="39" t="str">
        <f aca="false">TEXT(B1429,"mmm")</f>
        <v>Apr</v>
      </c>
      <c r="L1429" s="45" t="n">
        <f aca="false">IFERROR(INDEX(medicine_master!$I$2:$I$26,MATCH($C1429,medicine_master!$A$2:$A$26,0)),0)</f>
        <v>65</v>
      </c>
      <c r="M1429" s="45" t="n">
        <f aca="false">IFERROR(INDEX(medicine_master!$G$2:$G$26,MATCH($C1429,medicine_master!$A$2:$A$26,0)),0)</f>
        <v>48</v>
      </c>
      <c r="N1429" s="45" t="n">
        <f aca="false">IF(D1429="Sale",E1429*L1429,0)</f>
        <v>3250</v>
      </c>
      <c r="O1429" s="45" t="n">
        <f aca="false">IF(D1429="Sale",E1429*M1429,0)</f>
        <v>2400</v>
      </c>
      <c r="P1429" s="45" t="n">
        <f aca="false">N1429-O1429</f>
        <v>850</v>
      </c>
      <c r="Q1429" s="45" t="n">
        <f aca="false">IF(D1429="Purchase",E1429*M1429,0)</f>
        <v>0</v>
      </c>
    </row>
    <row r="1430" customFormat="false" ht="15" hidden="false" customHeight="false" outlineLevel="0" collapsed="false">
      <c r="A1430" s="39" t="s">
        <v>1754</v>
      </c>
      <c r="B1430" s="44" t="n">
        <v>46228</v>
      </c>
      <c r="C1430" s="39" t="s">
        <v>153</v>
      </c>
      <c r="D1430" s="39" t="s">
        <v>137</v>
      </c>
      <c r="E1430" s="39" t="n">
        <v>25</v>
      </c>
      <c r="F1430" s="39" t="str">
        <f aca="false">IF(COUNTIF(medicine_master!$A$2:$A$26,C1430)&gt;0,"Valid","Invalid")</f>
        <v>Valid</v>
      </c>
      <c r="G1430" s="39" t="str">
        <f aca="false">IFERROR(INDEX(medicine_master!$B$2:$B$26,MATCH($C1430,medicine_master!$A$2:$A$26,0)),"Not found")</f>
        <v>Atorvastatin 10mg</v>
      </c>
      <c r="H1430" s="39" t="str">
        <f aca="false">IFERROR(INDEX(medicine_master!$C$2:$C$26,MATCH($C1430,medicine_master!$A$2:$A$26,0)),"Not found")</f>
        <v>Cardiac</v>
      </c>
      <c r="I1430" s="39" t="n">
        <f aca="false">YEAR(B1430)</f>
        <v>2026</v>
      </c>
      <c r="J1430" s="39" t="n">
        <f aca="false">MONTH(B1430)</f>
        <v>7</v>
      </c>
      <c r="K1430" s="39" t="str">
        <f aca="false">TEXT(B1430,"mmm")</f>
        <v>Jul</v>
      </c>
      <c r="L1430" s="45" t="n">
        <f aca="false">IFERROR(INDEX(medicine_master!$I$2:$I$26,MATCH($C1430,medicine_master!$A$2:$A$26,0)),0)</f>
        <v>28</v>
      </c>
      <c r="M1430" s="45" t="n">
        <f aca="false">IFERROR(INDEX(medicine_master!$G$2:$G$26,MATCH($C1430,medicine_master!$A$2:$A$26,0)),0)</f>
        <v>19</v>
      </c>
      <c r="N1430" s="45" t="n">
        <f aca="false">IF(D1430="Sale",E1430*L1430,0)</f>
        <v>700</v>
      </c>
      <c r="O1430" s="45" t="n">
        <f aca="false">IF(D1430="Sale",E1430*M1430,0)</f>
        <v>475</v>
      </c>
      <c r="P1430" s="45" t="n">
        <f aca="false">N1430-O1430</f>
        <v>225</v>
      </c>
      <c r="Q1430" s="45" t="n">
        <f aca="false">IF(D1430="Purchase",E1430*M1430,0)</f>
        <v>0</v>
      </c>
    </row>
    <row r="1431" customFormat="false" ht="15" hidden="false" customHeight="false" outlineLevel="0" collapsed="false">
      <c r="A1431" s="39" t="s">
        <v>1755</v>
      </c>
      <c r="B1431" s="44" t="n">
        <v>46024</v>
      </c>
      <c r="C1431" s="39" t="s">
        <v>150</v>
      </c>
      <c r="D1431" s="39" t="s">
        <v>138</v>
      </c>
      <c r="E1431" s="39" t="n">
        <v>20</v>
      </c>
      <c r="F1431" s="39" t="str">
        <f aca="false">IF(COUNTIF(medicine_master!$A$2:$A$26,C1431)&gt;0,"Valid","Invalid")</f>
        <v>Valid</v>
      </c>
      <c r="G1431" s="39" t="str">
        <f aca="false">IFERROR(INDEX(medicine_master!$B$2:$B$26,MATCH($C1431,medicine_master!$A$2:$A$26,0)),"Not found")</f>
        <v>Pantoprazole 40mg</v>
      </c>
      <c r="H1431" s="39" t="str">
        <f aca="false">IFERROR(INDEX(medicine_master!$C$2:$C$26,MATCH($C1431,medicine_master!$A$2:$A$26,0)),"Not found")</f>
        <v>Gastric</v>
      </c>
      <c r="I1431" s="39" t="n">
        <f aca="false">YEAR(B1431)</f>
        <v>2026</v>
      </c>
      <c r="J1431" s="39" t="n">
        <f aca="false">MONTH(B1431)</f>
        <v>1</v>
      </c>
      <c r="K1431" s="39" t="str">
        <f aca="false">TEXT(B1431,"mmm")</f>
        <v>Jan</v>
      </c>
      <c r="L1431" s="45" t="n">
        <f aca="false">IFERROR(INDEX(medicine_master!$I$2:$I$26,MATCH($C1431,medicine_master!$A$2:$A$26,0)),0)</f>
        <v>35</v>
      </c>
      <c r="M1431" s="45" t="n">
        <f aca="false">IFERROR(INDEX(medicine_master!$G$2:$G$26,MATCH($C1431,medicine_master!$A$2:$A$26,0)),0)</f>
        <v>24</v>
      </c>
      <c r="N1431" s="45" t="n">
        <f aca="false">IF(D1431="Sale",E1431*L1431,0)</f>
        <v>0</v>
      </c>
      <c r="O1431" s="45" t="n">
        <f aca="false">IF(D1431="Sale",E1431*M1431,0)</f>
        <v>0</v>
      </c>
      <c r="P1431" s="45" t="n">
        <f aca="false">N1431-O1431</f>
        <v>0</v>
      </c>
      <c r="Q1431" s="45" t="n">
        <f aca="false">IF(D1431="Purchase",E1431*M1431,0)</f>
        <v>480</v>
      </c>
    </row>
    <row r="1432" customFormat="false" ht="15" hidden="false" customHeight="false" outlineLevel="0" collapsed="false">
      <c r="A1432" s="39" t="s">
        <v>1756</v>
      </c>
      <c r="B1432" s="44" t="n">
        <v>46162</v>
      </c>
      <c r="C1432" s="39" t="s">
        <v>158</v>
      </c>
      <c r="D1432" s="39" t="s">
        <v>137</v>
      </c>
      <c r="E1432" s="39" t="n">
        <v>20</v>
      </c>
      <c r="F1432" s="39" t="str">
        <f aca="false">IF(COUNTIF(medicine_master!$A$2:$A$26,C1432)&gt;0,"Valid","Invalid")</f>
        <v>Valid</v>
      </c>
      <c r="G1432" s="39" t="str">
        <f aca="false">IFERROR(INDEX(medicine_master!$B$2:$B$26,MATCH($C1432,medicine_master!$A$2:$A$26,0)),"Not found")</f>
        <v>Cough Syrup 100ml</v>
      </c>
      <c r="H1432" s="39" t="str">
        <f aca="false">IFERROR(INDEX(medicine_master!$C$2:$C$26,MATCH($C1432,medicine_master!$A$2:$A$26,0)),"Not found")</f>
        <v>Cold &amp; Cough</v>
      </c>
      <c r="I1432" s="39" t="n">
        <f aca="false">YEAR(B1432)</f>
        <v>2026</v>
      </c>
      <c r="J1432" s="39" t="n">
        <f aca="false">MONTH(B1432)</f>
        <v>5</v>
      </c>
      <c r="K1432" s="39" t="str">
        <f aca="false">TEXT(B1432,"mmm")</f>
        <v>May</v>
      </c>
      <c r="L1432" s="45" t="n">
        <f aca="false">IFERROR(INDEX(medicine_master!$I$2:$I$26,MATCH($C1432,medicine_master!$A$2:$A$26,0)),0)</f>
        <v>72</v>
      </c>
      <c r="M1432" s="45" t="n">
        <f aca="false">IFERROR(INDEX(medicine_master!$G$2:$G$26,MATCH($C1432,medicine_master!$A$2:$A$26,0)),0)</f>
        <v>52</v>
      </c>
      <c r="N1432" s="45" t="n">
        <f aca="false">IF(D1432="Sale",E1432*L1432,0)</f>
        <v>1440</v>
      </c>
      <c r="O1432" s="45" t="n">
        <f aca="false">IF(D1432="Sale",E1432*M1432,0)</f>
        <v>1040</v>
      </c>
      <c r="P1432" s="45" t="n">
        <f aca="false">N1432-O1432</f>
        <v>400</v>
      </c>
      <c r="Q1432" s="45" t="n">
        <f aca="false">IF(D1432="Purchase",E1432*M1432,0)</f>
        <v>0</v>
      </c>
    </row>
    <row r="1433" customFormat="false" ht="15" hidden="false" customHeight="false" outlineLevel="0" collapsed="false">
      <c r="A1433" s="39" t="s">
        <v>1757</v>
      </c>
      <c r="B1433" s="44" t="n">
        <v>46151</v>
      </c>
      <c r="C1433" s="39" t="s">
        <v>321</v>
      </c>
      <c r="D1433" s="39" t="s">
        <v>138</v>
      </c>
      <c r="E1433" s="39" t="n">
        <v>20</v>
      </c>
      <c r="F1433" s="39" t="str">
        <f aca="false">IF(COUNTIF(medicine_master!$A$2:$A$26,C1433)&gt;0,"Valid","Invalid")</f>
        <v>Valid</v>
      </c>
      <c r="G1433" s="39" t="str">
        <f aca="false">IFERROR(INDEX(medicine_master!$B$2:$B$26,MATCH($C1433,medicine_master!$A$2:$A$26,0)),"Not found")</f>
        <v>Levocetirizine 5mg</v>
      </c>
      <c r="H1433" s="39" t="str">
        <f aca="false">IFERROR(INDEX(medicine_master!$C$2:$C$26,MATCH($C1433,medicine_master!$A$2:$A$26,0)),"Not found")</f>
        <v>Allergy</v>
      </c>
      <c r="I1433" s="39" t="n">
        <f aca="false">YEAR(B1433)</f>
        <v>2026</v>
      </c>
      <c r="J1433" s="39" t="n">
        <f aca="false">MONTH(B1433)</f>
        <v>5</v>
      </c>
      <c r="K1433" s="39" t="str">
        <f aca="false">TEXT(B1433,"mmm")</f>
        <v>May</v>
      </c>
      <c r="L1433" s="45" t="n">
        <f aca="false">IFERROR(INDEX(medicine_master!$I$2:$I$26,MATCH($C1433,medicine_master!$A$2:$A$26,0)),0)</f>
        <v>22</v>
      </c>
      <c r="M1433" s="45" t="n">
        <f aca="false">IFERROR(INDEX(medicine_master!$G$2:$G$26,MATCH($C1433,medicine_master!$A$2:$A$26,0)),0)</f>
        <v>14</v>
      </c>
      <c r="N1433" s="45" t="n">
        <f aca="false">IF(D1433="Sale",E1433*L1433,0)</f>
        <v>0</v>
      </c>
      <c r="O1433" s="45" t="n">
        <f aca="false">IF(D1433="Sale",E1433*M1433,0)</f>
        <v>0</v>
      </c>
      <c r="P1433" s="45" t="n">
        <f aca="false">N1433-O1433</f>
        <v>0</v>
      </c>
      <c r="Q1433" s="45" t="n">
        <f aca="false">IF(D1433="Purchase",E1433*M1433,0)</f>
        <v>280</v>
      </c>
    </row>
    <row r="1434" customFormat="false" ht="15" hidden="false" customHeight="false" outlineLevel="0" collapsed="false">
      <c r="A1434" s="39" t="s">
        <v>1758</v>
      </c>
      <c r="B1434" s="44" t="n">
        <v>46233</v>
      </c>
      <c r="C1434" s="39" t="s">
        <v>160</v>
      </c>
      <c r="D1434" s="39" t="s">
        <v>138</v>
      </c>
      <c r="E1434" s="39" t="n">
        <v>10</v>
      </c>
      <c r="F1434" s="39" t="str">
        <f aca="false">IF(COUNTIF(medicine_master!$A$2:$A$26,C1434)&gt;0,"Valid","Invalid")</f>
        <v>Valid</v>
      </c>
      <c r="G1434" s="39" t="str">
        <f aca="false">IFERROR(INDEX(medicine_master!$B$2:$B$26,MATCH($C1434,medicine_master!$A$2:$A$26,0)),"Not found")</f>
        <v>Calamine Lotion</v>
      </c>
      <c r="H1434" s="39" t="str">
        <f aca="false">IFERROR(INDEX(medicine_master!$C$2:$C$26,MATCH($C1434,medicine_master!$A$2:$A$26,0)),"Not found")</f>
        <v>Dermatology</v>
      </c>
      <c r="I1434" s="39" t="n">
        <f aca="false">YEAR(B1434)</f>
        <v>2026</v>
      </c>
      <c r="J1434" s="39" t="n">
        <f aca="false">MONTH(B1434)</f>
        <v>7</v>
      </c>
      <c r="K1434" s="39" t="str">
        <f aca="false">TEXT(B1434,"mmm")</f>
        <v>Jul</v>
      </c>
      <c r="L1434" s="45" t="n">
        <f aca="false">IFERROR(INDEX(medicine_master!$I$2:$I$26,MATCH($C1434,medicine_master!$A$2:$A$26,0)),0)</f>
        <v>60</v>
      </c>
      <c r="M1434" s="45" t="n">
        <f aca="false">IFERROR(INDEX(medicine_master!$G$2:$G$26,MATCH($C1434,medicine_master!$A$2:$A$26,0)),0)</f>
        <v>42</v>
      </c>
      <c r="N1434" s="45" t="n">
        <f aca="false">IF(D1434="Sale",E1434*L1434,0)</f>
        <v>0</v>
      </c>
      <c r="O1434" s="45" t="n">
        <f aca="false">IF(D1434="Sale",E1434*M1434,0)</f>
        <v>0</v>
      </c>
      <c r="P1434" s="45" t="n">
        <f aca="false">N1434-O1434</f>
        <v>0</v>
      </c>
      <c r="Q1434" s="45" t="n">
        <f aca="false">IF(D1434="Purchase",E1434*M1434,0)</f>
        <v>420</v>
      </c>
    </row>
    <row r="1435" customFormat="false" ht="15" hidden="false" customHeight="false" outlineLevel="0" collapsed="false">
      <c r="A1435" s="39" t="s">
        <v>1759</v>
      </c>
      <c r="B1435" s="44" t="n">
        <v>46045</v>
      </c>
      <c r="C1435" s="39" t="s">
        <v>167</v>
      </c>
      <c r="D1435" s="39" t="s">
        <v>137</v>
      </c>
      <c r="E1435" s="39" t="n">
        <v>50</v>
      </c>
      <c r="F1435" s="39" t="str">
        <f aca="false">IF(COUNTIF(medicine_master!$A$2:$A$26,C1435)&gt;0,"Valid","Invalid")</f>
        <v>Valid</v>
      </c>
      <c r="G1435" s="39" t="str">
        <f aca="false">IFERROR(INDEX(medicine_master!$B$2:$B$26,MATCH($C1435,medicine_master!$A$2:$A$26,0)),"Not found")</f>
        <v>Amlodipine 5mg</v>
      </c>
      <c r="H1435" s="39" t="str">
        <f aca="false">IFERROR(INDEX(medicine_master!$C$2:$C$26,MATCH($C1435,medicine_master!$A$2:$A$26,0)),"Not found")</f>
        <v>Cardiac</v>
      </c>
      <c r="I1435" s="39" t="n">
        <f aca="false">YEAR(B1435)</f>
        <v>2026</v>
      </c>
      <c r="J1435" s="39" t="n">
        <f aca="false">MONTH(B1435)</f>
        <v>1</v>
      </c>
      <c r="K1435" s="39" t="str">
        <f aca="false">TEXT(B1435,"mmm")</f>
        <v>Jan</v>
      </c>
      <c r="L1435" s="45" t="n">
        <f aca="false">IFERROR(INDEX(medicine_master!$I$2:$I$26,MATCH($C1435,medicine_master!$A$2:$A$26,0)),0)</f>
        <v>19</v>
      </c>
      <c r="M1435" s="45" t="n">
        <f aca="false">IFERROR(INDEX(medicine_master!$G$2:$G$26,MATCH($C1435,medicine_master!$A$2:$A$26,0)),0)</f>
        <v>13</v>
      </c>
      <c r="N1435" s="45" t="n">
        <f aca="false">IF(D1435="Sale",E1435*L1435,0)</f>
        <v>950</v>
      </c>
      <c r="O1435" s="45" t="n">
        <f aca="false">IF(D1435="Sale",E1435*M1435,0)</f>
        <v>650</v>
      </c>
      <c r="P1435" s="45" t="n">
        <f aca="false">N1435-O1435</f>
        <v>300</v>
      </c>
      <c r="Q1435" s="45" t="n">
        <f aca="false">IF(D1435="Purchase",E1435*M1435,0)</f>
        <v>0</v>
      </c>
    </row>
    <row r="1436" customFormat="false" ht="15" hidden="false" customHeight="false" outlineLevel="0" collapsed="false">
      <c r="A1436" s="39" t="s">
        <v>1760</v>
      </c>
      <c r="B1436" s="44" t="n">
        <v>46304</v>
      </c>
      <c r="C1436" s="39" t="s">
        <v>345</v>
      </c>
      <c r="D1436" s="39" t="s">
        <v>138</v>
      </c>
      <c r="E1436" s="39" t="n">
        <v>10</v>
      </c>
      <c r="F1436" s="39" t="str">
        <f aca="false">IF(COUNTIF(medicine_master!$A$2:$A$26,C1436)&gt;0,"Valid","Invalid")</f>
        <v>Valid</v>
      </c>
      <c r="G1436" s="39" t="str">
        <f aca="false">IFERROR(INDEX(medicine_master!$B$2:$B$26,MATCH($C1436,medicine_master!$A$2:$A$26,0)),"Not found")</f>
        <v>Paracetamol 500mg</v>
      </c>
      <c r="H1436" s="39" t="str">
        <f aca="false">IFERROR(INDEX(medicine_master!$C$2:$C$26,MATCH($C1436,medicine_master!$A$2:$A$26,0)),"Not found")</f>
        <v>Pain Relief</v>
      </c>
      <c r="I1436" s="39" t="n">
        <f aca="false">YEAR(B1436)</f>
        <v>2026</v>
      </c>
      <c r="J1436" s="39" t="n">
        <f aca="false">MONTH(B1436)</f>
        <v>10</v>
      </c>
      <c r="K1436" s="39" t="str">
        <f aca="false">TEXT(B1436,"mmm")</f>
        <v>Oct</v>
      </c>
      <c r="L1436" s="45" t="n">
        <f aca="false">IFERROR(INDEX(medicine_master!$I$2:$I$26,MATCH($C1436,medicine_master!$A$2:$A$26,0)),0)</f>
        <v>18</v>
      </c>
      <c r="M1436" s="45" t="n">
        <f aca="false">IFERROR(INDEX(medicine_master!$G$2:$G$26,MATCH($C1436,medicine_master!$A$2:$A$26,0)),0)</f>
        <v>12</v>
      </c>
      <c r="N1436" s="45" t="n">
        <f aca="false">IF(D1436="Sale",E1436*L1436,0)</f>
        <v>0</v>
      </c>
      <c r="O1436" s="45" t="n">
        <f aca="false">IF(D1436="Sale",E1436*M1436,0)</f>
        <v>0</v>
      </c>
      <c r="P1436" s="45" t="n">
        <f aca="false">N1436-O1436</f>
        <v>0</v>
      </c>
      <c r="Q1436" s="45" t="n">
        <f aca="false">IF(D1436="Purchase",E1436*M1436,0)</f>
        <v>120</v>
      </c>
    </row>
    <row r="1437" customFormat="false" ht="15" hidden="false" customHeight="false" outlineLevel="0" collapsed="false">
      <c r="A1437" s="39" t="s">
        <v>1761</v>
      </c>
      <c r="B1437" s="44" t="n">
        <v>46214</v>
      </c>
      <c r="C1437" s="39" t="s">
        <v>178</v>
      </c>
      <c r="D1437" s="39" t="s">
        <v>137</v>
      </c>
      <c r="E1437" s="39" t="n">
        <v>20</v>
      </c>
      <c r="F1437" s="39" t="str">
        <f aca="false">IF(COUNTIF(medicine_master!$A$2:$A$26,C1437)&gt;0,"Valid","Invalid")</f>
        <v>Valid</v>
      </c>
      <c r="G1437" s="39" t="str">
        <f aca="false">IFERROR(INDEX(medicine_master!$B$2:$B$26,MATCH($C1437,medicine_master!$A$2:$A$26,0)),"Not found")</f>
        <v>Aspirin 75mg</v>
      </c>
      <c r="H1437" s="39" t="str">
        <f aca="false">IFERROR(INDEX(medicine_master!$C$2:$C$26,MATCH($C1437,medicine_master!$A$2:$A$26,0)),"Not found")</f>
        <v>Cardiac</v>
      </c>
      <c r="I1437" s="39" t="n">
        <f aca="false">YEAR(B1437)</f>
        <v>2026</v>
      </c>
      <c r="J1437" s="39" t="n">
        <f aca="false">MONTH(B1437)</f>
        <v>7</v>
      </c>
      <c r="K1437" s="39" t="str">
        <f aca="false">TEXT(B1437,"mmm")</f>
        <v>Jul</v>
      </c>
      <c r="L1437" s="45" t="n">
        <f aca="false">IFERROR(INDEX(medicine_master!$I$2:$I$26,MATCH($C1437,medicine_master!$A$2:$A$26,0)),0)</f>
        <v>15</v>
      </c>
      <c r="M1437" s="45" t="n">
        <f aca="false">IFERROR(INDEX(medicine_master!$G$2:$G$26,MATCH($C1437,medicine_master!$A$2:$A$26,0)),0)</f>
        <v>10</v>
      </c>
      <c r="N1437" s="45" t="n">
        <f aca="false">IF(D1437="Sale",E1437*L1437,0)</f>
        <v>300</v>
      </c>
      <c r="O1437" s="45" t="n">
        <f aca="false">IF(D1437="Sale",E1437*M1437,0)</f>
        <v>200</v>
      </c>
      <c r="P1437" s="45" t="n">
        <f aca="false">N1437-O1437</f>
        <v>100</v>
      </c>
      <c r="Q1437" s="45" t="n">
        <f aca="false">IF(D1437="Purchase",E1437*M1437,0)</f>
        <v>0</v>
      </c>
    </row>
    <row r="1438" customFormat="false" ht="15" hidden="false" customHeight="false" outlineLevel="0" collapsed="false">
      <c r="A1438" s="39" t="s">
        <v>1762</v>
      </c>
      <c r="B1438" s="44" t="n">
        <v>46119</v>
      </c>
      <c r="C1438" s="39" t="s">
        <v>177</v>
      </c>
      <c r="D1438" s="39" t="s">
        <v>137</v>
      </c>
      <c r="E1438" s="39" t="n">
        <v>20</v>
      </c>
      <c r="F1438" s="39" t="str">
        <f aca="false">IF(COUNTIF(medicine_master!$A$2:$A$26,C1438)&gt;0,"Valid","Invalid")</f>
        <v>Valid</v>
      </c>
      <c r="G1438" s="39" t="str">
        <f aca="false">IFERROR(INDEX(medicine_master!$B$2:$B$26,MATCH($C1438,medicine_master!$A$2:$A$26,0)),"Not found")</f>
        <v>Bandage Roll</v>
      </c>
      <c r="H1438" s="39" t="str">
        <f aca="false">IFERROR(INDEX(medicine_master!$C$2:$C$26,MATCH($C1438,medicine_master!$A$2:$A$26,0)),"Not found")</f>
        <v>First Aid</v>
      </c>
      <c r="I1438" s="39" t="n">
        <f aca="false">YEAR(B1438)</f>
        <v>2026</v>
      </c>
      <c r="J1438" s="39" t="n">
        <f aca="false">MONTH(B1438)</f>
        <v>4</v>
      </c>
      <c r="K1438" s="39" t="str">
        <f aca="false">TEXT(B1438,"mmm")</f>
        <v>Apr</v>
      </c>
      <c r="L1438" s="45" t="n">
        <f aca="false">IFERROR(INDEX(medicine_master!$I$2:$I$26,MATCH($C1438,medicine_master!$A$2:$A$26,0)),0)</f>
        <v>25</v>
      </c>
      <c r="M1438" s="45" t="n">
        <f aca="false">IFERROR(INDEX(medicine_master!$G$2:$G$26,MATCH($C1438,medicine_master!$A$2:$A$26,0)),0)</f>
        <v>15</v>
      </c>
      <c r="N1438" s="45" t="n">
        <f aca="false">IF(D1438="Sale",E1438*L1438,0)</f>
        <v>500</v>
      </c>
      <c r="O1438" s="45" t="n">
        <f aca="false">IF(D1438="Sale",E1438*M1438,0)</f>
        <v>300</v>
      </c>
      <c r="P1438" s="45" t="n">
        <f aca="false">N1438-O1438</f>
        <v>200</v>
      </c>
      <c r="Q1438" s="45" t="n">
        <f aca="false">IF(D1438="Purchase",E1438*M1438,0)</f>
        <v>0</v>
      </c>
    </row>
    <row r="1439" customFormat="false" ht="15" hidden="false" customHeight="false" outlineLevel="0" collapsed="false">
      <c r="A1439" s="39" t="s">
        <v>1763</v>
      </c>
      <c r="B1439" s="44" t="n">
        <v>46356</v>
      </c>
      <c r="C1439" s="39" t="s">
        <v>151</v>
      </c>
      <c r="D1439" s="39" t="s">
        <v>137</v>
      </c>
      <c r="E1439" s="39" t="n">
        <v>10</v>
      </c>
      <c r="F1439" s="39" t="str">
        <f aca="false">IF(COUNTIF(medicine_master!$A$2:$A$26,C1439)&gt;0,"Valid","Invalid")</f>
        <v>Valid</v>
      </c>
      <c r="G1439" s="39" t="str">
        <f aca="false">IFERROR(INDEX(medicine_master!$B$2:$B$26,MATCH($C1439,medicine_master!$A$2:$A$26,0)),"Not found")</f>
        <v>Cetirizine 10mg</v>
      </c>
      <c r="H1439" s="39" t="str">
        <f aca="false">IFERROR(INDEX(medicine_master!$C$2:$C$26,MATCH($C1439,medicine_master!$A$2:$A$26,0)),"Not found")</f>
        <v>Allergy</v>
      </c>
      <c r="I1439" s="39" t="n">
        <f aca="false">YEAR(B1439)</f>
        <v>2026</v>
      </c>
      <c r="J1439" s="39" t="n">
        <f aca="false">MONTH(B1439)</f>
        <v>11</v>
      </c>
      <c r="K1439" s="39" t="str">
        <f aca="false">TEXT(B1439,"mmm")</f>
        <v>Nov</v>
      </c>
      <c r="L1439" s="45" t="n">
        <f aca="false">IFERROR(INDEX(medicine_master!$I$2:$I$26,MATCH($C1439,medicine_master!$A$2:$A$26,0)),0)</f>
        <v>13</v>
      </c>
      <c r="M1439" s="45" t="n">
        <f aca="false">IFERROR(INDEX(medicine_master!$G$2:$G$26,MATCH($C1439,medicine_master!$A$2:$A$26,0)),0)</f>
        <v>8</v>
      </c>
      <c r="N1439" s="45" t="n">
        <f aca="false">IF(D1439="Sale",E1439*L1439,0)</f>
        <v>130</v>
      </c>
      <c r="O1439" s="45" t="n">
        <f aca="false">IF(D1439="Sale",E1439*M1439,0)</f>
        <v>80</v>
      </c>
      <c r="P1439" s="45" t="n">
        <f aca="false">N1439-O1439</f>
        <v>50</v>
      </c>
      <c r="Q1439" s="45" t="n">
        <f aca="false">IF(D1439="Purchase",E1439*M1439,0)</f>
        <v>0</v>
      </c>
    </row>
    <row r="1440" customFormat="false" ht="15" hidden="false" customHeight="false" outlineLevel="0" collapsed="false">
      <c r="A1440" s="39" t="s">
        <v>1764</v>
      </c>
      <c r="B1440" s="44" t="n">
        <v>46056</v>
      </c>
      <c r="C1440" s="39" t="s">
        <v>345</v>
      </c>
      <c r="D1440" s="39" t="s">
        <v>137</v>
      </c>
      <c r="E1440" s="39" t="n">
        <v>40</v>
      </c>
      <c r="F1440" s="39" t="str">
        <f aca="false">IF(COUNTIF(medicine_master!$A$2:$A$26,C1440)&gt;0,"Valid","Invalid")</f>
        <v>Valid</v>
      </c>
      <c r="G1440" s="39" t="str">
        <f aca="false">IFERROR(INDEX(medicine_master!$B$2:$B$26,MATCH($C1440,medicine_master!$A$2:$A$26,0)),"Not found")</f>
        <v>Paracetamol 500mg</v>
      </c>
      <c r="H1440" s="39" t="str">
        <f aca="false">IFERROR(INDEX(medicine_master!$C$2:$C$26,MATCH($C1440,medicine_master!$A$2:$A$26,0)),"Not found")</f>
        <v>Pain Relief</v>
      </c>
      <c r="I1440" s="39" t="n">
        <f aca="false">YEAR(B1440)</f>
        <v>2026</v>
      </c>
      <c r="J1440" s="39" t="n">
        <f aca="false">MONTH(B1440)</f>
        <v>2</v>
      </c>
      <c r="K1440" s="39" t="str">
        <f aca="false">TEXT(B1440,"mmm")</f>
        <v>Feb</v>
      </c>
      <c r="L1440" s="45" t="n">
        <f aca="false">IFERROR(INDEX(medicine_master!$I$2:$I$26,MATCH($C1440,medicine_master!$A$2:$A$26,0)),0)</f>
        <v>18</v>
      </c>
      <c r="M1440" s="45" t="n">
        <f aca="false">IFERROR(INDEX(medicine_master!$G$2:$G$26,MATCH($C1440,medicine_master!$A$2:$A$26,0)),0)</f>
        <v>12</v>
      </c>
      <c r="N1440" s="45" t="n">
        <f aca="false">IF(D1440="Sale",E1440*L1440,0)</f>
        <v>720</v>
      </c>
      <c r="O1440" s="45" t="n">
        <f aca="false">IF(D1440="Sale",E1440*M1440,0)</f>
        <v>480</v>
      </c>
      <c r="P1440" s="45" t="n">
        <f aca="false">N1440-O1440</f>
        <v>240</v>
      </c>
      <c r="Q1440" s="45" t="n">
        <f aca="false">IF(D1440="Purchase",E1440*M1440,0)</f>
        <v>0</v>
      </c>
    </row>
    <row r="1441" customFormat="false" ht="15" hidden="false" customHeight="false" outlineLevel="0" collapsed="false">
      <c r="A1441" s="39" t="s">
        <v>1765</v>
      </c>
      <c r="B1441" s="44" t="n">
        <v>46025</v>
      </c>
      <c r="C1441" s="39" t="s">
        <v>160</v>
      </c>
      <c r="D1441" s="39" t="s">
        <v>137</v>
      </c>
      <c r="E1441" s="39" t="n">
        <v>30</v>
      </c>
      <c r="F1441" s="39" t="str">
        <f aca="false">IF(COUNTIF(medicine_master!$A$2:$A$26,C1441)&gt;0,"Valid","Invalid")</f>
        <v>Valid</v>
      </c>
      <c r="G1441" s="39" t="str">
        <f aca="false">IFERROR(INDEX(medicine_master!$B$2:$B$26,MATCH($C1441,medicine_master!$A$2:$A$26,0)),"Not found")</f>
        <v>Calamine Lotion</v>
      </c>
      <c r="H1441" s="39" t="str">
        <f aca="false">IFERROR(INDEX(medicine_master!$C$2:$C$26,MATCH($C1441,medicine_master!$A$2:$A$26,0)),"Not found")</f>
        <v>Dermatology</v>
      </c>
      <c r="I1441" s="39" t="n">
        <f aca="false">YEAR(B1441)</f>
        <v>2026</v>
      </c>
      <c r="J1441" s="39" t="n">
        <f aca="false">MONTH(B1441)</f>
        <v>1</v>
      </c>
      <c r="K1441" s="39" t="str">
        <f aca="false">TEXT(B1441,"mmm")</f>
        <v>Jan</v>
      </c>
      <c r="L1441" s="45" t="n">
        <f aca="false">IFERROR(INDEX(medicine_master!$I$2:$I$26,MATCH($C1441,medicine_master!$A$2:$A$26,0)),0)</f>
        <v>60</v>
      </c>
      <c r="M1441" s="45" t="n">
        <f aca="false">IFERROR(INDEX(medicine_master!$G$2:$G$26,MATCH($C1441,medicine_master!$A$2:$A$26,0)),0)</f>
        <v>42</v>
      </c>
      <c r="N1441" s="45" t="n">
        <f aca="false">IF(D1441="Sale",E1441*L1441,0)</f>
        <v>1800</v>
      </c>
      <c r="O1441" s="45" t="n">
        <f aca="false">IF(D1441="Sale",E1441*M1441,0)</f>
        <v>1260</v>
      </c>
      <c r="P1441" s="45" t="n">
        <f aca="false">N1441-O1441</f>
        <v>540</v>
      </c>
      <c r="Q1441" s="45" t="n">
        <f aca="false">IF(D1441="Purchase",E1441*M1441,0)</f>
        <v>0</v>
      </c>
    </row>
    <row r="1442" customFormat="false" ht="15" hidden="false" customHeight="false" outlineLevel="0" collapsed="false">
      <c r="A1442" s="39" t="s">
        <v>1766</v>
      </c>
      <c r="B1442" s="44" t="n">
        <v>46083</v>
      </c>
      <c r="C1442" s="39" t="s">
        <v>153</v>
      </c>
      <c r="D1442" s="39" t="s">
        <v>137</v>
      </c>
      <c r="E1442" s="39" t="n">
        <v>40</v>
      </c>
      <c r="F1442" s="39" t="str">
        <f aca="false">IF(COUNTIF(medicine_master!$A$2:$A$26,C1442)&gt;0,"Valid","Invalid")</f>
        <v>Valid</v>
      </c>
      <c r="G1442" s="39" t="str">
        <f aca="false">IFERROR(INDEX(medicine_master!$B$2:$B$26,MATCH($C1442,medicine_master!$A$2:$A$26,0)),"Not found")</f>
        <v>Atorvastatin 10mg</v>
      </c>
      <c r="H1442" s="39" t="str">
        <f aca="false">IFERROR(INDEX(medicine_master!$C$2:$C$26,MATCH($C1442,medicine_master!$A$2:$A$26,0)),"Not found")</f>
        <v>Cardiac</v>
      </c>
      <c r="I1442" s="39" t="n">
        <f aca="false">YEAR(B1442)</f>
        <v>2026</v>
      </c>
      <c r="J1442" s="39" t="n">
        <f aca="false">MONTH(B1442)</f>
        <v>3</v>
      </c>
      <c r="K1442" s="39" t="str">
        <f aca="false">TEXT(B1442,"mmm")</f>
        <v>Mar</v>
      </c>
      <c r="L1442" s="45" t="n">
        <f aca="false">IFERROR(INDEX(medicine_master!$I$2:$I$26,MATCH($C1442,medicine_master!$A$2:$A$26,0)),0)</f>
        <v>28</v>
      </c>
      <c r="M1442" s="45" t="n">
        <f aca="false">IFERROR(INDEX(medicine_master!$G$2:$G$26,MATCH($C1442,medicine_master!$A$2:$A$26,0)),0)</f>
        <v>19</v>
      </c>
      <c r="N1442" s="45" t="n">
        <f aca="false">IF(D1442="Sale",E1442*L1442,0)</f>
        <v>1120</v>
      </c>
      <c r="O1442" s="45" t="n">
        <f aca="false">IF(D1442="Sale",E1442*M1442,0)</f>
        <v>760</v>
      </c>
      <c r="P1442" s="45" t="n">
        <f aca="false">N1442-O1442</f>
        <v>360</v>
      </c>
      <c r="Q1442" s="45" t="n">
        <f aca="false">IF(D1442="Purchase",E1442*M1442,0)</f>
        <v>0</v>
      </c>
    </row>
    <row r="1443" customFormat="false" ht="15" hidden="false" customHeight="false" outlineLevel="0" collapsed="false">
      <c r="A1443" s="39" t="s">
        <v>1767</v>
      </c>
      <c r="B1443" s="44" t="n">
        <v>46032</v>
      </c>
      <c r="C1443" s="39" t="s">
        <v>180</v>
      </c>
      <c r="D1443" s="39" t="s">
        <v>137</v>
      </c>
      <c r="E1443" s="39" t="n">
        <v>25</v>
      </c>
      <c r="F1443" s="39" t="str">
        <f aca="false">IF(COUNTIF(medicine_master!$A$2:$A$26,C1443)&gt;0,"Valid","Invalid")</f>
        <v>Valid</v>
      </c>
      <c r="G1443" s="39" t="str">
        <f aca="false">IFERROR(INDEX(medicine_master!$B$2:$B$26,MATCH($C1443,medicine_master!$A$2:$A$26,0)),"Not found")</f>
        <v>Vitamin C 500mg</v>
      </c>
      <c r="H1443" s="39" t="str">
        <f aca="false">IFERROR(INDEX(medicine_master!$C$2:$C$26,MATCH($C1443,medicine_master!$A$2:$A$26,0)),"Not found")</f>
        <v>Vitamin</v>
      </c>
      <c r="I1443" s="39" t="n">
        <f aca="false">YEAR(B1443)</f>
        <v>2026</v>
      </c>
      <c r="J1443" s="39" t="n">
        <f aca="false">MONTH(B1443)</f>
        <v>1</v>
      </c>
      <c r="K1443" s="39" t="str">
        <f aca="false">TEXT(B1443,"mmm")</f>
        <v>Jan</v>
      </c>
      <c r="L1443" s="45" t="n">
        <f aca="false">IFERROR(INDEX(medicine_master!$I$2:$I$26,MATCH($C1443,medicine_master!$A$2:$A$26,0)),0)</f>
        <v>22</v>
      </c>
      <c r="M1443" s="45" t="n">
        <f aca="false">IFERROR(INDEX(medicine_master!$G$2:$G$26,MATCH($C1443,medicine_master!$A$2:$A$26,0)),0)</f>
        <v>14</v>
      </c>
      <c r="N1443" s="45" t="n">
        <f aca="false">IF(D1443="Sale",E1443*L1443,0)</f>
        <v>550</v>
      </c>
      <c r="O1443" s="45" t="n">
        <f aca="false">IF(D1443="Sale",E1443*M1443,0)</f>
        <v>350</v>
      </c>
      <c r="P1443" s="45" t="n">
        <f aca="false">N1443-O1443</f>
        <v>200</v>
      </c>
      <c r="Q1443" s="45" t="n">
        <f aca="false">IF(D1443="Purchase",E1443*M1443,0)</f>
        <v>0</v>
      </c>
    </row>
    <row r="1444" customFormat="false" ht="15" hidden="false" customHeight="false" outlineLevel="0" collapsed="false">
      <c r="A1444" s="39" t="s">
        <v>1768</v>
      </c>
      <c r="B1444" s="44" t="n">
        <v>46148</v>
      </c>
      <c r="C1444" s="39" t="s">
        <v>145</v>
      </c>
      <c r="D1444" s="39" t="s">
        <v>137</v>
      </c>
      <c r="E1444" s="39" t="n">
        <v>50</v>
      </c>
      <c r="F1444" s="39" t="str">
        <f aca="false">IF(COUNTIF(medicine_master!$A$2:$A$26,C1444)&gt;0,"Valid","Invalid")</f>
        <v>Valid</v>
      </c>
      <c r="G1444" s="39" t="str">
        <f aca="false">IFERROR(INDEX(medicine_master!$B$2:$B$26,MATCH($C1444,medicine_master!$A$2:$A$26,0)),"Not found")</f>
        <v>Clotrimazole Cream</v>
      </c>
      <c r="H1444" s="39" t="str">
        <f aca="false">IFERROR(INDEX(medicine_master!$C$2:$C$26,MATCH($C1444,medicine_master!$A$2:$A$26,0)),"Not found")</f>
        <v>Dermatology</v>
      </c>
      <c r="I1444" s="39" t="n">
        <f aca="false">YEAR(B1444)</f>
        <v>2026</v>
      </c>
      <c r="J1444" s="39" t="n">
        <f aca="false">MONTH(B1444)</f>
        <v>5</v>
      </c>
      <c r="K1444" s="39" t="str">
        <f aca="false">TEXT(B1444,"mmm")</f>
        <v>May</v>
      </c>
      <c r="L1444" s="45" t="n">
        <f aca="false">IFERROR(INDEX(medicine_master!$I$2:$I$26,MATCH($C1444,medicine_master!$A$2:$A$26,0)),0)</f>
        <v>48</v>
      </c>
      <c r="M1444" s="45" t="n">
        <f aca="false">IFERROR(INDEX(medicine_master!$G$2:$G$26,MATCH($C1444,medicine_master!$A$2:$A$26,0)),0)</f>
        <v>32</v>
      </c>
      <c r="N1444" s="45" t="n">
        <f aca="false">IF(D1444="Sale",E1444*L1444,0)</f>
        <v>2400</v>
      </c>
      <c r="O1444" s="45" t="n">
        <f aca="false">IF(D1444="Sale",E1444*M1444,0)</f>
        <v>1600</v>
      </c>
      <c r="P1444" s="45" t="n">
        <f aca="false">N1444-O1444</f>
        <v>800</v>
      </c>
      <c r="Q1444" s="45" t="n">
        <f aca="false">IF(D1444="Purchase",E1444*M1444,0)</f>
        <v>0</v>
      </c>
    </row>
    <row r="1445" customFormat="false" ht="15" hidden="false" customHeight="false" outlineLevel="0" collapsed="false">
      <c r="A1445" s="39" t="s">
        <v>1769</v>
      </c>
      <c r="B1445" s="44" t="n">
        <v>46192</v>
      </c>
      <c r="C1445" s="39" t="s">
        <v>404</v>
      </c>
      <c r="D1445" s="39" t="s">
        <v>137</v>
      </c>
      <c r="E1445" s="39" t="n">
        <v>25</v>
      </c>
      <c r="F1445" s="39" t="str">
        <f aca="false">IF(COUNTIF(medicine_master!$A$2:$A$26,C1445)&gt;0,"Valid","Invalid")</f>
        <v>Valid</v>
      </c>
      <c r="G1445" s="39" t="str">
        <f aca="false">IFERROR(INDEX(medicine_master!$B$2:$B$26,MATCH($C1445,medicine_master!$A$2:$A$26,0)),"Not found")</f>
        <v>ORS Sachet</v>
      </c>
      <c r="H1445" s="39" t="str">
        <f aca="false">IFERROR(INDEX(medicine_master!$C$2:$C$26,MATCH($C1445,medicine_master!$A$2:$A$26,0)),"Not found")</f>
        <v>First Aid</v>
      </c>
      <c r="I1445" s="39" t="n">
        <f aca="false">YEAR(B1445)</f>
        <v>2026</v>
      </c>
      <c r="J1445" s="39" t="n">
        <f aca="false">MONTH(B1445)</f>
        <v>6</v>
      </c>
      <c r="K1445" s="39" t="str">
        <f aca="false">TEXT(B1445,"mmm")</f>
        <v>Jun</v>
      </c>
      <c r="L1445" s="45" t="n">
        <f aca="false">IFERROR(INDEX(medicine_master!$I$2:$I$26,MATCH($C1445,medicine_master!$A$2:$A$26,0)),0)</f>
        <v>10</v>
      </c>
      <c r="M1445" s="45" t="n">
        <f aca="false">IFERROR(INDEX(medicine_master!$G$2:$G$26,MATCH($C1445,medicine_master!$A$2:$A$26,0)),0)</f>
        <v>6</v>
      </c>
      <c r="N1445" s="45" t="n">
        <f aca="false">IF(D1445="Sale",E1445*L1445,0)</f>
        <v>250</v>
      </c>
      <c r="O1445" s="45" t="n">
        <f aca="false">IF(D1445="Sale",E1445*M1445,0)</f>
        <v>150</v>
      </c>
      <c r="P1445" s="45" t="n">
        <f aca="false">N1445-O1445</f>
        <v>100</v>
      </c>
      <c r="Q1445" s="45" t="n">
        <f aca="false">IF(D1445="Purchase",E1445*M1445,0)</f>
        <v>0</v>
      </c>
    </row>
    <row r="1446" customFormat="false" ht="15" hidden="false" customHeight="false" outlineLevel="0" collapsed="false">
      <c r="A1446" s="39" t="s">
        <v>1770</v>
      </c>
      <c r="B1446" s="44" t="n">
        <v>46063</v>
      </c>
      <c r="C1446" s="39" t="s">
        <v>159</v>
      </c>
      <c r="D1446" s="39" t="s">
        <v>137</v>
      </c>
      <c r="E1446" s="39" t="n">
        <v>30</v>
      </c>
      <c r="F1446" s="39" t="str">
        <f aca="false">IF(COUNTIF(medicine_master!$A$2:$A$26,C1446)&gt;0,"Valid","Invalid")</f>
        <v>Valid</v>
      </c>
      <c r="G1446" s="39" t="str">
        <f aca="false">IFERROR(INDEX(medicine_master!$B$2:$B$26,MATCH($C1446,medicine_master!$A$2:$A$26,0)),"Not found")</f>
        <v>Antiseptic Liquid 100ml</v>
      </c>
      <c r="H1446" s="39" t="str">
        <f aca="false">IFERROR(INDEX(medicine_master!$C$2:$C$26,MATCH($C1446,medicine_master!$A$2:$A$26,0)),"Not found")</f>
        <v>First Aid</v>
      </c>
      <c r="I1446" s="39" t="n">
        <f aca="false">YEAR(B1446)</f>
        <v>2026</v>
      </c>
      <c r="J1446" s="39" t="n">
        <f aca="false">MONTH(B1446)</f>
        <v>2</v>
      </c>
      <c r="K1446" s="39" t="str">
        <f aca="false">TEXT(B1446,"mmm")</f>
        <v>Feb</v>
      </c>
      <c r="L1446" s="45" t="n">
        <f aca="false">IFERROR(INDEX(medicine_master!$I$2:$I$26,MATCH($C1446,medicine_master!$A$2:$A$26,0)),0)</f>
        <v>65</v>
      </c>
      <c r="M1446" s="45" t="n">
        <f aca="false">IFERROR(INDEX(medicine_master!$G$2:$G$26,MATCH($C1446,medicine_master!$A$2:$A$26,0)),0)</f>
        <v>48</v>
      </c>
      <c r="N1446" s="45" t="n">
        <f aca="false">IF(D1446="Sale",E1446*L1446,0)</f>
        <v>1950</v>
      </c>
      <c r="O1446" s="45" t="n">
        <f aca="false">IF(D1446="Sale",E1446*M1446,0)</f>
        <v>1440</v>
      </c>
      <c r="P1446" s="45" t="n">
        <f aca="false">N1446-O1446</f>
        <v>510</v>
      </c>
      <c r="Q1446" s="45" t="n">
        <f aca="false">IF(D1446="Purchase",E1446*M1446,0)</f>
        <v>0</v>
      </c>
    </row>
    <row r="1447" customFormat="false" ht="15" hidden="false" customHeight="false" outlineLevel="0" collapsed="false">
      <c r="A1447" s="39" t="s">
        <v>1771</v>
      </c>
      <c r="B1447" s="44" t="n">
        <v>46342</v>
      </c>
      <c r="C1447" s="39" t="s">
        <v>153</v>
      </c>
      <c r="D1447" s="39" t="s">
        <v>137</v>
      </c>
      <c r="E1447" s="39" t="n">
        <v>20</v>
      </c>
      <c r="F1447" s="39" t="str">
        <f aca="false">IF(COUNTIF(medicine_master!$A$2:$A$26,C1447)&gt;0,"Valid","Invalid")</f>
        <v>Valid</v>
      </c>
      <c r="G1447" s="39" t="str">
        <f aca="false">IFERROR(INDEX(medicine_master!$B$2:$B$26,MATCH($C1447,medicine_master!$A$2:$A$26,0)),"Not found")</f>
        <v>Atorvastatin 10mg</v>
      </c>
      <c r="H1447" s="39" t="str">
        <f aca="false">IFERROR(INDEX(medicine_master!$C$2:$C$26,MATCH($C1447,medicine_master!$A$2:$A$26,0)),"Not found")</f>
        <v>Cardiac</v>
      </c>
      <c r="I1447" s="39" t="n">
        <f aca="false">YEAR(B1447)</f>
        <v>2026</v>
      </c>
      <c r="J1447" s="39" t="n">
        <f aca="false">MONTH(B1447)</f>
        <v>11</v>
      </c>
      <c r="K1447" s="39" t="str">
        <f aca="false">TEXT(B1447,"mmm")</f>
        <v>Nov</v>
      </c>
      <c r="L1447" s="45" t="n">
        <f aca="false">IFERROR(INDEX(medicine_master!$I$2:$I$26,MATCH($C1447,medicine_master!$A$2:$A$26,0)),0)</f>
        <v>28</v>
      </c>
      <c r="M1447" s="45" t="n">
        <f aca="false">IFERROR(INDEX(medicine_master!$G$2:$G$26,MATCH($C1447,medicine_master!$A$2:$A$26,0)),0)</f>
        <v>19</v>
      </c>
      <c r="N1447" s="45" t="n">
        <f aca="false">IF(D1447="Sale",E1447*L1447,0)</f>
        <v>560</v>
      </c>
      <c r="O1447" s="45" t="n">
        <f aca="false">IF(D1447="Sale",E1447*M1447,0)</f>
        <v>380</v>
      </c>
      <c r="P1447" s="45" t="n">
        <f aca="false">N1447-O1447</f>
        <v>180</v>
      </c>
      <c r="Q1447" s="45" t="n">
        <f aca="false">IF(D1447="Purchase",E1447*M1447,0)</f>
        <v>0</v>
      </c>
    </row>
    <row r="1448" customFormat="false" ht="15" hidden="false" customHeight="false" outlineLevel="0" collapsed="false">
      <c r="A1448" s="39" t="s">
        <v>1772</v>
      </c>
      <c r="B1448" s="44" t="n">
        <v>46149</v>
      </c>
      <c r="C1448" s="39" t="s">
        <v>149</v>
      </c>
      <c r="D1448" s="39" t="s">
        <v>137</v>
      </c>
      <c r="E1448" s="39" t="n">
        <v>20</v>
      </c>
      <c r="F1448" s="39" t="str">
        <f aca="false">IF(COUNTIF(medicine_master!$A$2:$A$26,C1448)&gt;0,"Valid","Invalid")</f>
        <v>Valid</v>
      </c>
      <c r="G1448" s="39" t="str">
        <f aca="false">IFERROR(INDEX(medicine_master!$B$2:$B$26,MATCH($C1448,medicine_master!$A$2:$A$26,0)),"Not found")</f>
        <v>Azithromycin 500mg</v>
      </c>
      <c r="H1448" s="39" t="str">
        <f aca="false">IFERROR(INDEX(medicine_master!$C$2:$C$26,MATCH($C1448,medicine_master!$A$2:$A$26,0)),"Not found")</f>
        <v>Antibiotic</v>
      </c>
      <c r="I1448" s="39" t="n">
        <f aca="false">YEAR(B1448)</f>
        <v>2026</v>
      </c>
      <c r="J1448" s="39" t="n">
        <f aca="false">MONTH(B1448)</f>
        <v>5</v>
      </c>
      <c r="K1448" s="39" t="str">
        <f aca="false">TEXT(B1448,"mmm")</f>
        <v>May</v>
      </c>
      <c r="L1448" s="45" t="n">
        <f aca="false">IFERROR(INDEX(medicine_master!$I$2:$I$26,MATCH($C1448,medicine_master!$A$2:$A$26,0)),0)</f>
        <v>50</v>
      </c>
      <c r="M1448" s="45" t="n">
        <f aca="false">IFERROR(INDEX(medicine_master!$G$2:$G$26,MATCH($C1448,medicine_master!$A$2:$A$26,0)),0)</f>
        <v>35</v>
      </c>
      <c r="N1448" s="45" t="n">
        <f aca="false">IF(D1448="Sale",E1448*L1448,0)</f>
        <v>1000</v>
      </c>
      <c r="O1448" s="45" t="n">
        <f aca="false">IF(D1448="Sale",E1448*M1448,0)</f>
        <v>700</v>
      </c>
      <c r="P1448" s="45" t="n">
        <f aca="false">N1448-O1448</f>
        <v>300</v>
      </c>
      <c r="Q1448" s="45" t="n">
        <f aca="false">IF(D1448="Purchase",E1448*M1448,0)</f>
        <v>0</v>
      </c>
    </row>
    <row r="1449" customFormat="false" ht="15" hidden="false" customHeight="false" outlineLevel="0" collapsed="false">
      <c r="A1449" s="39" t="s">
        <v>1773</v>
      </c>
      <c r="B1449" s="44" t="n">
        <v>46111</v>
      </c>
      <c r="C1449" s="39" t="s">
        <v>148</v>
      </c>
      <c r="D1449" s="39" t="s">
        <v>137</v>
      </c>
      <c r="E1449" s="39" t="n">
        <v>5</v>
      </c>
      <c r="F1449" s="39" t="str">
        <f aca="false">IF(COUNTIF(medicine_master!$A$2:$A$26,C1449)&gt;0,"Valid","Invalid")</f>
        <v>Valid</v>
      </c>
      <c r="G1449" s="39" t="str">
        <f aca="false">IFERROR(INDEX(medicine_master!$B$2:$B$26,MATCH($C1449,medicine_master!$A$2:$A$26,0)),"Not found")</f>
        <v>Dextromethorphan Syrup</v>
      </c>
      <c r="H1449" s="39" t="str">
        <f aca="false">IFERROR(INDEX(medicine_master!$C$2:$C$26,MATCH($C1449,medicine_master!$A$2:$A$26,0)),"Not found")</f>
        <v>Cold &amp; Cough</v>
      </c>
      <c r="I1449" s="39" t="n">
        <f aca="false">YEAR(B1449)</f>
        <v>2026</v>
      </c>
      <c r="J1449" s="39" t="n">
        <f aca="false">MONTH(B1449)</f>
        <v>3</v>
      </c>
      <c r="K1449" s="39" t="str">
        <f aca="false">TEXT(B1449,"mmm")</f>
        <v>Mar</v>
      </c>
      <c r="L1449" s="45" t="n">
        <f aca="false">IFERROR(INDEX(medicine_master!$I$2:$I$26,MATCH($C1449,medicine_master!$A$2:$A$26,0)),0)</f>
        <v>80</v>
      </c>
      <c r="M1449" s="45" t="n">
        <f aca="false">IFERROR(INDEX(medicine_master!$G$2:$G$26,MATCH($C1449,medicine_master!$A$2:$A$26,0)),0)</f>
        <v>58</v>
      </c>
      <c r="N1449" s="45" t="n">
        <f aca="false">IF(D1449="Sale",E1449*L1449,0)</f>
        <v>400</v>
      </c>
      <c r="O1449" s="45" t="n">
        <f aca="false">IF(D1449="Sale",E1449*M1449,0)</f>
        <v>290</v>
      </c>
      <c r="P1449" s="45" t="n">
        <f aca="false">N1449-O1449</f>
        <v>110</v>
      </c>
      <c r="Q1449" s="45" t="n">
        <f aca="false">IF(D1449="Purchase",E1449*M1449,0)</f>
        <v>0</v>
      </c>
    </row>
    <row r="1450" customFormat="false" ht="15" hidden="false" customHeight="false" outlineLevel="0" collapsed="false">
      <c r="A1450" s="39" t="s">
        <v>1774</v>
      </c>
      <c r="B1450" s="44" t="n">
        <v>46225</v>
      </c>
      <c r="C1450" s="39" t="s">
        <v>150</v>
      </c>
      <c r="D1450" s="39" t="s">
        <v>137</v>
      </c>
      <c r="E1450" s="39" t="n">
        <v>20</v>
      </c>
      <c r="F1450" s="39" t="str">
        <f aca="false">IF(COUNTIF(medicine_master!$A$2:$A$26,C1450)&gt;0,"Valid","Invalid")</f>
        <v>Valid</v>
      </c>
      <c r="G1450" s="39" t="str">
        <f aca="false">IFERROR(INDEX(medicine_master!$B$2:$B$26,MATCH($C1450,medicine_master!$A$2:$A$26,0)),"Not found")</f>
        <v>Pantoprazole 40mg</v>
      </c>
      <c r="H1450" s="39" t="str">
        <f aca="false">IFERROR(INDEX(medicine_master!$C$2:$C$26,MATCH($C1450,medicine_master!$A$2:$A$26,0)),"Not found")</f>
        <v>Gastric</v>
      </c>
      <c r="I1450" s="39" t="n">
        <f aca="false">YEAR(B1450)</f>
        <v>2026</v>
      </c>
      <c r="J1450" s="39" t="n">
        <f aca="false">MONTH(B1450)</f>
        <v>7</v>
      </c>
      <c r="K1450" s="39" t="str">
        <f aca="false">TEXT(B1450,"mmm")</f>
        <v>Jul</v>
      </c>
      <c r="L1450" s="45" t="n">
        <f aca="false">IFERROR(INDEX(medicine_master!$I$2:$I$26,MATCH($C1450,medicine_master!$A$2:$A$26,0)),0)</f>
        <v>35</v>
      </c>
      <c r="M1450" s="45" t="n">
        <f aca="false">IFERROR(INDEX(medicine_master!$G$2:$G$26,MATCH($C1450,medicine_master!$A$2:$A$26,0)),0)</f>
        <v>24</v>
      </c>
      <c r="N1450" s="45" t="n">
        <f aca="false">IF(D1450="Sale",E1450*L1450,0)</f>
        <v>700</v>
      </c>
      <c r="O1450" s="45" t="n">
        <f aca="false">IF(D1450="Sale",E1450*M1450,0)</f>
        <v>480</v>
      </c>
      <c r="P1450" s="45" t="n">
        <f aca="false">N1450-O1450</f>
        <v>220</v>
      </c>
      <c r="Q1450" s="45" t="n">
        <f aca="false">IF(D1450="Purchase",E1450*M1450,0)</f>
        <v>0</v>
      </c>
    </row>
    <row r="1451" customFormat="false" ht="15" hidden="false" customHeight="false" outlineLevel="0" collapsed="false">
      <c r="A1451" s="39" t="s">
        <v>1775</v>
      </c>
      <c r="B1451" s="44" t="n">
        <v>46139</v>
      </c>
      <c r="C1451" s="39" t="s">
        <v>158</v>
      </c>
      <c r="D1451" s="39" t="s">
        <v>138</v>
      </c>
      <c r="E1451" s="39" t="n">
        <v>25</v>
      </c>
      <c r="F1451" s="39" t="str">
        <f aca="false">IF(COUNTIF(medicine_master!$A$2:$A$26,C1451)&gt;0,"Valid","Invalid")</f>
        <v>Valid</v>
      </c>
      <c r="G1451" s="39" t="str">
        <f aca="false">IFERROR(INDEX(medicine_master!$B$2:$B$26,MATCH($C1451,medicine_master!$A$2:$A$26,0)),"Not found")</f>
        <v>Cough Syrup 100ml</v>
      </c>
      <c r="H1451" s="39" t="str">
        <f aca="false">IFERROR(INDEX(medicine_master!$C$2:$C$26,MATCH($C1451,medicine_master!$A$2:$A$26,0)),"Not found")</f>
        <v>Cold &amp; Cough</v>
      </c>
      <c r="I1451" s="39" t="n">
        <f aca="false">YEAR(B1451)</f>
        <v>2026</v>
      </c>
      <c r="J1451" s="39" t="n">
        <f aca="false">MONTH(B1451)</f>
        <v>4</v>
      </c>
      <c r="K1451" s="39" t="str">
        <f aca="false">TEXT(B1451,"mmm")</f>
        <v>Apr</v>
      </c>
      <c r="L1451" s="45" t="n">
        <f aca="false">IFERROR(INDEX(medicine_master!$I$2:$I$26,MATCH($C1451,medicine_master!$A$2:$A$26,0)),0)</f>
        <v>72</v>
      </c>
      <c r="M1451" s="45" t="n">
        <f aca="false">IFERROR(INDEX(medicine_master!$G$2:$G$26,MATCH($C1451,medicine_master!$A$2:$A$26,0)),0)</f>
        <v>52</v>
      </c>
      <c r="N1451" s="45" t="n">
        <f aca="false">IF(D1451="Sale",E1451*L1451,0)</f>
        <v>0</v>
      </c>
      <c r="O1451" s="45" t="n">
        <f aca="false">IF(D1451="Sale",E1451*M1451,0)</f>
        <v>0</v>
      </c>
      <c r="P1451" s="45" t="n">
        <f aca="false">N1451-O1451</f>
        <v>0</v>
      </c>
      <c r="Q1451" s="45" t="n">
        <f aca="false">IF(D1451="Purchase",E1451*M1451,0)</f>
        <v>1300</v>
      </c>
    </row>
    <row r="1452" customFormat="false" ht="15" hidden="false" customHeight="false" outlineLevel="0" collapsed="false">
      <c r="A1452" s="39" t="s">
        <v>1776</v>
      </c>
      <c r="B1452" s="44" t="n">
        <v>46142</v>
      </c>
      <c r="C1452" s="39" t="s">
        <v>345</v>
      </c>
      <c r="D1452" s="39" t="s">
        <v>138</v>
      </c>
      <c r="E1452" s="39" t="n">
        <v>40</v>
      </c>
      <c r="F1452" s="39" t="str">
        <f aca="false">IF(COUNTIF(medicine_master!$A$2:$A$26,C1452)&gt;0,"Valid","Invalid")</f>
        <v>Valid</v>
      </c>
      <c r="G1452" s="39" t="str">
        <f aca="false">IFERROR(INDEX(medicine_master!$B$2:$B$26,MATCH($C1452,medicine_master!$A$2:$A$26,0)),"Not found")</f>
        <v>Paracetamol 500mg</v>
      </c>
      <c r="H1452" s="39" t="str">
        <f aca="false">IFERROR(INDEX(medicine_master!$C$2:$C$26,MATCH($C1452,medicine_master!$A$2:$A$26,0)),"Not found")</f>
        <v>Pain Relief</v>
      </c>
      <c r="I1452" s="39" t="n">
        <f aca="false">YEAR(B1452)</f>
        <v>2026</v>
      </c>
      <c r="J1452" s="39" t="n">
        <f aca="false">MONTH(B1452)</f>
        <v>4</v>
      </c>
      <c r="K1452" s="39" t="str">
        <f aca="false">TEXT(B1452,"mmm")</f>
        <v>Apr</v>
      </c>
      <c r="L1452" s="45" t="n">
        <f aca="false">IFERROR(INDEX(medicine_master!$I$2:$I$26,MATCH($C1452,medicine_master!$A$2:$A$26,0)),0)</f>
        <v>18</v>
      </c>
      <c r="M1452" s="45" t="n">
        <f aca="false">IFERROR(INDEX(medicine_master!$G$2:$G$26,MATCH($C1452,medicine_master!$A$2:$A$26,0)),0)</f>
        <v>12</v>
      </c>
      <c r="N1452" s="45" t="n">
        <f aca="false">IF(D1452="Sale",E1452*L1452,0)</f>
        <v>0</v>
      </c>
      <c r="O1452" s="45" t="n">
        <f aca="false">IF(D1452="Sale",E1452*M1452,0)</f>
        <v>0</v>
      </c>
      <c r="P1452" s="45" t="n">
        <f aca="false">N1452-O1452</f>
        <v>0</v>
      </c>
      <c r="Q1452" s="45" t="n">
        <f aca="false">IF(D1452="Purchase",E1452*M1452,0)</f>
        <v>480</v>
      </c>
    </row>
    <row r="1453" customFormat="false" ht="15" hidden="false" customHeight="false" outlineLevel="0" collapsed="false">
      <c r="A1453" s="39" t="s">
        <v>1777</v>
      </c>
      <c r="B1453" s="44" t="n">
        <v>46152</v>
      </c>
      <c r="C1453" s="39" t="s">
        <v>178</v>
      </c>
      <c r="D1453" s="39" t="s">
        <v>138</v>
      </c>
      <c r="E1453" s="39" t="n">
        <v>30</v>
      </c>
      <c r="F1453" s="39" t="str">
        <f aca="false">IF(COUNTIF(medicine_master!$A$2:$A$26,C1453)&gt;0,"Valid","Invalid")</f>
        <v>Valid</v>
      </c>
      <c r="G1453" s="39" t="str">
        <f aca="false">IFERROR(INDEX(medicine_master!$B$2:$B$26,MATCH($C1453,medicine_master!$A$2:$A$26,0)),"Not found")</f>
        <v>Aspirin 75mg</v>
      </c>
      <c r="H1453" s="39" t="str">
        <f aca="false">IFERROR(INDEX(medicine_master!$C$2:$C$26,MATCH($C1453,medicine_master!$A$2:$A$26,0)),"Not found")</f>
        <v>Cardiac</v>
      </c>
      <c r="I1453" s="39" t="n">
        <f aca="false">YEAR(B1453)</f>
        <v>2026</v>
      </c>
      <c r="J1453" s="39" t="n">
        <f aca="false">MONTH(B1453)</f>
        <v>5</v>
      </c>
      <c r="K1453" s="39" t="str">
        <f aca="false">TEXT(B1453,"mmm")</f>
        <v>May</v>
      </c>
      <c r="L1453" s="45" t="n">
        <f aca="false">IFERROR(INDEX(medicine_master!$I$2:$I$26,MATCH($C1453,medicine_master!$A$2:$A$26,0)),0)</f>
        <v>15</v>
      </c>
      <c r="M1453" s="45" t="n">
        <f aca="false">IFERROR(INDEX(medicine_master!$G$2:$G$26,MATCH($C1453,medicine_master!$A$2:$A$26,0)),0)</f>
        <v>10</v>
      </c>
      <c r="N1453" s="45" t="n">
        <f aca="false">IF(D1453="Sale",E1453*L1453,0)</f>
        <v>0</v>
      </c>
      <c r="O1453" s="45" t="n">
        <f aca="false">IF(D1453="Sale",E1453*M1453,0)</f>
        <v>0</v>
      </c>
      <c r="P1453" s="45" t="n">
        <f aca="false">N1453-O1453</f>
        <v>0</v>
      </c>
      <c r="Q1453" s="45" t="n">
        <f aca="false">IF(D1453="Purchase",E1453*M1453,0)</f>
        <v>300</v>
      </c>
    </row>
    <row r="1454" customFormat="false" ht="15" hidden="false" customHeight="false" outlineLevel="0" collapsed="false">
      <c r="A1454" s="39" t="s">
        <v>1778</v>
      </c>
      <c r="B1454" s="44" t="n">
        <v>46346</v>
      </c>
      <c r="C1454" s="39" t="s">
        <v>145</v>
      </c>
      <c r="D1454" s="39" t="s">
        <v>138</v>
      </c>
      <c r="E1454" s="39" t="n">
        <v>25</v>
      </c>
      <c r="F1454" s="39" t="str">
        <f aca="false">IF(COUNTIF(medicine_master!$A$2:$A$26,C1454)&gt;0,"Valid","Invalid")</f>
        <v>Valid</v>
      </c>
      <c r="G1454" s="39" t="str">
        <f aca="false">IFERROR(INDEX(medicine_master!$B$2:$B$26,MATCH($C1454,medicine_master!$A$2:$A$26,0)),"Not found")</f>
        <v>Clotrimazole Cream</v>
      </c>
      <c r="H1454" s="39" t="str">
        <f aca="false">IFERROR(INDEX(medicine_master!$C$2:$C$26,MATCH($C1454,medicine_master!$A$2:$A$26,0)),"Not found")</f>
        <v>Dermatology</v>
      </c>
      <c r="I1454" s="39" t="n">
        <f aca="false">YEAR(B1454)</f>
        <v>2026</v>
      </c>
      <c r="J1454" s="39" t="n">
        <f aca="false">MONTH(B1454)</f>
        <v>11</v>
      </c>
      <c r="K1454" s="39" t="str">
        <f aca="false">TEXT(B1454,"mmm")</f>
        <v>Nov</v>
      </c>
      <c r="L1454" s="45" t="n">
        <f aca="false">IFERROR(INDEX(medicine_master!$I$2:$I$26,MATCH($C1454,medicine_master!$A$2:$A$26,0)),0)</f>
        <v>48</v>
      </c>
      <c r="M1454" s="45" t="n">
        <f aca="false">IFERROR(INDEX(medicine_master!$G$2:$G$26,MATCH($C1454,medicine_master!$A$2:$A$26,0)),0)</f>
        <v>32</v>
      </c>
      <c r="N1454" s="45" t="n">
        <f aca="false">IF(D1454="Sale",E1454*L1454,0)</f>
        <v>0</v>
      </c>
      <c r="O1454" s="45" t="n">
        <f aca="false">IF(D1454="Sale",E1454*M1454,0)</f>
        <v>0</v>
      </c>
      <c r="P1454" s="45" t="n">
        <f aca="false">N1454-O1454</f>
        <v>0</v>
      </c>
      <c r="Q1454" s="45" t="n">
        <f aca="false">IF(D1454="Purchase",E1454*M1454,0)</f>
        <v>800</v>
      </c>
    </row>
    <row r="1455" customFormat="false" ht="15" hidden="false" customHeight="false" outlineLevel="0" collapsed="false">
      <c r="A1455" s="39" t="s">
        <v>1779</v>
      </c>
      <c r="B1455" s="44" t="n">
        <v>46116</v>
      </c>
      <c r="C1455" s="39" t="s">
        <v>157</v>
      </c>
      <c r="D1455" s="39" t="s">
        <v>137</v>
      </c>
      <c r="E1455" s="39" t="n">
        <v>15</v>
      </c>
      <c r="F1455" s="39" t="str">
        <f aca="false">IF(COUNTIF(medicine_master!$A$2:$A$26,C1455)&gt;0,"Valid","Invalid")</f>
        <v>Valid</v>
      </c>
      <c r="G1455" s="39" t="str">
        <f aca="false">IFERROR(INDEX(medicine_master!$B$2:$B$26,MATCH($C1455,medicine_master!$A$2:$A$26,0)),"Not found")</f>
        <v>Multivitamin Tablets</v>
      </c>
      <c r="H1455" s="39" t="str">
        <f aca="false">IFERROR(INDEX(medicine_master!$C$2:$C$26,MATCH($C1455,medicine_master!$A$2:$A$26,0)),"Not found")</f>
        <v>Vitamin</v>
      </c>
      <c r="I1455" s="39" t="n">
        <f aca="false">YEAR(B1455)</f>
        <v>2026</v>
      </c>
      <c r="J1455" s="39" t="n">
        <f aca="false">MONTH(B1455)</f>
        <v>4</v>
      </c>
      <c r="K1455" s="39" t="str">
        <f aca="false">TEXT(B1455,"mmm")</f>
        <v>Apr</v>
      </c>
      <c r="L1455" s="45" t="n">
        <f aca="false">IFERROR(INDEX(medicine_master!$I$2:$I$26,MATCH($C1455,medicine_master!$A$2:$A$26,0)),0)</f>
        <v>105</v>
      </c>
      <c r="M1455" s="45" t="n">
        <f aca="false">IFERROR(INDEX(medicine_master!$G$2:$G$26,MATCH($C1455,medicine_master!$A$2:$A$26,0)),0)</f>
        <v>72</v>
      </c>
      <c r="N1455" s="45" t="n">
        <f aca="false">IF(D1455="Sale",E1455*L1455,0)</f>
        <v>1575</v>
      </c>
      <c r="O1455" s="45" t="n">
        <f aca="false">IF(D1455="Sale",E1455*M1455,0)</f>
        <v>1080</v>
      </c>
      <c r="P1455" s="45" t="n">
        <f aca="false">N1455-O1455</f>
        <v>495</v>
      </c>
      <c r="Q1455" s="45" t="n">
        <f aca="false">IF(D1455="Purchase",E1455*M1455,0)</f>
        <v>0</v>
      </c>
    </row>
    <row r="1456" customFormat="false" ht="15" hidden="false" customHeight="false" outlineLevel="0" collapsed="false">
      <c r="A1456" s="39" t="s">
        <v>1780</v>
      </c>
      <c r="B1456" s="44" t="n">
        <v>46205</v>
      </c>
      <c r="C1456" s="39" t="s">
        <v>147</v>
      </c>
      <c r="D1456" s="39" t="s">
        <v>138</v>
      </c>
      <c r="E1456" s="39" t="n">
        <v>40</v>
      </c>
      <c r="F1456" s="39" t="str">
        <f aca="false">IF(COUNTIF(medicine_master!$A$2:$A$26,C1456)&gt;0,"Valid","Invalid")</f>
        <v>Valid</v>
      </c>
      <c r="G1456" s="39" t="str">
        <f aca="false">IFERROR(INDEX(medicine_master!$B$2:$B$26,MATCH($C1456,medicine_master!$A$2:$A$26,0)),"Not found")</f>
        <v>Insulin Injection</v>
      </c>
      <c r="H1456" s="39" t="str">
        <f aca="false">IFERROR(INDEX(medicine_master!$C$2:$C$26,MATCH($C1456,medicine_master!$A$2:$A$26,0)),"Not found")</f>
        <v>Diabetes</v>
      </c>
      <c r="I1456" s="39" t="n">
        <f aca="false">YEAR(B1456)</f>
        <v>2026</v>
      </c>
      <c r="J1456" s="39" t="n">
        <f aca="false">MONTH(B1456)</f>
        <v>7</v>
      </c>
      <c r="K1456" s="39" t="str">
        <f aca="false">TEXT(B1456,"mmm")</f>
        <v>Jul</v>
      </c>
      <c r="L1456" s="45" t="n">
        <f aca="false">IFERROR(INDEX(medicine_master!$I$2:$I$26,MATCH($C1456,medicine_master!$A$2:$A$26,0)),0)</f>
        <v>225</v>
      </c>
      <c r="M1456" s="45" t="n">
        <f aca="false">IFERROR(INDEX(medicine_master!$G$2:$G$26,MATCH($C1456,medicine_master!$A$2:$A$26,0)),0)</f>
        <v>165</v>
      </c>
      <c r="N1456" s="45" t="n">
        <f aca="false">IF(D1456="Sale",E1456*L1456,0)</f>
        <v>0</v>
      </c>
      <c r="O1456" s="45" t="n">
        <f aca="false">IF(D1456="Sale",E1456*M1456,0)</f>
        <v>0</v>
      </c>
      <c r="P1456" s="45" t="n">
        <f aca="false">N1456-O1456</f>
        <v>0</v>
      </c>
      <c r="Q1456" s="45" t="n">
        <f aca="false">IF(D1456="Purchase",E1456*M1456,0)</f>
        <v>6600</v>
      </c>
    </row>
    <row r="1457" customFormat="false" ht="15" hidden="false" customHeight="false" outlineLevel="0" collapsed="false">
      <c r="A1457" s="39" t="s">
        <v>1781</v>
      </c>
      <c r="B1457" s="44" t="n">
        <v>46064</v>
      </c>
      <c r="C1457" s="39" t="s">
        <v>177</v>
      </c>
      <c r="D1457" s="39" t="s">
        <v>138</v>
      </c>
      <c r="E1457" s="39" t="n">
        <v>25</v>
      </c>
      <c r="F1457" s="39" t="str">
        <f aca="false">IF(COUNTIF(medicine_master!$A$2:$A$26,C1457)&gt;0,"Valid","Invalid")</f>
        <v>Valid</v>
      </c>
      <c r="G1457" s="39" t="str">
        <f aca="false">IFERROR(INDEX(medicine_master!$B$2:$B$26,MATCH($C1457,medicine_master!$A$2:$A$26,0)),"Not found")</f>
        <v>Bandage Roll</v>
      </c>
      <c r="H1457" s="39" t="str">
        <f aca="false">IFERROR(INDEX(medicine_master!$C$2:$C$26,MATCH($C1457,medicine_master!$A$2:$A$26,0)),"Not found")</f>
        <v>First Aid</v>
      </c>
      <c r="I1457" s="39" t="n">
        <f aca="false">YEAR(B1457)</f>
        <v>2026</v>
      </c>
      <c r="J1457" s="39" t="n">
        <f aca="false">MONTH(B1457)</f>
        <v>2</v>
      </c>
      <c r="K1457" s="39" t="str">
        <f aca="false">TEXT(B1457,"mmm")</f>
        <v>Feb</v>
      </c>
      <c r="L1457" s="45" t="n">
        <f aca="false">IFERROR(INDEX(medicine_master!$I$2:$I$26,MATCH($C1457,medicine_master!$A$2:$A$26,0)),0)</f>
        <v>25</v>
      </c>
      <c r="M1457" s="45" t="n">
        <f aca="false">IFERROR(INDEX(medicine_master!$G$2:$G$26,MATCH($C1457,medicine_master!$A$2:$A$26,0)),0)</f>
        <v>15</v>
      </c>
      <c r="N1457" s="45" t="n">
        <f aca="false">IF(D1457="Sale",E1457*L1457,0)</f>
        <v>0</v>
      </c>
      <c r="O1457" s="45" t="n">
        <f aca="false">IF(D1457="Sale",E1457*M1457,0)</f>
        <v>0</v>
      </c>
      <c r="P1457" s="45" t="n">
        <f aca="false">N1457-O1457</f>
        <v>0</v>
      </c>
      <c r="Q1457" s="45" t="n">
        <f aca="false">IF(D1457="Purchase",E1457*M1457,0)</f>
        <v>375</v>
      </c>
    </row>
    <row r="1458" customFormat="false" ht="15" hidden="false" customHeight="false" outlineLevel="0" collapsed="false">
      <c r="A1458" s="39" t="s">
        <v>1782</v>
      </c>
      <c r="B1458" s="44" t="n">
        <v>46039</v>
      </c>
      <c r="C1458" s="39" t="s">
        <v>326</v>
      </c>
      <c r="D1458" s="39" t="s">
        <v>137</v>
      </c>
      <c r="E1458" s="39" t="n">
        <v>10</v>
      </c>
      <c r="F1458" s="39" t="str">
        <f aca="false">IF(COUNTIF(medicine_master!$A$2:$A$26,C1458)&gt;0,"Valid","Invalid")</f>
        <v>Valid</v>
      </c>
      <c r="G1458" s="39" t="str">
        <f aca="false">IFERROR(INDEX(medicine_master!$B$2:$B$26,MATCH($C1458,medicine_master!$A$2:$A$26,0)),"Not found")</f>
        <v>Omeprazole 20mg</v>
      </c>
      <c r="H1458" s="39" t="str">
        <f aca="false">IFERROR(INDEX(medicine_master!$C$2:$C$26,MATCH($C1458,medicine_master!$A$2:$A$26,0)),"Not found")</f>
        <v>Gastric</v>
      </c>
      <c r="I1458" s="39" t="n">
        <f aca="false">YEAR(B1458)</f>
        <v>2026</v>
      </c>
      <c r="J1458" s="39" t="n">
        <f aca="false">MONTH(B1458)</f>
        <v>1</v>
      </c>
      <c r="K1458" s="39" t="str">
        <f aca="false">TEXT(B1458,"mmm")</f>
        <v>Jan</v>
      </c>
      <c r="L1458" s="45" t="n">
        <f aca="false">IFERROR(INDEX(medicine_master!$I$2:$I$26,MATCH($C1458,medicine_master!$A$2:$A$26,0)),0)</f>
        <v>26</v>
      </c>
      <c r="M1458" s="45" t="n">
        <f aca="false">IFERROR(INDEX(medicine_master!$G$2:$G$26,MATCH($C1458,medicine_master!$A$2:$A$26,0)),0)</f>
        <v>18</v>
      </c>
      <c r="N1458" s="45" t="n">
        <f aca="false">IF(D1458="Sale",E1458*L1458,0)</f>
        <v>260</v>
      </c>
      <c r="O1458" s="45" t="n">
        <f aca="false">IF(D1458="Sale",E1458*M1458,0)</f>
        <v>180</v>
      </c>
      <c r="P1458" s="45" t="n">
        <f aca="false">N1458-O1458</f>
        <v>80</v>
      </c>
      <c r="Q1458" s="45" t="n">
        <f aca="false">IF(D1458="Purchase",E1458*M1458,0)</f>
        <v>0</v>
      </c>
    </row>
    <row r="1459" customFormat="false" ht="15" hidden="false" customHeight="false" outlineLevel="0" collapsed="false">
      <c r="A1459" s="39" t="s">
        <v>1783</v>
      </c>
      <c r="B1459" s="44" t="n">
        <v>46154</v>
      </c>
      <c r="C1459" s="39" t="s">
        <v>160</v>
      </c>
      <c r="D1459" s="39" t="s">
        <v>137</v>
      </c>
      <c r="E1459" s="39" t="n">
        <v>25</v>
      </c>
      <c r="F1459" s="39" t="str">
        <f aca="false">IF(COUNTIF(medicine_master!$A$2:$A$26,C1459)&gt;0,"Valid","Invalid")</f>
        <v>Valid</v>
      </c>
      <c r="G1459" s="39" t="str">
        <f aca="false">IFERROR(INDEX(medicine_master!$B$2:$B$26,MATCH($C1459,medicine_master!$A$2:$A$26,0)),"Not found")</f>
        <v>Calamine Lotion</v>
      </c>
      <c r="H1459" s="39" t="str">
        <f aca="false">IFERROR(INDEX(medicine_master!$C$2:$C$26,MATCH($C1459,medicine_master!$A$2:$A$26,0)),"Not found")</f>
        <v>Dermatology</v>
      </c>
      <c r="I1459" s="39" t="n">
        <f aca="false">YEAR(B1459)</f>
        <v>2026</v>
      </c>
      <c r="J1459" s="39" t="n">
        <f aca="false">MONTH(B1459)</f>
        <v>5</v>
      </c>
      <c r="K1459" s="39" t="str">
        <f aca="false">TEXT(B1459,"mmm")</f>
        <v>May</v>
      </c>
      <c r="L1459" s="45" t="n">
        <f aca="false">IFERROR(INDEX(medicine_master!$I$2:$I$26,MATCH($C1459,medicine_master!$A$2:$A$26,0)),0)</f>
        <v>60</v>
      </c>
      <c r="M1459" s="45" t="n">
        <f aca="false">IFERROR(INDEX(medicine_master!$G$2:$G$26,MATCH($C1459,medicine_master!$A$2:$A$26,0)),0)</f>
        <v>42</v>
      </c>
      <c r="N1459" s="45" t="n">
        <f aca="false">IF(D1459="Sale",E1459*L1459,0)</f>
        <v>1500</v>
      </c>
      <c r="O1459" s="45" t="n">
        <f aca="false">IF(D1459="Sale",E1459*M1459,0)</f>
        <v>1050</v>
      </c>
      <c r="P1459" s="45" t="n">
        <f aca="false">N1459-O1459</f>
        <v>450</v>
      </c>
      <c r="Q1459" s="45" t="n">
        <f aca="false">IF(D1459="Purchase",E1459*M1459,0)</f>
        <v>0</v>
      </c>
    </row>
    <row r="1460" customFormat="false" ht="15" hidden="false" customHeight="false" outlineLevel="0" collapsed="false">
      <c r="A1460" s="39" t="s">
        <v>1784</v>
      </c>
      <c r="B1460" s="44" t="n">
        <v>46069</v>
      </c>
      <c r="C1460" s="39" t="s">
        <v>495</v>
      </c>
      <c r="D1460" s="39" t="s">
        <v>138</v>
      </c>
      <c r="E1460" s="39" t="n">
        <v>15</v>
      </c>
      <c r="F1460" s="39" t="str">
        <f aca="false">IF(COUNTIF(medicine_master!$A$2:$A$26,C1460)&gt;0,"Valid","Invalid")</f>
        <v>Valid</v>
      </c>
      <c r="G1460" s="39" t="str">
        <f aca="false">IFERROR(INDEX(medicine_master!$B$2:$B$26,MATCH($C1460,medicine_master!$A$2:$A$26,0)),"Not found")</f>
        <v>Metformin 500mg</v>
      </c>
      <c r="H1460" s="39" t="str">
        <f aca="false">IFERROR(INDEX(medicine_master!$C$2:$C$26,MATCH($C1460,medicine_master!$A$2:$A$26,0)),"Not found")</f>
        <v>Diabetes</v>
      </c>
      <c r="I1460" s="39" t="n">
        <f aca="false">YEAR(B1460)</f>
        <v>2026</v>
      </c>
      <c r="J1460" s="39" t="n">
        <f aca="false">MONTH(B1460)</f>
        <v>2</v>
      </c>
      <c r="K1460" s="39" t="str">
        <f aca="false">TEXT(B1460,"mmm")</f>
        <v>Feb</v>
      </c>
      <c r="L1460" s="45" t="n">
        <f aca="false">IFERROR(INDEX(medicine_master!$I$2:$I$26,MATCH($C1460,medicine_master!$A$2:$A$26,0)),0)</f>
        <v>24</v>
      </c>
      <c r="M1460" s="45" t="n">
        <f aca="false">IFERROR(INDEX(medicine_master!$G$2:$G$26,MATCH($C1460,medicine_master!$A$2:$A$26,0)),0)</f>
        <v>16</v>
      </c>
      <c r="N1460" s="45" t="n">
        <f aca="false">IF(D1460="Sale",E1460*L1460,0)</f>
        <v>0</v>
      </c>
      <c r="O1460" s="45" t="n">
        <f aca="false">IF(D1460="Sale",E1460*M1460,0)</f>
        <v>0</v>
      </c>
      <c r="P1460" s="45" t="n">
        <f aca="false">N1460-O1460</f>
        <v>0</v>
      </c>
      <c r="Q1460" s="45" t="n">
        <f aca="false">IF(D1460="Purchase",E1460*M1460,0)</f>
        <v>240</v>
      </c>
    </row>
    <row r="1461" customFormat="false" ht="15" hidden="false" customHeight="false" outlineLevel="0" collapsed="false">
      <c r="A1461" s="39" t="s">
        <v>1785</v>
      </c>
      <c r="B1461" s="44" t="n">
        <v>46177</v>
      </c>
      <c r="C1461" s="39" t="s">
        <v>159</v>
      </c>
      <c r="D1461" s="39" t="s">
        <v>138</v>
      </c>
      <c r="E1461" s="39" t="n">
        <v>40</v>
      </c>
      <c r="F1461" s="39" t="str">
        <f aca="false">IF(COUNTIF(medicine_master!$A$2:$A$26,C1461)&gt;0,"Valid","Invalid")</f>
        <v>Valid</v>
      </c>
      <c r="G1461" s="39" t="str">
        <f aca="false">IFERROR(INDEX(medicine_master!$B$2:$B$26,MATCH($C1461,medicine_master!$A$2:$A$26,0)),"Not found")</f>
        <v>Antiseptic Liquid 100ml</v>
      </c>
      <c r="H1461" s="39" t="str">
        <f aca="false">IFERROR(INDEX(medicine_master!$C$2:$C$26,MATCH($C1461,medicine_master!$A$2:$A$26,0)),"Not found")</f>
        <v>First Aid</v>
      </c>
      <c r="I1461" s="39" t="n">
        <f aca="false">YEAR(B1461)</f>
        <v>2026</v>
      </c>
      <c r="J1461" s="39" t="n">
        <f aca="false">MONTH(B1461)</f>
        <v>6</v>
      </c>
      <c r="K1461" s="39" t="str">
        <f aca="false">TEXT(B1461,"mmm")</f>
        <v>Jun</v>
      </c>
      <c r="L1461" s="45" t="n">
        <f aca="false">IFERROR(INDEX(medicine_master!$I$2:$I$26,MATCH($C1461,medicine_master!$A$2:$A$26,0)),0)</f>
        <v>65</v>
      </c>
      <c r="M1461" s="45" t="n">
        <f aca="false">IFERROR(INDEX(medicine_master!$G$2:$G$26,MATCH($C1461,medicine_master!$A$2:$A$26,0)),0)</f>
        <v>48</v>
      </c>
      <c r="N1461" s="45" t="n">
        <f aca="false">IF(D1461="Sale",E1461*L1461,0)</f>
        <v>0</v>
      </c>
      <c r="O1461" s="45" t="n">
        <f aca="false">IF(D1461="Sale",E1461*M1461,0)</f>
        <v>0</v>
      </c>
      <c r="P1461" s="45" t="n">
        <f aca="false">N1461-O1461</f>
        <v>0</v>
      </c>
      <c r="Q1461" s="45" t="n">
        <f aca="false">IF(D1461="Purchase",E1461*M1461,0)</f>
        <v>1920</v>
      </c>
    </row>
    <row r="1462" customFormat="false" ht="15" hidden="false" customHeight="false" outlineLevel="0" collapsed="false">
      <c r="A1462" s="39" t="s">
        <v>1786</v>
      </c>
      <c r="B1462" s="44" t="n">
        <v>46368</v>
      </c>
      <c r="C1462" s="39" t="s">
        <v>146</v>
      </c>
      <c r="D1462" s="39" t="s">
        <v>137</v>
      </c>
      <c r="E1462" s="39" t="n">
        <v>25</v>
      </c>
      <c r="F1462" s="39" t="str">
        <f aca="false">IF(COUNTIF(medicine_master!$A$2:$A$26,C1462)&gt;0,"Valid","Invalid")</f>
        <v>Valid</v>
      </c>
      <c r="G1462" s="39" t="str">
        <f aca="false">IFERROR(INDEX(medicine_master!$B$2:$B$26,MATCH($C1462,medicine_master!$A$2:$A$26,0)),"Not found")</f>
        <v>Diclofenac Gel</v>
      </c>
      <c r="H1462" s="39" t="str">
        <f aca="false">IFERROR(INDEX(medicine_master!$C$2:$C$26,MATCH($C1462,medicine_master!$A$2:$A$26,0)),"Not found")</f>
        <v>Pain Relief</v>
      </c>
      <c r="I1462" s="39" t="n">
        <f aca="false">YEAR(B1462)</f>
        <v>2026</v>
      </c>
      <c r="J1462" s="39" t="n">
        <f aca="false">MONTH(B1462)</f>
        <v>12</v>
      </c>
      <c r="K1462" s="39" t="str">
        <f aca="false">TEXT(B1462,"mmm")</f>
        <v>Dec</v>
      </c>
      <c r="L1462" s="45" t="n">
        <f aca="false">IFERROR(INDEX(medicine_master!$I$2:$I$26,MATCH($C1462,medicine_master!$A$2:$A$26,0)),0)</f>
        <v>55</v>
      </c>
      <c r="M1462" s="45" t="n">
        <f aca="false">IFERROR(INDEX(medicine_master!$G$2:$G$26,MATCH($C1462,medicine_master!$A$2:$A$26,0)),0)</f>
        <v>38</v>
      </c>
      <c r="N1462" s="45" t="n">
        <f aca="false">IF(D1462="Sale",E1462*L1462,0)</f>
        <v>1375</v>
      </c>
      <c r="O1462" s="45" t="n">
        <f aca="false">IF(D1462="Sale",E1462*M1462,0)</f>
        <v>950</v>
      </c>
      <c r="P1462" s="45" t="n">
        <f aca="false">N1462-O1462</f>
        <v>425</v>
      </c>
      <c r="Q1462" s="45" t="n">
        <f aca="false">IF(D1462="Purchase",E1462*M1462,0)</f>
        <v>0</v>
      </c>
    </row>
    <row r="1463" customFormat="false" ht="15" hidden="false" customHeight="false" outlineLevel="0" collapsed="false">
      <c r="A1463" s="39" t="s">
        <v>1787</v>
      </c>
      <c r="B1463" s="44" t="n">
        <v>46196</v>
      </c>
      <c r="C1463" s="39" t="s">
        <v>145</v>
      </c>
      <c r="D1463" s="39" t="s">
        <v>137</v>
      </c>
      <c r="E1463" s="39" t="n">
        <v>20</v>
      </c>
      <c r="F1463" s="39" t="str">
        <f aca="false">IF(COUNTIF(medicine_master!$A$2:$A$26,C1463)&gt;0,"Valid","Invalid")</f>
        <v>Valid</v>
      </c>
      <c r="G1463" s="39" t="str">
        <f aca="false">IFERROR(INDEX(medicine_master!$B$2:$B$26,MATCH($C1463,medicine_master!$A$2:$A$26,0)),"Not found")</f>
        <v>Clotrimazole Cream</v>
      </c>
      <c r="H1463" s="39" t="str">
        <f aca="false">IFERROR(INDEX(medicine_master!$C$2:$C$26,MATCH($C1463,medicine_master!$A$2:$A$26,0)),"Not found")</f>
        <v>Dermatology</v>
      </c>
      <c r="I1463" s="39" t="n">
        <f aca="false">YEAR(B1463)</f>
        <v>2026</v>
      </c>
      <c r="J1463" s="39" t="n">
        <f aca="false">MONTH(B1463)</f>
        <v>6</v>
      </c>
      <c r="K1463" s="39" t="str">
        <f aca="false">TEXT(B1463,"mmm")</f>
        <v>Jun</v>
      </c>
      <c r="L1463" s="45" t="n">
        <f aca="false">IFERROR(INDEX(medicine_master!$I$2:$I$26,MATCH($C1463,medicine_master!$A$2:$A$26,0)),0)</f>
        <v>48</v>
      </c>
      <c r="M1463" s="45" t="n">
        <f aca="false">IFERROR(INDEX(medicine_master!$G$2:$G$26,MATCH($C1463,medicine_master!$A$2:$A$26,0)),0)</f>
        <v>32</v>
      </c>
      <c r="N1463" s="45" t="n">
        <f aca="false">IF(D1463="Sale",E1463*L1463,0)</f>
        <v>960</v>
      </c>
      <c r="O1463" s="45" t="n">
        <f aca="false">IF(D1463="Sale",E1463*M1463,0)</f>
        <v>640</v>
      </c>
      <c r="P1463" s="45" t="n">
        <f aca="false">N1463-O1463</f>
        <v>320</v>
      </c>
      <c r="Q1463" s="45" t="n">
        <f aca="false">IF(D1463="Purchase",E1463*M1463,0)</f>
        <v>0</v>
      </c>
    </row>
    <row r="1464" customFormat="false" ht="15" hidden="false" customHeight="false" outlineLevel="0" collapsed="false">
      <c r="A1464" s="39" t="s">
        <v>1788</v>
      </c>
      <c r="B1464" s="44" t="n">
        <v>46320</v>
      </c>
      <c r="C1464" s="39" t="s">
        <v>404</v>
      </c>
      <c r="D1464" s="39" t="s">
        <v>137</v>
      </c>
      <c r="E1464" s="39" t="n">
        <v>30</v>
      </c>
      <c r="F1464" s="39" t="str">
        <f aca="false">IF(COUNTIF(medicine_master!$A$2:$A$26,C1464)&gt;0,"Valid","Invalid")</f>
        <v>Valid</v>
      </c>
      <c r="G1464" s="39" t="str">
        <f aca="false">IFERROR(INDEX(medicine_master!$B$2:$B$26,MATCH($C1464,medicine_master!$A$2:$A$26,0)),"Not found")</f>
        <v>ORS Sachet</v>
      </c>
      <c r="H1464" s="39" t="str">
        <f aca="false">IFERROR(INDEX(medicine_master!$C$2:$C$26,MATCH($C1464,medicine_master!$A$2:$A$26,0)),"Not found")</f>
        <v>First Aid</v>
      </c>
      <c r="I1464" s="39" t="n">
        <f aca="false">YEAR(B1464)</f>
        <v>2026</v>
      </c>
      <c r="J1464" s="39" t="n">
        <f aca="false">MONTH(B1464)</f>
        <v>10</v>
      </c>
      <c r="K1464" s="39" t="str">
        <f aca="false">TEXT(B1464,"mmm")</f>
        <v>Oct</v>
      </c>
      <c r="L1464" s="45" t="n">
        <f aca="false">IFERROR(INDEX(medicine_master!$I$2:$I$26,MATCH($C1464,medicine_master!$A$2:$A$26,0)),0)</f>
        <v>10</v>
      </c>
      <c r="M1464" s="45" t="n">
        <f aca="false">IFERROR(INDEX(medicine_master!$G$2:$G$26,MATCH($C1464,medicine_master!$A$2:$A$26,0)),0)</f>
        <v>6</v>
      </c>
      <c r="N1464" s="45" t="n">
        <f aca="false">IF(D1464="Sale",E1464*L1464,0)</f>
        <v>300</v>
      </c>
      <c r="O1464" s="45" t="n">
        <f aca="false">IF(D1464="Sale",E1464*M1464,0)</f>
        <v>180</v>
      </c>
      <c r="P1464" s="45" t="n">
        <f aca="false">N1464-O1464</f>
        <v>120</v>
      </c>
      <c r="Q1464" s="45" t="n">
        <f aca="false">IF(D1464="Purchase",E1464*M1464,0)</f>
        <v>0</v>
      </c>
    </row>
    <row r="1465" customFormat="false" ht="15" hidden="false" customHeight="false" outlineLevel="0" collapsed="false">
      <c r="A1465" s="39" t="s">
        <v>1789</v>
      </c>
      <c r="B1465" s="44" t="n">
        <v>46199</v>
      </c>
      <c r="C1465" s="39" t="s">
        <v>147</v>
      </c>
      <c r="D1465" s="39" t="s">
        <v>138</v>
      </c>
      <c r="E1465" s="39" t="n">
        <v>20</v>
      </c>
      <c r="F1465" s="39" t="str">
        <f aca="false">IF(COUNTIF(medicine_master!$A$2:$A$26,C1465)&gt;0,"Valid","Invalid")</f>
        <v>Valid</v>
      </c>
      <c r="G1465" s="39" t="str">
        <f aca="false">IFERROR(INDEX(medicine_master!$B$2:$B$26,MATCH($C1465,medicine_master!$A$2:$A$26,0)),"Not found")</f>
        <v>Insulin Injection</v>
      </c>
      <c r="H1465" s="39" t="str">
        <f aca="false">IFERROR(INDEX(medicine_master!$C$2:$C$26,MATCH($C1465,medicine_master!$A$2:$A$26,0)),"Not found")</f>
        <v>Diabetes</v>
      </c>
      <c r="I1465" s="39" t="n">
        <f aca="false">YEAR(B1465)</f>
        <v>2026</v>
      </c>
      <c r="J1465" s="39" t="n">
        <f aca="false">MONTH(B1465)</f>
        <v>6</v>
      </c>
      <c r="K1465" s="39" t="str">
        <f aca="false">TEXT(B1465,"mmm")</f>
        <v>Jun</v>
      </c>
      <c r="L1465" s="45" t="n">
        <f aca="false">IFERROR(INDEX(medicine_master!$I$2:$I$26,MATCH($C1465,medicine_master!$A$2:$A$26,0)),0)</f>
        <v>225</v>
      </c>
      <c r="M1465" s="45" t="n">
        <f aca="false">IFERROR(INDEX(medicine_master!$G$2:$G$26,MATCH($C1465,medicine_master!$A$2:$A$26,0)),0)</f>
        <v>165</v>
      </c>
      <c r="N1465" s="45" t="n">
        <f aca="false">IF(D1465="Sale",E1465*L1465,0)</f>
        <v>0</v>
      </c>
      <c r="O1465" s="45" t="n">
        <f aca="false">IF(D1465="Sale",E1465*M1465,0)</f>
        <v>0</v>
      </c>
      <c r="P1465" s="45" t="n">
        <f aca="false">N1465-O1465</f>
        <v>0</v>
      </c>
      <c r="Q1465" s="45" t="n">
        <f aca="false">IF(D1465="Purchase",E1465*M1465,0)</f>
        <v>3300</v>
      </c>
    </row>
    <row r="1466" customFormat="false" ht="15" hidden="false" customHeight="false" outlineLevel="0" collapsed="false">
      <c r="A1466" s="39" t="s">
        <v>1790</v>
      </c>
      <c r="B1466" s="44" t="n">
        <v>46077</v>
      </c>
      <c r="C1466" s="39" t="s">
        <v>151</v>
      </c>
      <c r="D1466" s="39" t="s">
        <v>137</v>
      </c>
      <c r="E1466" s="39" t="n">
        <v>30</v>
      </c>
      <c r="F1466" s="39" t="str">
        <f aca="false">IF(COUNTIF(medicine_master!$A$2:$A$26,C1466)&gt;0,"Valid","Invalid")</f>
        <v>Valid</v>
      </c>
      <c r="G1466" s="39" t="str">
        <f aca="false">IFERROR(INDEX(medicine_master!$B$2:$B$26,MATCH($C1466,medicine_master!$A$2:$A$26,0)),"Not found")</f>
        <v>Cetirizine 10mg</v>
      </c>
      <c r="H1466" s="39" t="str">
        <f aca="false">IFERROR(INDEX(medicine_master!$C$2:$C$26,MATCH($C1466,medicine_master!$A$2:$A$26,0)),"Not found")</f>
        <v>Allergy</v>
      </c>
      <c r="I1466" s="39" t="n">
        <f aca="false">YEAR(B1466)</f>
        <v>2026</v>
      </c>
      <c r="J1466" s="39" t="n">
        <f aca="false">MONTH(B1466)</f>
        <v>2</v>
      </c>
      <c r="K1466" s="39" t="str">
        <f aca="false">TEXT(B1466,"mmm")</f>
        <v>Feb</v>
      </c>
      <c r="L1466" s="45" t="n">
        <f aca="false">IFERROR(INDEX(medicine_master!$I$2:$I$26,MATCH($C1466,medicine_master!$A$2:$A$26,0)),0)</f>
        <v>13</v>
      </c>
      <c r="M1466" s="45" t="n">
        <f aca="false">IFERROR(INDEX(medicine_master!$G$2:$G$26,MATCH($C1466,medicine_master!$A$2:$A$26,0)),0)</f>
        <v>8</v>
      </c>
      <c r="N1466" s="45" t="n">
        <f aca="false">IF(D1466="Sale",E1466*L1466,0)</f>
        <v>390</v>
      </c>
      <c r="O1466" s="45" t="n">
        <f aca="false">IF(D1466="Sale",E1466*M1466,0)</f>
        <v>240</v>
      </c>
      <c r="P1466" s="45" t="n">
        <f aca="false">N1466-O1466</f>
        <v>150</v>
      </c>
      <c r="Q1466" s="45" t="n">
        <f aca="false">IF(D1466="Purchase",E1466*M1466,0)</f>
        <v>0</v>
      </c>
    </row>
    <row r="1467" customFormat="false" ht="15" hidden="false" customHeight="false" outlineLevel="0" collapsed="false">
      <c r="A1467" s="39" t="s">
        <v>1791</v>
      </c>
      <c r="B1467" s="44" t="n">
        <v>46140</v>
      </c>
      <c r="C1467" s="39" t="s">
        <v>180</v>
      </c>
      <c r="D1467" s="39" t="s">
        <v>138</v>
      </c>
      <c r="E1467" s="39" t="n">
        <v>25</v>
      </c>
      <c r="F1467" s="39" t="str">
        <f aca="false">IF(COUNTIF(medicine_master!$A$2:$A$26,C1467)&gt;0,"Valid","Invalid")</f>
        <v>Valid</v>
      </c>
      <c r="G1467" s="39" t="str">
        <f aca="false">IFERROR(INDEX(medicine_master!$B$2:$B$26,MATCH($C1467,medicine_master!$A$2:$A$26,0)),"Not found")</f>
        <v>Vitamin C 500mg</v>
      </c>
      <c r="H1467" s="39" t="str">
        <f aca="false">IFERROR(INDEX(medicine_master!$C$2:$C$26,MATCH($C1467,medicine_master!$A$2:$A$26,0)),"Not found")</f>
        <v>Vitamin</v>
      </c>
      <c r="I1467" s="39" t="n">
        <f aca="false">YEAR(B1467)</f>
        <v>2026</v>
      </c>
      <c r="J1467" s="39" t="n">
        <f aca="false">MONTH(B1467)</f>
        <v>4</v>
      </c>
      <c r="K1467" s="39" t="str">
        <f aca="false">TEXT(B1467,"mmm")</f>
        <v>Apr</v>
      </c>
      <c r="L1467" s="45" t="n">
        <f aca="false">IFERROR(INDEX(medicine_master!$I$2:$I$26,MATCH($C1467,medicine_master!$A$2:$A$26,0)),0)</f>
        <v>22</v>
      </c>
      <c r="M1467" s="45" t="n">
        <f aca="false">IFERROR(INDEX(medicine_master!$G$2:$G$26,MATCH($C1467,medicine_master!$A$2:$A$26,0)),0)</f>
        <v>14</v>
      </c>
      <c r="N1467" s="45" t="n">
        <f aca="false">IF(D1467="Sale",E1467*L1467,0)</f>
        <v>0</v>
      </c>
      <c r="O1467" s="45" t="n">
        <f aca="false">IF(D1467="Sale",E1467*M1467,0)</f>
        <v>0</v>
      </c>
      <c r="P1467" s="45" t="n">
        <f aca="false">N1467-O1467</f>
        <v>0</v>
      </c>
      <c r="Q1467" s="45" t="n">
        <f aca="false">IF(D1467="Purchase",E1467*M1467,0)</f>
        <v>350</v>
      </c>
    </row>
    <row r="1468" customFormat="false" ht="15" hidden="false" customHeight="false" outlineLevel="0" collapsed="false">
      <c r="A1468" s="39" t="s">
        <v>1792</v>
      </c>
      <c r="B1468" s="44" t="n">
        <v>46211</v>
      </c>
      <c r="C1468" s="39" t="s">
        <v>321</v>
      </c>
      <c r="D1468" s="39" t="s">
        <v>137</v>
      </c>
      <c r="E1468" s="39" t="n">
        <v>5</v>
      </c>
      <c r="F1468" s="39" t="str">
        <f aca="false">IF(COUNTIF(medicine_master!$A$2:$A$26,C1468)&gt;0,"Valid","Invalid")</f>
        <v>Valid</v>
      </c>
      <c r="G1468" s="39" t="str">
        <f aca="false">IFERROR(INDEX(medicine_master!$B$2:$B$26,MATCH($C1468,medicine_master!$A$2:$A$26,0)),"Not found")</f>
        <v>Levocetirizine 5mg</v>
      </c>
      <c r="H1468" s="39" t="str">
        <f aca="false">IFERROR(INDEX(medicine_master!$C$2:$C$26,MATCH($C1468,medicine_master!$A$2:$A$26,0)),"Not found")</f>
        <v>Allergy</v>
      </c>
      <c r="I1468" s="39" t="n">
        <f aca="false">YEAR(B1468)</f>
        <v>2026</v>
      </c>
      <c r="J1468" s="39" t="n">
        <f aca="false">MONTH(B1468)</f>
        <v>7</v>
      </c>
      <c r="K1468" s="39" t="str">
        <f aca="false">TEXT(B1468,"mmm")</f>
        <v>Jul</v>
      </c>
      <c r="L1468" s="45" t="n">
        <f aca="false">IFERROR(INDEX(medicine_master!$I$2:$I$26,MATCH($C1468,medicine_master!$A$2:$A$26,0)),0)</f>
        <v>22</v>
      </c>
      <c r="M1468" s="45" t="n">
        <f aca="false">IFERROR(INDEX(medicine_master!$G$2:$G$26,MATCH($C1468,medicine_master!$A$2:$A$26,0)),0)</f>
        <v>14</v>
      </c>
      <c r="N1468" s="45" t="n">
        <f aca="false">IF(D1468="Sale",E1468*L1468,0)</f>
        <v>110</v>
      </c>
      <c r="O1468" s="45" t="n">
        <f aca="false">IF(D1468="Sale",E1468*M1468,0)</f>
        <v>70</v>
      </c>
      <c r="P1468" s="45" t="n">
        <f aca="false">N1468-O1468</f>
        <v>40</v>
      </c>
      <c r="Q1468" s="45" t="n">
        <f aca="false">IF(D1468="Purchase",E1468*M1468,0)</f>
        <v>0</v>
      </c>
    </row>
    <row r="1469" customFormat="false" ht="15" hidden="false" customHeight="false" outlineLevel="0" collapsed="false">
      <c r="A1469" s="39" t="s">
        <v>1793</v>
      </c>
      <c r="B1469" s="44" t="n">
        <v>46288</v>
      </c>
      <c r="C1469" s="39" t="s">
        <v>321</v>
      </c>
      <c r="D1469" s="39" t="s">
        <v>137</v>
      </c>
      <c r="E1469" s="39" t="n">
        <v>20</v>
      </c>
      <c r="F1469" s="39" t="str">
        <f aca="false">IF(COUNTIF(medicine_master!$A$2:$A$26,C1469)&gt;0,"Valid","Invalid")</f>
        <v>Valid</v>
      </c>
      <c r="G1469" s="39" t="str">
        <f aca="false">IFERROR(INDEX(medicine_master!$B$2:$B$26,MATCH($C1469,medicine_master!$A$2:$A$26,0)),"Not found")</f>
        <v>Levocetirizine 5mg</v>
      </c>
      <c r="H1469" s="39" t="str">
        <f aca="false">IFERROR(INDEX(medicine_master!$C$2:$C$26,MATCH($C1469,medicine_master!$A$2:$A$26,0)),"Not found")</f>
        <v>Allergy</v>
      </c>
      <c r="I1469" s="39" t="n">
        <f aca="false">YEAR(B1469)</f>
        <v>2026</v>
      </c>
      <c r="J1469" s="39" t="n">
        <f aca="false">MONTH(B1469)</f>
        <v>9</v>
      </c>
      <c r="K1469" s="39" t="str">
        <f aca="false">TEXT(B1469,"mmm")</f>
        <v>Sep</v>
      </c>
      <c r="L1469" s="45" t="n">
        <f aca="false">IFERROR(INDEX(medicine_master!$I$2:$I$26,MATCH($C1469,medicine_master!$A$2:$A$26,0)),0)</f>
        <v>22</v>
      </c>
      <c r="M1469" s="45" t="n">
        <f aca="false">IFERROR(INDEX(medicine_master!$G$2:$G$26,MATCH($C1469,medicine_master!$A$2:$A$26,0)),0)</f>
        <v>14</v>
      </c>
      <c r="N1469" s="45" t="n">
        <f aca="false">IF(D1469="Sale",E1469*L1469,0)</f>
        <v>440</v>
      </c>
      <c r="O1469" s="45" t="n">
        <f aca="false">IF(D1469="Sale",E1469*M1469,0)</f>
        <v>280</v>
      </c>
      <c r="P1469" s="45" t="n">
        <f aca="false">N1469-O1469</f>
        <v>160</v>
      </c>
      <c r="Q1469" s="45" t="n">
        <f aca="false">IF(D1469="Purchase",E1469*M1469,0)</f>
        <v>0</v>
      </c>
    </row>
    <row r="1470" customFormat="false" ht="15" hidden="false" customHeight="false" outlineLevel="0" collapsed="false">
      <c r="A1470" s="39" t="s">
        <v>1794</v>
      </c>
      <c r="B1470" s="44" t="n">
        <v>46179</v>
      </c>
      <c r="C1470" s="39" t="s">
        <v>180</v>
      </c>
      <c r="D1470" s="39" t="s">
        <v>138</v>
      </c>
      <c r="E1470" s="39" t="n">
        <v>25</v>
      </c>
      <c r="F1470" s="39" t="str">
        <f aca="false">IF(COUNTIF(medicine_master!$A$2:$A$26,C1470)&gt;0,"Valid","Invalid")</f>
        <v>Valid</v>
      </c>
      <c r="G1470" s="39" t="str">
        <f aca="false">IFERROR(INDEX(medicine_master!$B$2:$B$26,MATCH($C1470,medicine_master!$A$2:$A$26,0)),"Not found")</f>
        <v>Vitamin C 500mg</v>
      </c>
      <c r="H1470" s="39" t="str">
        <f aca="false">IFERROR(INDEX(medicine_master!$C$2:$C$26,MATCH($C1470,medicine_master!$A$2:$A$26,0)),"Not found")</f>
        <v>Vitamin</v>
      </c>
      <c r="I1470" s="39" t="n">
        <f aca="false">YEAR(B1470)</f>
        <v>2026</v>
      </c>
      <c r="J1470" s="39" t="n">
        <f aca="false">MONTH(B1470)</f>
        <v>6</v>
      </c>
      <c r="K1470" s="39" t="str">
        <f aca="false">TEXT(B1470,"mmm")</f>
        <v>Jun</v>
      </c>
      <c r="L1470" s="45" t="n">
        <f aca="false">IFERROR(INDEX(medicine_master!$I$2:$I$26,MATCH($C1470,medicine_master!$A$2:$A$26,0)),0)</f>
        <v>22</v>
      </c>
      <c r="M1470" s="45" t="n">
        <f aca="false">IFERROR(INDEX(medicine_master!$G$2:$G$26,MATCH($C1470,medicine_master!$A$2:$A$26,0)),0)</f>
        <v>14</v>
      </c>
      <c r="N1470" s="45" t="n">
        <f aca="false">IF(D1470="Sale",E1470*L1470,0)</f>
        <v>0</v>
      </c>
      <c r="O1470" s="45" t="n">
        <f aca="false">IF(D1470="Sale",E1470*M1470,0)</f>
        <v>0</v>
      </c>
      <c r="P1470" s="45" t="n">
        <f aca="false">N1470-O1470</f>
        <v>0</v>
      </c>
      <c r="Q1470" s="45" t="n">
        <f aca="false">IF(D1470="Purchase",E1470*M1470,0)</f>
        <v>350</v>
      </c>
    </row>
    <row r="1471" customFormat="false" ht="15" hidden="false" customHeight="false" outlineLevel="0" collapsed="false">
      <c r="A1471" s="39" t="s">
        <v>1795</v>
      </c>
      <c r="B1471" s="44" t="n">
        <v>46358</v>
      </c>
      <c r="C1471" s="39" t="s">
        <v>180</v>
      </c>
      <c r="D1471" s="39" t="s">
        <v>137</v>
      </c>
      <c r="E1471" s="39" t="n">
        <v>25</v>
      </c>
      <c r="F1471" s="39" t="str">
        <f aca="false">IF(COUNTIF(medicine_master!$A$2:$A$26,C1471)&gt;0,"Valid","Invalid")</f>
        <v>Valid</v>
      </c>
      <c r="G1471" s="39" t="str">
        <f aca="false">IFERROR(INDEX(medicine_master!$B$2:$B$26,MATCH($C1471,medicine_master!$A$2:$A$26,0)),"Not found")</f>
        <v>Vitamin C 500mg</v>
      </c>
      <c r="H1471" s="39" t="str">
        <f aca="false">IFERROR(INDEX(medicine_master!$C$2:$C$26,MATCH($C1471,medicine_master!$A$2:$A$26,0)),"Not found")</f>
        <v>Vitamin</v>
      </c>
      <c r="I1471" s="39" t="n">
        <f aca="false">YEAR(B1471)</f>
        <v>2026</v>
      </c>
      <c r="J1471" s="39" t="n">
        <f aca="false">MONTH(B1471)</f>
        <v>12</v>
      </c>
      <c r="K1471" s="39" t="str">
        <f aca="false">TEXT(B1471,"mmm")</f>
        <v>Dec</v>
      </c>
      <c r="L1471" s="45" t="n">
        <f aca="false">IFERROR(INDEX(medicine_master!$I$2:$I$26,MATCH($C1471,medicine_master!$A$2:$A$26,0)),0)</f>
        <v>22</v>
      </c>
      <c r="M1471" s="45" t="n">
        <f aca="false">IFERROR(INDEX(medicine_master!$G$2:$G$26,MATCH($C1471,medicine_master!$A$2:$A$26,0)),0)</f>
        <v>14</v>
      </c>
      <c r="N1471" s="45" t="n">
        <f aca="false">IF(D1471="Sale",E1471*L1471,0)</f>
        <v>550</v>
      </c>
      <c r="O1471" s="45" t="n">
        <f aca="false">IF(D1471="Sale",E1471*M1471,0)</f>
        <v>350</v>
      </c>
      <c r="P1471" s="45" t="n">
        <f aca="false">N1471-O1471</f>
        <v>200</v>
      </c>
      <c r="Q1471" s="45" t="n">
        <f aca="false">IF(D1471="Purchase",E1471*M1471,0)</f>
        <v>0</v>
      </c>
    </row>
    <row r="1472" customFormat="false" ht="15" hidden="false" customHeight="false" outlineLevel="0" collapsed="false">
      <c r="A1472" s="39" t="s">
        <v>1796</v>
      </c>
      <c r="B1472" s="44" t="n">
        <v>46112</v>
      </c>
      <c r="C1472" s="39" t="s">
        <v>153</v>
      </c>
      <c r="D1472" s="39" t="s">
        <v>138</v>
      </c>
      <c r="E1472" s="39" t="n">
        <v>30</v>
      </c>
      <c r="F1472" s="39" t="str">
        <f aca="false">IF(COUNTIF(medicine_master!$A$2:$A$26,C1472)&gt;0,"Valid","Invalid")</f>
        <v>Valid</v>
      </c>
      <c r="G1472" s="39" t="str">
        <f aca="false">IFERROR(INDEX(medicine_master!$B$2:$B$26,MATCH($C1472,medicine_master!$A$2:$A$26,0)),"Not found")</f>
        <v>Atorvastatin 10mg</v>
      </c>
      <c r="H1472" s="39" t="str">
        <f aca="false">IFERROR(INDEX(medicine_master!$C$2:$C$26,MATCH($C1472,medicine_master!$A$2:$A$26,0)),"Not found")</f>
        <v>Cardiac</v>
      </c>
      <c r="I1472" s="39" t="n">
        <f aca="false">YEAR(B1472)</f>
        <v>2026</v>
      </c>
      <c r="J1472" s="39" t="n">
        <f aca="false">MONTH(B1472)</f>
        <v>3</v>
      </c>
      <c r="K1472" s="39" t="str">
        <f aca="false">TEXT(B1472,"mmm")</f>
        <v>Mar</v>
      </c>
      <c r="L1472" s="45" t="n">
        <f aca="false">IFERROR(INDEX(medicine_master!$I$2:$I$26,MATCH($C1472,medicine_master!$A$2:$A$26,0)),0)</f>
        <v>28</v>
      </c>
      <c r="M1472" s="45" t="n">
        <f aca="false">IFERROR(INDEX(medicine_master!$G$2:$G$26,MATCH($C1472,medicine_master!$A$2:$A$26,0)),0)</f>
        <v>19</v>
      </c>
      <c r="N1472" s="45" t="n">
        <f aca="false">IF(D1472="Sale",E1472*L1472,0)</f>
        <v>0</v>
      </c>
      <c r="O1472" s="45" t="n">
        <f aca="false">IF(D1472="Sale",E1472*M1472,0)</f>
        <v>0</v>
      </c>
      <c r="P1472" s="45" t="n">
        <f aca="false">N1472-O1472</f>
        <v>0</v>
      </c>
      <c r="Q1472" s="45" t="n">
        <f aca="false">IF(D1472="Purchase",E1472*M1472,0)</f>
        <v>570</v>
      </c>
    </row>
    <row r="1473" customFormat="false" ht="15" hidden="false" customHeight="false" outlineLevel="0" collapsed="false">
      <c r="A1473" s="39" t="s">
        <v>1797</v>
      </c>
      <c r="B1473" s="44" t="n">
        <v>46323</v>
      </c>
      <c r="C1473" s="39" t="s">
        <v>146</v>
      </c>
      <c r="D1473" s="39" t="s">
        <v>138</v>
      </c>
      <c r="E1473" s="39" t="n">
        <v>50</v>
      </c>
      <c r="F1473" s="39" t="str">
        <f aca="false">IF(COUNTIF(medicine_master!$A$2:$A$26,C1473)&gt;0,"Valid","Invalid")</f>
        <v>Valid</v>
      </c>
      <c r="G1473" s="39" t="str">
        <f aca="false">IFERROR(INDEX(medicine_master!$B$2:$B$26,MATCH($C1473,medicine_master!$A$2:$A$26,0)),"Not found")</f>
        <v>Diclofenac Gel</v>
      </c>
      <c r="H1473" s="39" t="str">
        <f aca="false">IFERROR(INDEX(medicine_master!$C$2:$C$26,MATCH($C1473,medicine_master!$A$2:$A$26,0)),"Not found")</f>
        <v>Pain Relief</v>
      </c>
      <c r="I1473" s="39" t="n">
        <f aca="false">YEAR(B1473)</f>
        <v>2026</v>
      </c>
      <c r="J1473" s="39" t="n">
        <f aca="false">MONTH(B1473)</f>
        <v>10</v>
      </c>
      <c r="K1473" s="39" t="str">
        <f aca="false">TEXT(B1473,"mmm")</f>
        <v>Oct</v>
      </c>
      <c r="L1473" s="45" t="n">
        <f aca="false">IFERROR(INDEX(medicine_master!$I$2:$I$26,MATCH($C1473,medicine_master!$A$2:$A$26,0)),0)</f>
        <v>55</v>
      </c>
      <c r="M1473" s="45" t="n">
        <f aca="false">IFERROR(INDEX(medicine_master!$G$2:$G$26,MATCH($C1473,medicine_master!$A$2:$A$26,0)),0)</f>
        <v>38</v>
      </c>
      <c r="N1473" s="45" t="n">
        <f aca="false">IF(D1473="Sale",E1473*L1473,0)</f>
        <v>0</v>
      </c>
      <c r="O1473" s="45" t="n">
        <f aca="false">IF(D1473="Sale",E1473*M1473,0)</f>
        <v>0</v>
      </c>
      <c r="P1473" s="45" t="n">
        <f aca="false">N1473-O1473</f>
        <v>0</v>
      </c>
      <c r="Q1473" s="45" t="n">
        <f aca="false">IF(D1473="Purchase",E1473*M1473,0)</f>
        <v>1900</v>
      </c>
    </row>
    <row r="1474" customFormat="false" ht="15" hidden="false" customHeight="false" outlineLevel="0" collapsed="false">
      <c r="A1474" s="39" t="s">
        <v>1798</v>
      </c>
      <c r="B1474" s="44" t="n">
        <v>46275</v>
      </c>
      <c r="C1474" s="39" t="s">
        <v>495</v>
      </c>
      <c r="D1474" s="39" t="s">
        <v>137</v>
      </c>
      <c r="E1474" s="39" t="n">
        <v>30</v>
      </c>
      <c r="F1474" s="39" t="str">
        <f aca="false">IF(COUNTIF(medicine_master!$A$2:$A$26,C1474)&gt;0,"Valid","Invalid")</f>
        <v>Valid</v>
      </c>
      <c r="G1474" s="39" t="str">
        <f aca="false">IFERROR(INDEX(medicine_master!$B$2:$B$26,MATCH($C1474,medicine_master!$A$2:$A$26,0)),"Not found")</f>
        <v>Metformin 500mg</v>
      </c>
      <c r="H1474" s="39" t="str">
        <f aca="false">IFERROR(INDEX(medicine_master!$C$2:$C$26,MATCH($C1474,medicine_master!$A$2:$A$26,0)),"Not found")</f>
        <v>Diabetes</v>
      </c>
      <c r="I1474" s="39" t="n">
        <f aca="false">YEAR(B1474)</f>
        <v>2026</v>
      </c>
      <c r="J1474" s="39" t="n">
        <f aca="false">MONTH(B1474)</f>
        <v>9</v>
      </c>
      <c r="K1474" s="39" t="str">
        <f aca="false">TEXT(B1474,"mmm")</f>
        <v>Sep</v>
      </c>
      <c r="L1474" s="45" t="n">
        <f aca="false">IFERROR(INDEX(medicine_master!$I$2:$I$26,MATCH($C1474,medicine_master!$A$2:$A$26,0)),0)</f>
        <v>24</v>
      </c>
      <c r="M1474" s="45" t="n">
        <f aca="false">IFERROR(INDEX(medicine_master!$G$2:$G$26,MATCH($C1474,medicine_master!$A$2:$A$26,0)),0)</f>
        <v>16</v>
      </c>
      <c r="N1474" s="45" t="n">
        <f aca="false">IF(D1474="Sale",E1474*L1474,0)</f>
        <v>720</v>
      </c>
      <c r="O1474" s="45" t="n">
        <f aca="false">IF(D1474="Sale",E1474*M1474,0)</f>
        <v>480</v>
      </c>
      <c r="P1474" s="45" t="n">
        <f aca="false">N1474-O1474</f>
        <v>240</v>
      </c>
      <c r="Q1474" s="45" t="n">
        <f aca="false">IF(D1474="Purchase",E1474*M1474,0)</f>
        <v>0</v>
      </c>
    </row>
    <row r="1475" customFormat="false" ht="15" hidden="false" customHeight="false" outlineLevel="0" collapsed="false">
      <c r="A1475" s="39" t="s">
        <v>1799</v>
      </c>
      <c r="B1475" s="44" t="n">
        <v>46071</v>
      </c>
      <c r="C1475" s="39" t="s">
        <v>144</v>
      </c>
      <c r="D1475" s="39" t="s">
        <v>137</v>
      </c>
      <c r="E1475" s="39" t="n">
        <v>20</v>
      </c>
      <c r="F1475" s="39" t="str">
        <f aca="false">IF(COUNTIF(medicine_master!$A$2:$A$26,C1475)&gt;0,"Valid","Invalid")</f>
        <v>Valid</v>
      </c>
      <c r="G1475" s="39" t="str">
        <f aca="false">IFERROR(INDEX(medicine_master!$B$2:$B$26,MATCH($C1475,medicine_master!$A$2:$A$26,0)),"Not found")</f>
        <v>Glimepiride 2mg</v>
      </c>
      <c r="H1475" s="39" t="str">
        <f aca="false">IFERROR(INDEX(medicine_master!$C$2:$C$26,MATCH($C1475,medicine_master!$A$2:$A$26,0)),"Not found")</f>
        <v>Diabetes</v>
      </c>
      <c r="I1475" s="39" t="n">
        <f aca="false">YEAR(B1475)</f>
        <v>2026</v>
      </c>
      <c r="J1475" s="39" t="n">
        <f aca="false">MONTH(B1475)</f>
        <v>2</v>
      </c>
      <c r="K1475" s="39" t="str">
        <f aca="false">TEXT(B1475,"mmm")</f>
        <v>Feb</v>
      </c>
      <c r="L1475" s="45" t="n">
        <f aca="false">IFERROR(INDEX(medicine_master!$I$2:$I$26,MATCH($C1475,medicine_master!$A$2:$A$26,0)),0)</f>
        <v>52</v>
      </c>
      <c r="M1475" s="45" t="n">
        <f aca="false">IFERROR(INDEX(medicine_master!$G$2:$G$26,MATCH($C1475,medicine_master!$A$2:$A$26,0)),0)</f>
        <v>38</v>
      </c>
      <c r="N1475" s="45" t="n">
        <f aca="false">IF(D1475="Sale",E1475*L1475,0)</f>
        <v>1040</v>
      </c>
      <c r="O1475" s="45" t="n">
        <f aca="false">IF(D1475="Sale",E1475*M1475,0)</f>
        <v>760</v>
      </c>
      <c r="P1475" s="45" t="n">
        <f aca="false">N1475-O1475</f>
        <v>280</v>
      </c>
      <c r="Q1475" s="45" t="n">
        <f aca="false">IF(D1475="Purchase",E1475*M1475,0)</f>
        <v>0</v>
      </c>
    </row>
    <row r="1476" customFormat="false" ht="15" hidden="false" customHeight="false" outlineLevel="0" collapsed="false">
      <c r="A1476" s="39" t="s">
        <v>1800</v>
      </c>
      <c r="B1476" s="44" t="n">
        <v>46100</v>
      </c>
      <c r="C1476" s="39" t="s">
        <v>147</v>
      </c>
      <c r="D1476" s="39" t="s">
        <v>137</v>
      </c>
      <c r="E1476" s="39" t="n">
        <v>25</v>
      </c>
      <c r="F1476" s="39" t="str">
        <f aca="false">IF(COUNTIF(medicine_master!$A$2:$A$26,C1476)&gt;0,"Valid","Invalid")</f>
        <v>Valid</v>
      </c>
      <c r="G1476" s="39" t="str">
        <f aca="false">IFERROR(INDEX(medicine_master!$B$2:$B$26,MATCH($C1476,medicine_master!$A$2:$A$26,0)),"Not found")</f>
        <v>Insulin Injection</v>
      </c>
      <c r="H1476" s="39" t="str">
        <f aca="false">IFERROR(INDEX(medicine_master!$C$2:$C$26,MATCH($C1476,medicine_master!$A$2:$A$26,0)),"Not found")</f>
        <v>Diabetes</v>
      </c>
      <c r="I1476" s="39" t="n">
        <f aca="false">YEAR(B1476)</f>
        <v>2026</v>
      </c>
      <c r="J1476" s="39" t="n">
        <f aca="false">MONTH(B1476)</f>
        <v>3</v>
      </c>
      <c r="K1476" s="39" t="str">
        <f aca="false">TEXT(B1476,"mmm")</f>
        <v>Mar</v>
      </c>
      <c r="L1476" s="45" t="n">
        <f aca="false">IFERROR(INDEX(medicine_master!$I$2:$I$26,MATCH($C1476,medicine_master!$A$2:$A$26,0)),0)</f>
        <v>225</v>
      </c>
      <c r="M1476" s="45" t="n">
        <f aca="false">IFERROR(INDEX(medicine_master!$G$2:$G$26,MATCH($C1476,medicine_master!$A$2:$A$26,0)),0)</f>
        <v>165</v>
      </c>
      <c r="N1476" s="45" t="n">
        <f aca="false">IF(D1476="Sale",E1476*L1476,0)</f>
        <v>5625</v>
      </c>
      <c r="O1476" s="45" t="n">
        <f aca="false">IF(D1476="Sale",E1476*M1476,0)</f>
        <v>4125</v>
      </c>
      <c r="P1476" s="45" t="n">
        <f aca="false">N1476-O1476</f>
        <v>1500</v>
      </c>
      <c r="Q1476" s="45" t="n">
        <f aca="false">IF(D1476="Purchase",E1476*M1476,0)</f>
        <v>0</v>
      </c>
    </row>
    <row r="1477" customFormat="false" ht="15" hidden="false" customHeight="false" outlineLevel="0" collapsed="false">
      <c r="A1477" s="39" t="s">
        <v>1801</v>
      </c>
      <c r="B1477" s="44" t="n">
        <v>46171</v>
      </c>
      <c r="C1477" s="39" t="s">
        <v>177</v>
      </c>
      <c r="D1477" s="39" t="s">
        <v>138</v>
      </c>
      <c r="E1477" s="39" t="n">
        <v>5</v>
      </c>
      <c r="F1477" s="39" t="str">
        <f aca="false">IF(COUNTIF(medicine_master!$A$2:$A$26,C1477)&gt;0,"Valid","Invalid")</f>
        <v>Valid</v>
      </c>
      <c r="G1477" s="39" t="str">
        <f aca="false">IFERROR(INDEX(medicine_master!$B$2:$B$26,MATCH($C1477,medicine_master!$A$2:$A$26,0)),"Not found")</f>
        <v>Bandage Roll</v>
      </c>
      <c r="H1477" s="39" t="str">
        <f aca="false">IFERROR(INDEX(medicine_master!$C$2:$C$26,MATCH($C1477,medicine_master!$A$2:$A$26,0)),"Not found")</f>
        <v>First Aid</v>
      </c>
      <c r="I1477" s="39" t="n">
        <f aca="false">YEAR(B1477)</f>
        <v>2026</v>
      </c>
      <c r="J1477" s="39" t="n">
        <f aca="false">MONTH(B1477)</f>
        <v>5</v>
      </c>
      <c r="K1477" s="39" t="str">
        <f aca="false">TEXT(B1477,"mmm")</f>
        <v>May</v>
      </c>
      <c r="L1477" s="45" t="n">
        <f aca="false">IFERROR(INDEX(medicine_master!$I$2:$I$26,MATCH($C1477,medicine_master!$A$2:$A$26,0)),0)</f>
        <v>25</v>
      </c>
      <c r="M1477" s="45" t="n">
        <f aca="false">IFERROR(INDEX(medicine_master!$G$2:$G$26,MATCH($C1477,medicine_master!$A$2:$A$26,0)),0)</f>
        <v>15</v>
      </c>
      <c r="N1477" s="45" t="n">
        <f aca="false">IF(D1477="Sale",E1477*L1477,0)</f>
        <v>0</v>
      </c>
      <c r="O1477" s="45" t="n">
        <f aca="false">IF(D1477="Sale",E1477*M1477,0)</f>
        <v>0</v>
      </c>
      <c r="P1477" s="45" t="n">
        <f aca="false">N1477-O1477</f>
        <v>0</v>
      </c>
      <c r="Q1477" s="45" t="n">
        <f aca="false">IF(D1477="Purchase",E1477*M1477,0)</f>
        <v>75</v>
      </c>
    </row>
    <row r="1478" customFormat="false" ht="15" hidden="false" customHeight="false" outlineLevel="0" collapsed="false">
      <c r="A1478" s="39" t="s">
        <v>1802</v>
      </c>
      <c r="B1478" s="44" t="n">
        <v>46109</v>
      </c>
      <c r="C1478" s="39" t="s">
        <v>159</v>
      </c>
      <c r="D1478" s="39" t="s">
        <v>138</v>
      </c>
      <c r="E1478" s="39" t="n">
        <v>20</v>
      </c>
      <c r="F1478" s="39" t="str">
        <f aca="false">IF(COUNTIF(medicine_master!$A$2:$A$26,C1478)&gt;0,"Valid","Invalid")</f>
        <v>Valid</v>
      </c>
      <c r="G1478" s="39" t="str">
        <f aca="false">IFERROR(INDEX(medicine_master!$B$2:$B$26,MATCH($C1478,medicine_master!$A$2:$A$26,0)),"Not found")</f>
        <v>Antiseptic Liquid 100ml</v>
      </c>
      <c r="H1478" s="39" t="str">
        <f aca="false">IFERROR(INDEX(medicine_master!$C$2:$C$26,MATCH($C1478,medicine_master!$A$2:$A$26,0)),"Not found")</f>
        <v>First Aid</v>
      </c>
      <c r="I1478" s="39" t="n">
        <f aca="false">YEAR(B1478)</f>
        <v>2026</v>
      </c>
      <c r="J1478" s="39" t="n">
        <f aca="false">MONTH(B1478)</f>
        <v>3</v>
      </c>
      <c r="K1478" s="39" t="str">
        <f aca="false">TEXT(B1478,"mmm")</f>
        <v>Mar</v>
      </c>
      <c r="L1478" s="45" t="n">
        <f aca="false">IFERROR(INDEX(medicine_master!$I$2:$I$26,MATCH($C1478,medicine_master!$A$2:$A$26,0)),0)</f>
        <v>65</v>
      </c>
      <c r="M1478" s="45" t="n">
        <f aca="false">IFERROR(INDEX(medicine_master!$G$2:$G$26,MATCH($C1478,medicine_master!$A$2:$A$26,0)),0)</f>
        <v>48</v>
      </c>
      <c r="N1478" s="45" t="n">
        <f aca="false">IF(D1478="Sale",E1478*L1478,0)</f>
        <v>0</v>
      </c>
      <c r="O1478" s="45" t="n">
        <f aca="false">IF(D1478="Sale",E1478*M1478,0)</f>
        <v>0</v>
      </c>
      <c r="P1478" s="45" t="n">
        <f aca="false">N1478-O1478</f>
        <v>0</v>
      </c>
      <c r="Q1478" s="45" t="n">
        <f aca="false">IF(D1478="Purchase",E1478*M1478,0)</f>
        <v>960</v>
      </c>
    </row>
    <row r="1479" customFormat="false" ht="15" hidden="false" customHeight="false" outlineLevel="0" collapsed="false">
      <c r="A1479" s="39" t="s">
        <v>1803</v>
      </c>
      <c r="B1479" s="44" t="n">
        <v>46326</v>
      </c>
      <c r="C1479" s="39" t="s">
        <v>179</v>
      </c>
      <c r="D1479" s="39" t="s">
        <v>138</v>
      </c>
      <c r="E1479" s="39" t="n">
        <v>30</v>
      </c>
      <c r="F1479" s="39" t="str">
        <f aca="false">IF(COUNTIF(medicine_master!$A$2:$A$26,C1479)&gt;0,"Valid","Invalid")</f>
        <v>Valid</v>
      </c>
      <c r="G1479" s="39" t="str">
        <f aca="false">IFERROR(INDEX(medicine_master!$B$2:$B$26,MATCH($C1479,medicine_master!$A$2:$A$26,0)),"Not found")</f>
        <v>Ibuprofen 400mg</v>
      </c>
      <c r="H1479" s="39" t="str">
        <f aca="false">IFERROR(INDEX(medicine_master!$C$2:$C$26,MATCH($C1479,medicine_master!$A$2:$A$26,0)),"Not found")</f>
        <v>Pain Relief</v>
      </c>
      <c r="I1479" s="39" t="n">
        <f aca="false">YEAR(B1479)</f>
        <v>2026</v>
      </c>
      <c r="J1479" s="39" t="n">
        <f aca="false">MONTH(B1479)</f>
        <v>10</v>
      </c>
      <c r="K1479" s="39" t="str">
        <f aca="false">TEXT(B1479,"mmm")</f>
        <v>Oct</v>
      </c>
      <c r="L1479" s="45" t="n">
        <f aca="false">IFERROR(INDEX(medicine_master!$I$2:$I$26,MATCH($C1479,medicine_master!$A$2:$A$26,0)),0)</f>
        <v>30</v>
      </c>
      <c r="M1479" s="45" t="n">
        <f aca="false">IFERROR(INDEX(medicine_master!$G$2:$G$26,MATCH($C1479,medicine_master!$A$2:$A$26,0)),0)</f>
        <v>22</v>
      </c>
      <c r="N1479" s="45" t="n">
        <f aca="false">IF(D1479="Sale",E1479*L1479,0)</f>
        <v>0</v>
      </c>
      <c r="O1479" s="45" t="n">
        <f aca="false">IF(D1479="Sale",E1479*M1479,0)</f>
        <v>0</v>
      </c>
      <c r="P1479" s="45" t="n">
        <f aca="false">N1479-O1479</f>
        <v>0</v>
      </c>
      <c r="Q1479" s="45" t="n">
        <f aca="false">IF(D1479="Purchase",E1479*M1479,0)</f>
        <v>660</v>
      </c>
    </row>
    <row r="1480" customFormat="false" ht="15" hidden="false" customHeight="false" outlineLevel="0" collapsed="false">
      <c r="A1480" s="39" t="s">
        <v>1804</v>
      </c>
      <c r="B1480" s="44" t="n">
        <v>46205</v>
      </c>
      <c r="C1480" s="39" t="s">
        <v>144</v>
      </c>
      <c r="D1480" s="39" t="s">
        <v>137</v>
      </c>
      <c r="E1480" s="39" t="n">
        <v>40</v>
      </c>
      <c r="F1480" s="39" t="str">
        <f aca="false">IF(COUNTIF(medicine_master!$A$2:$A$26,C1480)&gt;0,"Valid","Invalid")</f>
        <v>Valid</v>
      </c>
      <c r="G1480" s="39" t="str">
        <f aca="false">IFERROR(INDEX(medicine_master!$B$2:$B$26,MATCH($C1480,medicine_master!$A$2:$A$26,0)),"Not found")</f>
        <v>Glimepiride 2mg</v>
      </c>
      <c r="H1480" s="39" t="str">
        <f aca="false">IFERROR(INDEX(medicine_master!$C$2:$C$26,MATCH($C1480,medicine_master!$A$2:$A$26,0)),"Not found")</f>
        <v>Diabetes</v>
      </c>
      <c r="I1480" s="39" t="n">
        <f aca="false">YEAR(B1480)</f>
        <v>2026</v>
      </c>
      <c r="J1480" s="39" t="n">
        <f aca="false">MONTH(B1480)</f>
        <v>7</v>
      </c>
      <c r="K1480" s="39" t="str">
        <f aca="false">TEXT(B1480,"mmm")</f>
        <v>Jul</v>
      </c>
      <c r="L1480" s="45" t="n">
        <f aca="false">IFERROR(INDEX(medicine_master!$I$2:$I$26,MATCH($C1480,medicine_master!$A$2:$A$26,0)),0)</f>
        <v>52</v>
      </c>
      <c r="M1480" s="45" t="n">
        <f aca="false">IFERROR(INDEX(medicine_master!$G$2:$G$26,MATCH($C1480,medicine_master!$A$2:$A$26,0)),0)</f>
        <v>38</v>
      </c>
      <c r="N1480" s="45" t="n">
        <f aca="false">IF(D1480="Sale",E1480*L1480,0)</f>
        <v>2080</v>
      </c>
      <c r="O1480" s="45" t="n">
        <f aca="false">IF(D1480="Sale",E1480*M1480,0)</f>
        <v>1520</v>
      </c>
      <c r="P1480" s="45" t="n">
        <f aca="false">N1480-O1480</f>
        <v>560</v>
      </c>
      <c r="Q1480" s="45" t="n">
        <f aca="false">IF(D1480="Purchase",E1480*M1480,0)</f>
        <v>0</v>
      </c>
    </row>
    <row r="1481" customFormat="false" ht="15" hidden="false" customHeight="false" outlineLevel="0" collapsed="false">
      <c r="A1481" s="39" t="s">
        <v>1805</v>
      </c>
      <c r="B1481" s="44" t="n">
        <v>46100</v>
      </c>
      <c r="C1481" s="39" t="s">
        <v>177</v>
      </c>
      <c r="D1481" s="39" t="s">
        <v>138</v>
      </c>
      <c r="E1481" s="39" t="n">
        <v>40</v>
      </c>
      <c r="F1481" s="39" t="str">
        <f aca="false">IF(COUNTIF(medicine_master!$A$2:$A$26,C1481)&gt;0,"Valid","Invalid")</f>
        <v>Valid</v>
      </c>
      <c r="G1481" s="39" t="str">
        <f aca="false">IFERROR(INDEX(medicine_master!$B$2:$B$26,MATCH($C1481,medicine_master!$A$2:$A$26,0)),"Not found")</f>
        <v>Bandage Roll</v>
      </c>
      <c r="H1481" s="39" t="str">
        <f aca="false">IFERROR(INDEX(medicine_master!$C$2:$C$26,MATCH($C1481,medicine_master!$A$2:$A$26,0)),"Not found")</f>
        <v>First Aid</v>
      </c>
      <c r="I1481" s="39" t="n">
        <f aca="false">YEAR(B1481)</f>
        <v>2026</v>
      </c>
      <c r="J1481" s="39" t="n">
        <f aca="false">MONTH(B1481)</f>
        <v>3</v>
      </c>
      <c r="K1481" s="39" t="str">
        <f aca="false">TEXT(B1481,"mmm")</f>
        <v>Mar</v>
      </c>
      <c r="L1481" s="45" t="n">
        <f aca="false">IFERROR(INDEX(medicine_master!$I$2:$I$26,MATCH($C1481,medicine_master!$A$2:$A$26,0)),0)</f>
        <v>25</v>
      </c>
      <c r="M1481" s="45" t="n">
        <f aca="false">IFERROR(INDEX(medicine_master!$G$2:$G$26,MATCH($C1481,medicine_master!$A$2:$A$26,0)),0)</f>
        <v>15</v>
      </c>
      <c r="N1481" s="45" t="n">
        <f aca="false">IF(D1481="Sale",E1481*L1481,0)</f>
        <v>0</v>
      </c>
      <c r="O1481" s="45" t="n">
        <f aca="false">IF(D1481="Sale",E1481*M1481,0)</f>
        <v>0</v>
      </c>
      <c r="P1481" s="45" t="n">
        <f aca="false">N1481-O1481</f>
        <v>0</v>
      </c>
      <c r="Q1481" s="45" t="n">
        <f aca="false">IF(D1481="Purchase",E1481*M1481,0)</f>
        <v>600</v>
      </c>
    </row>
    <row r="1482" customFormat="false" ht="15" hidden="false" customHeight="false" outlineLevel="0" collapsed="false">
      <c r="A1482" s="39" t="s">
        <v>1806</v>
      </c>
      <c r="B1482" s="44" t="n">
        <v>46260</v>
      </c>
      <c r="C1482" s="39" t="s">
        <v>158</v>
      </c>
      <c r="D1482" s="39" t="s">
        <v>137</v>
      </c>
      <c r="E1482" s="39" t="n">
        <v>10</v>
      </c>
      <c r="F1482" s="39" t="str">
        <f aca="false">IF(COUNTIF(medicine_master!$A$2:$A$26,C1482)&gt;0,"Valid","Invalid")</f>
        <v>Valid</v>
      </c>
      <c r="G1482" s="39" t="str">
        <f aca="false">IFERROR(INDEX(medicine_master!$B$2:$B$26,MATCH($C1482,medicine_master!$A$2:$A$26,0)),"Not found")</f>
        <v>Cough Syrup 100ml</v>
      </c>
      <c r="H1482" s="39" t="str">
        <f aca="false">IFERROR(INDEX(medicine_master!$C$2:$C$26,MATCH($C1482,medicine_master!$A$2:$A$26,0)),"Not found")</f>
        <v>Cold &amp; Cough</v>
      </c>
      <c r="I1482" s="39" t="n">
        <f aca="false">YEAR(B1482)</f>
        <v>2026</v>
      </c>
      <c r="J1482" s="39" t="n">
        <f aca="false">MONTH(B1482)</f>
        <v>8</v>
      </c>
      <c r="K1482" s="39" t="str">
        <f aca="false">TEXT(B1482,"mmm")</f>
        <v>Aug</v>
      </c>
      <c r="L1482" s="45" t="n">
        <f aca="false">IFERROR(INDEX(medicine_master!$I$2:$I$26,MATCH($C1482,medicine_master!$A$2:$A$26,0)),0)</f>
        <v>72</v>
      </c>
      <c r="M1482" s="45" t="n">
        <f aca="false">IFERROR(INDEX(medicine_master!$G$2:$G$26,MATCH($C1482,medicine_master!$A$2:$A$26,0)),0)</f>
        <v>52</v>
      </c>
      <c r="N1482" s="45" t="n">
        <f aca="false">IF(D1482="Sale",E1482*L1482,0)</f>
        <v>720</v>
      </c>
      <c r="O1482" s="45" t="n">
        <f aca="false">IF(D1482="Sale",E1482*M1482,0)</f>
        <v>520</v>
      </c>
      <c r="P1482" s="45" t="n">
        <f aca="false">N1482-O1482</f>
        <v>200</v>
      </c>
      <c r="Q1482" s="45" t="n">
        <f aca="false">IF(D1482="Purchase",E1482*M1482,0)</f>
        <v>0</v>
      </c>
    </row>
    <row r="1483" customFormat="false" ht="15" hidden="false" customHeight="false" outlineLevel="0" collapsed="false">
      <c r="A1483" s="39" t="s">
        <v>1807</v>
      </c>
      <c r="B1483" s="44" t="n">
        <v>46040</v>
      </c>
      <c r="C1483" s="39" t="s">
        <v>144</v>
      </c>
      <c r="D1483" s="39" t="s">
        <v>137</v>
      </c>
      <c r="E1483" s="39" t="n">
        <v>25</v>
      </c>
      <c r="F1483" s="39" t="str">
        <f aca="false">IF(COUNTIF(medicine_master!$A$2:$A$26,C1483)&gt;0,"Valid","Invalid")</f>
        <v>Valid</v>
      </c>
      <c r="G1483" s="39" t="str">
        <f aca="false">IFERROR(INDEX(medicine_master!$B$2:$B$26,MATCH($C1483,medicine_master!$A$2:$A$26,0)),"Not found")</f>
        <v>Glimepiride 2mg</v>
      </c>
      <c r="H1483" s="39" t="str">
        <f aca="false">IFERROR(INDEX(medicine_master!$C$2:$C$26,MATCH($C1483,medicine_master!$A$2:$A$26,0)),"Not found")</f>
        <v>Diabetes</v>
      </c>
      <c r="I1483" s="39" t="n">
        <f aca="false">YEAR(B1483)</f>
        <v>2026</v>
      </c>
      <c r="J1483" s="39" t="n">
        <f aca="false">MONTH(B1483)</f>
        <v>1</v>
      </c>
      <c r="K1483" s="39" t="str">
        <f aca="false">TEXT(B1483,"mmm")</f>
        <v>Jan</v>
      </c>
      <c r="L1483" s="45" t="n">
        <f aca="false">IFERROR(INDEX(medicine_master!$I$2:$I$26,MATCH($C1483,medicine_master!$A$2:$A$26,0)),0)</f>
        <v>52</v>
      </c>
      <c r="M1483" s="45" t="n">
        <f aca="false">IFERROR(INDEX(medicine_master!$G$2:$G$26,MATCH($C1483,medicine_master!$A$2:$A$26,0)),0)</f>
        <v>38</v>
      </c>
      <c r="N1483" s="45" t="n">
        <f aca="false">IF(D1483="Sale",E1483*L1483,0)</f>
        <v>1300</v>
      </c>
      <c r="O1483" s="45" t="n">
        <f aca="false">IF(D1483="Sale",E1483*M1483,0)</f>
        <v>950</v>
      </c>
      <c r="P1483" s="45" t="n">
        <f aca="false">N1483-O1483</f>
        <v>350</v>
      </c>
      <c r="Q1483" s="45" t="n">
        <f aca="false">IF(D1483="Purchase",E1483*M1483,0)</f>
        <v>0</v>
      </c>
    </row>
    <row r="1484" customFormat="false" ht="15" hidden="false" customHeight="false" outlineLevel="0" collapsed="false">
      <c r="A1484" s="39" t="s">
        <v>1808</v>
      </c>
      <c r="B1484" s="44" t="n">
        <v>46073</v>
      </c>
      <c r="C1484" s="39" t="s">
        <v>157</v>
      </c>
      <c r="D1484" s="39" t="s">
        <v>137</v>
      </c>
      <c r="E1484" s="39" t="n">
        <v>40</v>
      </c>
      <c r="F1484" s="39" t="str">
        <f aca="false">IF(COUNTIF(medicine_master!$A$2:$A$26,C1484)&gt;0,"Valid","Invalid")</f>
        <v>Valid</v>
      </c>
      <c r="G1484" s="39" t="str">
        <f aca="false">IFERROR(INDEX(medicine_master!$B$2:$B$26,MATCH($C1484,medicine_master!$A$2:$A$26,0)),"Not found")</f>
        <v>Multivitamin Tablets</v>
      </c>
      <c r="H1484" s="39" t="str">
        <f aca="false">IFERROR(INDEX(medicine_master!$C$2:$C$26,MATCH($C1484,medicine_master!$A$2:$A$26,0)),"Not found")</f>
        <v>Vitamin</v>
      </c>
      <c r="I1484" s="39" t="n">
        <f aca="false">YEAR(B1484)</f>
        <v>2026</v>
      </c>
      <c r="J1484" s="39" t="n">
        <f aca="false">MONTH(B1484)</f>
        <v>2</v>
      </c>
      <c r="K1484" s="39" t="str">
        <f aca="false">TEXT(B1484,"mmm")</f>
        <v>Feb</v>
      </c>
      <c r="L1484" s="45" t="n">
        <f aca="false">IFERROR(INDEX(medicine_master!$I$2:$I$26,MATCH($C1484,medicine_master!$A$2:$A$26,0)),0)</f>
        <v>105</v>
      </c>
      <c r="M1484" s="45" t="n">
        <f aca="false">IFERROR(INDEX(medicine_master!$G$2:$G$26,MATCH($C1484,medicine_master!$A$2:$A$26,0)),0)</f>
        <v>72</v>
      </c>
      <c r="N1484" s="45" t="n">
        <f aca="false">IF(D1484="Sale",E1484*L1484,0)</f>
        <v>4200</v>
      </c>
      <c r="O1484" s="45" t="n">
        <f aca="false">IF(D1484="Sale",E1484*M1484,0)</f>
        <v>2880</v>
      </c>
      <c r="P1484" s="45" t="n">
        <f aca="false">N1484-O1484</f>
        <v>1320</v>
      </c>
      <c r="Q1484" s="45" t="n">
        <f aca="false">IF(D1484="Purchase",E1484*M1484,0)</f>
        <v>0</v>
      </c>
    </row>
    <row r="1485" customFormat="false" ht="15" hidden="false" customHeight="false" outlineLevel="0" collapsed="false">
      <c r="A1485" s="39" t="s">
        <v>1809</v>
      </c>
      <c r="B1485" s="44" t="n">
        <v>46284</v>
      </c>
      <c r="C1485" s="39" t="s">
        <v>146</v>
      </c>
      <c r="D1485" s="39" t="s">
        <v>137</v>
      </c>
      <c r="E1485" s="39" t="n">
        <v>10</v>
      </c>
      <c r="F1485" s="39" t="str">
        <f aca="false">IF(COUNTIF(medicine_master!$A$2:$A$26,C1485)&gt;0,"Valid","Invalid")</f>
        <v>Valid</v>
      </c>
      <c r="G1485" s="39" t="str">
        <f aca="false">IFERROR(INDEX(medicine_master!$B$2:$B$26,MATCH($C1485,medicine_master!$A$2:$A$26,0)),"Not found")</f>
        <v>Diclofenac Gel</v>
      </c>
      <c r="H1485" s="39" t="str">
        <f aca="false">IFERROR(INDEX(medicine_master!$C$2:$C$26,MATCH($C1485,medicine_master!$A$2:$A$26,0)),"Not found")</f>
        <v>Pain Relief</v>
      </c>
      <c r="I1485" s="39" t="n">
        <f aca="false">YEAR(B1485)</f>
        <v>2026</v>
      </c>
      <c r="J1485" s="39" t="n">
        <f aca="false">MONTH(B1485)</f>
        <v>9</v>
      </c>
      <c r="K1485" s="39" t="str">
        <f aca="false">TEXT(B1485,"mmm")</f>
        <v>Sep</v>
      </c>
      <c r="L1485" s="45" t="n">
        <f aca="false">IFERROR(INDEX(medicine_master!$I$2:$I$26,MATCH($C1485,medicine_master!$A$2:$A$26,0)),0)</f>
        <v>55</v>
      </c>
      <c r="M1485" s="45" t="n">
        <f aca="false">IFERROR(INDEX(medicine_master!$G$2:$G$26,MATCH($C1485,medicine_master!$A$2:$A$26,0)),0)</f>
        <v>38</v>
      </c>
      <c r="N1485" s="45" t="n">
        <f aca="false">IF(D1485="Sale",E1485*L1485,0)</f>
        <v>550</v>
      </c>
      <c r="O1485" s="45" t="n">
        <f aca="false">IF(D1485="Sale",E1485*M1485,0)</f>
        <v>380</v>
      </c>
      <c r="P1485" s="45" t="n">
        <f aca="false">N1485-O1485</f>
        <v>170</v>
      </c>
      <c r="Q1485" s="45" t="n">
        <f aca="false">IF(D1485="Purchase",E1485*M1485,0)</f>
        <v>0</v>
      </c>
    </row>
    <row r="1486" customFormat="false" ht="15" hidden="false" customHeight="false" outlineLevel="0" collapsed="false">
      <c r="A1486" s="39" t="s">
        <v>1810</v>
      </c>
      <c r="B1486" s="44" t="n">
        <v>46326</v>
      </c>
      <c r="C1486" s="39" t="s">
        <v>180</v>
      </c>
      <c r="D1486" s="39" t="s">
        <v>137</v>
      </c>
      <c r="E1486" s="39" t="n">
        <v>10</v>
      </c>
      <c r="F1486" s="39" t="str">
        <f aca="false">IF(COUNTIF(medicine_master!$A$2:$A$26,C1486)&gt;0,"Valid","Invalid")</f>
        <v>Valid</v>
      </c>
      <c r="G1486" s="39" t="str">
        <f aca="false">IFERROR(INDEX(medicine_master!$B$2:$B$26,MATCH($C1486,medicine_master!$A$2:$A$26,0)),"Not found")</f>
        <v>Vitamin C 500mg</v>
      </c>
      <c r="H1486" s="39" t="str">
        <f aca="false">IFERROR(INDEX(medicine_master!$C$2:$C$26,MATCH($C1486,medicine_master!$A$2:$A$26,0)),"Not found")</f>
        <v>Vitamin</v>
      </c>
      <c r="I1486" s="39" t="n">
        <f aca="false">YEAR(B1486)</f>
        <v>2026</v>
      </c>
      <c r="J1486" s="39" t="n">
        <f aca="false">MONTH(B1486)</f>
        <v>10</v>
      </c>
      <c r="K1486" s="39" t="str">
        <f aca="false">TEXT(B1486,"mmm")</f>
        <v>Oct</v>
      </c>
      <c r="L1486" s="45" t="n">
        <f aca="false">IFERROR(INDEX(medicine_master!$I$2:$I$26,MATCH($C1486,medicine_master!$A$2:$A$26,0)),0)</f>
        <v>22</v>
      </c>
      <c r="M1486" s="45" t="n">
        <f aca="false">IFERROR(INDEX(medicine_master!$G$2:$G$26,MATCH($C1486,medicine_master!$A$2:$A$26,0)),0)</f>
        <v>14</v>
      </c>
      <c r="N1486" s="45" t="n">
        <f aca="false">IF(D1486="Sale",E1486*L1486,0)</f>
        <v>220</v>
      </c>
      <c r="O1486" s="45" t="n">
        <f aca="false">IF(D1486="Sale",E1486*M1486,0)</f>
        <v>140</v>
      </c>
      <c r="P1486" s="45" t="n">
        <f aca="false">N1486-O1486</f>
        <v>80</v>
      </c>
      <c r="Q1486" s="45" t="n">
        <f aca="false">IF(D1486="Purchase",E1486*M1486,0)</f>
        <v>0</v>
      </c>
    </row>
    <row r="1487" customFormat="false" ht="15" hidden="false" customHeight="false" outlineLevel="0" collapsed="false">
      <c r="A1487" s="39" t="s">
        <v>1811</v>
      </c>
      <c r="B1487" s="44" t="n">
        <v>46214</v>
      </c>
      <c r="C1487" s="39" t="s">
        <v>151</v>
      </c>
      <c r="D1487" s="39" t="s">
        <v>138</v>
      </c>
      <c r="E1487" s="39" t="n">
        <v>30</v>
      </c>
      <c r="F1487" s="39" t="str">
        <f aca="false">IF(COUNTIF(medicine_master!$A$2:$A$26,C1487)&gt;0,"Valid","Invalid")</f>
        <v>Valid</v>
      </c>
      <c r="G1487" s="39" t="str">
        <f aca="false">IFERROR(INDEX(medicine_master!$B$2:$B$26,MATCH($C1487,medicine_master!$A$2:$A$26,0)),"Not found")</f>
        <v>Cetirizine 10mg</v>
      </c>
      <c r="H1487" s="39" t="str">
        <f aca="false">IFERROR(INDEX(medicine_master!$C$2:$C$26,MATCH($C1487,medicine_master!$A$2:$A$26,0)),"Not found")</f>
        <v>Allergy</v>
      </c>
      <c r="I1487" s="39" t="n">
        <f aca="false">YEAR(B1487)</f>
        <v>2026</v>
      </c>
      <c r="J1487" s="39" t="n">
        <f aca="false">MONTH(B1487)</f>
        <v>7</v>
      </c>
      <c r="K1487" s="39" t="str">
        <f aca="false">TEXT(B1487,"mmm")</f>
        <v>Jul</v>
      </c>
      <c r="L1487" s="45" t="n">
        <f aca="false">IFERROR(INDEX(medicine_master!$I$2:$I$26,MATCH($C1487,medicine_master!$A$2:$A$26,0)),0)</f>
        <v>13</v>
      </c>
      <c r="M1487" s="45" t="n">
        <f aca="false">IFERROR(INDEX(medicine_master!$G$2:$G$26,MATCH($C1487,medicine_master!$A$2:$A$26,0)),0)</f>
        <v>8</v>
      </c>
      <c r="N1487" s="45" t="n">
        <f aca="false">IF(D1487="Sale",E1487*L1487,0)</f>
        <v>0</v>
      </c>
      <c r="O1487" s="45" t="n">
        <f aca="false">IF(D1487="Sale",E1487*M1487,0)</f>
        <v>0</v>
      </c>
      <c r="P1487" s="45" t="n">
        <f aca="false">N1487-O1487</f>
        <v>0</v>
      </c>
      <c r="Q1487" s="45" t="n">
        <f aca="false">IF(D1487="Purchase",E1487*M1487,0)</f>
        <v>240</v>
      </c>
    </row>
    <row r="1488" customFormat="false" ht="15" hidden="false" customHeight="false" outlineLevel="0" collapsed="false">
      <c r="A1488" s="39" t="s">
        <v>1812</v>
      </c>
      <c r="B1488" s="44" t="n">
        <v>46315</v>
      </c>
      <c r="C1488" s="39" t="s">
        <v>326</v>
      </c>
      <c r="D1488" s="39" t="s">
        <v>137</v>
      </c>
      <c r="E1488" s="39" t="n">
        <v>10</v>
      </c>
      <c r="F1488" s="39" t="str">
        <f aca="false">IF(COUNTIF(medicine_master!$A$2:$A$26,C1488)&gt;0,"Valid","Invalid")</f>
        <v>Valid</v>
      </c>
      <c r="G1488" s="39" t="str">
        <f aca="false">IFERROR(INDEX(medicine_master!$B$2:$B$26,MATCH($C1488,medicine_master!$A$2:$A$26,0)),"Not found")</f>
        <v>Omeprazole 20mg</v>
      </c>
      <c r="H1488" s="39" t="str">
        <f aca="false">IFERROR(INDEX(medicine_master!$C$2:$C$26,MATCH($C1488,medicine_master!$A$2:$A$26,0)),"Not found")</f>
        <v>Gastric</v>
      </c>
      <c r="I1488" s="39" t="n">
        <f aca="false">YEAR(B1488)</f>
        <v>2026</v>
      </c>
      <c r="J1488" s="39" t="n">
        <f aca="false">MONTH(B1488)</f>
        <v>10</v>
      </c>
      <c r="K1488" s="39" t="str">
        <f aca="false">TEXT(B1488,"mmm")</f>
        <v>Oct</v>
      </c>
      <c r="L1488" s="45" t="n">
        <f aca="false">IFERROR(INDEX(medicine_master!$I$2:$I$26,MATCH($C1488,medicine_master!$A$2:$A$26,0)),0)</f>
        <v>26</v>
      </c>
      <c r="M1488" s="45" t="n">
        <f aca="false">IFERROR(INDEX(medicine_master!$G$2:$G$26,MATCH($C1488,medicine_master!$A$2:$A$26,0)),0)</f>
        <v>18</v>
      </c>
      <c r="N1488" s="45" t="n">
        <f aca="false">IF(D1488="Sale",E1488*L1488,0)</f>
        <v>260</v>
      </c>
      <c r="O1488" s="45" t="n">
        <f aca="false">IF(D1488="Sale",E1488*M1488,0)</f>
        <v>180</v>
      </c>
      <c r="P1488" s="45" t="n">
        <f aca="false">N1488-O1488</f>
        <v>80</v>
      </c>
      <c r="Q1488" s="45" t="n">
        <f aca="false">IF(D1488="Purchase",E1488*M1488,0)</f>
        <v>0</v>
      </c>
    </row>
    <row r="1489" customFormat="false" ht="15" hidden="false" customHeight="false" outlineLevel="0" collapsed="false">
      <c r="A1489" s="39" t="s">
        <v>1813</v>
      </c>
      <c r="B1489" s="44" t="n">
        <v>46039</v>
      </c>
      <c r="C1489" s="39" t="s">
        <v>390</v>
      </c>
      <c r="D1489" s="39" t="s">
        <v>137</v>
      </c>
      <c r="E1489" s="39" t="n">
        <v>30</v>
      </c>
      <c r="F1489" s="39" t="str">
        <f aca="false">IF(COUNTIF(medicine_master!$A$2:$A$26,C1489)&gt;0,"Valid","Invalid")</f>
        <v>Valid</v>
      </c>
      <c r="G1489" s="39" t="str">
        <f aca="false">IFERROR(INDEX(medicine_master!$B$2:$B$26,MATCH($C1489,medicine_master!$A$2:$A$26,0)),"Not found")</f>
        <v>Montelukast 10mg</v>
      </c>
      <c r="H1489" s="39" t="str">
        <f aca="false">IFERROR(INDEX(medicine_master!$C$2:$C$26,MATCH($C1489,medicine_master!$A$2:$A$26,0)),"Not found")</f>
        <v>Allergy</v>
      </c>
      <c r="I1489" s="39" t="n">
        <f aca="false">YEAR(B1489)</f>
        <v>2026</v>
      </c>
      <c r="J1489" s="39" t="n">
        <f aca="false">MONTH(B1489)</f>
        <v>1</v>
      </c>
      <c r="K1489" s="39" t="str">
        <f aca="false">TEXT(B1489,"mmm")</f>
        <v>Jan</v>
      </c>
      <c r="L1489" s="45" t="n">
        <f aca="false">IFERROR(INDEX(medicine_master!$I$2:$I$26,MATCH($C1489,medicine_master!$A$2:$A$26,0)),0)</f>
        <v>39</v>
      </c>
      <c r="M1489" s="45" t="n">
        <f aca="false">IFERROR(INDEX(medicine_master!$G$2:$G$26,MATCH($C1489,medicine_master!$A$2:$A$26,0)),0)</f>
        <v>27</v>
      </c>
      <c r="N1489" s="45" t="n">
        <f aca="false">IF(D1489="Sale",E1489*L1489,0)</f>
        <v>1170</v>
      </c>
      <c r="O1489" s="45" t="n">
        <f aca="false">IF(D1489="Sale",E1489*M1489,0)</f>
        <v>810</v>
      </c>
      <c r="P1489" s="45" t="n">
        <f aca="false">N1489-O1489</f>
        <v>360</v>
      </c>
      <c r="Q1489" s="45" t="n">
        <f aca="false">IF(D1489="Purchase",E1489*M1489,0)</f>
        <v>0</v>
      </c>
    </row>
    <row r="1490" customFormat="false" ht="15" hidden="false" customHeight="false" outlineLevel="0" collapsed="false">
      <c r="A1490" s="39" t="s">
        <v>1814</v>
      </c>
      <c r="B1490" s="44" t="n">
        <v>46350</v>
      </c>
      <c r="C1490" s="39" t="s">
        <v>150</v>
      </c>
      <c r="D1490" s="39" t="s">
        <v>137</v>
      </c>
      <c r="E1490" s="39" t="n">
        <v>20</v>
      </c>
      <c r="F1490" s="39" t="str">
        <f aca="false">IF(COUNTIF(medicine_master!$A$2:$A$26,C1490)&gt;0,"Valid","Invalid")</f>
        <v>Valid</v>
      </c>
      <c r="G1490" s="39" t="str">
        <f aca="false">IFERROR(INDEX(medicine_master!$B$2:$B$26,MATCH($C1490,medicine_master!$A$2:$A$26,0)),"Not found")</f>
        <v>Pantoprazole 40mg</v>
      </c>
      <c r="H1490" s="39" t="str">
        <f aca="false">IFERROR(INDEX(medicine_master!$C$2:$C$26,MATCH($C1490,medicine_master!$A$2:$A$26,0)),"Not found")</f>
        <v>Gastric</v>
      </c>
      <c r="I1490" s="39" t="n">
        <f aca="false">YEAR(B1490)</f>
        <v>2026</v>
      </c>
      <c r="J1490" s="39" t="n">
        <f aca="false">MONTH(B1490)</f>
        <v>11</v>
      </c>
      <c r="K1490" s="39" t="str">
        <f aca="false">TEXT(B1490,"mmm")</f>
        <v>Nov</v>
      </c>
      <c r="L1490" s="45" t="n">
        <f aca="false">IFERROR(INDEX(medicine_master!$I$2:$I$26,MATCH($C1490,medicine_master!$A$2:$A$26,0)),0)</f>
        <v>35</v>
      </c>
      <c r="M1490" s="45" t="n">
        <f aca="false">IFERROR(INDEX(medicine_master!$G$2:$G$26,MATCH($C1490,medicine_master!$A$2:$A$26,0)),0)</f>
        <v>24</v>
      </c>
      <c r="N1490" s="45" t="n">
        <f aca="false">IF(D1490="Sale",E1490*L1490,0)</f>
        <v>700</v>
      </c>
      <c r="O1490" s="45" t="n">
        <f aca="false">IF(D1490="Sale",E1490*M1490,0)</f>
        <v>480</v>
      </c>
      <c r="P1490" s="45" t="n">
        <f aca="false">N1490-O1490</f>
        <v>220</v>
      </c>
      <c r="Q1490" s="45" t="n">
        <f aca="false">IF(D1490="Purchase",E1490*M1490,0)</f>
        <v>0</v>
      </c>
    </row>
    <row r="1491" customFormat="false" ht="15" hidden="false" customHeight="false" outlineLevel="0" collapsed="false">
      <c r="A1491" s="39" t="s">
        <v>1815</v>
      </c>
      <c r="B1491" s="44" t="n">
        <v>46036</v>
      </c>
      <c r="C1491" s="39" t="s">
        <v>148</v>
      </c>
      <c r="D1491" s="39" t="s">
        <v>137</v>
      </c>
      <c r="E1491" s="39" t="n">
        <v>40</v>
      </c>
      <c r="F1491" s="39" t="str">
        <f aca="false">IF(COUNTIF(medicine_master!$A$2:$A$26,C1491)&gt;0,"Valid","Invalid")</f>
        <v>Valid</v>
      </c>
      <c r="G1491" s="39" t="str">
        <f aca="false">IFERROR(INDEX(medicine_master!$B$2:$B$26,MATCH($C1491,medicine_master!$A$2:$A$26,0)),"Not found")</f>
        <v>Dextromethorphan Syrup</v>
      </c>
      <c r="H1491" s="39" t="str">
        <f aca="false">IFERROR(INDEX(medicine_master!$C$2:$C$26,MATCH($C1491,medicine_master!$A$2:$A$26,0)),"Not found")</f>
        <v>Cold &amp; Cough</v>
      </c>
      <c r="I1491" s="39" t="n">
        <f aca="false">YEAR(B1491)</f>
        <v>2026</v>
      </c>
      <c r="J1491" s="39" t="n">
        <f aca="false">MONTH(B1491)</f>
        <v>1</v>
      </c>
      <c r="K1491" s="39" t="str">
        <f aca="false">TEXT(B1491,"mmm")</f>
        <v>Jan</v>
      </c>
      <c r="L1491" s="45" t="n">
        <f aca="false">IFERROR(INDEX(medicine_master!$I$2:$I$26,MATCH($C1491,medicine_master!$A$2:$A$26,0)),0)</f>
        <v>80</v>
      </c>
      <c r="M1491" s="45" t="n">
        <f aca="false">IFERROR(INDEX(medicine_master!$G$2:$G$26,MATCH($C1491,medicine_master!$A$2:$A$26,0)),0)</f>
        <v>58</v>
      </c>
      <c r="N1491" s="45" t="n">
        <f aca="false">IF(D1491="Sale",E1491*L1491,0)</f>
        <v>3200</v>
      </c>
      <c r="O1491" s="45" t="n">
        <f aca="false">IF(D1491="Sale",E1491*M1491,0)</f>
        <v>2320</v>
      </c>
      <c r="P1491" s="45" t="n">
        <f aca="false">N1491-O1491</f>
        <v>880</v>
      </c>
      <c r="Q1491" s="45" t="n">
        <f aca="false">IF(D1491="Purchase",E1491*M1491,0)</f>
        <v>0</v>
      </c>
    </row>
    <row r="1492" customFormat="false" ht="15" hidden="false" customHeight="false" outlineLevel="0" collapsed="false">
      <c r="A1492" s="39" t="s">
        <v>1816</v>
      </c>
      <c r="B1492" s="44" t="n">
        <v>46386</v>
      </c>
      <c r="C1492" s="39" t="s">
        <v>148</v>
      </c>
      <c r="D1492" s="39" t="s">
        <v>138</v>
      </c>
      <c r="E1492" s="39" t="n">
        <v>5</v>
      </c>
      <c r="F1492" s="39" t="str">
        <f aca="false">IF(COUNTIF(medicine_master!$A$2:$A$26,C1492)&gt;0,"Valid","Invalid")</f>
        <v>Valid</v>
      </c>
      <c r="G1492" s="39" t="str">
        <f aca="false">IFERROR(INDEX(medicine_master!$B$2:$B$26,MATCH($C1492,medicine_master!$A$2:$A$26,0)),"Not found")</f>
        <v>Dextromethorphan Syrup</v>
      </c>
      <c r="H1492" s="39" t="str">
        <f aca="false">IFERROR(INDEX(medicine_master!$C$2:$C$26,MATCH($C1492,medicine_master!$A$2:$A$26,0)),"Not found")</f>
        <v>Cold &amp; Cough</v>
      </c>
      <c r="I1492" s="39" t="n">
        <f aca="false">YEAR(B1492)</f>
        <v>2026</v>
      </c>
      <c r="J1492" s="39" t="n">
        <f aca="false">MONTH(B1492)</f>
        <v>12</v>
      </c>
      <c r="K1492" s="39" t="str">
        <f aca="false">TEXT(B1492,"mmm")</f>
        <v>Dec</v>
      </c>
      <c r="L1492" s="45" t="n">
        <f aca="false">IFERROR(INDEX(medicine_master!$I$2:$I$26,MATCH($C1492,medicine_master!$A$2:$A$26,0)),0)</f>
        <v>80</v>
      </c>
      <c r="M1492" s="45" t="n">
        <f aca="false">IFERROR(INDEX(medicine_master!$G$2:$G$26,MATCH($C1492,medicine_master!$A$2:$A$26,0)),0)</f>
        <v>58</v>
      </c>
      <c r="N1492" s="45" t="n">
        <f aca="false">IF(D1492="Sale",E1492*L1492,0)</f>
        <v>0</v>
      </c>
      <c r="O1492" s="45" t="n">
        <f aca="false">IF(D1492="Sale",E1492*M1492,0)</f>
        <v>0</v>
      </c>
      <c r="P1492" s="45" t="n">
        <f aca="false">N1492-O1492</f>
        <v>0</v>
      </c>
      <c r="Q1492" s="45" t="n">
        <f aca="false">IF(D1492="Purchase",E1492*M1492,0)</f>
        <v>290</v>
      </c>
    </row>
    <row r="1493" customFormat="false" ht="15" hidden="false" customHeight="false" outlineLevel="0" collapsed="false">
      <c r="A1493" s="39" t="s">
        <v>1817</v>
      </c>
      <c r="B1493" s="44" t="n">
        <v>46144</v>
      </c>
      <c r="C1493" s="39" t="s">
        <v>145</v>
      </c>
      <c r="D1493" s="39" t="s">
        <v>138</v>
      </c>
      <c r="E1493" s="39" t="n">
        <v>15</v>
      </c>
      <c r="F1493" s="39" t="str">
        <f aca="false">IF(COUNTIF(medicine_master!$A$2:$A$26,C1493)&gt;0,"Valid","Invalid")</f>
        <v>Valid</v>
      </c>
      <c r="G1493" s="39" t="str">
        <f aca="false">IFERROR(INDEX(medicine_master!$B$2:$B$26,MATCH($C1493,medicine_master!$A$2:$A$26,0)),"Not found")</f>
        <v>Clotrimazole Cream</v>
      </c>
      <c r="H1493" s="39" t="str">
        <f aca="false">IFERROR(INDEX(medicine_master!$C$2:$C$26,MATCH($C1493,medicine_master!$A$2:$A$26,0)),"Not found")</f>
        <v>Dermatology</v>
      </c>
      <c r="I1493" s="39" t="n">
        <f aca="false">YEAR(B1493)</f>
        <v>2026</v>
      </c>
      <c r="J1493" s="39" t="n">
        <f aca="false">MONTH(B1493)</f>
        <v>5</v>
      </c>
      <c r="K1493" s="39" t="str">
        <f aca="false">TEXT(B1493,"mmm")</f>
        <v>May</v>
      </c>
      <c r="L1493" s="45" t="n">
        <f aca="false">IFERROR(INDEX(medicine_master!$I$2:$I$26,MATCH($C1493,medicine_master!$A$2:$A$26,0)),0)</f>
        <v>48</v>
      </c>
      <c r="M1493" s="45" t="n">
        <f aca="false">IFERROR(INDEX(medicine_master!$G$2:$G$26,MATCH($C1493,medicine_master!$A$2:$A$26,0)),0)</f>
        <v>32</v>
      </c>
      <c r="N1493" s="45" t="n">
        <f aca="false">IF(D1493="Sale",E1493*L1493,0)</f>
        <v>0</v>
      </c>
      <c r="O1493" s="45" t="n">
        <f aca="false">IF(D1493="Sale",E1493*M1493,0)</f>
        <v>0</v>
      </c>
      <c r="P1493" s="45" t="n">
        <f aca="false">N1493-O1493</f>
        <v>0</v>
      </c>
      <c r="Q1493" s="45" t="n">
        <f aca="false">IF(D1493="Purchase",E1493*M1493,0)</f>
        <v>480</v>
      </c>
    </row>
    <row r="1494" customFormat="false" ht="15" hidden="false" customHeight="false" outlineLevel="0" collapsed="false">
      <c r="A1494" s="39" t="s">
        <v>1818</v>
      </c>
      <c r="B1494" s="44" t="n">
        <v>46279</v>
      </c>
      <c r="C1494" s="39" t="s">
        <v>144</v>
      </c>
      <c r="D1494" s="39" t="s">
        <v>138</v>
      </c>
      <c r="E1494" s="39" t="n">
        <v>10</v>
      </c>
      <c r="F1494" s="39" t="str">
        <f aca="false">IF(COUNTIF(medicine_master!$A$2:$A$26,C1494)&gt;0,"Valid","Invalid")</f>
        <v>Valid</v>
      </c>
      <c r="G1494" s="39" t="str">
        <f aca="false">IFERROR(INDEX(medicine_master!$B$2:$B$26,MATCH($C1494,medicine_master!$A$2:$A$26,0)),"Not found")</f>
        <v>Glimepiride 2mg</v>
      </c>
      <c r="H1494" s="39" t="str">
        <f aca="false">IFERROR(INDEX(medicine_master!$C$2:$C$26,MATCH($C1494,medicine_master!$A$2:$A$26,0)),"Not found")</f>
        <v>Diabetes</v>
      </c>
      <c r="I1494" s="39" t="n">
        <f aca="false">YEAR(B1494)</f>
        <v>2026</v>
      </c>
      <c r="J1494" s="39" t="n">
        <f aca="false">MONTH(B1494)</f>
        <v>9</v>
      </c>
      <c r="K1494" s="39" t="str">
        <f aca="false">TEXT(B1494,"mmm")</f>
        <v>Sep</v>
      </c>
      <c r="L1494" s="45" t="n">
        <f aca="false">IFERROR(INDEX(medicine_master!$I$2:$I$26,MATCH($C1494,medicine_master!$A$2:$A$26,0)),0)</f>
        <v>52</v>
      </c>
      <c r="M1494" s="45" t="n">
        <f aca="false">IFERROR(INDEX(medicine_master!$G$2:$G$26,MATCH($C1494,medicine_master!$A$2:$A$26,0)),0)</f>
        <v>38</v>
      </c>
      <c r="N1494" s="45" t="n">
        <f aca="false">IF(D1494="Sale",E1494*L1494,0)</f>
        <v>0</v>
      </c>
      <c r="O1494" s="45" t="n">
        <f aca="false">IF(D1494="Sale",E1494*M1494,0)</f>
        <v>0</v>
      </c>
      <c r="P1494" s="45" t="n">
        <f aca="false">N1494-O1494</f>
        <v>0</v>
      </c>
      <c r="Q1494" s="45" t="n">
        <f aca="false">IF(D1494="Purchase",E1494*M1494,0)</f>
        <v>380</v>
      </c>
    </row>
    <row r="1495" customFormat="false" ht="15" hidden="false" customHeight="false" outlineLevel="0" collapsed="false">
      <c r="A1495" s="39" t="s">
        <v>1819</v>
      </c>
      <c r="B1495" s="44" t="n">
        <v>46376</v>
      </c>
      <c r="C1495" s="39" t="s">
        <v>150</v>
      </c>
      <c r="D1495" s="39" t="s">
        <v>137</v>
      </c>
      <c r="E1495" s="39" t="n">
        <v>40</v>
      </c>
      <c r="F1495" s="39" t="str">
        <f aca="false">IF(COUNTIF(medicine_master!$A$2:$A$26,C1495)&gt;0,"Valid","Invalid")</f>
        <v>Valid</v>
      </c>
      <c r="G1495" s="39" t="str">
        <f aca="false">IFERROR(INDEX(medicine_master!$B$2:$B$26,MATCH($C1495,medicine_master!$A$2:$A$26,0)),"Not found")</f>
        <v>Pantoprazole 40mg</v>
      </c>
      <c r="H1495" s="39" t="str">
        <f aca="false">IFERROR(INDEX(medicine_master!$C$2:$C$26,MATCH($C1495,medicine_master!$A$2:$A$26,0)),"Not found")</f>
        <v>Gastric</v>
      </c>
      <c r="I1495" s="39" t="n">
        <f aca="false">YEAR(B1495)</f>
        <v>2026</v>
      </c>
      <c r="J1495" s="39" t="n">
        <f aca="false">MONTH(B1495)</f>
        <v>12</v>
      </c>
      <c r="K1495" s="39" t="str">
        <f aca="false">TEXT(B1495,"mmm")</f>
        <v>Dec</v>
      </c>
      <c r="L1495" s="45" t="n">
        <f aca="false">IFERROR(INDEX(medicine_master!$I$2:$I$26,MATCH($C1495,medicine_master!$A$2:$A$26,0)),0)</f>
        <v>35</v>
      </c>
      <c r="M1495" s="45" t="n">
        <f aca="false">IFERROR(INDEX(medicine_master!$G$2:$G$26,MATCH($C1495,medicine_master!$A$2:$A$26,0)),0)</f>
        <v>24</v>
      </c>
      <c r="N1495" s="45" t="n">
        <f aca="false">IF(D1495="Sale",E1495*L1495,0)</f>
        <v>1400</v>
      </c>
      <c r="O1495" s="45" t="n">
        <f aca="false">IF(D1495="Sale",E1495*M1495,0)</f>
        <v>960</v>
      </c>
      <c r="P1495" s="45" t="n">
        <f aca="false">N1495-O1495</f>
        <v>440</v>
      </c>
      <c r="Q1495" s="45" t="n">
        <f aca="false">IF(D1495="Purchase",E1495*M1495,0)</f>
        <v>0</v>
      </c>
    </row>
    <row r="1496" customFormat="false" ht="15" hidden="false" customHeight="false" outlineLevel="0" collapsed="false">
      <c r="A1496" s="39" t="s">
        <v>1820</v>
      </c>
      <c r="B1496" s="44" t="n">
        <v>46360</v>
      </c>
      <c r="C1496" s="39" t="s">
        <v>152</v>
      </c>
      <c r="D1496" s="39" t="s">
        <v>138</v>
      </c>
      <c r="E1496" s="39" t="n">
        <v>10</v>
      </c>
      <c r="F1496" s="39" t="str">
        <f aca="false">IF(COUNTIF(medicine_master!$A$2:$A$26,C1496)&gt;0,"Valid","Invalid")</f>
        <v>Valid</v>
      </c>
      <c r="G1496" s="39" t="str">
        <f aca="false">IFERROR(INDEX(medicine_master!$B$2:$B$26,MATCH($C1496,medicine_master!$A$2:$A$26,0)),"Not found")</f>
        <v>Amoxicillin 500mg</v>
      </c>
      <c r="H1496" s="39" t="str">
        <f aca="false">IFERROR(INDEX(medicine_master!$C$2:$C$26,MATCH($C1496,medicine_master!$A$2:$A$26,0)),"Not found")</f>
        <v>Antibiotic</v>
      </c>
      <c r="I1496" s="39" t="n">
        <f aca="false">YEAR(B1496)</f>
        <v>2026</v>
      </c>
      <c r="J1496" s="39" t="n">
        <f aca="false">MONTH(B1496)</f>
        <v>12</v>
      </c>
      <c r="K1496" s="39" t="str">
        <f aca="false">TEXT(B1496,"mmm")</f>
        <v>Dec</v>
      </c>
      <c r="L1496" s="45" t="n">
        <f aca="false">IFERROR(INDEX(medicine_master!$I$2:$I$26,MATCH($C1496,medicine_master!$A$2:$A$26,0)),0)</f>
        <v>40</v>
      </c>
      <c r="M1496" s="45" t="n">
        <f aca="false">IFERROR(INDEX(medicine_master!$G$2:$G$26,MATCH($C1496,medicine_master!$A$2:$A$26,0)),0)</f>
        <v>28</v>
      </c>
      <c r="N1496" s="45" t="n">
        <f aca="false">IF(D1496="Sale",E1496*L1496,0)</f>
        <v>0</v>
      </c>
      <c r="O1496" s="45" t="n">
        <f aca="false">IF(D1496="Sale",E1496*M1496,0)</f>
        <v>0</v>
      </c>
      <c r="P1496" s="45" t="n">
        <f aca="false">N1496-O1496</f>
        <v>0</v>
      </c>
      <c r="Q1496" s="45" t="n">
        <f aca="false">IF(D1496="Purchase",E1496*M1496,0)</f>
        <v>280</v>
      </c>
    </row>
    <row r="1497" customFormat="false" ht="15" hidden="false" customHeight="false" outlineLevel="0" collapsed="false">
      <c r="A1497" s="39" t="s">
        <v>1821</v>
      </c>
      <c r="B1497" s="44" t="n">
        <v>46352</v>
      </c>
      <c r="C1497" s="39" t="s">
        <v>179</v>
      </c>
      <c r="D1497" s="39" t="s">
        <v>138</v>
      </c>
      <c r="E1497" s="39" t="n">
        <v>15</v>
      </c>
      <c r="F1497" s="39" t="str">
        <f aca="false">IF(COUNTIF(medicine_master!$A$2:$A$26,C1497)&gt;0,"Valid","Invalid")</f>
        <v>Valid</v>
      </c>
      <c r="G1497" s="39" t="str">
        <f aca="false">IFERROR(INDEX(medicine_master!$B$2:$B$26,MATCH($C1497,medicine_master!$A$2:$A$26,0)),"Not found")</f>
        <v>Ibuprofen 400mg</v>
      </c>
      <c r="H1497" s="39" t="str">
        <f aca="false">IFERROR(INDEX(medicine_master!$C$2:$C$26,MATCH($C1497,medicine_master!$A$2:$A$26,0)),"Not found")</f>
        <v>Pain Relief</v>
      </c>
      <c r="I1497" s="39" t="n">
        <f aca="false">YEAR(B1497)</f>
        <v>2026</v>
      </c>
      <c r="J1497" s="39" t="n">
        <f aca="false">MONTH(B1497)</f>
        <v>11</v>
      </c>
      <c r="K1497" s="39" t="str">
        <f aca="false">TEXT(B1497,"mmm")</f>
        <v>Nov</v>
      </c>
      <c r="L1497" s="45" t="n">
        <f aca="false">IFERROR(INDEX(medicine_master!$I$2:$I$26,MATCH($C1497,medicine_master!$A$2:$A$26,0)),0)</f>
        <v>30</v>
      </c>
      <c r="M1497" s="45" t="n">
        <f aca="false">IFERROR(INDEX(medicine_master!$G$2:$G$26,MATCH($C1497,medicine_master!$A$2:$A$26,0)),0)</f>
        <v>22</v>
      </c>
      <c r="N1497" s="45" t="n">
        <f aca="false">IF(D1497="Sale",E1497*L1497,0)</f>
        <v>0</v>
      </c>
      <c r="O1497" s="45" t="n">
        <f aca="false">IF(D1497="Sale",E1497*M1497,0)</f>
        <v>0</v>
      </c>
      <c r="P1497" s="45" t="n">
        <f aca="false">N1497-O1497</f>
        <v>0</v>
      </c>
      <c r="Q1497" s="45" t="n">
        <f aca="false">IF(D1497="Purchase",E1497*M1497,0)</f>
        <v>330</v>
      </c>
    </row>
    <row r="1498" customFormat="false" ht="15" hidden="false" customHeight="false" outlineLevel="0" collapsed="false">
      <c r="A1498" s="39" t="s">
        <v>1822</v>
      </c>
      <c r="B1498" s="44" t="n">
        <v>46289</v>
      </c>
      <c r="C1498" s="39" t="s">
        <v>178</v>
      </c>
      <c r="D1498" s="39" t="s">
        <v>137</v>
      </c>
      <c r="E1498" s="39" t="n">
        <v>20</v>
      </c>
      <c r="F1498" s="39" t="str">
        <f aca="false">IF(COUNTIF(medicine_master!$A$2:$A$26,C1498)&gt;0,"Valid","Invalid")</f>
        <v>Valid</v>
      </c>
      <c r="G1498" s="39" t="str">
        <f aca="false">IFERROR(INDEX(medicine_master!$B$2:$B$26,MATCH($C1498,medicine_master!$A$2:$A$26,0)),"Not found")</f>
        <v>Aspirin 75mg</v>
      </c>
      <c r="H1498" s="39" t="str">
        <f aca="false">IFERROR(INDEX(medicine_master!$C$2:$C$26,MATCH($C1498,medicine_master!$A$2:$A$26,0)),"Not found")</f>
        <v>Cardiac</v>
      </c>
      <c r="I1498" s="39" t="n">
        <f aca="false">YEAR(B1498)</f>
        <v>2026</v>
      </c>
      <c r="J1498" s="39" t="n">
        <f aca="false">MONTH(B1498)</f>
        <v>9</v>
      </c>
      <c r="K1498" s="39" t="str">
        <f aca="false">TEXT(B1498,"mmm")</f>
        <v>Sep</v>
      </c>
      <c r="L1498" s="45" t="n">
        <f aca="false">IFERROR(INDEX(medicine_master!$I$2:$I$26,MATCH($C1498,medicine_master!$A$2:$A$26,0)),0)</f>
        <v>15</v>
      </c>
      <c r="M1498" s="45" t="n">
        <f aca="false">IFERROR(INDEX(medicine_master!$G$2:$G$26,MATCH($C1498,medicine_master!$A$2:$A$26,0)),0)</f>
        <v>10</v>
      </c>
      <c r="N1498" s="45" t="n">
        <f aca="false">IF(D1498="Sale",E1498*L1498,0)</f>
        <v>300</v>
      </c>
      <c r="O1498" s="45" t="n">
        <f aca="false">IF(D1498="Sale",E1498*M1498,0)</f>
        <v>200</v>
      </c>
      <c r="P1498" s="45" t="n">
        <f aca="false">N1498-O1498</f>
        <v>100</v>
      </c>
      <c r="Q1498" s="45" t="n">
        <f aca="false">IF(D1498="Purchase",E1498*M1498,0)</f>
        <v>0</v>
      </c>
    </row>
    <row r="1499" customFormat="false" ht="15" hidden="false" customHeight="false" outlineLevel="0" collapsed="false">
      <c r="A1499" s="39" t="s">
        <v>1823</v>
      </c>
      <c r="B1499" s="44" t="n">
        <v>46030</v>
      </c>
      <c r="C1499" s="39" t="s">
        <v>495</v>
      </c>
      <c r="D1499" s="39" t="s">
        <v>138</v>
      </c>
      <c r="E1499" s="39" t="n">
        <v>30</v>
      </c>
      <c r="F1499" s="39" t="str">
        <f aca="false">IF(COUNTIF(medicine_master!$A$2:$A$26,C1499)&gt;0,"Valid","Invalid")</f>
        <v>Valid</v>
      </c>
      <c r="G1499" s="39" t="str">
        <f aca="false">IFERROR(INDEX(medicine_master!$B$2:$B$26,MATCH($C1499,medicine_master!$A$2:$A$26,0)),"Not found")</f>
        <v>Metformin 500mg</v>
      </c>
      <c r="H1499" s="39" t="str">
        <f aca="false">IFERROR(INDEX(medicine_master!$C$2:$C$26,MATCH($C1499,medicine_master!$A$2:$A$26,0)),"Not found")</f>
        <v>Diabetes</v>
      </c>
      <c r="I1499" s="39" t="n">
        <f aca="false">YEAR(B1499)</f>
        <v>2026</v>
      </c>
      <c r="J1499" s="39" t="n">
        <f aca="false">MONTH(B1499)</f>
        <v>1</v>
      </c>
      <c r="K1499" s="39" t="str">
        <f aca="false">TEXT(B1499,"mmm")</f>
        <v>Jan</v>
      </c>
      <c r="L1499" s="45" t="n">
        <f aca="false">IFERROR(INDEX(medicine_master!$I$2:$I$26,MATCH($C1499,medicine_master!$A$2:$A$26,0)),0)</f>
        <v>24</v>
      </c>
      <c r="M1499" s="45" t="n">
        <f aca="false">IFERROR(INDEX(medicine_master!$G$2:$G$26,MATCH($C1499,medicine_master!$A$2:$A$26,0)),0)</f>
        <v>16</v>
      </c>
      <c r="N1499" s="45" t="n">
        <f aca="false">IF(D1499="Sale",E1499*L1499,0)</f>
        <v>0</v>
      </c>
      <c r="O1499" s="45" t="n">
        <f aca="false">IF(D1499="Sale",E1499*M1499,0)</f>
        <v>0</v>
      </c>
      <c r="P1499" s="45" t="n">
        <f aca="false">N1499-O1499</f>
        <v>0</v>
      </c>
      <c r="Q1499" s="45" t="n">
        <f aca="false">IF(D1499="Purchase",E1499*M1499,0)</f>
        <v>480</v>
      </c>
    </row>
    <row r="1500" customFormat="false" ht="15" hidden="false" customHeight="false" outlineLevel="0" collapsed="false">
      <c r="A1500" s="39" t="s">
        <v>1824</v>
      </c>
      <c r="B1500" s="44" t="n">
        <v>46234</v>
      </c>
      <c r="C1500" s="39" t="s">
        <v>177</v>
      </c>
      <c r="D1500" s="39" t="s">
        <v>138</v>
      </c>
      <c r="E1500" s="39" t="n">
        <v>10</v>
      </c>
      <c r="F1500" s="39" t="str">
        <f aca="false">IF(COUNTIF(medicine_master!$A$2:$A$26,C1500)&gt;0,"Valid","Invalid")</f>
        <v>Valid</v>
      </c>
      <c r="G1500" s="39" t="str">
        <f aca="false">IFERROR(INDEX(medicine_master!$B$2:$B$26,MATCH($C1500,medicine_master!$A$2:$A$26,0)),"Not found")</f>
        <v>Bandage Roll</v>
      </c>
      <c r="H1500" s="39" t="str">
        <f aca="false">IFERROR(INDEX(medicine_master!$C$2:$C$26,MATCH($C1500,medicine_master!$A$2:$A$26,0)),"Not found")</f>
        <v>First Aid</v>
      </c>
      <c r="I1500" s="39" t="n">
        <f aca="false">YEAR(B1500)</f>
        <v>2026</v>
      </c>
      <c r="J1500" s="39" t="n">
        <f aca="false">MONTH(B1500)</f>
        <v>7</v>
      </c>
      <c r="K1500" s="39" t="str">
        <f aca="false">TEXT(B1500,"mmm")</f>
        <v>Jul</v>
      </c>
      <c r="L1500" s="45" t="n">
        <f aca="false">IFERROR(INDEX(medicine_master!$I$2:$I$26,MATCH($C1500,medicine_master!$A$2:$A$26,0)),0)</f>
        <v>25</v>
      </c>
      <c r="M1500" s="45" t="n">
        <f aca="false">IFERROR(INDEX(medicine_master!$G$2:$G$26,MATCH($C1500,medicine_master!$A$2:$A$26,0)),0)</f>
        <v>15</v>
      </c>
      <c r="N1500" s="45" t="n">
        <f aca="false">IF(D1500="Sale",E1500*L1500,0)</f>
        <v>0</v>
      </c>
      <c r="O1500" s="45" t="n">
        <f aca="false">IF(D1500="Sale",E1500*M1500,0)</f>
        <v>0</v>
      </c>
      <c r="P1500" s="45" t="n">
        <f aca="false">N1500-O1500</f>
        <v>0</v>
      </c>
      <c r="Q1500" s="45" t="n">
        <f aca="false">IF(D1500="Purchase",E1500*M1500,0)</f>
        <v>150</v>
      </c>
    </row>
    <row r="1501" customFormat="false" ht="15" hidden="false" customHeight="false" outlineLevel="0" collapsed="false">
      <c r="A1501" s="39" t="s">
        <v>1825</v>
      </c>
      <c r="B1501" s="44" t="n">
        <v>46275</v>
      </c>
      <c r="C1501" s="39" t="s">
        <v>153</v>
      </c>
      <c r="D1501" s="39" t="s">
        <v>137</v>
      </c>
      <c r="E1501" s="39" t="n">
        <v>30</v>
      </c>
      <c r="F1501" s="39" t="str">
        <f aca="false">IF(COUNTIF(medicine_master!$A$2:$A$26,C1501)&gt;0,"Valid","Invalid")</f>
        <v>Valid</v>
      </c>
      <c r="G1501" s="39" t="str">
        <f aca="false">IFERROR(INDEX(medicine_master!$B$2:$B$26,MATCH($C1501,medicine_master!$A$2:$A$26,0)),"Not found")</f>
        <v>Atorvastatin 10mg</v>
      </c>
      <c r="H1501" s="39" t="str">
        <f aca="false">IFERROR(INDEX(medicine_master!$C$2:$C$26,MATCH($C1501,medicine_master!$A$2:$A$26,0)),"Not found")</f>
        <v>Cardiac</v>
      </c>
      <c r="I1501" s="39" t="n">
        <f aca="false">YEAR(B1501)</f>
        <v>2026</v>
      </c>
      <c r="J1501" s="39" t="n">
        <f aca="false">MONTH(B1501)</f>
        <v>9</v>
      </c>
      <c r="K1501" s="39" t="str">
        <f aca="false">TEXT(B1501,"mmm")</f>
        <v>Sep</v>
      </c>
      <c r="L1501" s="45" t="n">
        <f aca="false">IFERROR(INDEX(medicine_master!$I$2:$I$26,MATCH($C1501,medicine_master!$A$2:$A$26,0)),0)</f>
        <v>28</v>
      </c>
      <c r="M1501" s="45" t="n">
        <f aca="false">IFERROR(INDEX(medicine_master!$G$2:$G$26,MATCH($C1501,medicine_master!$A$2:$A$26,0)),0)</f>
        <v>19</v>
      </c>
      <c r="N1501" s="45" t="n">
        <f aca="false">IF(D1501="Sale",E1501*L1501,0)</f>
        <v>840</v>
      </c>
      <c r="O1501" s="45" t="n">
        <f aca="false">IF(D1501="Sale",E1501*M1501,0)</f>
        <v>570</v>
      </c>
      <c r="P1501" s="45" t="n">
        <f aca="false">N1501-O1501</f>
        <v>270</v>
      </c>
      <c r="Q1501" s="45" t="n">
        <f aca="false">IF(D1501="Purchase",E1501*M1501,0)</f>
        <v>0</v>
      </c>
    </row>
    <row r="1502" customFormat="false" ht="15" hidden="false" customHeight="false" outlineLevel="0" collapsed="false">
      <c r="A1502" s="39" t="s">
        <v>1826</v>
      </c>
      <c r="B1502" s="44" t="n">
        <v>46364</v>
      </c>
      <c r="C1502" s="39" t="s">
        <v>390</v>
      </c>
      <c r="D1502" s="39" t="s">
        <v>138</v>
      </c>
      <c r="E1502" s="39" t="n">
        <v>5</v>
      </c>
      <c r="F1502" s="39" t="str">
        <f aca="false">IF(COUNTIF(medicine_master!$A$2:$A$26,C1502)&gt;0,"Valid","Invalid")</f>
        <v>Valid</v>
      </c>
      <c r="G1502" s="39" t="str">
        <f aca="false">IFERROR(INDEX(medicine_master!$B$2:$B$26,MATCH($C1502,medicine_master!$A$2:$A$26,0)),"Not found")</f>
        <v>Montelukast 10mg</v>
      </c>
      <c r="H1502" s="39" t="str">
        <f aca="false">IFERROR(INDEX(medicine_master!$C$2:$C$26,MATCH($C1502,medicine_master!$A$2:$A$26,0)),"Not found")</f>
        <v>Allergy</v>
      </c>
      <c r="I1502" s="39" t="n">
        <f aca="false">YEAR(B1502)</f>
        <v>2026</v>
      </c>
      <c r="J1502" s="39" t="n">
        <f aca="false">MONTH(B1502)</f>
        <v>12</v>
      </c>
      <c r="K1502" s="39" t="str">
        <f aca="false">TEXT(B1502,"mmm")</f>
        <v>Dec</v>
      </c>
      <c r="L1502" s="45" t="n">
        <f aca="false">IFERROR(INDEX(medicine_master!$I$2:$I$26,MATCH($C1502,medicine_master!$A$2:$A$26,0)),0)</f>
        <v>39</v>
      </c>
      <c r="M1502" s="45" t="n">
        <f aca="false">IFERROR(INDEX(medicine_master!$G$2:$G$26,MATCH($C1502,medicine_master!$A$2:$A$26,0)),0)</f>
        <v>27</v>
      </c>
      <c r="N1502" s="45" t="n">
        <f aca="false">IF(D1502="Sale",E1502*L1502,0)</f>
        <v>0</v>
      </c>
      <c r="O1502" s="45" t="n">
        <f aca="false">IF(D1502="Sale",E1502*M1502,0)</f>
        <v>0</v>
      </c>
      <c r="P1502" s="45" t="n">
        <f aca="false">N1502-O1502</f>
        <v>0</v>
      </c>
      <c r="Q1502" s="45" t="n">
        <f aca="false">IF(D1502="Purchase",E1502*M1502,0)</f>
        <v>135</v>
      </c>
    </row>
    <row r="1503" customFormat="false" ht="15" hidden="false" customHeight="false" outlineLevel="0" collapsed="false">
      <c r="A1503" s="39" t="s">
        <v>1827</v>
      </c>
      <c r="B1503" s="44" t="n">
        <v>46042</v>
      </c>
      <c r="C1503" s="39" t="s">
        <v>147</v>
      </c>
      <c r="D1503" s="39" t="s">
        <v>137</v>
      </c>
      <c r="E1503" s="39" t="n">
        <v>15</v>
      </c>
      <c r="F1503" s="39" t="str">
        <f aca="false">IF(COUNTIF(medicine_master!$A$2:$A$26,C1503)&gt;0,"Valid","Invalid")</f>
        <v>Valid</v>
      </c>
      <c r="G1503" s="39" t="str">
        <f aca="false">IFERROR(INDEX(medicine_master!$B$2:$B$26,MATCH($C1503,medicine_master!$A$2:$A$26,0)),"Not found")</f>
        <v>Insulin Injection</v>
      </c>
      <c r="H1503" s="39" t="str">
        <f aca="false">IFERROR(INDEX(medicine_master!$C$2:$C$26,MATCH($C1503,medicine_master!$A$2:$A$26,0)),"Not found")</f>
        <v>Diabetes</v>
      </c>
      <c r="I1503" s="39" t="n">
        <f aca="false">YEAR(B1503)</f>
        <v>2026</v>
      </c>
      <c r="J1503" s="39" t="n">
        <f aca="false">MONTH(B1503)</f>
        <v>1</v>
      </c>
      <c r="K1503" s="39" t="str">
        <f aca="false">TEXT(B1503,"mmm")</f>
        <v>Jan</v>
      </c>
      <c r="L1503" s="45" t="n">
        <f aca="false">IFERROR(INDEX(medicine_master!$I$2:$I$26,MATCH($C1503,medicine_master!$A$2:$A$26,0)),0)</f>
        <v>225</v>
      </c>
      <c r="M1503" s="45" t="n">
        <f aca="false">IFERROR(INDEX(medicine_master!$G$2:$G$26,MATCH($C1503,medicine_master!$A$2:$A$26,0)),0)</f>
        <v>165</v>
      </c>
      <c r="N1503" s="45" t="n">
        <f aca="false">IF(D1503="Sale",E1503*L1503,0)</f>
        <v>3375</v>
      </c>
      <c r="O1503" s="45" t="n">
        <f aca="false">IF(D1503="Sale",E1503*M1503,0)</f>
        <v>2475</v>
      </c>
      <c r="P1503" s="45" t="n">
        <f aca="false">N1503-O1503</f>
        <v>900</v>
      </c>
      <c r="Q1503" s="45" t="n">
        <f aca="false">IF(D1503="Purchase",E1503*M1503,0)</f>
        <v>0</v>
      </c>
    </row>
    <row r="1504" customFormat="false" ht="15" hidden="false" customHeight="false" outlineLevel="0" collapsed="false">
      <c r="A1504" s="39" t="s">
        <v>1828</v>
      </c>
      <c r="B1504" s="44" t="n">
        <v>46316</v>
      </c>
      <c r="C1504" s="39" t="s">
        <v>321</v>
      </c>
      <c r="D1504" s="39" t="s">
        <v>137</v>
      </c>
      <c r="E1504" s="39" t="n">
        <v>15</v>
      </c>
      <c r="F1504" s="39" t="str">
        <f aca="false">IF(COUNTIF(medicine_master!$A$2:$A$26,C1504)&gt;0,"Valid","Invalid")</f>
        <v>Valid</v>
      </c>
      <c r="G1504" s="39" t="str">
        <f aca="false">IFERROR(INDEX(medicine_master!$B$2:$B$26,MATCH($C1504,medicine_master!$A$2:$A$26,0)),"Not found")</f>
        <v>Levocetirizine 5mg</v>
      </c>
      <c r="H1504" s="39" t="str">
        <f aca="false">IFERROR(INDEX(medicine_master!$C$2:$C$26,MATCH($C1504,medicine_master!$A$2:$A$26,0)),"Not found")</f>
        <v>Allergy</v>
      </c>
      <c r="I1504" s="39" t="n">
        <f aca="false">YEAR(B1504)</f>
        <v>2026</v>
      </c>
      <c r="J1504" s="39" t="n">
        <f aca="false">MONTH(B1504)</f>
        <v>10</v>
      </c>
      <c r="K1504" s="39" t="str">
        <f aca="false">TEXT(B1504,"mmm")</f>
        <v>Oct</v>
      </c>
      <c r="L1504" s="45" t="n">
        <f aca="false">IFERROR(INDEX(medicine_master!$I$2:$I$26,MATCH($C1504,medicine_master!$A$2:$A$26,0)),0)</f>
        <v>22</v>
      </c>
      <c r="M1504" s="45" t="n">
        <f aca="false">IFERROR(INDEX(medicine_master!$G$2:$G$26,MATCH($C1504,medicine_master!$A$2:$A$26,0)),0)</f>
        <v>14</v>
      </c>
      <c r="N1504" s="45" t="n">
        <f aca="false">IF(D1504="Sale",E1504*L1504,0)</f>
        <v>330</v>
      </c>
      <c r="O1504" s="45" t="n">
        <f aca="false">IF(D1504="Sale",E1504*M1504,0)</f>
        <v>210</v>
      </c>
      <c r="P1504" s="45" t="n">
        <f aca="false">N1504-O1504</f>
        <v>120</v>
      </c>
      <c r="Q1504" s="45" t="n">
        <f aca="false">IF(D1504="Purchase",E1504*M1504,0)</f>
        <v>0</v>
      </c>
    </row>
    <row r="1505" customFormat="false" ht="15" hidden="false" customHeight="false" outlineLevel="0" collapsed="false">
      <c r="A1505" s="39" t="s">
        <v>1829</v>
      </c>
      <c r="B1505" s="44" t="n">
        <v>46352</v>
      </c>
      <c r="C1505" s="39" t="s">
        <v>148</v>
      </c>
      <c r="D1505" s="39" t="s">
        <v>138</v>
      </c>
      <c r="E1505" s="39" t="n">
        <v>5</v>
      </c>
      <c r="F1505" s="39" t="str">
        <f aca="false">IF(COUNTIF(medicine_master!$A$2:$A$26,C1505)&gt;0,"Valid","Invalid")</f>
        <v>Valid</v>
      </c>
      <c r="G1505" s="39" t="str">
        <f aca="false">IFERROR(INDEX(medicine_master!$B$2:$B$26,MATCH($C1505,medicine_master!$A$2:$A$26,0)),"Not found")</f>
        <v>Dextromethorphan Syrup</v>
      </c>
      <c r="H1505" s="39" t="str">
        <f aca="false">IFERROR(INDEX(medicine_master!$C$2:$C$26,MATCH($C1505,medicine_master!$A$2:$A$26,0)),"Not found")</f>
        <v>Cold &amp; Cough</v>
      </c>
      <c r="I1505" s="39" t="n">
        <f aca="false">YEAR(B1505)</f>
        <v>2026</v>
      </c>
      <c r="J1505" s="39" t="n">
        <f aca="false">MONTH(B1505)</f>
        <v>11</v>
      </c>
      <c r="K1505" s="39" t="str">
        <f aca="false">TEXT(B1505,"mmm")</f>
        <v>Nov</v>
      </c>
      <c r="L1505" s="45" t="n">
        <f aca="false">IFERROR(INDEX(medicine_master!$I$2:$I$26,MATCH($C1505,medicine_master!$A$2:$A$26,0)),0)</f>
        <v>80</v>
      </c>
      <c r="M1505" s="45" t="n">
        <f aca="false">IFERROR(INDEX(medicine_master!$G$2:$G$26,MATCH($C1505,medicine_master!$A$2:$A$26,0)),0)</f>
        <v>58</v>
      </c>
      <c r="N1505" s="45" t="n">
        <f aca="false">IF(D1505="Sale",E1505*L1505,0)</f>
        <v>0</v>
      </c>
      <c r="O1505" s="45" t="n">
        <f aca="false">IF(D1505="Sale",E1505*M1505,0)</f>
        <v>0</v>
      </c>
      <c r="P1505" s="45" t="n">
        <f aca="false">N1505-O1505</f>
        <v>0</v>
      </c>
      <c r="Q1505" s="45" t="n">
        <f aca="false">IF(D1505="Purchase",E1505*M1505,0)</f>
        <v>290</v>
      </c>
    </row>
    <row r="1506" customFormat="false" ht="15" hidden="false" customHeight="false" outlineLevel="0" collapsed="false">
      <c r="A1506" s="39" t="s">
        <v>1830</v>
      </c>
      <c r="B1506" s="44" t="n">
        <v>46073</v>
      </c>
      <c r="C1506" s="39" t="s">
        <v>160</v>
      </c>
      <c r="D1506" s="39" t="s">
        <v>138</v>
      </c>
      <c r="E1506" s="39" t="n">
        <v>15</v>
      </c>
      <c r="F1506" s="39" t="str">
        <f aca="false">IF(COUNTIF(medicine_master!$A$2:$A$26,C1506)&gt;0,"Valid","Invalid")</f>
        <v>Valid</v>
      </c>
      <c r="G1506" s="39" t="str">
        <f aca="false">IFERROR(INDEX(medicine_master!$B$2:$B$26,MATCH($C1506,medicine_master!$A$2:$A$26,0)),"Not found")</f>
        <v>Calamine Lotion</v>
      </c>
      <c r="H1506" s="39" t="str">
        <f aca="false">IFERROR(INDEX(medicine_master!$C$2:$C$26,MATCH($C1506,medicine_master!$A$2:$A$26,0)),"Not found")</f>
        <v>Dermatology</v>
      </c>
      <c r="I1506" s="39" t="n">
        <f aca="false">YEAR(B1506)</f>
        <v>2026</v>
      </c>
      <c r="J1506" s="39" t="n">
        <f aca="false">MONTH(B1506)</f>
        <v>2</v>
      </c>
      <c r="K1506" s="39" t="str">
        <f aca="false">TEXT(B1506,"mmm")</f>
        <v>Feb</v>
      </c>
      <c r="L1506" s="45" t="n">
        <f aca="false">IFERROR(INDEX(medicine_master!$I$2:$I$26,MATCH($C1506,medicine_master!$A$2:$A$26,0)),0)</f>
        <v>60</v>
      </c>
      <c r="M1506" s="45" t="n">
        <f aca="false">IFERROR(INDEX(medicine_master!$G$2:$G$26,MATCH($C1506,medicine_master!$A$2:$A$26,0)),0)</f>
        <v>42</v>
      </c>
      <c r="N1506" s="45" t="n">
        <f aca="false">IF(D1506="Sale",E1506*L1506,0)</f>
        <v>0</v>
      </c>
      <c r="O1506" s="45" t="n">
        <f aca="false">IF(D1506="Sale",E1506*M1506,0)</f>
        <v>0</v>
      </c>
      <c r="P1506" s="45" t="n">
        <f aca="false">N1506-O1506</f>
        <v>0</v>
      </c>
      <c r="Q1506" s="45" t="n">
        <f aca="false">IF(D1506="Purchase",E1506*M1506,0)</f>
        <v>630</v>
      </c>
    </row>
    <row r="1507" customFormat="false" ht="15" hidden="false" customHeight="false" outlineLevel="0" collapsed="false">
      <c r="A1507" s="39" t="s">
        <v>1831</v>
      </c>
      <c r="B1507" s="44" t="n">
        <v>46142</v>
      </c>
      <c r="C1507" s="39" t="s">
        <v>157</v>
      </c>
      <c r="D1507" s="39" t="s">
        <v>138</v>
      </c>
      <c r="E1507" s="39" t="n">
        <v>10</v>
      </c>
      <c r="F1507" s="39" t="str">
        <f aca="false">IF(COUNTIF(medicine_master!$A$2:$A$26,C1507)&gt;0,"Valid","Invalid")</f>
        <v>Valid</v>
      </c>
      <c r="G1507" s="39" t="str">
        <f aca="false">IFERROR(INDEX(medicine_master!$B$2:$B$26,MATCH($C1507,medicine_master!$A$2:$A$26,0)),"Not found")</f>
        <v>Multivitamin Tablets</v>
      </c>
      <c r="H1507" s="39" t="str">
        <f aca="false">IFERROR(INDEX(medicine_master!$C$2:$C$26,MATCH($C1507,medicine_master!$A$2:$A$26,0)),"Not found")</f>
        <v>Vitamin</v>
      </c>
      <c r="I1507" s="39" t="n">
        <f aca="false">YEAR(B1507)</f>
        <v>2026</v>
      </c>
      <c r="J1507" s="39" t="n">
        <f aca="false">MONTH(B1507)</f>
        <v>4</v>
      </c>
      <c r="K1507" s="39" t="str">
        <f aca="false">TEXT(B1507,"mmm")</f>
        <v>Apr</v>
      </c>
      <c r="L1507" s="45" t="n">
        <f aca="false">IFERROR(INDEX(medicine_master!$I$2:$I$26,MATCH($C1507,medicine_master!$A$2:$A$26,0)),0)</f>
        <v>105</v>
      </c>
      <c r="M1507" s="45" t="n">
        <f aca="false">IFERROR(INDEX(medicine_master!$G$2:$G$26,MATCH($C1507,medicine_master!$A$2:$A$26,0)),0)</f>
        <v>72</v>
      </c>
      <c r="N1507" s="45" t="n">
        <f aca="false">IF(D1507="Sale",E1507*L1507,0)</f>
        <v>0</v>
      </c>
      <c r="O1507" s="45" t="n">
        <f aca="false">IF(D1507="Sale",E1507*M1507,0)</f>
        <v>0</v>
      </c>
      <c r="P1507" s="45" t="n">
        <f aca="false">N1507-O1507</f>
        <v>0</v>
      </c>
      <c r="Q1507" s="45" t="n">
        <f aca="false">IF(D1507="Purchase",E1507*M1507,0)</f>
        <v>720</v>
      </c>
    </row>
    <row r="1508" customFormat="false" ht="15" hidden="false" customHeight="false" outlineLevel="0" collapsed="false">
      <c r="A1508" s="39" t="s">
        <v>1832</v>
      </c>
      <c r="B1508" s="44" t="n">
        <v>46079</v>
      </c>
      <c r="C1508" s="39" t="s">
        <v>180</v>
      </c>
      <c r="D1508" s="39" t="s">
        <v>137</v>
      </c>
      <c r="E1508" s="39" t="n">
        <v>20</v>
      </c>
      <c r="F1508" s="39" t="str">
        <f aca="false">IF(COUNTIF(medicine_master!$A$2:$A$26,C1508)&gt;0,"Valid","Invalid")</f>
        <v>Valid</v>
      </c>
      <c r="G1508" s="39" t="str">
        <f aca="false">IFERROR(INDEX(medicine_master!$B$2:$B$26,MATCH($C1508,medicine_master!$A$2:$A$26,0)),"Not found")</f>
        <v>Vitamin C 500mg</v>
      </c>
      <c r="H1508" s="39" t="str">
        <f aca="false">IFERROR(INDEX(medicine_master!$C$2:$C$26,MATCH($C1508,medicine_master!$A$2:$A$26,0)),"Not found")</f>
        <v>Vitamin</v>
      </c>
      <c r="I1508" s="39" t="n">
        <f aca="false">YEAR(B1508)</f>
        <v>2026</v>
      </c>
      <c r="J1508" s="39" t="n">
        <f aca="false">MONTH(B1508)</f>
        <v>2</v>
      </c>
      <c r="K1508" s="39" t="str">
        <f aca="false">TEXT(B1508,"mmm")</f>
        <v>Feb</v>
      </c>
      <c r="L1508" s="45" t="n">
        <f aca="false">IFERROR(INDEX(medicine_master!$I$2:$I$26,MATCH($C1508,medicine_master!$A$2:$A$26,0)),0)</f>
        <v>22</v>
      </c>
      <c r="M1508" s="45" t="n">
        <f aca="false">IFERROR(INDEX(medicine_master!$G$2:$G$26,MATCH($C1508,medicine_master!$A$2:$A$26,0)),0)</f>
        <v>14</v>
      </c>
      <c r="N1508" s="45" t="n">
        <f aca="false">IF(D1508="Sale",E1508*L1508,0)</f>
        <v>440</v>
      </c>
      <c r="O1508" s="45" t="n">
        <f aca="false">IF(D1508="Sale",E1508*M1508,0)</f>
        <v>280</v>
      </c>
      <c r="P1508" s="45" t="n">
        <f aca="false">N1508-O1508</f>
        <v>160</v>
      </c>
      <c r="Q1508" s="45" t="n">
        <f aca="false">IF(D1508="Purchase",E1508*M1508,0)</f>
        <v>0</v>
      </c>
    </row>
    <row r="1509" customFormat="false" ht="15" hidden="false" customHeight="false" outlineLevel="0" collapsed="false">
      <c r="A1509" s="39" t="s">
        <v>1833</v>
      </c>
      <c r="B1509" s="44" t="n">
        <v>46242</v>
      </c>
      <c r="C1509" s="39" t="s">
        <v>178</v>
      </c>
      <c r="D1509" s="39" t="s">
        <v>137</v>
      </c>
      <c r="E1509" s="39" t="n">
        <v>40</v>
      </c>
      <c r="F1509" s="39" t="str">
        <f aca="false">IF(COUNTIF(medicine_master!$A$2:$A$26,C1509)&gt;0,"Valid","Invalid")</f>
        <v>Valid</v>
      </c>
      <c r="G1509" s="39" t="str">
        <f aca="false">IFERROR(INDEX(medicine_master!$B$2:$B$26,MATCH($C1509,medicine_master!$A$2:$A$26,0)),"Not found")</f>
        <v>Aspirin 75mg</v>
      </c>
      <c r="H1509" s="39" t="str">
        <f aca="false">IFERROR(INDEX(medicine_master!$C$2:$C$26,MATCH($C1509,medicine_master!$A$2:$A$26,0)),"Not found")</f>
        <v>Cardiac</v>
      </c>
      <c r="I1509" s="39" t="n">
        <f aca="false">YEAR(B1509)</f>
        <v>2026</v>
      </c>
      <c r="J1509" s="39" t="n">
        <f aca="false">MONTH(B1509)</f>
        <v>8</v>
      </c>
      <c r="K1509" s="39" t="str">
        <f aca="false">TEXT(B1509,"mmm")</f>
        <v>Aug</v>
      </c>
      <c r="L1509" s="45" t="n">
        <f aca="false">IFERROR(INDEX(medicine_master!$I$2:$I$26,MATCH($C1509,medicine_master!$A$2:$A$26,0)),0)</f>
        <v>15</v>
      </c>
      <c r="M1509" s="45" t="n">
        <f aca="false">IFERROR(INDEX(medicine_master!$G$2:$G$26,MATCH($C1509,medicine_master!$A$2:$A$26,0)),0)</f>
        <v>10</v>
      </c>
      <c r="N1509" s="45" t="n">
        <f aca="false">IF(D1509="Sale",E1509*L1509,0)</f>
        <v>600</v>
      </c>
      <c r="O1509" s="45" t="n">
        <f aca="false">IF(D1509="Sale",E1509*M1509,0)</f>
        <v>400</v>
      </c>
      <c r="P1509" s="45" t="n">
        <f aca="false">N1509-O1509</f>
        <v>200</v>
      </c>
      <c r="Q1509" s="45" t="n">
        <f aca="false">IF(D1509="Purchase",E1509*M1509,0)</f>
        <v>0</v>
      </c>
    </row>
    <row r="1510" customFormat="false" ht="15" hidden="false" customHeight="false" outlineLevel="0" collapsed="false">
      <c r="A1510" s="39" t="s">
        <v>1834</v>
      </c>
      <c r="B1510" s="44" t="n">
        <v>46320</v>
      </c>
      <c r="C1510" s="39" t="s">
        <v>150</v>
      </c>
      <c r="D1510" s="39" t="s">
        <v>137</v>
      </c>
      <c r="E1510" s="39" t="n">
        <v>30</v>
      </c>
      <c r="F1510" s="39" t="str">
        <f aca="false">IF(COUNTIF(medicine_master!$A$2:$A$26,C1510)&gt;0,"Valid","Invalid")</f>
        <v>Valid</v>
      </c>
      <c r="G1510" s="39" t="str">
        <f aca="false">IFERROR(INDEX(medicine_master!$B$2:$B$26,MATCH($C1510,medicine_master!$A$2:$A$26,0)),"Not found")</f>
        <v>Pantoprazole 40mg</v>
      </c>
      <c r="H1510" s="39" t="str">
        <f aca="false">IFERROR(INDEX(medicine_master!$C$2:$C$26,MATCH($C1510,medicine_master!$A$2:$A$26,0)),"Not found")</f>
        <v>Gastric</v>
      </c>
      <c r="I1510" s="39" t="n">
        <f aca="false">YEAR(B1510)</f>
        <v>2026</v>
      </c>
      <c r="J1510" s="39" t="n">
        <f aca="false">MONTH(B1510)</f>
        <v>10</v>
      </c>
      <c r="K1510" s="39" t="str">
        <f aca="false">TEXT(B1510,"mmm")</f>
        <v>Oct</v>
      </c>
      <c r="L1510" s="45" t="n">
        <f aca="false">IFERROR(INDEX(medicine_master!$I$2:$I$26,MATCH($C1510,medicine_master!$A$2:$A$26,0)),0)</f>
        <v>35</v>
      </c>
      <c r="M1510" s="45" t="n">
        <f aca="false">IFERROR(INDEX(medicine_master!$G$2:$G$26,MATCH($C1510,medicine_master!$A$2:$A$26,0)),0)</f>
        <v>24</v>
      </c>
      <c r="N1510" s="45" t="n">
        <f aca="false">IF(D1510="Sale",E1510*L1510,0)</f>
        <v>1050</v>
      </c>
      <c r="O1510" s="45" t="n">
        <f aca="false">IF(D1510="Sale",E1510*M1510,0)</f>
        <v>720</v>
      </c>
      <c r="P1510" s="45" t="n">
        <f aca="false">N1510-O1510</f>
        <v>330</v>
      </c>
      <c r="Q1510" s="45" t="n">
        <f aca="false">IF(D1510="Purchase",E1510*M1510,0)</f>
        <v>0</v>
      </c>
    </row>
    <row r="1511" customFormat="false" ht="15" hidden="false" customHeight="false" outlineLevel="0" collapsed="false">
      <c r="A1511" s="39" t="s">
        <v>1835</v>
      </c>
      <c r="B1511" s="44" t="n">
        <v>46054</v>
      </c>
      <c r="C1511" s="39" t="s">
        <v>150</v>
      </c>
      <c r="D1511" s="39" t="s">
        <v>137</v>
      </c>
      <c r="E1511" s="39" t="n">
        <v>10</v>
      </c>
      <c r="F1511" s="39" t="str">
        <f aca="false">IF(COUNTIF(medicine_master!$A$2:$A$26,C1511)&gt;0,"Valid","Invalid")</f>
        <v>Valid</v>
      </c>
      <c r="G1511" s="39" t="str">
        <f aca="false">IFERROR(INDEX(medicine_master!$B$2:$B$26,MATCH($C1511,medicine_master!$A$2:$A$26,0)),"Not found")</f>
        <v>Pantoprazole 40mg</v>
      </c>
      <c r="H1511" s="39" t="str">
        <f aca="false">IFERROR(INDEX(medicine_master!$C$2:$C$26,MATCH($C1511,medicine_master!$A$2:$A$26,0)),"Not found")</f>
        <v>Gastric</v>
      </c>
      <c r="I1511" s="39" t="n">
        <f aca="false">YEAR(B1511)</f>
        <v>2026</v>
      </c>
      <c r="J1511" s="39" t="n">
        <f aca="false">MONTH(B1511)</f>
        <v>2</v>
      </c>
      <c r="K1511" s="39" t="str">
        <f aca="false">TEXT(B1511,"mmm")</f>
        <v>Feb</v>
      </c>
      <c r="L1511" s="45" t="n">
        <f aca="false">IFERROR(INDEX(medicine_master!$I$2:$I$26,MATCH($C1511,medicine_master!$A$2:$A$26,0)),0)</f>
        <v>35</v>
      </c>
      <c r="M1511" s="45" t="n">
        <f aca="false">IFERROR(INDEX(medicine_master!$G$2:$G$26,MATCH($C1511,medicine_master!$A$2:$A$26,0)),0)</f>
        <v>24</v>
      </c>
      <c r="N1511" s="45" t="n">
        <f aca="false">IF(D1511="Sale",E1511*L1511,0)</f>
        <v>350</v>
      </c>
      <c r="O1511" s="45" t="n">
        <f aca="false">IF(D1511="Sale",E1511*M1511,0)</f>
        <v>240</v>
      </c>
      <c r="P1511" s="45" t="n">
        <f aca="false">N1511-O1511</f>
        <v>110</v>
      </c>
      <c r="Q1511" s="45" t="n">
        <f aca="false">IF(D1511="Purchase",E1511*M1511,0)</f>
        <v>0</v>
      </c>
    </row>
    <row r="1512" customFormat="false" ht="15" hidden="false" customHeight="false" outlineLevel="0" collapsed="false">
      <c r="A1512" s="39" t="s">
        <v>1836</v>
      </c>
      <c r="B1512" s="44" t="n">
        <v>46248</v>
      </c>
      <c r="C1512" s="39" t="s">
        <v>178</v>
      </c>
      <c r="D1512" s="39" t="s">
        <v>138</v>
      </c>
      <c r="E1512" s="39" t="n">
        <v>30</v>
      </c>
      <c r="F1512" s="39" t="str">
        <f aca="false">IF(COUNTIF(medicine_master!$A$2:$A$26,C1512)&gt;0,"Valid","Invalid")</f>
        <v>Valid</v>
      </c>
      <c r="G1512" s="39" t="str">
        <f aca="false">IFERROR(INDEX(medicine_master!$B$2:$B$26,MATCH($C1512,medicine_master!$A$2:$A$26,0)),"Not found")</f>
        <v>Aspirin 75mg</v>
      </c>
      <c r="H1512" s="39" t="str">
        <f aca="false">IFERROR(INDEX(medicine_master!$C$2:$C$26,MATCH($C1512,medicine_master!$A$2:$A$26,0)),"Not found")</f>
        <v>Cardiac</v>
      </c>
      <c r="I1512" s="39" t="n">
        <f aca="false">YEAR(B1512)</f>
        <v>2026</v>
      </c>
      <c r="J1512" s="39" t="n">
        <f aca="false">MONTH(B1512)</f>
        <v>8</v>
      </c>
      <c r="K1512" s="39" t="str">
        <f aca="false">TEXT(B1512,"mmm")</f>
        <v>Aug</v>
      </c>
      <c r="L1512" s="45" t="n">
        <f aca="false">IFERROR(INDEX(medicine_master!$I$2:$I$26,MATCH($C1512,medicine_master!$A$2:$A$26,0)),0)</f>
        <v>15</v>
      </c>
      <c r="M1512" s="45" t="n">
        <f aca="false">IFERROR(INDEX(medicine_master!$G$2:$G$26,MATCH($C1512,medicine_master!$A$2:$A$26,0)),0)</f>
        <v>10</v>
      </c>
      <c r="N1512" s="45" t="n">
        <f aca="false">IF(D1512="Sale",E1512*L1512,0)</f>
        <v>0</v>
      </c>
      <c r="O1512" s="45" t="n">
        <f aca="false">IF(D1512="Sale",E1512*M1512,0)</f>
        <v>0</v>
      </c>
      <c r="P1512" s="45" t="n">
        <f aca="false">N1512-O1512</f>
        <v>0</v>
      </c>
      <c r="Q1512" s="45" t="n">
        <f aca="false">IF(D1512="Purchase",E1512*M1512,0)</f>
        <v>300</v>
      </c>
    </row>
    <row r="1513" customFormat="false" ht="15" hidden="false" customHeight="false" outlineLevel="0" collapsed="false">
      <c r="A1513" s="39" t="s">
        <v>1837</v>
      </c>
      <c r="B1513" s="44" t="n">
        <v>46309</v>
      </c>
      <c r="C1513" s="39" t="s">
        <v>180</v>
      </c>
      <c r="D1513" s="39" t="s">
        <v>137</v>
      </c>
      <c r="E1513" s="39" t="n">
        <v>40</v>
      </c>
      <c r="F1513" s="39" t="str">
        <f aca="false">IF(COUNTIF(medicine_master!$A$2:$A$26,C1513)&gt;0,"Valid","Invalid")</f>
        <v>Valid</v>
      </c>
      <c r="G1513" s="39" t="str">
        <f aca="false">IFERROR(INDEX(medicine_master!$B$2:$B$26,MATCH($C1513,medicine_master!$A$2:$A$26,0)),"Not found")</f>
        <v>Vitamin C 500mg</v>
      </c>
      <c r="H1513" s="39" t="str">
        <f aca="false">IFERROR(INDEX(medicine_master!$C$2:$C$26,MATCH($C1513,medicine_master!$A$2:$A$26,0)),"Not found")</f>
        <v>Vitamin</v>
      </c>
      <c r="I1513" s="39" t="n">
        <f aca="false">YEAR(B1513)</f>
        <v>2026</v>
      </c>
      <c r="J1513" s="39" t="n">
        <f aca="false">MONTH(B1513)</f>
        <v>10</v>
      </c>
      <c r="K1513" s="39" t="str">
        <f aca="false">TEXT(B1513,"mmm")</f>
        <v>Oct</v>
      </c>
      <c r="L1513" s="45" t="n">
        <f aca="false">IFERROR(INDEX(medicine_master!$I$2:$I$26,MATCH($C1513,medicine_master!$A$2:$A$26,0)),0)</f>
        <v>22</v>
      </c>
      <c r="M1513" s="45" t="n">
        <f aca="false">IFERROR(INDEX(medicine_master!$G$2:$G$26,MATCH($C1513,medicine_master!$A$2:$A$26,0)),0)</f>
        <v>14</v>
      </c>
      <c r="N1513" s="45" t="n">
        <f aca="false">IF(D1513="Sale",E1513*L1513,0)</f>
        <v>880</v>
      </c>
      <c r="O1513" s="45" t="n">
        <f aca="false">IF(D1513="Sale",E1513*M1513,0)</f>
        <v>560</v>
      </c>
      <c r="P1513" s="45" t="n">
        <f aca="false">N1513-O1513</f>
        <v>320</v>
      </c>
      <c r="Q1513" s="45" t="n">
        <f aca="false">IF(D1513="Purchase",E1513*M1513,0)</f>
        <v>0</v>
      </c>
    </row>
    <row r="1514" customFormat="false" ht="15" hidden="false" customHeight="false" outlineLevel="0" collapsed="false">
      <c r="A1514" s="39" t="s">
        <v>1838</v>
      </c>
      <c r="B1514" s="44" t="n">
        <v>46040</v>
      </c>
      <c r="C1514" s="39" t="s">
        <v>159</v>
      </c>
      <c r="D1514" s="39" t="s">
        <v>137</v>
      </c>
      <c r="E1514" s="39" t="n">
        <v>5</v>
      </c>
      <c r="F1514" s="39" t="str">
        <f aca="false">IF(COUNTIF(medicine_master!$A$2:$A$26,C1514)&gt;0,"Valid","Invalid")</f>
        <v>Valid</v>
      </c>
      <c r="G1514" s="39" t="str">
        <f aca="false">IFERROR(INDEX(medicine_master!$B$2:$B$26,MATCH($C1514,medicine_master!$A$2:$A$26,0)),"Not found")</f>
        <v>Antiseptic Liquid 100ml</v>
      </c>
      <c r="H1514" s="39" t="str">
        <f aca="false">IFERROR(INDEX(medicine_master!$C$2:$C$26,MATCH($C1514,medicine_master!$A$2:$A$26,0)),"Not found")</f>
        <v>First Aid</v>
      </c>
      <c r="I1514" s="39" t="n">
        <f aca="false">YEAR(B1514)</f>
        <v>2026</v>
      </c>
      <c r="J1514" s="39" t="n">
        <f aca="false">MONTH(B1514)</f>
        <v>1</v>
      </c>
      <c r="K1514" s="39" t="str">
        <f aca="false">TEXT(B1514,"mmm")</f>
        <v>Jan</v>
      </c>
      <c r="L1514" s="45" t="n">
        <f aca="false">IFERROR(INDEX(medicine_master!$I$2:$I$26,MATCH($C1514,medicine_master!$A$2:$A$26,0)),0)</f>
        <v>65</v>
      </c>
      <c r="M1514" s="45" t="n">
        <f aca="false">IFERROR(INDEX(medicine_master!$G$2:$G$26,MATCH($C1514,medicine_master!$A$2:$A$26,0)),0)</f>
        <v>48</v>
      </c>
      <c r="N1514" s="45" t="n">
        <f aca="false">IF(D1514="Sale",E1514*L1514,0)</f>
        <v>325</v>
      </c>
      <c r="O1514" s="45" t="n">
        <f aca="false">IF(D1514="Sale",E1514*M1514,0)</f>
        <v>240</v>
      </c>
      <c r="P1514" s="45" t="n">
        <f aca="false">N1514-O1514</f>
        <v>85</v>
      </c>
      <c r="Q1514" s="45" t="n">
        <f aca="false">IF(D1514="Purchase",E1514*M1514,0)</f>
        <v>0</v>
      </c>
    </row>
    <row r="1515" customFormat="false" ht="15" hidden="false" customHeight="false" outlineLevel="0" collapsed="false">
      <c r="A1515" s="39" t="s">
        <v>1839</v>
      </c>
      <c r="B1515" s="44" t="n">
        <v>46313</v>
      </c>
      <c r="C1515" s="39" t="s">
        <v>404</v>
      </c>
      <c r="D1515" s="39" t="s">
        <v>137</v>
      </c>
      <c r="E1515" s="39" t="n">
        <v>25</v>
      </c>
      <c r="F1515" s="39" t="str">
        <f aca="false">IF(COUNTIF(medicine_master!$A$2:$A$26,C1515)&gt;0,"Valid","Invalid")</f>
        <v>Valid</v>
      </c>
      <c r="G1515" s="39" t="str">
        <f aca="false">IFERROR(INDEX(medicine_master!$B$2:$B$26,MATCH($C1515,medicine_master!$A$2:$A$26,0)),"Not found")</f>
        <v>ORS Sachet</v>
      </c>
      <c r="H1515" s="39" t="str">
        <f aca="false">IFERROR(INDEX(medicine_master!$C$2:$C$26,MATCH($C1515,medicine_master!$A$2:$A$26,0)),"Not found")</f>
        <v>First Aid</v>
      </c>
      <c r="I1515" s="39" t="n">
        <f aca="false">YEAR(B1515)</f>
        <v>2026</v>
      </c>
      <c r="J1515" s="39" t="n">
        <f aca="false">MONTH(B1515)</f>
        <v>10</v>
      </c>
      <c r="K1515" s="39" t="str">
        <f aca="false">TEXT(B1515,"mmm")</f>
        <v>Oct</v>
      </c>
      <c r="L1515" s="45" t="n">
        <f aca="false">IFERROR(INDEX(medicine_master!$I$2:$I$26,MATCH($C1515,medicine_master!$A$2:$A$26,0)),0)</f>
        <v>10</v>
      </c>
      <c r="M1515" s="45" t="n">
        <f aca="false">IFERROR(INDEX(medicine_master!$G$2:$G$26,MATCH($C1515,medicine_master!$A$2:$A$26,0)),0)</f>
        <v>6</v>
      </c>
      <c r="N1515" s="45" t="n">
        <f aca="false">IF(D1515="Sale",E1515*L1515,0)</f>
        <v>250</v>
      </c>
      <c r="O1515" s="45" t="n">
        <f aca="false">IF(D1515="Sale",E1515*M1515,0)</f>
        <v>150</v>
      </c>
      <c r="P1515" s="45" t="n">
        <f aca="false">N1515-O1515</f>
        <v>100</v>
      </c>
      <c r="Q1515" s="45" t="n">
        <f aca="false">IF(D1515="Purchase",E1515*M1515,0)</f>
        <v>0</v>
      </c>
    </row>
    <row r="1516" customFormat="false" ht="15" hidden="false" customHeight="false" outlineLevel="0" collapsed="false">
      <c r="A1516" s="39" t="s">
        <v>1840</v>
      </c>
      <c r="B1516" s="44" t="n">
        <v>46132</v>
      </c>
      <c r="C1516" s="39" t="s">
        <v>147</v>
      </c>
      <c r="D1516" s="39" t="s">
        <v>137</v>
      </c>
      <c r="E1516" s="39" t="n">
        <v>40</v>
      </c>
      <c r="F1516" s="39" t="str">
        <f aca="false">IF(COUNTIF(medicine_master!$A$2:$A$26,C1516)&gt;0,"Valid","Invalid")</f>
        <v>Valid</v>
      </c>
      <c r="G1516" s="39" t="str">
        <f aca="false">IFERROR(INDEX(medicine_master!$B$2:$B$26,MATCH($C1516,medicine_master!$A$2:$A$26,0)),"Not found")</f>
        <v>Insulin Injection</v>
      </c>
      <c r="H1516" s="39" t="str">
        <f aca="false">IFERROR(INDEX(medicine_master!$C$2:$C$26,MATCH($C1516,medicine_master!$A$2:$A$26,0)),"Not found")</f>
        <v>Diabetes</v>
      </c>
      <c r="I1516" s="39" t="n">
        <f aca="false">YEAR(B1516)</f>
        <v>2026</v>
      </c>
      <c r="J1516" s="39" t="n">
        <f aca="false">MONTH(B1516)</f>
        <v>4</v>
      </c>
      <c r="K1516" s="39" t="str">
        <f aca="false">TEXT(B1516,"mmm")</f>
        <v>Apr</v>
      </c>
      <c r="L1516" s="45" t="n">
        <f aca="false">IFERROR(INDEX(medicine_master!$I$2:$I$26,MATCH($C1516,medicine_master!$A$2:$A$26,0)),0)</f>
        <v>225</v>
      </c>
      <c r="M1516" s="45" t="n">
        <f aca="false">IFERROR(INDEX(medicine_master!$G$2:$G$26,MATCH($C1516,medicine_master!$A$2:$A$26,0)),0)</f>
        <v>165</v>
      </c>
      <c r="N1516" s="45" t="n">
        <f aca="false">IF(D1516="Sale",E1516*L1516,0)</f>
        <v>9000</v>
      </c>
      <c r="O1516" s="45" t="n">
        <f aca="false">IF(D1516="Sale",E1516*M1516,0)</f>
        <v>6600</v>
      </c>
      <c r="P1516" s="45" t="n">
        <f aca="false">N1516-O1516</f>
        <v>2400</v>
      </c>
      <c r="Q1516" s="45" t="n">
        <f aca="false">IF(D1516="Purchase",E1516*M1516,0)</f>
        <v>0</v>
      </c>
    </row>
    <row r="1517" customFormat="false" ht="15" hidden="false" customHeight="false" outlineLevel="0" collapsed="false">
      <c r="A1517" s="39" t="s">
        <v>1841</v>
      </c>
      <c r="B1517" s="44" t="n">
        <v>46331</v>
      </c>
      <c r="C1517" s="39" t="s">
        <v>150</v>
      </c>
      <c r="D1517" s="39" t="s">
        <v>137</v>
      </c>
      <c r="E1517" s="39" t="n">
        <v>50</v>
      </c>
      <c r="F1517" s="39" t="str">
        <f aca="false">IF(COUNTIF(medicine_master!$A$2:$A$26,C1517)&gt;0,"Valid","Invalid")</f>
        <v>Valid</v>
      </c>
      <c r="G1517" s="39" t="str">
        <f aca="false">IFERROR(INDEX(medicine_master!$B$2:$B$26,MATCH($C1517,medicine_master!$A$2:$A$26,0)),"Not found")</f>
        <v>Pantoprazole 40mg</v>
      </c>
      <c r="H1517" s="39" t="str">
        <f aca="false">IFERROR(INDEX(medicine_master!$C$2:$C$26,MATCH($C1517,medicine_master!$A$2:$A$26,0)),"Not found")</f>
        <v>Gastric</v>
      </c>
      <c r="I1517" s="39" t="n">
        <f aca="false">YEAR(B1517)</f>
        <v>2026</v>
      </c>
      <c r="J1517" s="39" t="n">
        <f aca="false">MONTH(B1517)</f>
        <v>11</v>
      </c>
      <c r="K1517" s="39" t="str">
        <f aca="false">TEXT(B1517,"mmm")</f>
        <v>Nov</v>
      </c>
      <c r="L1517" s="45" t="n">
        <f aca="false">IFERROR(INDEX(medicine_master!$I$2:$I$26,MATCH($C1517,medicine_master!$A$2:$A$26,0)),0)</f>
        <v>35</v>
      </c>
      <c r="M1517" s="45" t="n">
        <f aca="false">IFERROR(INDEX(medicine_master!$G$2:$G$26,MATCH($C1517,medicine_master!$A$2:$A$26,0)),0)</f>
        <v>24</v>
      </c>
      <c r="N1517" s="45" t="n">
        <f aca="false">IF(D1517="Sale",E1517*L1517,0)</f>
        <v>1750</v>
      </c>
      <c r="O1517" s="45" t="n">
        <f aca="false">IF(D1517="Sale",E1517*M1517,0)</f>
        <v>1200</v>
      </c>
      <c r="P1517" s="45" t="n">
        <f aca="false">N1517-O1517</f>
        <v>550</v>
      </c>
      <c r="Q1517" s="45" t="n">
        <f aca="false">IF(D1517="Purchase",E1517*M1517,0)</f>
        <v>0</v>
      </c>
    </row>
    <row r="1518" customFormat="false" ht="15" hidden="false" customHeight="false" outlineLevel="0" collapsed="false">
      <c r="A1518" s="39" t="s">
        <v>1842</v>
      </c>
      <c r="B1518" s="44" t="n">
        <v>46216</v>
      </c>
      <c r="C1518" s="39" t="s">
        <v>149</v>
      </c>
      <c r="D1518" s="39" t="s">
        <v>137</v>
      </c>
      <c r="E1518" s="39" t="n">
        <v>15</v>
      </c>
      <c r="F1518" s="39" t="str">
        <f aca="false">IF(COUNTIF(medicine_master!$A$2:$A$26,C1518)&gt;0,"Valid","Invalid")</f>
        <v>Valid</v>
      </c>
      <c r="G1518" s="39" t="str">
        <f aca="false">IFERROR(INDEX(medicine_master!$B$2:$B$26,MATCH($C1518,medicine_master!$A$2:$A$26,0)),"Not found")</f>
        <v>Azithromycin 500mg</v>
      </c>
      <c r="H1518" s="39" t="str">
        <f aca="false">IFERROR(INDEX(medicine_master!$C$2:$C$26,MATCH($C1518,medicine_master!$A$2:$A$26,0)),"Not found")</f>
        <v>Antibiotic</v>
      </c>
      <c r="I1518" s="39" t="n">
        <f aca="false">YEAR(B1518)</f>
        <v>2026</v>
      </c>
      <c r="J1518" s="39" t="n">
        <f aca="false">MONTH(B1518)</f>
        <v>7</v>
      </c>
      <c r="K1518" s="39" t="str">
        <f aca="false">TEXT(B1518,"mmm")</f>
        <v>Jul</v>
      </c>
      <c r="L1518" s="45" t="n">
        <f aca="false">IFERROR(INDEX(medicine_master!$I$2:$I$26,MATCH($C1518,medicine_master!$A$2:$A$26,0)),0)</f>
        <v>50</v>
      </c>
      <c r="M1518" s="45" t="n">
        <f aca="false">IFERROR(INDEX(medicine_master!$G$2:$G$26,MATCH($C1518,medicine_master!$A$2:$A$26,0)),0)</f>
        <v>35</v>
      </c>
      <c r="N1518" s="45" t="n">
        <f aca="false">IF(D1518="Sale",E1518*L1518,0)</f>
        <v>750</v>
      </c>
      <c r="O1518" s="45" t="n">
        <f aca="false">IF(D1518="Sale",E1518*M1518,0)</f>
        <v>525</v>
      </c>
      <c r="P1518" s="45" t="n">
        <f aca="false">N1518-O1518</f>
        <v>225</v>
      </c>
      <c r="Q1518" s="45" t="n">
        <f aca="false">IF(D1518="Purchase",E1518*M1518,0)</f>
        <v>0</v>
      </c>
    </row>
    <row r="1519" customFormat="false" ht="15" hidden="false" customHeight="false" outlineLevel="0" collapsed="false">
      <c r="A1519" s="39" t="s">
        <v>1843</v>
      </c>
      <c r="B1519" s="44" t="n">
        <v>46111</v>
      </c>
      <c r="C1519" s="39" t="s">
        <v>149</v>
      </c>
      <c r="D1519" s="39" t="s">
        <v>137</v>
      </c>
      <c r="E1519" s="39" t="n">
        <v>25</v>
      </c>
      <c r="F1519" s="39" t="str">
        <f aca="false">IF(COUNTIF(medicine_master!$A$2:$A$26,C1519)&gt;0,"Valid","Invalid")</f>
        <v>Valid</v>
      </c>
      <c r="G1519" s="39" t="str">
        <f aca="false">IFERROR(INDEX(medicine_master!$B$2:$B$26,MATCH($C1519,medicine_master!$A$2:$A$26,0)),"Not found")</f>
        <v>Azithromycin 500mg</v>
      </c>
      <c r="H1519" s="39" t="str">
        <f aca="false">IFERROR(INDEX(medicine_master!$C$2:$C$26,MATCH($C1519,medicine_master!$A$2:$A$26,0)),"Not found")</f>
        <v>Antibiotic</v>
      </c>
      <c r="I1519" s="39" t="n">
        <f aca="false">YEAR(B1519)</f>
        <v>2026</v>
      </c>
      <c r="J1519" s="39" t="n">
        <f aca="false">MONTH(B1519)</f>
        <v>3</v>
      </c>
      <c r="K1519" s="39" t="str">
        <f aca="false">TEXT(B1519,"mmm")</f>
        <v>Mar</v>
      </c>
      <c r="L1519" s="45" t="n">
        <f aca="false">IFERROR(INDEX(medicine_master!$I$2:$I$26,MATCH($C1519,medicine_master!$A$2:$A$26,0)),0)</f>
        <v>50</v>
      </c>
      <c r="M1519" s="45" t="n">
        <f aca="false">IFERROR(INDEX(medicine_master!$G$2:$G$26,MATCH($C1519,medicine_master!$A$2:$A$26,0)),0)</f>
        <v>35</v>
      </c>
      <c r="N1519" s="45" t="n">
        <f aca="false">IF(D1519="Sale",E1519*L1519,0)</f>
        <v>1250</v>
      </c>
      <c r="O1519" s="45" t="n">
        <f aca="false">IF(D1519="Sale",E1519*M1519,0)</f>
        <v>875</v>
      </c>
      <c r="P1519" s="45" t="n">
        <f aca="false">N1519-O1519</f>
        <v>375</v>
      </c>
      <c r="Q1519" s="45" t="n">
        <f aca="false">IF(D1519="Purchase",E1519*M1519,0)</f>
        <v>0</v>
      </c>
    </row>
    <row r="1520" customFormat="false" ht="15" hidden="false" customHeight="false" outlineLevel="0" collapsed="false">
      <c r="A1520" s="39" t="s">
        <v>1844</v>
      </c>
      <c r="B1520" s="44" t="n">
        <v>46372</v>
      </c>
      <c r="C1520" s="39" t="s">
        <v>404</v>
      </c>
      <c r="D1520" s="39" t="s">
        <v>138</v>
      </c>
      <c r="E1520" s="39" t="n">
        <v>15</v>
      </c>
      <c r="F1520" s="39" t="str">
        <f aca="false">IF(COUNTIF(medicine_master!$A$2:$A$26,C1520)&gt;0,"Valid","Invalid")</f>
        <v>Valid</v>
      </c>
      <c r="G1520" s="39" t="str">
        <f aca="false">IFERROR(INDEX(medicine_master!$B$2:$B$26,MATCH($C1520,medicine_master!$A$2:$A$26,0)),"Not found")</f>
        <v>ORS Sachet</v>
      </c>
      <c r="H1520" s="39" t="str">
        <f aca="false">IFERROR(INDEX(medicine_master!$C$2:$C$26,MATCH($C1520,medicine_master!$A$2:$A$26,0)),"Not found")</f>
        <v>First Aid</v>
      </c>
      <c r="I1520" s="39" t="n">
        <f aca="false">YEAR(B1520)</f>
        <v>2026</v>
      </c>
      <c r="J1520" s="39" t="n">
        <f aca="false">MONTH(B1520)</f>
        <v>12</v>
      </c>
      <c r="K1520" s="39" t="str">
        <f aca="false">TEXT(B1520,"mmm")</f>
        <v>Dec</v>
      </c>
      <c r="L1520" s="45" t="n">
        <f aca="false">IFERROR(INDEX(medicine_master!$I$2:$I$26,MATCH($C1520,medicine_master!$A$2:$A$26,0)),0)</f>
        <v>10</v>
      </c>
      <c r="M1520" s="45" t="n">
        <f aca="false">IFERROR(INDEX(medicine_master!$G$2:$G$26,MATCH($C1520,medicine_master!$A$2:$A$26,0)),0)</f>
        <v>6</v>
      </c>
      <c r="N1520" s="45" t="n">
        <f aca="false">IF(D1520="Sale",E1520*L1520,0)</f>
        <v>0</v>
      </c>
      <c r="O1520" s="45" t="n">
        <f aca="false">IF(D1520="Sale",E1520*M1520,0)</f>
        <v>0</v>
      </c>
      <c r="P1520" s="45" t="n">
        <f aca="false">N1520-O1520</f>
        <v>0</v>
      </c>
      <c r="Q1520" s="45" t="n">
        <f aca="false">IF(D1520="Purchase",E1520*M1520,0)</f>
        <v>90</v>
      </c>
    </row>
    <row r="1521" customFormat="false" ht="15" hidden="false" customHeight="false" outlineLevel="0" collapsed="false">
      <c r="A1521" s="39" t="s">
        <v>1845</v>
      </c>
      <c r="B1521" s="44" t="n">
        <v>46230</v>
      </c>
      <c r="C1521" s="39" t="s">
        <v>345</v>
      </c>
      <c r="D1521" s="39" t="s">
        <v>138</v>
      </c>
      <c r="E1521" s="39" t="n">
        <v>20</v>
      </c>
      <c r="F1521" s="39" t="str">
        <f aca="false">IF(COUNTIF(medicine_master!$A$2:$A$26,C1521)&gt;0,"Valid","Invalid")</f>
        <v>Valid</v>
      </c>
      <c r="G1521" s="39" t="str">
        <f aca="false">IFERROR(INDEX(medicine_master!$B$2:$B$26,MATCH($C1521,medicine_master!$A$2:$A$26,0)),"Not found")</f>
        <v>Paracetamol 500mg</v>
      </c>
      <c r="H1521" s="39" t="str">
        <f aca="false">IFERROR(INDEX(medicine_master!$C$2:$C$26,MATCH($C1521,medicine_master!$A$2:$A$26,0)),"Not found")</f>
        <v>Pain Relief</v>
      </c>
      <c r="I1521" s="39" t="n">
        <f aca="false">YEAR(B1521)</f>
        <v>2026</v>
      </c>
      <c r="J1521" s="39" t="n">
        <f aca="false">MONTH(B1521)</f>
        <v>7</v>
      </c>
      <c r="K1521" s="39" t="str">
        <f aca="false">TEXT(B1521,"mmm")</f>
        <v>Jul</v>
      </c>
      <c r="L1521" s="45" t="n">
        <f aca="false">IFERROR(INDEX(medicine_master!$I$2:$I$26,MATCH($C1521,medicine_master!$A$2:$A$26,0)),0)</f>
        <v>18</v>
      </c>
      <c r="M1521" s="45" t="n">
        <f aca="false">IFERROR(INDEX(medicine_master!$G$2:$G$26,MATCH($C1521,medicine_master!$A$2:$A$26,0)),0)</f>
        <v>12</v>
      </c>
      <c r="N1521" s="45" t="n">
        <f aca="false">IF(D1521="Sale",E1521*L1521,0)</f>
        <v>0</v>
      </c>
      <c r="O1521" s="45" t="n">
        <f aca="false">IF(D1521="Sale",E1521*M1521,0)</f>
        <v>0</v>
      </c>
      <c r="P1521" s="45" t="n">
        <f aca="false">N1521-O1521</f>
        <v>0</v>
      </c>
      <c r="Q1521" s="45" t="n">
        <f aca="false">IF(D1521="Purchase",E1521*M1521,0)</f>
        <v>240</v>
      </c>
    </row>
    <row r="1522" customFormat="false" ht="15" hidden="false" customHeight="false" outlineLevel="0" collapsed="false">
      <c r="A1522" s="39" t="s">
        <v>1846</v>
      </c>
      <c r="B1522" s="44" t="n">
        <v>46040</v>
      </c>
      <c r="C1522" s="39" t="s">
        <v>178</v>
      </c>
      <c r="D1522" s="39" t="s">
        <v>137</v>
      </c>
      <c r="E1522" s="39" t="n">
        <v>10</v>
      </c>
      <c r="F1522" s="39" t="str">
        <f aca="false">IF(COUNTIF(medicine_master!$A$2:$A$26,C1522)&gt;0,"Valid","Invalid")</f>
        <v>Valid</v>
      </c>
      <c r="G1522" s="39" t="str">
        <f aca="false">IFERROR(INDEX(medicine_master!$B$2:$B$26,MATCH($C1522,medicine_master!$A$2:$A$26,0)),"Not found")</f>
        <v>Aspirin 75mg</v>
      </c>
      <c r="H1522" s="39" t="str">
        <f aca="false">IFERROR(INDEX(medicine_master!$C$2:$C$26,MATCH($C1522,medicine_master!$A$2:$A$26,0)),"Not found")</f>
        <v>Cardiac</v>
      </c>
      <c r="I1522" s="39" t="n">
        <f aca="false">YEAR(B1522)</f>
        <v>2026</v>
      </c>
      <c r="J1522" s="39" t="n">
        <f aca="false">MONTH(B1522)</f>
        <v>1</v>
      </c>
      <c r="K1522" s="39" t="str">
        <f aca="false">TEXT(B1522,"mmm")</f>
        <v>Jan</v>
      </c>
      <c r="L1522" s="45" t="n">
        <f aca="false">IFERROR(INDEX(medicine_master!$I$2:$I$26,MATCH($C1522,medicine_master!$A$2:$A$26,0)),0)</f>
        <v>15</v>
      </c>
      <c r="M1522" s="45" t="n">
        <f aca="false">IFERROR(INDEX(medicine_master!$G$2:$G$26,MATCH($C1522,medicine_master!$A$2:$A$26,0)),0)</f>
        <v>10</v>
      </c>
      <c r="N1522" s="45" t="n">
        <f aca="false">IF(D1522="Sale",E1522*L1522,0)</f>
        <v>150</v>
      </c>
      <c r="O1522" s="45" t="n">
        <f aca="false">IF(D1522="Sale",E1522*M1522,0)</f>
        <v>100</v>
      </c>
      <c r="P1522" s="45" t="n">
        <f aca="false">N1522-O1522</f>
        <v>50</v>
      </c>
      <c r="Q1522" s="45" t="n">
        <f aca="false">IF(D1522="Purchase",E1522*M1522,0)</f>
        <v>0</v>
      </c>
    </row>
    <row r="1523" customFormat="false" ht="15" hidden="false" customHeight="false" outlineLevel="0" collapsed="false">
      <c r="A1523" s="39" t="s">
        <v>1847</v>
      </c>
      <c r="B1523" s="44" t="n">
        <v>46204</v>
      </c>
      <c r="C1523" s="39" t="s">
        <v>167</v>
      </c>
      <c r="D1523" s="39" t="s">
        <v>138</v>
      </c>
      <c r="E1523" s="39" t="n">
        <v>15</v>
      </c>
      <c r="F1523" s="39" t="str">
        <f aca="false">IF(COUNTIF(medicine_master!$A$2:$A$26,C1523)&gt;0,"Valid","Invalid")</f>
        <v>Valid</v>
      </c>
      <c r="G1523" s="39" t="str">
        <f aca="false">IFERROR(INDEX(medicine_master!$B$2:$B$26,MATCH($C1523,medicine_master!$A$2:$A$26,0)),"Not found")</f>
        <v>Amlodipine 5mg</v>
      </c>
      <c r="H1523" s="39" t="str">
        <f aca="false">IFERROR(INDEX(medicine_master!$C$2:$C$26,MATCH($C1523,medicine_master!$A$2:$A$26,0)),"Not found")</f>
        <v>Cardiac</v>
      </c>
      <c r="I1523" s="39" t="n">
        <f aca="false">YEAR(B1523)</f>
        <v>2026</v>
      </c>
      <c r="J1523" s="39" t="n">
        <f aca="false">MONTH(B1523)</f>
        <v>7</v>
      </c>
      <c r="K1523" s="39" t="str">
        <f aca="false">TEXT(B1523,"mmm")</f>
        <v>Jul</v>
      </c>
      <c r="L1523" s="45" t="n">
        <f aca="false">IFERROR(INDEX(medicine_master!$I$2:$I$26,MATCH($C1523,medicine_master!$A$2:$A$26,0)),0)</f>
        <v>19</v>
      </c>
      <c r="M1523" s="45" t="n">
        <f aca="false">IFERROR(INDEX(medicine_master!$G$2:$G$26,MATCH($C1523,medicine_master!$A$2:$A$26,0)),0)</f>
        <v>13</v>
      </c>
      <c r="N1523" s="45" t="n">
        <f aca="false">IF(D1523="Sale",E1523*L1523,0)</f>
        <v>0</v>
      </c>
      <c r="O1523" s="45" t="n">
        <f aca="false">IF(D1523="Sale",E1523*M1523,0)</f>
        <v>0</v>
      </c>
      <c r="P1523" s="45" t="n">
        <f aca="false">N1523-O1523</f>
        <v>0</v>
      </c>
      <c r="Q1523" s="45" t="n">
        <f aca="false">IF(D1523="Purchase",E1523*M1523,0)</f>
        <v>195</v>
      </c>
    </row>
    <row r="1524" customFormat="false" ht="15" hidden="false" customHeight="false" outlineLevel="0" collapsed="false">
      <c r="A1524" s="39" t="s">
        <v>1848</v>
      </c>
      <c r="B1524" s="44" t="n">
        <v>46126</v>
      </c>
      <c r="C1524" s="39" t="s">
        <v>144</v>
      </c>
      <c r="D1524" s="39" t="s">
        <v>137</v>
      </c>
      <c r="E1524" s="39" t="n">
        <v>30</v>
      </c>
      <c r="F1524" s="39" t="str">
        <f aca="false">IF(COUNTIF(medicine_master!$A$2:$A$26,C1524)&gt;0,"Valid","Invalid")</f>
        <v>Valid</v>
      </c>
      <c r="G1524" s="39" t="str">
        <f aca="false">IFERROR(INDEX(medicine_master!$B$2:$B$26,MATCH($C1524,medicine_master!$A$2:$A$26,0)),"Not found")</f>
        <v>Glimepiride 2mg</v>
      </c>
      <c r="H1524" s="39" t="str">
        <f aca="false">IFERROR(INDEX(medicine_master!$C$2:$C$26,MATCH($C1524,medicine_master!$A$2:$A$26,0)),"Not found")</f>
        <v>Diabetes</v>
      </c>
      <c r="I1524" s="39" t="n">
        <f aca="false">YEAR(B1524)</f>
        <v>2026</v>
      </c>
      <c r="J1524" s="39" t="n">
        <f aca="false">MONTH(B1524)</f>
        <v>4</v>
      </c>
      <c r="K1524" s="39" t="str">
        <f aca="false">TEXT(B1524,"mmm")</f>
        <v>Apr</v>
      </c>
      <c r="L1524" s="45" t="n">
        <f aca="false">IFERROR(INDEX(medicine_master!$I$2:$I$26,MATCH($C1524,medicine_master!$A$2:$A$26,0)),0)</f>
        <v>52</v>
      </c>
      <c r="M1524" s="45" t="n">
        <f aca="false">IFERROR(INDEX(medicine_master!$G$2:$G$26,MATCH($C1524,medicine_master!$A$2:$A$26,0)),0)</f>
        <v>38</v>
      </c>
      <c r="N1524" s="45" t="n">
        <f aca="false">IF(D1524="Sale",E1524*L1524,0)</f>
        <v>1560</v>
      </c>
      <c r="O1524" s="45" t="n">
        <f aca="false">IF(D1524="Sale",E1524*M1524,0)</f>
        <v>1140</v>
      </c>
      <c r="P1524" s="45" t="n">
        <f aca="false">N1524-O1524</f>
        <v>420</v>
      </c>
      <c r="Q1524" s="45" t="n">
        <f aca="false">IF(D1524="Purchase",E1524*M1524,0)</f>
        <v>0</v>
      </c>
    </row>
    <row r="1525" customFormat="false" ht="15" hidden="false" customHeight="false" outlineLevel="0" collapsed="false">
      <c r="A1525" s="39" t="s">
        <v>1849</v>
      </c>
      <c r="B1525" s="44" t="n">
        <v>46104</v>
      </c>
      <c r="C1525" s="39" t="s">
        <v>167</v>
      </c>
      <c r="D1525" s="39" t="s">
        <v>137</v>
      </c>
      <c r="E1525" s="39" t="n">
        <v>25</v>
      </c>
      <c r="F1525" s="39" t="str">
        <f aca="false">IF(COUNTIF(medicine_master!$A$2:$A$26,C1525)&gt;0,"Valid","Invalid")</f>
        <v>Valid</v>
      </c>
      <c r="G1525" s="39" t="str">
        <f aca="false">IFERROR(INDEX(medicine_master!$B$2:$B$26,MATCH($C1525,medicine_master!$A$2:$A$26,0)),"Not found")</f>
        <v>Amlodipine 5mg</v>
      </c>
      <c r="H1525" s="39" t="str">
        <f aca="false">IFERROR(INDEX(medicine_master!$C$2:$C$26,MATCH($C1525,medicine_master!$A$2:$A$26,0)),"Not found")</f>
        <v>Cardiac</v>
      </c>
      <c r="I1525" s="39" t="n">
        <f aca="false">YEAR(B1525)</f>
        <v>2026</v>
      </c>
      <c r="J1525" s="39" t="n">
        <f aca="false">MONTH(B1525)</f>
        <v>3</v>
      </c>
      <c r="K1525" s="39" t="str">
        <f aca="false">TEXT(B1525,"mmm")</f>
        <v>Mar</v>
      </c>
      <c r="L1525" s="45" t="n">
        <f aca="false">IFERROR(INDEX(medicine_master!$I$2:$I$26,MATCH($C1525,medicine_master!$A$2:$A$26,0)),0)</f>
        <v>19</v>
      </c>
      <c r="M1525" s="45" t="n">
        <f aca="false">IFERROR(INDEX(medicine_master!$G$2:$G$26,MATCH($C1525,medicine_master!$A$2:$A$26,0)),0)</f>
        <v>13</v>
      </c>
      <c r="N1525" s="45" t="n">
        <f aca="false">IF(D1525="Sale",E1525*L1525,0)</f>
        <v>475</v>
      </c>
      <c r="O1525" s="45" t="n">
        <f aca="false">IF(D1525="Sale",E1525*M1525,0)</f>
        <v>325</v>
      </c>
      <c r="P1525" s="45" t="n">
        <f aca="false">N1525-O1525</f>
        <v>150</v>
      </c>
      <c r="Q1525" s="45" t="n">
        <f aca="false">IF(D1525="Purchase",E1525*M1525,0)</f>
        <v>0</v>
      </c>
    </row>
    <row r="1526" customFormat="false" ht="15" hidden="false" customHeight="false" outlineLevel="0" collapsed="false">
      <c r="A1526" s="39" t="s">
        <v>1850</v>
      </c>
      <c r="B1526" s="44" t="n">
        <v>46149</v>
      </c>
      <c r="C1526" s="39" t="s">
        <v>152</v>
      </c>
      <c r="D1526" s="39" t="s">
        <v>137</v>
      </c>
      <c r="E1526" s="39" t="n">
        <v>40</v>
      </c>
      <c r="F1526" s="39" t="str">
        <f aca="false">IF(COUNTIF(medicine_master!$A$2:$A$26,C1526)&gt;0,"Valid","Invalid")</f>
        <v>Valid</v>
      </c>
      <c r="G1526" s="39" t="str">
        <f aca="false">IFERROR(INDEX(medicine_master!$B$2:$B$26,MATCH($C1526,medicine_master!$A$2:$A$26,0)),"Not found")</f>
        <v>Amoxicillin 500mg</v>
      </c>
      <c r="H1526" s="39" t="str">
        <f aca="false">IFERROR(INDEX(medicine_master!$C$2:$C$26,MATCH($C1526,medicine_master!$A$2:$A$26,0)),"Not found")</f>
        <v>Antibiotic</v>
      </c>
      <c r="I1526" s="39" t="n">
        <f aca="false">YEAR(B1526)</f>
        <v>2026</v>
      </c>
      <c r="J1526" s="39" t="n">
        <f aca="false">MONTH(B1526)</f>
        <v>5</v>
      </c>
      <c r="K1526" s="39" t="str">
        <f aca="false">TEXT(B1526,"mmm")</f>
        <v>May</v>
      </c>
      <c r="L1526" s="45" t="n">
        <f aca="false">IFERROR(INDEX(medicine_master!$I$2:$I$26,MATCH($C1526,medicine_master!$A$2:$A$26,0)),0)</f>
        <v>40</v>
      </c>
      <c r="M1526" s="45" t="n">
        <f aca="false">IFERROR(INDEX(medicine_master!$G$2:$G$26,MATCH($C1526,medicine_master!$A$2:$A$26,0)),0)</f>
        <v>28</v>
      </c>
      <c r="N1526" s="45" t="n">
        <f aca="false">IF(D1526="Sale",E1526*L1526,0)</f>
        <v>1600</v>
      </c>
      <c r="O1526" s="45" t="n">
        <f aca="false">IF(D1526="Sale",E1526*M1526,0)</f>
        <v>1120</v>
      </c>
      <c r="P1526" s="45" t="n">
        <f aca="false">N1526-O1526</f>
        <v>480</v>
      </c>
      <c r="Q1526" s="45" t="n">
        <f aca="false">IF(D1526="Purchase",E1526*M1526,0)</f>
        <v>0</v>
      </c>
    </row>
    <row r="1527" customFormat="false" ht="15" hidden="false" customHeight="false" outlineLevel="0" collapsed="false">
      <c r="A1527" s="39" t="s">
        <v>1851</v>
      </c>
      <c r="B1527" s="44" t="n">
        <v>46226</v>
      </c>
      <c r="C1527" s="39" t="s">
        <v>177</v>
      </c>
      <c r="D1527" s="39" t="s">
        <v>138</v>
      </c>
      <c r="E1527" s="39" t="n">
        <v>30</v>
      </c>
      <c r="F1527" s="39" t="str">
        <f aca="false">IF(COUNTIF(medicine_master!$A$2:$A$26,C1527)&gt;0,"Valid","Invalid")</f>
        <v>Valid</v>
      </c>
      <c r="G1527" s="39" t="str">
        <f aca="false">IFERROR(INDEX(medicine_master!$B$2:$B$26,MATCH($C1527,medicine_master!$A$2:$A$26,0)),"Not found")</f>
        <v>Bandage Roll</v>
      </c>
      <c r="H1527" s="39" t="str">
        <f aca="false">IFERROR(INDEX(medicine_master!$C$2:$C$26,MATCH($C1527,medicine_master!$A$2:$A$26,0)),"Not found")</f>
        <v>First Aid</v>
      </c>
      <c r="I1527" s="39" t="n">
        <f aca="false">YEAR(B1527)</f>
        <v>2026</v>
      </c>
      <c r="J1527" s="39" t="n">
        <f aca="false">MONTH(B1527)</f>
        <v>7</v>
      </c>
      <c r="K1527" s="39" t="str">
        <f aca="false">TEXT(B1527,"mmm")</f>
        <v>Jul</v>
      </c>
      <c r="L1527" s="45" t="n">
        <f aca="false">IFERROR(INDEX(medicine_master!$I$2:$I$26,MATCH($C1527,medicine_master!$A$2:$A$26,0)),0)</f>
        <v>25</v>
      </c>
      <c r="M1527" s="45" t="n">
        <f aca="false">IFERROR(INDEX(medicine_master!$G$2:$G$26,MATCH($C1527,medicine_master!$A$2:$A$26,0)),0)</f>
        <v>15</v>
      </c>
      <c r="N1527" s="45" t="n">
        <f aca="false">IF(D1527="Sale",E1527*L1527,0)</f>
        <v>0</v>
      </c>
      <c r="O1527" s="45" t="n">
        <f aca="false">IF(D1527="Sale",E1527*M1527,0)</f>
        <v>0</v>
      </c>
      <c r="P1527" s="45" t="n">
        <f aca="false">N1527-O1527</f>
        <v>0</v>
      </c>
      <c r="Q1527" s="45" t="n">
        <f aca="false">IF(D1527="Purchase",E1527*M1527,0)</f>
        <v>450</v>
      </c>
    </row>
    <row r="1528" customFormat="false" ht="15" hidden="false" customHeight="false" outlineLevel="0" collapsed="false">
      <c r="A1528" s="39" t="s">
        <v>1852</v>
      </c>
      <c r="B1528" s="44" t="n">
        <v>46351</v>
      </c>
      <c r="C1528" s="39" t="s">
        <v>159</v>
      </c>
      <c r="D1528" s="39" t="s">
        <v>137</v>
      </c>
      <c r="E1528" s="39" t="n">
        <v>25</v>
      </c>
      <c r="F1528" s="39" t="str">
        <f aca="false">IF(COUNTIF(medicine_master!$A$2:$A$26,C1528)&gt;0,"Valid","Invalid")</f>
        <v>Valid</v>
      </c>
      <c r="G1528" s="39" t="str">
        <f aca="false">IFERROR(INDEX(medicine_master!$B$2:$B$26,MATCH($C1528,medicine_master!$A$2:$A$26,0)),"Not found")</f>
        <v>Antiseptic Liquid 100ml</v>
      </c>
      <c r="H1528" s="39" t="str">
        <f aca="false">IFERROR(INDEX(medicine_master!$C$2:$C$26,MATCH($C1528,medicine_master!$A$2:$A$26,0)),"Not found")</f>
        <v>First Aid</v>
      </c>
      <c r="I1528" s="39" t="n">
        <f aca="false">YEAR(B1528)</f>
        <v>2026</v>
      </c>
      <c r="J1528" s="39" t="n">
        <f aca="false">MONTH(B1528)</f>
        <v>11</v>
      </c>
      <c r="K1528" s="39" t="str">
        <f aca="false">TEXT(B1528,"mmm")</f>
        <v>Nov</v>
      </c>
      <c r="L1528" s="45" t="n">
        <f aca="false">IFERROR(INDEX(medicine_master!$I$2:$I$26,MATCH($C1528,medicine_master!$A$2:$A$26,0)),0)</f>
        <v>65</v>
      </c>
      <c r="M1528" s="45" t="n">
        <f aca="false">IFERROR(INDEX(medicine_master!$G$2:$G$26,MATCH($C1528,medicine_master!$A$2:$A$26,0)),0)</f>
        <v>48</v>
      </c>
      <c r="N1528" s="45" t="n">
        <f aca="false">IF(D1528="Sale",E1528*L1528,0)</f>
        <v>1625</v>
      </c>
      <c r="O1528" s="45" t="n">
        <f aca="false">IF(D1528="Sale",E1528*M1528,0)</f>
        <v>1200</v>
      </c>
      <c r="P1528" s="45" t="n">
        <f aca="false">N1528-O1528</f>
        <v>425</v>
      </c>
      <c r="Q1528" s="45" t="n">
        <f aca="false">IF(D1528="Purchase",E1528*M1528,0)</f>
        <v>0</v>
      </c>
    </row>
    <row r="1529" customFormat="false" ht="15" hidden="false" customHeight="false" outlineLevel="0" collapsed="false">
      <c r="A1529" s="39" t="s">
        <v>1853</v>
      </c>
      <c r="B1529" s="44" t="n">
        <v>46352</v>
      </c>
      <c r="C1529" s="39" t="s">
        <v>146</v>
      </c>
      <c r="D1529" s="39" t="s">
        <v>137</v>
      </c>
      <c r="E1529" s="39" t="n">
        <v>10</v>
      </c>
      <c r="F1529" s="39" t="str">
        <f aca="false">IF(COUNTIF(medicine_master!$A$2:$A$26,C1529)&gt;0,"Valid","Invalid")</f>
        <v>Valid</v>
      </c>
      <c r="G1529" s="39" t="str">
        <f aca="false">IFERROR(INDEX(medicine_master!$B$2:$B$26,MATCH($C1529,medicine_master!$A$2:$A$26,0)),"Not found")</f>
        <v>Diclofenac Gel</v>
      </c>
      <c r="H1529" s="39" t="str">
        <f aca="false">IFERROR(INDEX(medicine_master!$C$2:$C$26,MATCH($C1529,medicine_master!$A$2:$A$26,0)),"Not found")</f>
        <v>Pain Relief</v>
      </c>
      <c r="I1529" s="39" t="n">
        <f aca="false">YEAR(B1529)</f>
        <v>2026</v>
      </c>
      <c r="J1529" s="39" t="n">
        <f aca="false">MONTH(B1529)</f>
        <v>11</v>
      </c>
      <c r="K1529" s="39" t="str">
        <f aca="false">TEXT(B1529,"mmm")</f>
        <v>Nov</v>
      </c>
      <c r="L1529" s="45" t="n">
        <f aca="false">IFERROR(INDEX(medicine_master!$I$2:$I$26,MATCH($C1529,medicine_master!$A$2:$A$26,0)),0)</f>
        <v>55</v>
      </c>
      <c r="M1529" s="45" t="n">
        <f aca="false">IFERROR(INDEX(medicine_master!$G$2:$G$26,MATCH($C1529,medicine_master!$A$2:$A$26,0)),0)</f>
        <v>38</v>
      </c>
      <c r="N1529" s="45" t="n">
        <f aca="false">IF(D1529="Sale",E1529*L1529,0)</f>
        <v>550</v>
      </c>
      <c r="O1529" s="45" t="n">
        <f aca="false">IF(D1529="Sale",E1529*M1529,0)</f>
        <v>380</v>
      </c>
      <c r="P1529" s="45" t="n">
        <f aca="false">N1529-O1529</f>
        <v>170</v>
      </c>
      <c r="Q1529" s="45" t="n">
        <f aca="false">IF(D1529="Purchase",E1529*M1529,0)</f>
        <v>0</v>
      </c>
    </row>
    <row r="1530" customFormat="false" ht="15" hidden="false" customHeight="false" outlineLevel="0" collapsed="false">
      <c r="A1530" s="39" t="s">
        <v>1854</v>
      </c>
      <c r="B1530" s="44" t="n">
        <v>46200</v>
      </c>
      <c r="C1530" s="39" t="s">
        <v>159</v>
      </c>
      <c r="D1530" s="39" t="s">
        <v>138</v>
      </c>
      <c r="E1530" s="39" t="n">
        <v>40</v>
      </c>
      <c r="F1530" s="39" t="str">
        <f aca="false">IF(COUNTIF(medicine_master!$A$2:$A$26,C1530)&gt;0,"Valid","Invalid")</f>
        <v>Valid</v>
      </c>
      <c r="G1530" s="39" t="str">
        <f aca="false">IFERROR(INDEX(medicine_master!$B$2:$B$26,MATCH($C1530,medicine_master!$A$2:$A$26,0)),"Not found")</f>
        <v>Antiseptic Liquid 100ml</v>
      </c>
      <c r="H1530" s="39" t="str">
        <f aca="false">IFERROR(INDEX(medicine_master!$C$2:$C$26,MATCH($C1530,medicine_master!$A$2:$A$26,0)),"Not found")</f>
        <v>First Aid</v>
      </c>
      <c r="I1530" s="39" t="n">
        <f aca="false">YEAR(B1530)</f>
        <v>2026</v>
      </c>
      <c r="J1530" s="39" t="n">
        <f aca="false">MONTH(B1530)</f>
        <v>6</v>
      </c>
      <c r="K1530" s="39" t="str">
        <f aca="false">TEXT(B1530,"mmm")</f>
        <v>Jun</v>
      </c>
      <c r="L1530" s="45" t="n">
        <f aca="false">IFERROR(INDEX(medicine_master!$I$2:$I$26,MATCH($C1530,medicine_master!$A$2:$A$26,0)),0)</f>
        <v>65</v>
      </c>
      <c r="M1530" s="45" t="n">
        <f aca="false">IFERROR(INDEX(medicine_master!$G$2:$G$26,MATCH($C1530,medicine_master!$A$2:$A$26,0)),0)</f>
        <v>48</v>
      </c>
      <c r="N1530" s="45" t="n">
        <f aca="false">IF(D1530="Sale",E1530*L1530,0)</f>
        <v>0</v>
      </c>
      <c r="O1530" s="45" t="n">
        <f aca="false">IF(D1530="Sale",E1530*M1530,0)</f>
        <v>0</v>
      </c>
      <c r="P1530" s="45" t="n">
        <f aca="false">N1530-O1530</f>
        <v>0</v>
      </c>
      <c r="Q1530" s="45" t="n">
        <f aca="false">IF(D1530="Purchase",E1530*M1530,0)</f>
        <v>1920</v>
      </c>
    </row>
    <row r="1531" customFormat="false" ht="15" hidden="false" customHeight="false" outlineLevel="0" collapsed="false">
      <c r="A1531" s="39" t="s">
        <v>1855</v>
      </c>
      <c r="B1531" s="44" t="n">
        <v>46062</v>
      </c>
      <c r="C1531" s="39" t="s">
        <v>151</v>
      </c>
      <c r="D1531" s="39" t="s">
        <v>138</v>
      </c>
      <c r="E1531" s="39" t="n">
        <v>10</v>
      </c>
      <c r="F1531" s="39" t="str">
        <f aca="false">IF(COUNTIF(medicine_master!$A$2:$A$26,C1531)&gt;0,"Valid","Invalid")</f>
        <v>Valid</v>
      </c>
      <c r="G1531" s="39" t="str">
        <f aca="false">IFERROR(INDEX(medicine_master!$B$2:$B$26,MATCH($C1531,medicine_master!$A$2:$A$26,0)),"Not found")</f>
        <v>Cetirizine 10mg</v>
      </c>
      <c r="H1531" s="39" t="str">
        <f aca="false">IFERROR(INDEX(medicine_master!$C$2:$C$26,MATCH($C1531,medicine_master!$A$2:$A$26,0)),"Not found")</f>
        <v>Allergy</v>
      </c>
      <c r="I1531" s="39" t="n">
        <f aca="false">YEAR(B1531)</f>
        <v>2026</v>
      </c>
      <c r="J1531" s="39" t="n">
        <f aca="false">MONTH(B1531)</f>
        <v>2</v>
      </c>
      <c r="K1531" s="39" t="str">
        <f aca="false">TEXT(B1531,"mmm")</f>
        <v>Feb</v>
      </c>
      <c r="L1531" s="45" t="n">
        <f aca="false">IFERROR(INDEX(medicine_master!$I$2:$I$26,MATCH($C1531,medicine_master!$A$2:$A$26,0)),0)</f>
        <v>13</v>
      </c>
      <c r="M1531" s="45" t="n">
        <f aca="false">IFERROR(INDEX(medicine_master!$G$2:$G$26,MATCH($C1531,medicine_master!$A$2:$A$26,0)),0)</f>
        <v>8</v>
      </c>
      <c r="N1531" s="45" t="n">
        <f aca="false">IF(D1531="Sale",E1531*L1531,0)</f>
        <v>0</v>
      </c>
      <c r="O1531" s="45" t="n">
        <f aca="false">IF(D1531="Sale",E1531*M1531,0)</f>
        <v>0</v>
      </c>
      <c r="P1531" s="45" t="n">
        <f aca="false">N1531-O1531</f>
        <v>0</v>
      </c>
      <c r="Q1531" s="45" t="n">
        <f aca="false">IF(D1531="Purchase",E1531*M1531,0)</f>
        <v>80</v>
      </c>
    </row>
    <row r="1532" customFormat="false" ht="15" hidden="false" customHeight="false" outlineLevel="0" collapsed="false">
      <c r="A1532" s="39" t="s">
        <v>1856</v>
      </c>
      <c r="B1532" s="44" t="n">
        <v>46363</v>
      </c>
      <c r="C1532" s="39" t="s">
        <v>158</v>
      </c>
      <c r="D1532" s="39" t="s">
        <v>137</v>
      </c>
      <c r="E1532" s="39" t="n">
        <v>15</v>
      </c>
      <c r="F1532" s="39" t="str">
        <f aca="false">IF(COUNTIF(medicine_master!$A$2:$A$26,C1532)&gt;0,"Valid","Invalid")</f>
        <v>Valid</v>
      </c>
      <c r="G1532" s="39" t="str">
        <f aca="false">IFERROR(INDEX(medicine_master!$B$2:$B$26,MATCH($C1532,medicine_master!$A$2:$A$26,0)),"Not found")</f>
        <v>Cough Syrup 100ml</v>
      </c>
      <c r="H1532" s="39" t="str">
        <f aca="false">IFERROR(INDEX(medicine_master!$C$2:$C$26,MATCH($C1532,medicine_master!$A$2:$A$26,0)),"Not found")</f>
        <v>Cold &amp; Cough</v>
      </c>
      <c r="I1532" s="39" t="n">
        <f aca="false">YEAR(B1532)</f>
        <v>2026</v>
      </c>
      <c r="J1532" s="39" t="n">
        <f aca="false">MONTH(B1532)</f>
        <v>12</v>
      </c>
      <c r="K1532" s="39" t="str">
        <f aca="false">TEXT(B1532,"mmm")</f>
        <v>Dec</v>
      </c>
      <c r="L1532" s="45" t="n">
        <f aca="false">IFERROR(INDEX(medicine_master!$I$2:$I$26,MATCH($C1532,medicine_master!$A$2:$A$26,0)),0)</f>
        <v>72</v>
      </c>
      <c r="M1532" s="45" t="n">
        <f aca="false">IFERROR(INDEX(medicine_master!$G$2:$G$26,MATCH($C1532,medicine_master!$A$2:$A$26,0)),0)</f>
        <v>52</v>
      </c>
      <c r="N1532" s="45" t="n">
        <f aca="false">IF(D1532="Sale",E1532*L1532,0)</f>
        <v>1080</v>
      </c>
      <c r="O1532" s="45" t="n">
        <f aca="false">IF(D1532="Sale",E1532*M1532,0)</f>
        <v>780</v>
      </c>
      <c r="P1532" s="45" t="n">
        <f aca="false">N1532-O1532</f>
        <v>300</v>
      </c>
      <c r="Q1532" s="45" t="n">
        <f aca="false">IF(D1532="Purchase",E1532*M1532,0)</f>
        <v>0</v>
      </c>
    </row>
    <row r="1533" customFormat="false" ht="15" hidden="false" customHeight="false" outlineLevel="0" collapsed="false">
      <c r="A1533" s="39" t="s">
        <v>1857</v>
      </c>
      <c r="B1533" s="44" t="n">
        <v>46048</v>
      </c>
      <c r="C1533" s="39" t="s">
        <v>152</v>
      </c>
      <c r="D1533" s="39" t="s">
        <v>137</v>
      </c>
      <c r="E1533" s="39" t="n">
        <v>20</v>
      </c>
      <c r="F1533" s="39" t="str">
        <f aca="false">IF(COUNTIF(medicine_master!$A$2:$A$26,C1533)&gt;0,"Valid","Invalid")</f>
        <v>Valid</v>
      </c>
      <c r="G1533" s="39" t="str">
        <f aca="false">IFERROR(INDEX(medicine_master!$B$2:$B$26,MATCH($C1533,medicine_master!$A$2:$A$26,0)),"Not found")</f>
        <v>Amoxicillin 500mg</v>
      </c>
      <c r="H1533" s="39" t="str">
        <f aca="false">IFERROR(INDEX(medicine_master!$C$2:$C$26,MATCH($C1533,medicine_master!$A$2:$A$26,0)),"Not found")</f>
        <v>Antibiotic</v>
      </c>
      <c r="I1533" s="39" t="n">
        <f aca="false">YEAR(B1533)</f>
        <v>2026</v>
      </c>
      <c r="J1533" s="39" t="n">
        <f aca="false">MONTH(B1533)</f>
        <v>1</v>
      </c>
      <c r="K1533" s="39" t="str">
        <f aca="false">TEXT(B1533,"mmm")</f>
        <v>Jan</v>
      </c>
      <c r="L1533" s="45" t="n">
        <f aca="false">IFERROR(INDEX(medicine_master!$I$2:$I$26,MATCH($C1533,medicine_master!$A$2:$A$26,0)),0)</f>
        <v>40</v>
      </c>
      <c r="M1533" s="45" t="n">
        <f aca="false">IFERROR(INDEX(medicine_master!$G$2:$G$26,MATCH($C1533,medicine_master!$A$2:$A$26,0)),0)</f>
        <v>28</v>
      </c>
      <c r="N1533" s="45" t="n">
        <f aca="false">IF(D1533="Sale",E1533*L1533,0)</f>
        <v>800</v>
      </c>
      <c r="O1533" s="45" t="n">
        <f aca="false">IF(D1533="Sale",E1533*M1533,0)</f>
        <v>560</v>
      </c>
      <c r="P1533" s="45" t="n">
        <f aca="false">N1533-O1533</f>
        <v>240</v>
      </c>
      <c r="Q1533" s="45" t="n">
        <f aca="false">IF(D1533="Purchase",E1533*M1533,0)</f>
        <v>0</v>
      </c>
    </row>
    <row r="1534" customFormat="false" ht="15" hidden="false" customHeight="false" outlineLevel="0" collapsed="false">
      <c r="A1534" s="39" t="s">
        <v>1858</v>
      </c>
      <c r="B1534" s="44" t="n">
        <v>46259</v>
      </c>
      <c r="C1534" s="39" t="s">
        <v>167</v>
      </c>
      <c r="D1534" s="39" t="s">
        <v>137</v>
      </c>
      <c r="E1534" s="39" t="n">
        <v>40</v>
      </c>
      <c r="F1534" s="39" t="str">
        <f aca="false">IF(COUNTIF(medicine_master!$A$2:$A$26,C1534)&gt;0,"Valid","Invalid")</f>
        <v>Valid</v>
      </c>
      <c r="G1534" s="39" t="str">
        <f aca="false">IFERROR(INDEX(medicine_master!$B$2:$B$26,MATCH($C1534,medicine_master!$A$2:$A$26,0)),"Not found")</f>
        <v>Amlodipine 5mg</v>
      </c>
      <c r="H1534" s="39" t="str">
        <f aca="false">IFERROR(INDEX(medicine_master!$C$2:$C$26,MATCH($C1534,medicine_master!$A$2:$A$26,0)),"Not found")</f>
        <v>Cardiac</v>
      </c>
      <c r="I1534" s="39" t="n">
        <f aca="false">YEAR(B1534)</f>
        <v>2026</v>
      </c>
      <c r="J1534" s="39" t="n">
        <f aca="false">MONTH(B1534)</f>
        <v>8</v>
      </c>
      <c r="K1534" s="39" t="str">
        <f aca="false">TEXT(B1534,"mmm")</f>
        <v>Aug</v>
      </c>
      <c r="L1534" s="45" t="n">
        <f aca="false">IFERROR(INDEX(medicine_master!$I$2:$I$26,MATCH($C1534,medicine_master!$A$2:$A$26,0)),0)</f>
        <v>19</v>
      </c>
      <c r="M1534" s="45" t="n">
        <f aca="false">IFERROR(INDEX(medicine_master!$G$2:$G$26,MATCH($C1534,medicine_master!$A$2:$A$26,0)),0)</f>
        <v>13</v>
      </c>
      <c r="N1534" s="45" t="n">
        <f aca="false">IF(D1534="Sale",E1534*L1534,0)</f>
        <v>760</v>
      </c>
      <c r="O1534" s="45" t="n">
        <f aca="false">IF(D1534="Sale",E1534*M1534,0)</f>
        <v>520</v>
      </c>
      <c r="P1534" s="45" t="n">
        <f aca="false">N1534-O1534</f>
        <v>240</v>
      </c>
      <c r="Q1534" s="45" t="n">
        <f aca="false">IF(D1534="Purchase",E1534*M1534,0)</f>
        <v>0</v>
      </c>
    </row>
    <row r="1535" customFormat="false" ht="15" hidden="false" customHeight="false" outlineLevel="0" collapsed="false">
      <c r="A1535" s="39" t="s">
        <v>1859</v>
      </c>
      <c r="B1535" s="44" t="n">
        <v>46173</v>
      </c>
      <c r="C1535" s="39" t="s">
        <v>177</v>
      </c>
      <c r="D1535" s="39" t="s">
        <v>138</v>
      </c>
      <c r="E1535" s="39" t="n">
        <v>50</v>
      </c>
      <c r="F1535" s="39" t="str">
        <f aca="false">IF(COUNTIF(medicine_master!$A$2:$A$26,C1535)&gt;0,"Valid","Invalid")</f>
        <v>Valid</v>
      </c>
      <c r="G1535" s="39" t="str">
        <f aca="false">IFERROR(INDEX(medicine_master!$B$2:$B$26,MATCH($C1535,medicine_master!$A$2:$A$26,0)),"Not found")</f>
        <v>Bandage Roll</v>
      </c>
      <c r="H1535" s="39" t="str">
        <f aca="false">IFERROR(INDEX(medicine_master!$C$2:$C$26,MATCH($C1535,medicine_master!$A$2:$A$26,0)),"Not found")</f>
        <v>First Aid</v>
      </c>
      <c r="I1535" s="39" t="n">
        <f aca="false">YEAR(B1535)</f>
        <v>2026</v>
      </c>
      <c r="J1535" s="39" t="n">
        <f aca="false">MONTH(B1535)</f>
        <v>5</v>
      </c>
      <c r="K1535" s="39" t="str">
        <f aca="false">TEXT(B1535,"mmm")</f>
        <v>May</v>
      </c>
      <c r="L1535" s="45" t="n">
        <f aca="false">IFERROR(INDEX(medicine_master!$I$2:$I$26,MATCH($C1535,medicine_master!$A$2:$A$26,0)),0)</f>
        <v>25</v>
      </c>
      <c r="M1535" s="45" t="n">
        <f aca="false">IFERROR(INDEX(medicine_master!$G$2:$G$26,MATCH($C1535,medicine_master!$A$2:$A$26,0)),0)</f>
        <v>15</v>
      </c>
      <c r="N1535" s="45" t="n">
        <f aca="false">IF(D1535="Sale",E1535*L1535,0)</f>
        <v>0</v>
      </c>
      <c r="O1535" s="45" t="n">
        <f aca="false">IF(D1535="Sale",E1535*M1535,0)</f>
        <v>0</v>
      </c>
      <c r="P1535" s="45" t="n">
        <f aca="false">N1535-O1535</f>
        <v>0</v>
      </c>
      <c r="Q1535" s="45" t="n">
        <f aca="false">IF(D1535="Purchase",E1535*M1535,0)</f>
        <v>750</v>
      </c>
    </row>
    <row r="1536" customFormat="false" ht="15" hidden="false" customHeight="false" outlineLevel="0" collapsed="false">
      <c r="A1536" s="39" t="s">
        <v>1860</v>
      </c>
      <c r="B1536" s="44" t="n">
        <v>46126</v>
      </c>
      <c r="C1536" s="39" t="s">
        <v>177</v>
      </c>
      <c r="D1536" s="39" t="s">
        <v>137</v>
      </c>
      <c r="E1536" s="39" t="n">
        <v>15</v>
      </c>
      <c r="F1536" s="39" t="str">
        <f aca="false">IF(COUNTIF(medicine_master!$A$2:$A$26,C1536)&gt;0,"Valid","Invalid")</f>
        <v>Valid</v>
      </c>
      <c r="G1536" s="39" t="str">
        <f aca="false">IFERROR(INDEX(medicine_master!$B$2:$B$26,MATCH($C1536,medicine_master!$A$2:$A$26,0)),"Not found")</f>
        <v>Bandage Roll</v>
      </c>
      <c r="H1536" s="39" t="str">
        <f aca="false">IFERROR(INDEX(medicine_master!$C$2:$C$26,MATCH($C1536,medicine_master!$A$2:$A$26,0)),"Not found")</f>
        <v>First Aid</v>
      </c>
      <c r="I1536" s="39" t="n">
        <f aca="false">YEAR(B1536)</f>
        <v>2026</v>
      </c>
      <c r="J1536" s="39" t="n">
        <f aca="false">MONTH(B1536)</f>
        <v>4</v>
      </c>
      <c r="K1536" s="39" t="str">
        <f aca="false">TEXT(B1536,"mmm")</f>
        <v>Apr</v>
      </c>
      <c r="L1536" s="45" t="n">
        <f aca="false">IFERROR(INDEX(medicine_master!$I$2:$I$26,MATCH($C1536,medicine_master!$A$2:$A$26,0)),0)</f>
        <v>25</v>
      </c>
      <c r="M1536" s="45" t="n">
        <f aca="false">IFERROR(INDEX(medicine_master!$G$2:$G$26,MATCH($C1536,medicine_master!$A$2:$A$26,0)),0)</f>
        <v>15</v>
      </c>
      <c r="N1536" s="45" t="n">
        <f aca="false">IF(D1536="Sale",E1536*L1536,0)</f>
        <v>375</v>
      </c>
      <c r="O1536" s="45" t="n">
        <f aca="false">IF(D1536="Sale",E1536*M1536,0)</f>
        <v>225</v>
      </c>
      <c r="P1536" s="45" t="n">
        <f aca="false">N1536-O1536</f>
        <v>150</v>
      </c>
      <c r="Q1536" s="45" t="n">
        <f aca="false">IF(D1536="Purchase",E1536*M1536,0)</f>
        <v>0</v>
      </c>
    </row>
    <row r="1537" customFormat="false" ht="15" hidden="false" customHeight="false" outlineLevel="0" collapsed="false">
      <c r="A1537" s="39" t="s">
        <v>1861</v>
      </c>
      <c r="B1537" s="44" t="n">
        <v>46322</v>
      </c>
      <c r="C1537" s="39" t="s">
        <v>144</v>
      </c>
      <c r="D1537" s="39" t="s">
        <v>137</v>
      </c>
      <c r="E1537" s="39" t="n">
        <v>15</v>
      </c>
      <c r="F1537" s="39" t="str">
        <f aca="false">IF(COUNTIF(medicine_master!$A$2:$A$26,C1537)&gt;0,"Valid","Invalid")</f>
        <v>Valid</v>
      </c>
      <c r="G1537" s="39" t="str">
        <f aca="false">IFERROR(INDEX(medicine_master!$B$2:$B$26,MATCH($C1537,medicine_master!$A$2:$A$26,0)),"Not found")</f>
        <v>Glimepiride 2mg</v>
      </c>
      <c r="H1537" s="39" t="str">
        <f aca="false">IFERROR(INDEX(medicine_master!$C$2:$C$26,MATCH($C1537,medicine_master!$A$2:$A$26,0)),"Not found")</f>
        <v>Diabetes</v>
      </c>
      <c r="I1537" s="39" t="n">
        <f aca="false">YEAR(B1537)</f>
        <v>2026</v>
      </c>
      <c r="J1537" s="39" t="n">
        <f aca="false">MONTH(B1537)</f>
        <v>10</v>
      </c>
      <c r="K1537" s="39" t="str">
        <f aca="false">TEXT(B1537,"mmm")</f>
        <v>Oct</v>
      </c>
      <c r="L1537" s="45" t="n">
        <f aca="false">IFERROR(INDEX(medicine_master!$I$2:$I$26,MATCH($C1537,medicine_master!$A$2:$A$26,0)),0)</f>
        <v>52</v>
      </c>
      <c r="M1537" s="45" t="n">
        <f aca="false">IFERROR(INDEX(medicine_master!$G$2:$G$26,MATCH($C1537,medicine_master!$A$2:$A$26,0)),0)</f>
        <v>38</v>
      </c>
      <c r="N1537" s="45" t="n">
        <f aca="false">IF(D1537="Sale",E1537*L1537,0)</f>
        <v>780</v>
      </c>
      <c r="O1537" s="45" t="n">
        <f aca="false">IF(D1537="Sale",E1537*M1537,0)</f>
        <v>570</v>
      </c>
      <c r="P1537" s="45" t="n">
        <f aca="false">N1537-O1537</f>
        <v>210</v>
      </c>
      <c r="Q1537" s="45" t="n">
        <f aca="false">IF(D1537="Purchase",E1537*M1537,0)</f>
        <v>0</v>
      </c>
    </row>
    <row r="1538" customFormat="false" ht="15" hidden="false" customHeight="false" outlineLevel="0" collapsed="false">
      <c r="A1538" s="39" t="s">
        <v>1862</v>
      </c>
      <c r="B1538" s="44" t="n">
        <v>46375</v>
      </c>
      <c r="C1538" s="39" t="s">
        <v>326</v>
      </c>
      <c r="D1538" s="39" t="s">
        <v>137</v>
      </c>
      <c r="E1538" s="39" t="n">
        <v>40</v>
      </c>
      <c r="F1538" s="39" t="str">
        <f aca="false">IF(COUNTIF(medicine_master!$A$2:$A$26,C1538)&gt;0,"Valid","Invalid")</f>
        <v>Valid</v>
      </c>
      <c r="G1538" s="39" t="str">
        <f aca="false">IFERROR(INDEX(medicine_master!$B$2:$B$26,MATCH($C1538,medicine_master!$A$2:$A$26,0)),"Not found")</f>
        <v>Omeprazole 20mg</v>
      </c>
      <c r="H1538" s="39" t="str">
        <f aca="false">IFERROR(INDEX(medicine_master!$C$2:$C$26,MATCH($C1538,medicine_master!$A$2:$A$26,0)),"Not found")</f>
        <v>Gastric</v>
      </c>
      <c r="I1538" s="39" t="n">
        <f aca="false">YEAR(B1538)</f>
        <v>2026</v>
      </c>
      <c r="J1538" s="39" t="n">
        <f aca="false">MONTH(B1538)</f>
        <v>12</v>
      </c>
      <c r="K1538" s="39" t="str">
        <f aca="false">TEXT(B1538,"mmm")</f>
        <v>Dec</v>
      </c>
      <c r="L1538" s="45" t="n">
        <f aca="false">IFERROR(INDEX(medicine_master!$I$2:$I$26,MATCH($C1538,medicine_master!$A$2:$A$26,0)),0)</f>
        <v>26</v>
      </c>
      <c r="M1538" s="45" t="n">
        <f aca="false">IFERROR(INDEX(medicine_master!$G$2:$G$26,MATCH($C1538,medicine_master!$A$2:$A$26,0)),0)</f>
        <v>18</v>
      </c>
      <c r="N1538" s="45" t="n">
        <f aca="false">IF(D1538="Sale",E1538*L1538,0)</f>
        <v>1040</v>
      </c>
      <c r="O1538" s="45" t="n">
        <f aca="false">IF(D1538="Sale",E1538*M1538,0)</f>
        <v>720</v>
      </c>
      <c r="P1538" s="45" t="n">
        <f aca="false">N1538-O1538</f>
        <v>320</v>
      </c>
      <c r="Q1538" s="45" t="n">
        <f aca="false">IF(D1538="Purchase",E1538*M1538,0)</f>
        <v>0</v>
      </c>
    </row>
    <row r="1539" customFormat="false" ht="15" hidden="false" customHeight="false" outlineLevel="0" collapsed="false">
      <c r="A1539" s="39" t="s">
        <v>1863</v>
      </c>
      <c r="B1539" s="44" t="n">
        <v>46204</v>
      </c>
      <c r="C1539" s="39" t="s">
        <v>147</v>
      </c>
      <c r="D1539" s="39" t="s">
        <v>138</v>
      </c>
      <c r="E1539" s="39" t="n">
        <v>50</v>
      </c>
      <c r="F1539" s="39" t="str">
        <f aca="false">IF(COUNTIF(medicine_master!$A$2:$A$26,C1539)&gt;0,"Valid","Invalid")</f>
        <v>Valid</v>
      </c>
      <c r="G1539" s="39" t="str">
        <f aca="false">IFERROR(INDEX(medicine_master!$B$2:$B$26,MATCH($C1539,medicine_master!$A$2:$A$26,0)),"Not found")</f>
        <v>Insulin Injection</v>
      </c>
      <c r="H1539" s="39" t="str">
        <f aca="false">IFERROR(INDEX(medicine_master!$C$2:$C$26,MATCH($C1539,medicine_master!$A$2:$A$26,0)),"Not found")</f>
        <v>Diabetes</v>
      </c>
      <c r="I1539" s="39" t="n">
        <f aca="false">YEAR(B1539)</f>
        <v>2026</v>
      </c>
      <c r="J1539" s="39" t="n">
        <f aca="false">MONTH(B1539)</f>
        <v>7</v>
      </c>
      <c r="K1539" s="39" t="str">
        <f aca="false">TEXT(B1539,"mmm")</f>
        <v>Jul</v>
      </c>
      <c r="L1539" s="45" t="n">
        <f aca="false">IFERROR(INDEX(medicine_master!$I$2:$I$26,MATCH($C1539,medicine_master!$A$2:$A$26,0)),0)</f>
        <v>225</v>
      </c>
      <c r="M1539" s="45" t="n">
        <f aca="false">IFERROR(INDEX(medicine_master!$G$2:$G$26,MATCH($C1539,medicine_master!$A$2:$A$26,0)),0)</f>
        <v>165</v>
      </c>
      <c r="N1539" s="45" t="n">
        <f aca="false">IF(D1539="Sale",E1539*L1539,0)</f>
        <v>0</v>
      </c>
      <c r="O1539" s="45" t="n">
        <f aca="false">IF(D1539="Sale",E1539*M1539,0)</f>
        <v>0</v>
      </c>
      <c r="P1539" s="45" t="n">
        <f aca="false">N1539-O1539</f>
        <v>0</v>
      </c>
      <c r="Q1539" s="45" t="n">
        <f aca="false">IF(D1539="Purchase",E1539*M1539,0)</f>
        <v>8250</v>
      </c>
    </row>
    <row r="1540" customFormat="false" ht="15" hidden="false" customHeight="false" outlineLevel="0" collapsed="false">
      <c r="A1540" s="39" t="s">
        <v>1864</v>
      </c>
      <c r="B1540" s="44" t="n">
        <v>46248</v>
      </c>
      <c r="C1540" s="39" t="s">
        <v>167</v>
      </c>
      <c r="D1540" s="39" t="s">
        <v>137</v>
      </c>
      <c r="E1540" s="39" t="n">
        <v>20</v>
      </c>
      <c r="F1540" s="39" t="str">
        <f aca="false">IF(COUNTIF(medicine_master!$A$2:$A$26,C1540)&gt;0,"Valid","Invalid")</f>
        <v>Valid</v>
      </c>
      <c r="G1540" s="39" t="str">
        <f aca="false">IFERROR(INDEX(medicine_master!$B$2:$B$26,MATCH($C1540,medicine_master!$A$2:$A$26,0)),"Not found")</f>
        <v>Amlodipine 5mg</v>
      </c>
      <c r="H1540" s="39" t="str">
        <f aca="false">IFERROR(INDEX(medicine_master!$C$2:$C$26,MATCH($C1540,medicine_master!$A$2:$A$26,0)),"Not found")</f>
        <v>Cardiac</v>
      </c>
      <c r="I1540" s="39" t="n">
        <f aca="false">YEAR(B1540)</f>
        <v>2026</v>
      </c>
      <c r="J1540" s="39" t="n">
        <f aca="false">MONTH(B1540)</f>
        <v>8</v>
      </c>
      <c r="K1540" s="39" t="str">
        <f aca="false">TEXT(B1540,"mmm")</f>
        <v>Aug</v>
      </c>
      <c r="L1540" s="45" t="n">
        <f aca="false">IFERROR(INDEX(medicine_master!$I$2:$I$26,MATCH($C1540,medicine_master!$A$2:$A$26,0)),0)</f>
        <v>19</v>
      </c>
      <c r="M1540" s="45" t="n">
        <f aca="false">IFERROR(INDEX(medicine_master!$G$2:$G$26,MATCH($C1540,medicine_master!$A$2:$A$26,0)),0)</f>
        <v>13</v>
      </c>
      <c r="N1540" s="45" t="n">
        <f aca="false">IF(D1540="Sale",E1540*L1540,0)</f>
        <v>380</v>
      </c>
      <c r="O1540" s="45" t="n">
        <f aca="false">IF(D1540="Sale",E1540*M1540,0)</f>
        <v>260</v>
      </c>
      <c r="P1540" s="45" t="n">
        <f aca="false">N1540-O1540</f>
        <v>120</v>
      </c>
      <c r="Q1540" s="45" t="n">
        <f aca="false">IF(D1540="Purchase",E1540*M1540,0)</f>
        <v>0</v>
      </c>
    </row>
    <row r="1541" customFormat="false" ht="15" hidden="false" customHeight="false" outlineLevel="0" collapsed="false">
      <c r="A1541" s="39" t="s">
        <v>1865</v>
      </c>
      <c r="B1541" s="44" t="n">
        <v>46080</v>
      </c>
      <c r="C1541" s="39" t="s">
        <v>153</v>
      </c>
      <c r="D1541" s="39" t="s">
        <v>138</v>
      </c>
      <c r="E1541" s="39" t="n">
        <v>20</v>
      </c>
      <c r="F1541" s="39" t="str">
        <f aca="false">IF(COUNTIF(medicine_master!$A$2:$A$26,C1541)&gt;0,"Valid","Invalid")</f>
        <v>Valid</v>
      </c>
      <c r="G1541" s="39" t="str">
        <f aca="false">IFERROR(INDEX(medicine_master!$B$2:$B$26,MATCH($C1541,medicine_master!$A$2:$A$26,0)),"Not found")</f>
        <v>Atorvastatin 10mg</v>
      </c>
      <c r="H1541" s="39" t="str">
        <f aca="false">IFERROR(INDEX(medicine_master!$C$2:$C$26,MATCH($C1541,medicine_master!$A$2:$A$26,0)),"Not found")</f>
        <v>Cardiac</v>
      </c>
      <c r="I1541" s="39" t="n">
        <f aca="false">YEAR(B1541)</f>
        <v>2026</v>
      </c>
      <c r="J1541" s="39" t="n">
        <f aca="false">MONTH(B1541)</f>
        <v>2</v>
      </c>
      <c r="K1541" s="39" t="str">
        <f aca="false">TEXT(B1541,"mmm")</f>
        <v>Feb</v>
      </c>
      <c r="L1541" s="45" t="n">
        <f aca="false">IFERROR(INDEX(medicine_master!$I$2:$I$26,MATCH($C1541,medicine_master!$A$2:$A$26,0)),0)</f>
        <v>28</v>
      </c>
      <c r="M1541" s="45" t="n">
        <f aca="false">IFERROR(INDEX(medicine_master!$G$2:$G$26,MATCH($C1541,medicine_master!$A$2:$A$26,0)),0)</f>
        <v>19</v>
      </c>
      <c r="N1541" s="45" t="n">
        <f aca="false">IF(D1541="Sale",E1541*L1541,0)</f>
        <v>0</v>
      </c>
      <c r="O1541" s="45" t="n">
        <f aca="false">IF(D1541="Sale",E1541*M1541,0)</f>
        <v>0</v>
      </c>
      <c r="P1541" s="45" t="n">
        <f aca="false">N1541-O1541</f>
        <v>0</v>
      </c>
      <c r="Q1541" s="45" t="n">
        <f aca="false">IF(D1541="Purchase",E1541*M1541,0)</f>
        <v>380</v>
      </c>
    </row>
    <row r="1542" customFormat="false" ht="15" hidden="false" customHeight="false" outlineLevel="0" collapsed="false">
      <c r="A1542" s="39" t="s">
        <v>1866</v>
      </c>
      <c r="B1542" s="44" t="n">
        <v>46203</v>
      </c>
      <c r="C1542" s="39" t="s">
        <v>345</v>
      </c>
      <c r="D1542" s="39" t="s">
        <v>138</v>
      </c>
      <c r="E1542" s="39" t="n">
        <v>25</v>
      </c>
      <c r="F1542" s="39" t="str">
        <f aca="false">IF(COUNTIF(medicine_master!$A$2:$A$26,C1542)&gt;0,"Valid","Invalid")</f>
        <v>Valid</v>
      </c>
      <c r="G1542" s="39" t="str">
        <f aca="false">IFERROR(INDEX(medicine_master!$B$2:$B$26,MATCH($C1542,medicine_master!$A$2:$A$26,0)),"Not found")</f>
        <v>Paracetamol 500mg</v>
      </c>
      <c r="H1542" s="39" t="str">
        <f aca="false">IFERROR(INDEX(medicine_master!$C$2:$C$26,MATCH($C1542,medicine_master!$A$2:$A$26,0)),"Not found")</f>
        <v>Pain Relief</v>
      </c>
      <c r="I1542" s="39" t="n">
        <f aca="false">YEAR(B1542)</f>
        <v>2026</v>
      </c>
      <c r="J1542" s="39" t="n">
        <f aca="false">MONTH(B1542)</f>
        <v>6</v>
      </c>
      <c r="K1542" s="39" t="str">
        <f aca="false">TEXT(B1542,"mmm")</f>
        <v>Jun</v>
      </c>
      <c r="L1542" s="45" t="n">
        <f aca="false">IFERROR(INDEX(medicine_master!$I$2:$I$26,MATCH($C1542,medicine_master!$A$2:$A$26,0)),0)</f>
        <v>18</v>
      </c>
      <c r="M1542" s="45" t="n">
        <f aca="false">IFERROR(INDEX(medicine_master!$G$2:$G$26,MATCH($C1542,medicine_master!$A$2:$A$26,0)),0)</f>
        <v>12</v>
      </c>
      <c r="N1542" s="45" t="n">
        <f aca="false">IF(D1542="Sale",E1542*L1542,0)</f>
        <v>0</v>
      </c>
      <c r="O1542" s="45" t="n">
        <f aca="false">IF(D1542="Sale",E1542*M1542,0)</f>
        <v>0</v>
      </c>
      <c r="P1542" s="45" t="n">
        <f aca="false">N1542-O1542</f>
        <v>0</v>
      </c>
      <c r="Q1542" s="45" t="n">
        <f aca="false">IF(D1542="Purchase",E1542*M1542,0)</f>
        <v>300</v>
      </c>
    </row>
    <row r="1543" customFormat="false" ht="15" hidden="false" customHeight="false" outlineLevel="0" collapsed="false">
      <c r="A1543" s="39" t="s">
        <v>1867</v>
      </c>
      <c r="B1543" s="44" t="n">
        <v>46123</v>
      </c>
      <c r="C1543" s="39" t="s">
        <v>404</v>
      </c>
      <c r="D1543" s="39" t="s">
        <v>138</v>
      </c>
      <c r="E1543" s="39" t="n">
        <v>30</v>
      </c>
      <c r="F1543" s="39" t="str">
        <f aca="false">IF(COUNTIF(medicine_master!$A$2:$A$26,C1543)&gt;0,"Valid","Invalid")</f>
        <v>Valid</v>
      </c>
      <c r="G1543" s="39" t="str">
        <f aca="false">IFERROR(INDEX(medicine_master!$B$2:$B$26,MATCH($C1543,medicine_master!$A$2:$A$26,0)),"Not found")</f>
        <v>ORS Sachet</v>
      </c>
      <c r="H1543" s="39" t="str">
        <f aca="false">IFERROR(INDEX(medicine_master!$C$2:$C$26,MATCH($C1543,medicine_master!$A$2:$A$26,0)),"Not found")</f>
        <v>First Aid</v>
      </c>
      <c r="I1543" s="39" t="n">
        <f aca="false">YEAR(B1543)</f>
        <v>2026</v>
      </c>
      <c r="J1543" s="39" t="n">
        <f aca="false">MONTH(B1543)</f>
        <v>4</v>
      </c>
      <c r="K1543" s="39" t="str">
        <f aca="false">TEXT(B1543,"mmm")</f>
        <v>Apr</v>
      </c>
      <c r="L1543" s="45" t="n">
        <f aca="false">IFERROR(INDEX(medicine_master!$I$2:$I$26,MATCH($C1543,medicine_master!$A$2:$A$26,0)),0)</f>
        <v>10</v>
      </c>
      <c r="M1543" s="45" t="n">
        <f aca="false">IFERROR(INDEX(medicine_master!$G$2:$G$26,MATCH($C1543,medicine_master!$A$2:$A$26,0)),0)</f>
        <v>6</v>
      </c>
      <c r="N1543" s="45" t="n">
        <f aca="false">IF(D1543="Sale",E1543*L1543,0)</f>
        <v>0</v>
      </c>
      <c r="O1543" s="45" t="n">
        <f aca="false">IF(D1543="Sale",E1543*M1543,0)</f>
        <v>0</v>
      </c>
      <c r="P1543" s="45" t="n">
        <f aca="false">N1543-O1543</f>
        <v>0</v>
      </c>
      <c r="Q1543" s="45" t="n">
        <f aca="false">IF(D1543="Purchase",E1543*M1543,0)</f>
        <v>180</v>
      </c>
    </row>
    <row r="1544" customFormat="false" ht="15" hidden="false" customHeight="false" outlineLevel="0" collapsed="false">
      <c r="A1544" s="39" t="s">
        <v>1868</v>
      </c>
      <c r="B1544" s="44" t="n">
        <v>46188</v>
      </c>
      <c r="C1544" s="39" t="s">
        <v>159</v>
      </c>
      <c r="D1544" s="39" t="s">
        <v>138</v>
      </c>
      <c r="E1544" s="39" t="n">
        <v>20</v>
      </c>
      <c r="F1544" s="39" t="str">
        <f aca="false">IF(COUNTIF(medicine_master!$A$2:$A$26,C1544)&gt;0,"Valid","Invalid")</f>
        <v>Valid</v>
      </c>
      <c r="G1544" s="39" t="str">
        <f aca="false">IFERROR(INDEX(medicine_master!$B$2:$B$26,MATCH($C1544,medicine_master!$A$2:$A$26,0)),"Not found")</f>
        <v>Antiseptic Liquid 100ml</v>
      </c>
      <c r="H1544" s="39" t="str">
        <f aca="false">IFERROR(INDEX(medicine_master!$C$2:$C$26,MATCH($C1544,medicine_master!$A$2:$A$26,0)),"Not found")</f>
        <v>First Aid</v>
      </c>
      <c r="I1544" s="39" t="n">
        <f aca="false">YEAR(B1544)</f>
        <v>2026</v>
      </c>
      <c r="J1544" s="39" t="n">
        <f aca="false">MONTH(B1544)</f>
        <v>6</v>
      </c>
      <c r="K1544" s="39" t="str">
        <f aca="false">TEXT(B1544,"mmm")</f>
        <v>Jun</v>
      </c>
      <c r="L1544" s="45" t="n">
        <f aca="false">IFERROR(INDEX(medicine_master!$I$2:$I$26,MATCH($C1544,medicine_master!$A$2:$A$26,0)),0)</f>
        <v>65</v>
      </c>
      <c r="M1544" s="45" t="n">
        <f aca="false">IFERROR(INDEX(medicine_master!$G$2:$G$26,MATCH($C1544,medicine_master!$A$2:$A$26,0)),0)</f>
        <v>48</v>
      </c>
      <c r="N1544" s="45" t="n">
        <f aca="false">IF(D1544="Sale",E1544*L1544,0)</f>
        <v>0</v>
      </c>
      <c r="O1544" s="45" t="n">
        <f aca="false">IF(D1544="Sale",E1544*M1544,0)</f>
        <v>0</v>
      </c>
      <c r="P1544" s="45" t="n">
        <f aca="false">N1544-O1544</f>
        <v>0</v>
      </c>
      <c r="Q1544" s="45" t="n">
        <f aca="false">IF(D1544="Purchase",E1544*M1544,0)</f>
        <v>960</v>
      </c>
    </row>
    <row r="1545" customFormat="false" ht="15" hidden="false" customHeight="false" outlineLevel="0" collapsed="false">
      <c r="A1545" s="39" t="s">
        <v>1869</v>
      </c>
      <c r="B1545" s="44" t="n">
        <v>46329</v>
      </c>
      <c r="C1545" s="39" t="s">
        <v>150</v>
      </c>
      <c r="D1545" s="39" t="s">
        <v>138</v>
      </c>
      <c r="E1545" s="39" t="n">
        <v>50</v>
      </c>
      <c r="F1545" s="39" t="str">
        <f aca="false">IF(COUNTIF(medicine_master!$A$2:$A$26,C1545)&gt;0,"Valid","Invalid")</f>
        <v>Valid</v>
      </c>
      <c r="G1545" s="39" t="str">
        <f aca="false">IFERROR(INDEX(medicine_master!$B$2:$B$26,MATCH($C1545,medicine_master!$A$2:$A$26,0)),"Not found")</f>
        <v>Pantoprazole 40mg</v>
      </c>
      <c r="H1545" s="39" t="str">
        <f aca="false">IFERROR(INDEX(medicine_master!$C$2:$C$26,MATCH($C1545,medicine_master!$A$2:$A$26,0)),"Not found")</f>
        <v>Gastric</v>
      </c>
      <c r="I1545" s="39" t="n">
        <f aca="false">YEAR(B1545)</f>
        <v>2026</v>
      </c>
      <c r="J1545" s="39" t="n">
        <f aca="false">MONTH(B1545)</f>
        <v>11</v>
      </c>
      <c r="K1545" s="39" t="str">
        <f aca="false">TEXT(B1545,"mmm")</f>
        <v>Nov</v>
      </c>
      <c r="L1545" s="45" t="n">
        <f aca="false">IFERROR(INDEX(medicine_master!$I$2:$I$26,MATCH($C1545,medicine_master!$A$2:$A$26,0)),0)</f>
        <v>35</v>
      </c>
      <c r="M1545" s="45" t="n">
        <f aca="false">IFERROR(INDEX(medicine_master!$G$2:$G$26,MATCH($C1545,medicine_master!$A$2:$A$26,0)),0)</f>
        <v>24</v>
      </c>
      <c r="N1545" s="45" t="n">
        <f aca="false">IF(D1545="Sale",E1545*L1545,0)</f>
        <v>0</v>
      </c>
      <c r="O1545" s="45" t="n">
        <f aca="false">IF(D1545="Sale",E1545*M1545,0)</f>
        <v>0</v>
      </c>
      <c r="P1545" s="45" t="n">
        <f aca="false">N1545-O1545</f>
        <v>0</v>
      </c>
      <c r="Q1545" s="45" t="n">
        <f aca="false">IF(D1545="Purchase",E1545*M1545,0)</f>
        <v>1200</v>
      </c>
    </row>
    <row r="1546" customFormat="false" ht="15" hidden="false" customHeight="false" outlineLevel="0" collapsed="false">
      <c r="A1546" s="39" t="s">
        <v>1870</v>
      </c>
      <c r="B1546" s="44" t="n">
        <v>46358</v>
      </c>
      <c r="C1546" s="39" t="s">
        <v>157</v>
      </c>
      <c r="D1546" s="39" t="s">
        <v>138</v>
      </c>
      <c r="E1546" s="39" t="n">
        <v>20</v>
      </c>
      <c r="F1546" s="39" t="str">
        <f aca="false">IF(COUNTIF(medicine_master!$A$2:$A$26,C1546)&gt;0,"Valid","Invalid")</f>
        <v>Valid</v>
      </c>
      <c r="G1546" s="39" t="str">
        <f aca="false">IFERROR(INDEX(medicine_master!$B$2:$B$26,MATCH($C1546,medicine_master!$A$2:$A$26,0)),"Not found")</f>
        <v>Multivitamin Tablets</v>
      </c>
      <c r="H1546" s="39" t="str">
        <f aca="false">IFERROR(INDEX(medicine_master!$C$2:$C$26,MATCH($C1546,medicine_master!$A$2:$A$26,0)),"Not found")</f>
        <v>Vitamin</v>
      </c>
      <c r="I1546" s="39" t="n">
        <f aca="false">YEAR(B1546)</f>
        <v>2026</v>
      </c>
      <c r="J1546" s="39" t="n">
        <f aca="false">MONTH(B1546)</f>
        <v>12</v>
      </c>
      <c r="K1546" s="39" t="str">
        <f aca="false">TEXT(B1546,"mmm")</f>
        <v>Dec</v>
      </c>
      <c r="L1546" s="45" t="n">
        <f aca="false">IFERROR(INDEX(medicine_master!$I$2:$I$26,MATCH($C1546,medicine_master!$A$2:$A$26,0)),0)</f>
        <v>105</v>
      </c>
      <c r="M1546" s="45" t="n">
        <f aca="false">IFERROR(INDEX(medicine_master!$G$2:$G$26,MATCH($C1546,medicine_master!$A$2:$A$26,0)),0)</f>
        <v>72</v>
      </c>
      <c r="N1546" s="45" t="n">
        <f aca="false">IF(D1546="Sale",E1546*L1546,0)</f>
        <v>0</v>
      </c>
      <c r="O1546" s="45" t="n">
        <f aca="false">IF(D1546="Sale",E1546*M1546,0)</f>
        <v>0</v>
      </c>
      <c r="P1546" s="45" t="n">
        <f aca="false">N1546-O1546</f>
        <v>0</v>
      </c>
      <c r="Q1546" s="45" t="n">
        <f aca="false">IF(D1546="Purchase",E1546*M1546,0)</f>
        <v>1440</v>
      </c>
    </row>
    <row r="1547" customFormat="false" ht="15" hidden="false" customHeight="false" outlineLevel="0" collapsed="false">
      <c r="A1547" s="39" t="s">
        <v>1871</v>
      </c>
      <c r="B1547" s="44" t="n">
        <v>46120</v>
      </c>
      <c r="C1547" s="39" t="s">
        <v>149</v>
      </c>
      <c r="D1547" s="39" t="s">
        <v>137</v>
      </c>
      <c r="E1547" s="39" t="n">
        <v>25</v>
      </c>
      <c r="F1547" s="39" t="str">
        <f aca="false">IF(COUNTIF(medicine_master!$A$2:$A$26,C1547)&gt;0,"Valid","Invalid")</f>
        <v>Valid</v>
      </c>
      <c r="G1547" s="39" t="str">
        <f aca="false">IFERROR(INDEX(medicine_master!$B$2:$B$26,MATCH($C1547,medicine_master!$A$2:$A$26,0)),"Not found")</f>
        <v>Azithromycin 500mg</v>
      </c>
      <c r="H1547" s="39" t="str">
        <f aca="false">IFERROR(INDEX(medicine_master!$C$2:$C$26,MATCH($C1547,medicine_master!$A$2:$A$26,0)),"Not found")</f>
        <v>Antibiotic</v>
      </c>
      <c r="I1547" s="39" t="n">
        <f aca="false">YEAR(B1547)</f>
        <v>2026</v>
      </c>
      <c r="J1547" s="39" t="n">
        <f aca="false">MONTH(B1547)</f>
        <v>4</v>
      </c>
      <c r="K1547" s="39" t="str">
        <f aca="false">TEXT(B1547,"mmm")</f>
        <v>Apr</v>
      </c>
      <c r="L1547" s="45" t="n">
        <f aca="false">IFERROR(INDEX(medicine_master!$I$2:$I$26,MATCH($C1547,medicine_master!$A$2:$A$26,0)),0)</f>
        <v>50</v>
      </c>
      <c r="M1547" s="45" t="n">
        <f aca="false">IFERROR(INDEX(medicine_master!$G$2:$G$26,MATCH($C1547,medicine_master!$A$2:$A$26,0)),0)</f>
        <v>35</v>
      </c>
      <c r="N1547" s="45" t="n">
        <f aca="false">IF(D1547="Sale",E1547*L1547,0)</f>
        <v>1250</v>
      </c>
      <c r="O1547" s="45" t="n">
        <f aca="false">IF(D1547="Sale",E1547*M1547,0)</f>
        <v>875</v>
      </c>
      <c r="P1547" s="45" t="n">
        <f aca="false">N1547-O1547</f>
        <v>375</v>
      </c>
      <c r="Q1547" s="45" t="n">
        <f aca="false">IF(D1547="Purchase",E1547*M1547,0)</f>
        <v>0</v>
      </c>
    </row>
    <row r="1548" customFormat="false" ht="15" hidden="false" customHeight="false" outlineLevel="0" collapsed="false">
      <c r="A1548" s="39" t="s">
        <v>1872</v>
      </c>
      <c r="B1548" s="44" t="n">
        <v>46331</v>
      </c>
      <c r="C1548" s="39" t="s">
        <v>160</v>
      </c>
      <c r="D1548" s="39" t="s">
        <v>137</v>
      </c>
      <c r="E1548" s="39" t="n">
        <v>25</v>
      </c>
      <c r="F1548" s="39" t="str">
        <f aca="false">IF(COUNTIF(medicine_master!$A$2:$A$26,C1548)&gt;0,"Valid","Invalid")</f>
        <v>Valid</v>
      </c>
      <c r="G1548" s="39" t="str">
        <f aca="false">IFERROR(INDEX(medicine_master!$B$2:$B$26,MATCH($C1548,medicine_master!$A$2:$A$26,0)),"Not found")</f>
        <v>Calamine Lotion</v>
      </c>
      <c r="H1548" s="39" t="str">
        <f aca="false">IFERROR(INDEX(medicine_master!$C$2:$C$26,MATCH($C1548,medicine_master!$A$2:$A$26,0)),"Not found")</f>
        <v>Dermatology</v>
      </c>
      <c r="I1548" s="39" t="n">
        <f aca="false">YEAR(B1548)</f>
        <v>2026</v>
      </c>
      <c r="J1548" s="39" t="n">
        <f aca="false">MONTH(B1548)</f>
        <v>11</v>
      </c>
      <c r="K1548" s="39" t="str">
        <f aca="false">TEXT(B1548,"mmm")</f>
        <v>Nov</v>
      </c>
      <c r="L1548" s="45" t="n">
        <f aca="false">IFERROR(INDEX(medicine_master!$I$2:$I$26,MATCH($C1548,medicine_master!$A$2:$A$26,0)),0)</f>
        <v>60</v>
      </c>
      <c r="M1548" s="45" t="n">
        <f aca="false">IFERROR(INDEX(medicine_master!$G$2:$G$26,MATCH($C1548,medicine_master!$A$2:$A$26,0)),0)</f>
        <v>42</v>
      </c>
      <c r="N1548" s="45" t="n">
        <f aca="false">IF(D1548="Sale",E1548*L1548,0)</f>
        <v>1500</v>
      </c>
      <c r="O1548" s="45" t="n">
        <f aca="false">IF(D1548="Sale",E1548*M1548,0)</f>
        <v>1050</v>
      </c>
      <c r="P1548" s="45" t="n">
        <f aca="false">N1548-O1548</f>
        <v>450</v>
      </c>
      <c r="Q1548" s="45" t="n">
        <f aca="false">IF(D1548="Purchase",E1548*M1548,0)</f>
        <v>0</v>
      </c>
    </row>
    <row r="1549" customFormat="false" ht="15" hidden="false" customHeight="false" outlineLevel="0" collapsed="false">
      <c r="A1549" s="39" t="s">
        <v>1873</v>
      </c>
      <c r="B1549" s="44" t="n">
        <v>46143</v>
      </c>
      <c r="C1549" s="39" t="s">
        <v>148</v>
      </c>
      <c r="D1549" s="39" t="s">
        <v>138</v>
      </c>
      <c r="E1549" s="39" t="n">
        <v>25</v>
      </c>
      <c r="F1549" s="39" t="str">
        <f aca="false">IF(COUNTIF(medicine_master!$A$2:$A$26,C1549)&gt;0,"Valid","Invalid")</f>
        <v>Valid</v>
      </c>
      <c r="G1549" s="39" t="str">
        <f aca="false">IFERROR(INDEX(medicine_master!$B$2:$B$26,MATCH($C1549,medicine_master!$A$2:$A$26,0)),"Not found")</f>
        <v>Dextromethorphan Syrup</v>
      </c>
      <c r="H1549" s="39" t="str">
        <f aca="false">IFERROR(INDEX(medicine_master!$C$2:$C$26,MATCH($C1549,medicine_master!$A$2:$A$26,0)),"Not found")</f>
        <v>Cold &amp; Cough</v>
      </c>
      <c r="I1549" s="39" t="n">
        <f aca="false">YEAR(B1549)</f>
        <v>2026</v>
      </c>
      <c r="J1549" s="39" t="n">
        <f aca="false">MONTH(B1549)</f>
        <v>5</v>
      </c>
      <c r="K1549" s="39" t="str">
        <f aca="false">TEXT(B1549,"mmm")</f>
        <v>May</v>
      </c>
      <c r="L1549" s="45" t="n">
        <f aca="false">IFERROR(INDEX(medicine_master!$I$2:$I$26,MATCH($C1549,medicine_master!$A$2:$A$26,0)),0)</f>
        <v>80</v>
      </c>
      <c r="M1549" s="45" t="n">
        <f aca="false">IFERROR(INDEX(medicine_master!$G$2:$G$26,MATCH($C1549,medicine_master!$A$2:$A$26,0)),0)</f>
        <v>58</v>
      </c>
      <c r="N1549" s="45" t="n">
        <f aca="false">IF(D1549="Sale",E1549*L1549,0)</f>
        <v>0</v>
      </c>
      <c r="O1549" s="45" t="n">
        <f aca="false">IF(D1549="Sale",E1549*M1549,0)</f>
        <v>0</v>
      </c>
      <c r="P1549" s="45" t="n">
        <f aca="false">N1549-O1549</f>
        <v>0</v>
      </c>
      <c r="Q1549" s="45" t="n">
        <f aca="false">IF(D1549="Purchase",E1549*M1549,0)</f>
        <v>1450</v>
      </c>
    </row>
    <row r="1550" customFormat="false" ht="15" hidden="false" customHeight="false" outlineLevel="0" collapsed="false">
      <c r="A1550" s="39" t="s">
        <v>1874</v>
      </c>
      <c r="B1550" s="44" t="n">
        <v>46371</v>
      </c>
      <c r="C1550" s="39" t="s">
        <v>326</v>
      </c>
      <c r="D1550" s="39" t="s">
        <v>138</v>
      </c>
      <c r="E1550" s="39" t="n">
        <v>15</v>
      </c>
      <c r="F1550" s="39" t="str">
        <f aca="false">IF(COUNTIF(medicine_master!$A$2:$A$26,C1550)&gt;0,"Valid","Invalid")</f>
        <v>Valid</v>
      </c>
      <c r="G1550" s="39" t="str">
        <f aca="false">IFERROR(INDEX(medicine_master!$B$2:$B$26,MATCH($C1550,medicine_master!$A$2:$A$26,0)),"Not found")</f>
        <v>Omeprazole 20mg</v>
      </c>
      <c r="H1550" s="39" t="str">
        <f aca="false">IFERROR(INDEX(medicine_master!$C$2:$C$26,MATCH($C1550,medicine_master!$A$2:$A$26,0)),"Not found")</f>
        <v>Gastric</v>
      </c>
      <c r="I1550" s="39" t="n">
        <f aca="false">YEAR(B1550)</f>
        <v>2026</v>
      </c>
      <c r="J1550" s="39" t="n">
        <f aca="false">MONTH(B1550)</f>
        <v>12</v>
      </c>
      <c r="K1550" s="39" t="str">
        <f aca="false">TEXT(B1550,"mmm")</f>
        <v>Dec</v>
      </c>
      <c r="L1550" s="45" t="n">
        <f aca="false">IFERROR(INDEX(medicine_master!$I$2:$I$26,MATCH($C1550,medicine_master!$A$2:$A$26,0)),0)</f>
        <v>26</v>
      </c>
      <c r="M1550" s="45" t="n">
        <f aca="false">IFERROR(INDEX(medicine_master!$G$2:$G$26,MATCH($C1550,medicine_master!$A$2:$A$26,0)),0)</f>
        <v>18</v>
      </c>
      <c r="N1550" s="45" t="n">
        <f aca="false">IF(D1550="Sale",E1550*L1550,0)</f>
        <v>0</v>
      </c>
      <c r="O1550" s="45" t="n">
        <f aca="false">IF(D1550="Sale",E1550*M1550,0)</f>
        <v>0</v>
      </c>
      <c r="P1550" s="45" t="n">
        <f aca="false">N1550-O1550</f>
        <v>0</v>
      </c>
      <c r="Q1550" s="45" t="n">
        <f aca="false">IF(D1550="Purchase",E1550*M1550,0)</f>
        <v>270</v>
      </c>
    </row>
    <row r="1551" customFormat="false" ht="15" hidden="false" customHeight="false" outlineLevel="0" collapsed="false">
      <c r="A1551" s="39" t="s">
        <v>1875</v>
      </c>
      <c r="B1551" s="44" t="n">
        <v>46050</v>
      </c>
      <c r="C1551" s="39" t="s">
        <v>150</v>
      </c>
      <c r="D1551" s="39" t="s">
        <v>137</v>
      </c>
      <c r="E1551" s="39" t="n">
        <v>15</v>
      </c>
      <c r="F1551" s="39" t="str">
        <f aca="false">IF(COUNTIF(medicine_master!$A$2:$A$26,C1551)&gt;0,"Valid","Invalid")</f>
        <v>Valid</v>
      </c>
      <c r="G1551" s="39" t="str">
        <f aca="false">IFERROR(INDEX(medicine_master!$B$2:$B$26,MATCH($C1551,medicine_master!$A$2:$A$26,0)),"Not found")</f>
        <v>Pantoprazole 40mg</v>
      </c>
      <c r="H1551" s="39" t="str">
        <f aca="false">IFERROR(INDEX(medicine_master!$C$2:$C$26,MATCH($C1551,medicine_master!$A$2:$A$26,0)),"Not found")</f>
        <v>Gastric</v>
      </c>
      <c r="I1551" s="39" t="n">
        <f aca="false">YEAR(B1551)</f>
        <v>2026</v>
      </c>
      <c r="J1551" s="39" t="n">
        <f aca="false">MONTH(B1551)</f>
        <v>1</v>
      </c>
      <c r="K1551" s="39" t="str">
        <f aca="false">TEXT(B1551,"mmm")</f>
        <v>Jan</v>
      </c>
      <c r="L1551" s="45" t="n">
        <f aca="false">IFERROR(INDEX(medicine_master!$I$2:$I$26,MATCH($C1551,medicine_master!$A$2:$A$26,0)),0)</f>
        <v>35</v>
      </c>
      <c r="M1551" s="45" t="n">
        <f aca="false">IFERROR(INDEX(medicine_master!$G$2:$G$26,MATCH($C1551,medicine_master!$A$2:$A$26,0)),0)</f>
        <v>24</v>
      </c>
      <c r="N1551" s="45" t="n">
        <f aca="false">IF(D1551="Sale",E1551*L1551,0)</f>
        <v>525</v>
      </c>
      <c r="O1551" s="45" t="n">
        <f aca="false">IF(D1551="Sale",E1551*M1551,0)</f>
        <v>360</v>
      </c>
      <c r="P1551" s="45" t="n">
        <f aca="false">N1551-O1551</f>
        <v>165</v>
      </c>
      <c r="Q1551" s="45" t="n">
        <f aca="false">IF(D1551="Purchase",E1551*M1551,0)</f>
        <v>0</v>
      </c>
    </row>
    <row r="1552" customFormat="false" ht="15" hidden="false" customHeight="false" outlineLevel="0" collapsed="false">
      <c r="A1552" s="39" t="s">
        <v>1876</v>
      </c>
      <c r="B1552" s="44" t="n">
        <v>46376</v>
      </c>
      <c r="C1552" s="39" t="s">
        <v>150</v>
      </c>
      <c r="D1552" s="39" t="s">
        <v>138</v>
      </c>
      <c r="E1552" s="39" t="n">
        <v>25</v>
      </c>
      <c r="F1552" s="39" t="str">
        <f aca="false">IF(COUNTIF(medicine_master!$A$2:$A$26,C1552)&gt;0,"Valid","Invalid")</f>
        <v>Valid</v>
      </c>
      <c r="G1552" s="39" t="str">
        <f aca="false">IFERROR(INDEX(medicine_master!$B$2:$B$26,MATCH($C1552,medicine_master!$A$2:$A$26,0)),"Not found")</f>
        <v>Pantoprazole 40mg</v>
      </c>
      <c r="H1552" s="39" t="str">
        <f aca="false">IFERROR(INDEX(medicine_master!$C$2:$C$26,MATCH($C1552,medicine_master!$A$2:$A$26,0)),"Not found")</f>
        <v>Gastric</v>
      </c>
      <c r="I1552" s="39" t="n">
        <f aca="false">YEAR(B1552)</f>
        <v>2026</v>
      </c>
      <c r="J1552" s="39" t="n">
        <f aca="false">MONTH(B1552)</f>
        <v>12</v>
      </c>
      <c r="K1552" s="39" t="str">
        <f aca="false">TEXT(B1552,"mmm")</f>
        <v>Dec</v>
      </c>
      <c r="L1552" s="45" t="n">
        <f aca="false">IFERROR(INDEX(medicine_master!$I$2:$I$26,MATCH($C1552,medicine_master!$A$2:$A$26,0)),0)</f>
        <v>35</v>
      </c>
      <c r="M1552" s="45" t="n">
        <f aca="false">IFERROR(INDEX(medicine_master!$G$2:$G$26,MATCH($C1552,medicine_master!$A$2:$A$26,0)),0)</f>
        <v>24</v>
      </c>
      <c r="N1552" s="45" t="n">
        <f aca="false">IF(D1552="Sale",E1552*L1552,0)</f>
        <v>0</v>
      </c>
      <c r="O1552" s="45" t="n">
        <f aca="false">IF(D1552="Sale",E1552*M1552,0)</f>
        <v>0</v>
      </c>
      <c r="P1552" s="45" t="n">
        <f aca="false">N1552-O1552</f>
        <v>0</v>
      </c>
      <c r="Q1552" s="45" t="n">
        <f aca="false">IF(D1552="Purchase",E1552*M1552,0)</f>
        <v>600</v>
      </c>
    </row>
    <row r="1553" customFormat="false" ht="15" hidden="false" customHeight="false" outlineLevel="0" collapsed="false">
      <c r="A1553" s="39" t="s">
        <v>1877</v>
      </c>
      <c r="B1553" s="44" t="n">
        <v>46295</v>
      </c>
      <c r="C1553" s="39" t="s">
        <v>177</v>
      </c>
      <c r="D1553" s="39" t="s">
        <v>137</v>
      </c>
      <c r="E1553" s="39" t="n">
        <v>40</v>
      </c>
      <c r="F1553" s="39" t="str">
        <f aca="false">IF(COUNTIF(medicine_master!$A$2:$A$26,C1553)&gt;0,"Valid","Invalid")</f>
        <v>Valid</v>
      </c>
      <c r="G1553" s="39" t="str">
        <f aca="false">IFERROR(INDEX(medicine_master!$B$2:$B$26,MATCH($C1553,medicine_master!$A$2:$A$26,0)),"Not found")</f>
        <v>Bandage Roll</v>
      </c>
      <c r="H1553" s="39" t="str">
        <f aca="false">IFERROR(INDEX(medicine_master!$C$2:$C$26,MATCH($C1553,medicine_master!$A$2:$A$26,0)),"Not found")</f>
        <v>First Aid</v>
      </c>
      <c r="I1553" s="39" t="n">
        <f aca="false">YEAR(B1553)</f>
        <v>2026</v>
      </c>
      <c r="J1553" s="39" t="n">
        <f aca="false">MONTH(B1553)</f>
        <v>9</v>
      </c>
      <c r="K1553" s="39" t="str">
        <f aca="false">TEXT(B1553,"mmm")</f>
        <v>Sep</v>
      </c>
      <c r="L1553" s="45" t="n">
        <f aca="false">IFERROR(INDEX(medicine_master!$I$2:$I$26,MATCH($C1553,medicine_master!$A$2:$A$26,0)),0)</f>
        <v>25</v>
      </c>
      <c r="M1553" s="45" t="n">
        <f aca="false">IFERROR(INDEX(medicine_master!$G$2:$G$26,MATCH($C1553,medicine_master!$A$2:$A$26,0)),0)</f>
        <v>15</v>
      </c>
      <c r="N1553" s="45" t="n">
        <f aca="false">IF(D1553="Sale",E1553*L1553,0)</f>
        <v>1000</v>
      </c>
      <c r="O1553" s="45" t="n">
        <f aca="false">IF(D1553="Sale",E1553*M1553,0)</f>
        <v>600</v>
      </c>
      <c r="P1553" s="45" t="n">
        <f aca="false">N1553-O1553</f>
        <v>400</v>
      </c>
      <c r="Q1553" s="45" t="n">
        <f aca="false">IF(D1553="Purchase",E1553*M1553,0)</f>
        <v>0</v>
      </c>
    </row>
    <row r="1554" customFormat="false" ht="15" hidden="false" customHeight="false" outlineLevel="0" collapsed="false">
      <c r="A1554" s="39" t="s">
        <v>1878</v>
      </c>
      <c r="B1554" s="44" t="n">
        <v>46196</v>
      </c>
      <c r="C1554" s="39" t="s">
        <v>150</v>
      </c>
      <c r="D1554" s="39" t="s">
        <v>137</v>
      </c>
      <c r="E1554" s="39" t="n">
        <v>5</v>
      </c>
      <c r="F1554" s="39" t="str">
        <f aca="false">IF(COUNTIF(medicine_master!$A$2:$A$26,C1554)&gt;0,"Valid","Invalid")</f>
        <v>Valid</v>
      </c>
      <c r="G1554" s="39" t="str">
        <f aca="false">IFERROR(INDEX(medicine_master!$B$2:$B$26,MATCH($C1554,medicine_master!$A$2:$A$26,0)),"Not found")</f>
        <v>Pantoprazole 40mg</v>
      </c>
      <c r="H1554" s="39" t="str">
        <f aca="false">IFERROR(INDEX(medicine_master!$C$2:$C$26,MATCH($C1554,medicine_master!$A$2:$A$26,0)),"Not found")</f>
        <v>Gastric</v>
      </c>
      <c r="I1554" s="39" t="n">
        <f aca="false">YEAR(B1554)</f>
        <v>2026</v>
      </c>
      <c r="J1554" s="39" t="n">
        <f aca="false">MONTH(B1554)</f>
        <v>6</v>
      </c>
      <c r="K1554" s="39" t="str">
        <f aca="false">TEXT(B1554,"mmm")</f>
        <v>Jun</v>
      </c>
      <c r="L1554" s="45" t="n">
        <f aca="false">IFERROR(INDEX(medicine_master!$I$2:$I$26,MATCH($C1554,medicine_master!$A$2:$A$26,0)),0)</f>
        <v>35</v>
      </c>
      <c r="M1554" s="45" t="n">
        <f aca="false">IFERROR(INDEX(medicine_master!$G$2:$G$26,MATCH($C1554,medicine_master!$A$2:$A$26,0)),0)</f>
        <v>24</v>
      </c>
      <c r="N1554" s="45" t="n">
        <f aca="false">IF(D1554="Sale",E1554*L1554,0)</f>
        <v>175</v>
      </c>
      <c r="O1554" s="45" t="n">
        <f aca="false">IF(D1554="Sale",E1554*M1554,0)</f>
        <v>120</v>
      </c>
      <c r="P1554" s="45" t="n">
        <f aca="false">N1554-O1554</f>
        <v>55</v>
      </c>
      <c r="Q1554" s="45" t="n">
        <f aca="false">IF(D1554="Purchase",E1554*M1554,0)</f>
        <v>0</v>
      </c>
    </row>
    <row r="1555" customFormat="false" ht="15" hidden="false" customHeight="false" outlineLevel="0" collapsed="false">
      <c r="A1555" s="39" t="s">
        <v>1879</v>
      </c>
      <c r="B1555" s="44" t="n">
        <v>46316</v>
      </c>
      <c r="C1555" s="39" t="s">
        <v>148</v>
      </c>
      <c r="D1555" s="39" t="s">
        <v>137</v>
      </c>
      <c r="E1555" s="39" t="n">
        <v>30</v>
      </c>
      <c r="F1555" s="39" t="str">
        <f aca="false">IF(COUNTIF(medicine_master!$A$2:$A$26,C1555)&gt;0,"Valid","Invalid")</f>
        <v>Valid</v>
      </c>
      <c r="G1555" s="39" t="str">
        <f aca="false">IFERROR(INDEX(medicine_master!$B$2:$B$26,MATCH($C1555,medicine_master!$A$2:$A$26,0)),"Not found")</f>
        <v>Dextromethorphan Syrup</v>
      </c>
      <c r="H1555" s="39" t="str">
        <f aca="false">IFERROR(INDEX(medicine_master!$C$2:$C$26,MATCH($C1555,medicine_master!$A$2:$A$26,0)),"Not found")</f>
        <v>Cold &amp; Cough</v>
      </c>
      <c r="I1555" s="39" t="n">
        <f aca="false">YEAR(B1555)</f>
        <v>2026</v>
      </c>
      <c r="J1555" s="39" t="n">
        <f aca="false">MONTH(B1555)</f>
        <v>10</v>
      </c>
      <c r="K1555" s="39" t="str">
        <f aca="false">TEXT(B1555,"mmm")</f>
        <v>Oct</v>
      </c>
      <c r="L1555" s="45" t="n">
        <f aca="false">IFERROR(INDEX(medicine_master!$I$2:$I$26,MATCH($C1555,medicine_master!$A$2:$A$26,0)),0)</f>
        <v>80</v>
      </c>
      <c r="M1555" s="45" t="n">
        <f aca="false">IFERROR(INDEX(medicine_master!$G$2:$G$26,MATCH($C1555,medicine_master!$A$2:$A$26,0)),0)</f>
        <v>58</v>
      </c>
      <c r="N1555" s="45" t="n">
        <f aca="false">IF(D1555="Sale",E1555*L1555,0)</f>
        <v>2400</v>
      </c>
      <c r="O1555" s="45" t="n">
        <f aca="false">IF(D1555="Sale",E1555*M1555,0)</f>
        <v>1740</v>
      </c>
      <c r="P1555" s="45" t="n">
        <f aca="false">N1555-O1555</f>
        <v>660</v>
      </c>
      <c r="Q1555" s="45" t="n">
        <f aca="false">IF(D1555="Purchase",E1555*M1555,0)</f>
        <v>0</v>
      </c>
    </row>
    <row r="1556" customFormat="false" ht="15" hidden="false" customHeight="false" outlineLevel="0" collapsed="false">
      <c r="A1556" s="39" t="s">
        <v>1880</v>
      </c>
      <c r="B1556" s="44" t="n">
        <v>46346</v>
      </c>
      <c r="C1556" s="39" t="s">
        <v>180</v>
      </c>
      <c r="D1556" s="39" t="s">
        <v>138</v>
      </c>
      <c r="E1556" s="39" t="n">
        <v>40</v>
      </c>
      <c r="F1556" s="39" t="str">
        <f aca="false">IF(COUNTIF(medicine_master!$A$2:$A$26,C1556)&gt;0,"Valid","Invalid")</f>
        <v>Valid</v>
      </c>
      <c r="G1556" s="39" t="str">
        <f aca="false">IFERROR(INDEX(medicine_master!$B$2:$B$26,MATCH($C1556,medicine_master!$A$2:$A$26,0)),"Not found")</f>
        <v>Vitamin C 500mg</v>
      </c>
      <c r="H1556" s="39" t="str">
        <f aca="false">IFERROR(INDEX(medicine_master!$C$2:$C$26,MATCH($C1556,medicine_master!$A$2:$A$26,0)),"Not found")</f>
        <v>Vitamin</v>
      </c>
      <c r="I1556" s="39" t="n">
        <f aca="false">YEAR(B1556)</f>
        <v>2026</v>
      </c>
      <c r="J1556" s="39" t="n">
        <f aca="false">MONTH(B1556)</f>
        <v>11</v>
      </c>
      <c r="K1556" s="39" t="str">
        <f aca="false">TEXT(B1556,"mmm")</f>
        <v>Nov</v>
      </c>
      <c r="L1556" s="45" t="n">
        <f aca="false">IFERROR(INDEX(medicine_master!$I$2:$I$26,MATCH($C1556,medicine_master!$A$2:$A$26,0)),0)</f>
        <v>22</v>
      </c>
      <c r="M1556" s="45" t="n">
        <f aca="false">IFERROR(INDEX(medicine_master!$G$2:$G$26,MATCH($C1556,medicine_master!$A$2:$A$26,0)),0)</f>
        <v>14</v>
      </c>
      <c r="N1556" s="45" t="n">
        <f aca="false">IF(D1556="Sale",E1556*L1556,0)</f>
        <v>0</v>
      </c>
      <c r="O1556" s="45" t="n">
        <f aca="false">IF(D1556="Sale",E1556*M1556,0)</f>
        <v>0</v>
      </c>
      <c r="P1556" s="45" t="n">
        <f aca="false">N1556-O1556</f>
        <v>0</v>
      </c>
      <c r="Q1556" s="45" t="n">
        <f aca="false">IF(D1556="Purchase",E1556*M1556,0)</f>
        <v>560</v>
      </c>
    </row>
    <row r="1557" customFormat="false" ht="15" hidden="false" customHeight="false" outlineLevel="0" collapsed="false">
      <c r="A1557" s="39" t="s">
        <v>1881</v>
      </c>
      <c r="B1557" s="44" t="n">
        <v>46254</v>
      </c>
      <c r="C1557" s="39" t="s">
        <v>148</v>
      </c>
      <c r="D1557" s="39" t="s">
        <v>137</v>
      </c>
      <c r="E1557" s="39" t="n">
        <v>20</v>
      </c>
      <c r="F1557" s="39" t="str">
        <f aca="false">IF(COUNTIF(medicine_master!$A$2:$A$26,C1557)&gt;0,"Valid","Invalid")</f>
        <v>Valid</v>
      </c>
      <c r="G1557" s="39" t="str">
        <f aca="false">IFERROR(INDEX(medicine_master!$B$2:$B$26,MATCH($C1557,medicine_master!$A$2:$A$26,0)),"Not found")</f>
        <v>Dextromethorphan Syrup</v>
      </c>
      <c r="H1557" s="39" t="str">
        <f aca="false">IFERROR(INDEX(medicine_master!$C$2:$C$26,MATCH($C1557,medicine_master!$A$2:$A$26,0)),"Not found")</f>
        <v>Cold &amp; Cough</v>
      </c>
      <c r="I1557" s="39" t="n">
        <f aca="false">YEAR(B1557)</f>
        <v>2026</v>
      </c>
      <c r="J1557" s="39" t="n">
        <f aca="false">MONTH(B1557)</f>
        <v>8</v>
      </c>
      <c r="K1557" s="39" t="str">
        <f aca="false">TEXT(B1557,"mmm")</f>
        <v>Aug</v>
      </c>
      <c r="L1557" s="45" t="n">
        <f aca="false">IFERROR(INDEX(medicine_master!$I$2:$I$26,MATCH($C1557,medicine_master!$A$2:$A$26,0)),0)</f>
        <v>80</v>
      </c>
      <c r="M1557" s="45" t="n">
        <f aca="false">IFERROR(INDEX(medicine_master!$G$2:$G$26,MATCH($C1557,medicine_master!$A$2:$A$26,0)),0)</f>
        <v>58</v>
      </c>
      <c r="N1557" s="45" t="n">
        <f aca="false">IF(D1557="Sale",E1557*L1557,0)</f>
        <v>1600</v>
      </c>
      <c r="O1557" s="45" t="n">
        <f aca="false">IF(D1557="Sale",E1557*M1557,0)</f>
        <v>1160</v>
      </c>
      <c r="P1557" s="45" t="n">
        <f aca="false">N1557-O1557</f>
        <v>440</v>
      </c>
      <c r="Q1557" s="45" t="n">
        <f aca="false">IF(D1557="Purchase",E1557*M1557,0)</f>
        <v>0</v>
      </c>
    </row>
    <row r="1558" customFormat="false" ht="15" hidden="false" customHeight="false" outlineLevel="0" collapsed="false">
      <c r="A1558" s="39" t="s">
        <v>1882</v>
      </c>
      <c r="B1558" s="44" t="n">
        <v>46190</v>
      </c>
      <c r="C1558" s="39" t="s">
        <v>177</v>
      </c>
      <c r="D1558" s="39" t="s">
        <v>137</v>
      </c>
      <c r="E1558" s="39" t="n">
        <v>20</v>
      </c>
      <c r="F1558" s="39" t="str">
        <f aca="false">IF(COUNTIF(medicine_master!$A$2:$A$26,C1558)&gt;0,"Valid","Invalid")</f>
        <v>Valid</v>
      </c>
      <c r="G1558" s="39" t="str">
        <f aca="false">IFERROR(INDEX(medicine_master!$B$2:$B$26,MATCH($C1558,medicine_master!$A$2:$A$26,0)),"Not found")</f>
        <v>Bandage Roll</v>
      </c>
      <c r="H1558" s="39" t="str">
        <f aca="false">IFERROR(INDEX(medicine_master!$C$2:$C$26,MATCH($C1558,medicine_master!$A$2:$A$26,0)),"Not found")</f>
        <v>First Aid</v>
      </c>
      <c r="I1558" s="39" t="n">
        <f aca="false">YEAR(B1558)</f>
        <v>2026</v>
      </c>
      <c r="J1558" s="39" t="n">
        <f aca="false">MONTH(B1558)</f>
        <v>6</v>
      </c>
      <c r="K1558" s="39" t="str">
        <f aca="false">TEXT(B1558,"mmm")</f>
        <v>Jun</v>
      </c>
      <c r="L1558" s="45" t="n">
        <f aca="false">IFERROR(INDEX(medicine_master!$I$2:$I$26,MATCH($C1558,medicine_master!$A$2:$A$26,0)),0)</f>
        <v>25</v>
      </c>
      <c r="M1558" s="45" t="n">
        <f aca="false">IFERROR(INDEX(medicine_master!$G$2:$G$26,MATCH($C1558,medicine_master!$A$2:$A$26,0)),0)</f>
        <v>15</v>
      </c>
      <c r="N1558" s="45" t="n">
        <f aca="false">IF(D1558="Sale",E1558*L1558,0)</f>
        <v>500</v>
      </c>
      <c r="O1558" s="45" t="n">
        <f aca="false">IF(D1558="Sale",E1558*M1558,0)</f>
        <v>300</v>
      </c>
      <c r="P1558" s="45" t="n">
        <f aca="false">N1558-O1558</f>
        <v>200</v>
      </c>
      <c r="Q1558" s="45" t="n">
        <f aca="false">IF(D1558="Purchase",E1558*M1558,0)</f>
        <v>0</v>
      </c>
    </row>
    <row r="1559" customFormat="false" ht="15" hidden="false" customHeight="false" outlineLevel="0" collapsed="false">
      <c r="A1559" s="39" t="s">
        <v>1883</v>
      </c>
      <c r="B1559" s="44" t="n">
        <v>46238</v>
      </c>
      <c r="C1559" s="39" t="s">
        <v>145</v>
      </c>
      <c r="D1559" s="39" t="s">
        <v>137</v>
      </c>
      <c r="E1559" s="39" t="n">
        <v>25</v>
      </c>
      <c r="F1559" s="39" t="str">
        <f aca="false">IF(COUNTIF(medicine_master!$A$2:$A$26,C1559)&gt;0,"Valid","Invalid")</f>
        <v>Valid</v>
      </c>
      <c r="G1559" s="39" t="str">
        <f aca="false">IFERROR(INDEX(medicine_master!$B$2:$B$26,MATCH($C1559,medicine_master!$A$2:$A$26,0)),"Not found")</f>
        <v>Clotrimazole Cream</v>
      </c>
      <c r="H1559" s="39" t="str">
        <f aca="false">IFERROR(INDEX(medicine_master!$C$2:$C$26,MATCH($C1559,medicine_master!$A$2:$A$26,0)),"Not found")</f>
        <v>Dermatology</v>
      </c>
      <c r="I1559" s="39" t="n">
        <f aca="false">YEAR(B1559)</f>
        <v>2026</v>
      </c>
      <c r="J1559" s="39" t="n">
        <f aca="false">MONTH(B1559)</f>
        <v>8</v>
      </c>
      <c r="K1559" s="39" t="str">
        <f aca="false">TEXT(B1559,"mmm")</f>
        <v>Aug</v>
      </c>
      <c r="L1559" s="45" t="n">
        <f aca="false">IFERROR(INDEX(medicine_master!$I$2:$I$26,MATCH($C1559,medicine_master!$A$2:$A$26,0)),0)</f>
        <v>48</v>
      </c>
      <c r="M1559" s="45" t="n">
        <f aca="false">IFERROR(INDEX(medicine_master!$G$2:$G$26,MATCH($C1559,medicine_master!$A$2:$A$26,0)),0)</f>
        <v>32</v>
      </c>
      <c r="N1559" s="45" t="n">
        <f aca="false">IF(D1559="Sale",E1559*L1559,0)</f>
        <v>1200</v>
      </c>
      <c r="O1559" s="45" t="n">
        <f aca="false">IF(D1559="Sale",E1559*M1559,0)</f>
        <v>800</v>
      </c>
      <c r="P1559" s="45" t="n">
        <f aca="false">N1559-O1559</f>
        <v>400</v>
      </c>
      <c r="Q1559" s="45" t="n">
        <f aca="false">IF(D1559="Purchase",E1559*M1559,0)</f>
        <v>0</v>
      </c>
    </row>
    <row r="1560" customFormat="false" ht="15" hidden="false" customHeight="false" outlineLevel="0" collapsed="false">
      <c r="A1560" s="39" t="s">
        <v>1884</v>
      </c>
      <c r="B1560" s="44" t="n">
        <v>46049</v>
      </c>
      <c r="C1560" s="39" t="s">
        <v>149</v>
      </c>
      <c r="D1560" s="39" t="s">
        <v>137</v>
      </c>
      <c r="E1560" s="39" t="n">
        <v>15</v>
      </c>
      <c r="F1560" s="39" t="str">
        <f aca="false">IF(COUNTIF(medicine_master!$A$2:$A$26,C1560)&gt;0,"Valid","Invalid")</f>
        <v>Valid</v>
      </c>
      <c r="G1560" s="39" t="str">
        <f aca="false">IFERROR(INDEX(medicine_master!$B$2:$B$26,MATCH($C1560,medicine_master!$A$2:$A$26,0)),"Not found")</f>
        <v>Azithromycin 500mg</v>
      </c>
      <c r="H1560" s="39" t="str">
        <f aca="false">IFERROR(INDEX(medicine_master!$C$2:$C$26,MATCH($C1560,medicine_master!$A$2:$A$26,0)),"Not found")</f>
        <v>Antibiotic</v>
      </c>
      <c r="I1560" s="39" t="n">
        <f aca="false">YEAR(B1560)</f>
        <v>2026</v>
      </c>
      <c r="J1560" s="39" t="n">
        <f aca="false">MONTH(B1560)</f>
        <v>1</v>
      </c>
      <c r="K1560" s="39" t="str">
        <f aca="false">TEXT(B1560,"mmm")</f>
        <v>Jan</v>
      </c>
      <c r="L1560" s="45" t="n">
        <f aca="false">IFERROR(INDEX(medicine_master!$I$2:$I$26,MATCH($C1560,medicine_master!$A$2:$A$26,0)),0)</f>
        <v>50</v>
      </c>
      <c r="M1560" s="45" t="n">
        <f aca="false">IFERROR(INDEX(medicine_master!$G$2:$G$26,MATCH($C1560,medicine_master!$A$2:$A$26,0)),0)</f>
        <v>35</v>
      </c>
      <c r="N1560" s="45" t="n">
        <f aca="false">IF(D1560="Sale",E1560*L1560,0)</f>
        <v>750</v>
      </c>
      <c r="O1560" s="45" t="n">
        <f aca="false">IF(D1560="Sale",E1560*M1560,0)</f>
        <v>525</v>
      </c>
      <c r="P1560" s="45" t="n">
        <f aca="false">N1560-O1560</f>
        <v>225</v>
      </c>
      <c r="Q1560" s="45" t="n">
        <f aca="false">IF(D1560="Purchase",E1560*M1560,0)</f>
        <v>0</v>
      </c>
    </row>
    <row r="1561" customFormat="false" ht="15" hidden="false" customHeight="false" outlineLevel="0" collapsed="false">
      <c r="A1561" s="39" t="s">
        <v>1885</v>
      </c>
      <c r="B1561" s="44" t="n">
        <v>46217</v>
      </c>
      <c r="C1561" s="39" t="s">
        <v>321</v>
      </c>
      <c r="D1561" s="39" t="s">
        <v>137</v>
      </c>
      <c r="E1561" s="39" t="n">
        <v>40</v>
      </c>
      <c r="F1561" s="39" t="str">
        <f aca="false">IF(COUNTIF(medicine_master!$A$2:$A$26,C1561)&gt;0,"Valid","Invalid")</f>
        <v>Valid</v>
      </c>
      <c r="G1561" s="39" t="str">
        <f aca="false">IFERROR(INDEX(medicine_master!$B$2:$B$26,MATCH($C1561,medicine_master!$A$2:$A$26,0)),"Not found")</f>
        <v>Levocetirizine 5mg</v>
      </c>
      <c r="H1561" s="39" t="str">
        <f aca="false">IFERROR(INDEX(medicine_master!$C$2:$C$26,MATCH($C1561,medicine_master!$A$2:$A$26,0)),"Not found")</f>
        <v>Allergy</v>
      </c>
      <c r="I1561" s="39" t="n">
        <f aca="false">YEAR(B1561)</f>
        <v>2026</v>
      </c>
      <c r="J1561" s="39" t="n">
        <f aca="false">MONTH(B1561)</f>
        <v>7</v>
      </c>
      <c r="K1561" s="39" t="str">
        <f aca="false">TEXT(B1561,"mmm")</f>
        <v>Jul</v>
      </c>
      <c r="L1561" s="45" t="n">
        <f aca="false">IFERROR(INDEX(medicine_master!$I$2:$I$26,MATCH($C1561,medicine_master!$A$2:$A$26,0)),0)</f>
        <v>22</v>
      </c>
      <c r="M1561" s="45" t="n">
        <f aca="false">IFERROR(INDEX(medicine_master!$G$2:$G$26,MATCH($C1561,medicine_master!$A$2:$A$26,0)),0)</f>
        <v>14</v>
      </c>
      <c r="N1561" s="45" t="n">
        <f aca="false">IF(D1561="Sale",E1561*L1561,0)</f>
        <v>880</v>
      </c>
      <c r="O1561" s="45" t="n">
        <f aca="false">IF(D1561="Sale",E1561*M1561,0)</f>
        <v>560</v>
      </c>
      <c r="P1561" s="45" t="n">
        <f aca="false">N1561-O1561</f>
        <v>320</v>
      </c>
      <c r="Q1561" s="45" t="n">
        <f aca="false">IF(D1561="Purchase",E1561*M1561,0)</f>
        <v>0</v>
      </c>
    </row>
    <row r="1562" customFormat="false" ht="15" hidden="false" customHeight="false" outlineLevel="0" collapsed="false">
      <c r="A1562" s="39" t="s">
        <v>1886</v>
      </c>
      <c r="B1562" s="44" t="n">
        <v>46264</v>
      </c>
      <c r="C1562" s="39" t="s">
        <v>148</v>
      </c>
      <c r="D1562" s="39" t="s">
        <v>137</v>
      </c>
      <c r="E1562" s="39" t="n">
        <v>10</v>
      </c>
      <c r="F1562" s="39" t="str">
        <f aca="false">IF(COUNTIF(medicine_master!$A$2:$A$26,C1562)&gt;0,"Valid","Invalid")</f>
        <v>Valid</v>
      </c>
      <c r="G1562" s="39" t="str">
        <f aca="false">IFERROR(INDEX(medicine_master!$B$2:$B$26,MATCH($C1562,medicine_master!$A$2:$A$26,0)),"Not found")</f>
        <v>Dextromethorphan Syrup</v>
      </c>
      <c r="H1562" s="39" t="str">
        <f aca="false">IFERROR(INDEX(medicine_master!$C$2:$C$26,MATCH($C1562,medicine_master!$A$2:$A$26,0)),"Not found")</f>
        <v>Cold &amp; Cough</v>
      </c>
      <c r="I1562" s="39" t="n">
        <f aca="false">YEAR(B1562)</f>
        <v>2026</v>
      </c>
      <c r="J1562" s="39" t="n">
        <f aca="false">MONTH(B1562)</f>
        <v>8</v>
      </c>
      <c r="K1562" s="39" t="str">
        <f aca="false">TEXT(B1562,"mmm")</f>
        <v>Aug</v>
      </c>
      <c r="L1562" s="45" t="n">
        <f aca="false">IFERROR(INDEX(medicine_master!$I$2:$I$26,MATCH($C1562,medicine_master!$A$2:$A$26,0)),0)</f>
        <v>80</v>
      </c>
      <c r="M1562" s="45" t="n">
        <f aca="false">IFERROR(INDEX(medicine_master!$G$2:$G$26,MATCH($C1562,medicine_master!$A$2:$A$26,0)),0)</f>
        <v>58</v>
      </c>
      <c r="N1562" s="45" t="n">
        <f aca="false">IF(D1562="Sale",E1562*L1562,0)</f>
        <v>800</v>
      </c>
      <c r="O1562" s="45" t="n">
        <f aca="false">IF(D1562="Sale",E1562*M1562,0)</f>
        <v>580</v>
      </c>
      <c r="P1562" s="45" t="n">
        <f aca="false">N1562-O1562</f>
        <v>220</v>
      </c>
      <c r="Q1562" s="45" t="n">
        <f aca="false">IF(D1562="Purchase",E1562*M1562,0)</f>
        <v>0</v>
      </c>
    </row>
    <row r="1563" customFormat="false" ht="15" hidden="false" customHeight="false" outlineLevel="0" collapsed="false">
      <c r="A1563" s="39" t="s">
        <v>1887</v>
      </c>
      <c r="B1563" s="44" t="n">
        <v>46334</v>
      </c>
      <c r="C1563" s="39" t="s">
        <v>149</v>
      </c>
      <c r="D1563" s="39" t="s">
        <v>137</v>
      </c>
      <c r="E1563" s="39" t="n">
        <v>15</v>
      </c>
      <c r="F1563" s="39" t="str">
        <f aca="false">IF(COUNTIF(medicine_master!$A$2:$A$26,C1563)&gt;0,"Valid","Invalid")</f>
        <v>Valid</v>
      </c>
      <c r="G1563" s="39" t="str">
        <f aca="false">IFERROR(INDEX(medicine_master!$B$2:$B$26,MATCH($C1563,medicine_master!$A$2:$A$26,0)),"Not found")</f>
        <v>Azithromycin 500mg</v>
      </c>
      <c r="H1563" s="39" t="str">
        <f aca="false">IFERROR(INDEX(medicine_master!$C$2:$C$26,MATCH($C1563,medicine_master!$A$2:$A$26,0)),"Not found")</f>
        <v>Antibiotic</v>
      </c>
      <c r="I1563" s="39" t="n">
        <f aca="false">YEAR(B1563)</f>
        <v>2026</v>
      </c>
      <c r="J1563" s="39" t="n">
        <f aca="false">MONTH(B1563)</f>
        <v>11</v>
      </c>
      <c r="K1563" s="39" t="str">
        <f aca="false">TEXT(B1563,"mmm")</f>
        <v>Nov</v>
      </c>
      <c r="L1563" s="45" t="n">
        <f aca="false">IFERROR(INDEX(medicine_master!$I$2:$I$26,MATCH($C1563,medicine_master!$A$2:$A$26,0)),0)</f>
        <v>50</v>
      </c>
      <c r="M1563" s="45" t="n">
        <f aca="false">IFERROR(INDEX(medicine_master!$G$2:$G$26,MATCH($C1563,medicine_master!$A$2:$A$26,0)),0)</f>
        <v>35</v>
      </c>
      <c r="N1563" s="45" t="n">
        <f aca="false">IF(D1563="Sale",E1563*L1563,0)</f>
        <v>750</v>
      </c>
      <c r="O1563" s="45" t="n">
        <f aca="false">IF(D1563="Sale",E1563*M1563,0)</f>
        <v>525</v>
      </c>
      <c r="P1563" s="45" t="n">
        <f aca="false">N1563-O1563</f>
        <v>225</v>
      </c>
      <c r="Q1563" s="45" t="n">
        <f aca="false">IF(D1563="Purchase",E1563*M1563,0)</f>
        <v>0</v>
      </c>
    </row>
    <row r="1564" customFormat="false" ht="15" hidden="false" customHeight="false" outlineLevel="0" collapsed="false">
      <c r="A1564" s="39" t="s">
        <v>1888</v>
      </c>
      <c r="B1564" s="44" t="n">
        <v>46365</v>
      </c>
      <c r="C1564" s="39" t="s">
        <v>321</v>
      </c>
      <c r="D1564" s="39" t="s">
        <v>137</v>
      </c>
      <c r="E1564" s="39" t="n">
        <v>5</v>
      </c>
      <c r="F1564" s="39" t="str">
        <f aca="false">IF(COUNTIF(medicine_master!$A$2:$A$26,C1564)&gt;0,"Valid","Invalid")</f>
        <v>Valid</v>
      </c>
      <c r="G1564" s="39" t="str">
        <f aca="false">IFERROR(INDEX(medicine_master!$B$2:$B$26,MATCH($C1564,medicine_master!$A$2:$A$26,0)),"Not found")</f>
        <v>Levocetirizine 5mg</v>
      </c>
      <c r="H1564" s="39" t="str">
        <f aca="false">IFERROR(INDEX(medicine_master!$C$2:$C$26,MATCH($C1564,medicine_master!$A$2:$A$26,0)),"Not found")</f>
        <v>Allergy</v>
      </c>
      <c r="I1564" s="39" t="n">
        <f aca="false">YEAR(B1564)</f>
        <v>2026</v>
      </c>
      <c r="J1564" s="39" t="n">
        <f aca="false">MONTH(B1564)</f>
        <v>12</v>
      </c>
      <c r="K1564" s="39" t="str">
        <f aca="false">TEXT(B1564,"mmm")</f>
        <v>Dec</v>
      </c>
      <c r="L1564" s="45" t="n">
        <f aca="false">IFERROR(INDEX(medicine_master!$I$2:$I$26,MATCH($C1564,medicine_master!$A$2:$A$26,0)),0)</f>
        <v>22</v>
      </c>
      <c r="M1564" s="45" t="n">
        <f aca="false">IFERROR(INDEX(medicine_master!$G$2:$G$26,MATCH($C1564,medicine_master!$A$2:$A$26,0)),0)</f>
        <v>14</v>
      </c>
      <c r="N1564" s="45" t="n">
        <f aca="false">IF(D1564="Sale",E1564*L1564,0)</f>
        <v>110</v>
      </c>
      <c r="O1564" s="45" t="n">
        <f aca="false">IF(D1564="Sale",E1564*M1564,0)</f>
        <v>70</v>
      </c>
      <c r="P1564" s="45" t="n">
        <f aca="false">N1564-O1564</f>
        <v>40</v>
      </c>
      <c r="Q1564" s="45" t="n">
        <f aca="false">IF(D1564="Purchase",E1564*M1564,0)</f>
        <v>0</v>
      </c>
    </row>
    <row r="1565" customFormat="false" ht="15" hidden="false" customHeight="false" outlineLevel="0" collapsed="false">
      <c r="A1565" s="39" t="s">
        <v>1889</v>
      </c>
      <c r="B1565" s="44" t="n">
        <v>46178</v>
      </c>
      <c r="C1565" s="39" t="s">
        <v>177</v>
      </c>
      <c r="D1565" s="39" t="s">
        <v>137</v>
      </c>
      <c r="E1565" s="39" t="n">
        <v>15</v>
      </c>
      <c r="F1565" s="39" t="str">
        <f aca="false">IF(COUNTIF(medicine_master!$A$2:$A$26,C1565)&gt;0,"Valid","Invalid")</f>
        <v>Valid</v>
      </c>
      <c r="G1565" s="39" t="str">
        <f aca="false">IFERROR(INDEX(medicine_master!$B$2:$B$26,MATCH($C1565,medicine_master!$A$2:$A$26,0)),"Not found")</f>
        <v>Bandage Roll</v>
      </c>
      <c r="H1565" s="39" t="str">
        <f aca="false">IFERROR(INDEX(medicine_master!$C$2:$C$26,MATCH($C1565,medicine_master!$A$2:$A$26,0)),"Not found")</f>
        <v>First Aid</v>
      </c>
      <c r="I1565" s="39" t="n">
        <f aca="false">YEAR(B1565)</f>
        <v>2026</v>
      </c>
      <c r="J1565" s="39" t="n">
        <f aca="false">MONTH(B1565)</f>
        <v>6</v>
      </c>
      <c r="K1565" s="39" t="str">
        <f aca="false">TEXT(B1565,"mmm")</f>
        <v>Jun</v>
      </c>
      <c r="L1565" s="45" t="n">
        <f aca="false">IFERROR(INDEX(medicine_master!$I$2:$I$26,MATCH($C1565,medicine_master!$A$2:$A$26,0)),0)</f>
        <v>25</v>
      </c>
      <c r="M1565" s="45" t="n">
        <f aca="false">IFERROR(INDEX(medicine_master!$G$2:$G$26,MATCH($C1565,medicine_master!$A$2:$A$26,0)),0)</f>
        <v>15</v>
      </c>
      <c r="N1565" s="45" t="n">
        <f aca="false">IF(D1565="Sale",E1565*L1565,0)</f>
        <v>375</v>
      </c>
      <c r="O1565" s="45" t="n">
        <f aca="false">IF(D1565="Sale",E1565*M1565,0)</f>
        <v>225</v>
      </c>
      <c r="P1565" s="45" t="n">
        <f aca="false">N1565-O1565</f>
        <v>150</v>
      </c>
      <c r="Q1565" s="45" t="n">
        <f aca="false">IF(D1565="Purchase",E1565*M1565,0)</f>
        <v>0</v>
      </c>
    </row>
    <row r="1566" customFormat="false" ht="15" hidden="false" customHeight="false" outlineLevel="0" collapsed="false">
      <c r="A1566" s="39" t="s">
        <v>1890</v>
      </c>
      <c r="B1566" s="44" t="n">
        <v>46059</v>
      </c>
      <c r="C1566" s="39" t="s">
        <v>167</v>
      </c>
      <c r="D1566" s="39" t="s">
        <v>137</v>
      </c>
      <c r="E1566" s="39" t="n">
        <v>25</v>
      </c>
      <c r="F1566" s="39" t="str">
        <f aca="false">IF(COUNTIF(medicine_master!$A$2:$A$26,C1566)&gt;0,"Valid","Invalid")</f>
        <v>Valid</v>
      </c>
      <c r="G1566" s="39" t="str">
        <f aca="false">IFERROR(INDEX(medicine_master!$B$2:$B$26,MATCH($C1566,medicine_master!$A$2:$A$26,0)),"Not found")</f>
        <v>Amlodipine 5mg</v>
      </c>
      <c r="H1566" s="39" t="str">
        <f aca="false">IFERROR(INDEX(medicine_master!$C$2:$C$26,MATCH($C1566,medicine_master!$A$2:$A$26,0)),"Not found")</f>
        <v>Cardiac</v>
      </c>
      <c r="I1566" s="39" t="n">
        <f aca="false">YEAR(B1566)</f>
        <v>2026</v>
      </c>
      <c r="J1566" s="39" t="n">
        <f aca="false">MONTH(B1566)</f>
        <v>2</v>
      </c>
      <c r="K1566" s="39" t="str">
        <f aca="false">TEXT(B1566,"mmm")</f>
        <v>Feb</v>
      </c>
      <c r="L1566" s="45" t="n">
        <f aca="false">IFERROR(INDEX(medicine_master!$I$2:$I$26,MATCH($C1566,medicine_master!$A$2:$A$26,0)),0)</f>
        <v>19</v>
      </c>
      <c r="M1566" s="45" t="n">
        <f aca="false">IFERROR(INDEX(medicine_master!$G$2:$G$26,MATCH($C1566,medicine_master!$A$2:$A$26,0)),0)</f>
        <v>13</v>
      </c>
      <c r="N1566" s="45" t="n">
        <f aca="false">IF(D1566="Sale",E1566*L1566,0)</f>
        <v>475</v>
      </c>
      <c r="O1566" s="45" t="n">
        <f aca="false">IF(D1566="Sale",E1566*M1566,0)</f>
        <v>325</v>
      </c>
      <c r="P1566" s="45" t="n">
        <f aca="false">N1566-O1566</f>
        <v>150</v>
      </c>
      <c r="Q1566" s="45" t="n">
        <f aca="false">IF(D1566="Purchase",E1566*M1566,0)</f>
        <v>0</v>
      </c>
    </row>
    <row r="1567" customFormat="false" ht="15" hidden="false" customHeight="false" outlineLevel="0" collapsed="false">
      <c r="A1567" s="39" t="s">
        <v>1891</v>
      </c>
      <c r="B1567" s="44" t="n">
        <v>46228</v>
      </c>
      <c r="C1567" s="39" t="s">
        <v>149</v>
      </c>
      <c r="D1567" s="39" t="s">
        <v>138</v>
      </c>
      <c r="E1567" s="39" t="n">
        <v>30</v>
      </c>
      <c r="F1567" s="39" t="str">
        <f aca="false">IF(COUNTIF(medicine_master!$A$2:$A$26,C1567)&gt;0,"Valid","Invalid")</f>
        <v>Valid</v>
      </c>
      <c r="G1567" s="39" t="str">
        <f aca="false">IFERROR(INDEX(medicine_master!$B$2:$B$26,MATCH($C1567,medicine_master!$A$2:$A$26,0)),"Not found")</f>
        <v>Azithromycin 500mg</v>
      </c>
      <c r="H1567" s="39" t="str">
        <f aca="false">IFERROR(INDEX(medicine_master!$C$2:$C$26,MATCH($C1567,medicine_master!$A$2:$A$26,0)),"Not found")</f>
        <v>Antibiotic</v>
      </c>
      <c r="I1567" s="39" t="n">
        <f aca="false">YEAR(B1567)</f>
        <v>2026</v>
      </c>
      <c r="J1567" s="39" t="n">
        <f aca="false">MONTH(B1567)</f>
        <v>7</v>
      </c>
      <c r="K1567" s="39" t="str">
        <f aca="false">TEXT(B1567,"mmm")</f>
        <v>Jul</v>
      </c>
      <c r="L1567" s="45" t="n">
        <f aca="false">IFERROR(INDEX(medicine_master!$I$2:$I$26,MATCH($C1567,medicine_master!$A$2:$A$26,0)),0)</f>
        <v>50</v>
      </c>
      <c r="M1567" s="45" t="n">
        <f aca="false">IFERROR(INDEX(medicine_master!$G$2:$G$26,MATCH($C1567,medicine_master!$A$2:$A$26,0)),0)</f>
        <v>35</v>
      </c>
      <c r="N1567" s="45" t="n">
        <f aca="false">IF(D1567="Sale",E1567*L1567,0)</f>
        <v>0</v>
      </c>
      <c r="O1567" s="45" t="n">
        <f aca="false">IF(D1567="Sale",E1567*M1567,0)</f>
        <v>0</v>
      </c>
      <c r="P1567" s="45" t="n">
        <f aca="false">N1567-O1567</f>
        <v>0</v>
      </c>
      <c r="Q1567" s="45" t="n">
        <f aca="false">IF(D1567="Purchase",E1567*M1567,0)</f>
        <v>1050</v>
      </c>
    </row>
    <row r="1568" customFormat="false" ht="15" hidden="false" customHeight="false" outlineLevel="0" collapsed="false">
      <c r="A1568" s="39" t="s">
        <v>1892</v>
      </c>
      <c r="B1568" s="44" t="n">
        <v>46387</v>
      </c>
      <c r="C1568" s="39" t="s">
        <v>144</v>
      </c>
      <c r="D1568" s="39" t="s">
        <v>138</v>
      </c>
      <c r="E1568" s="39" t="n">
        <v>10</v>
      </c>
      <c r="F1568" s="39" t="str">
        <f aca="false">IF(COUNTIF(medicine_master!$A$2:$A$26,C1568)&gt;0,"Valid","Invalid")</f>
        <v>Valid</v>
      </c>
      <c r="G1568" s="39" t="str">
        <f aca="false">IFERROR(INDEX(medicine_master!$B$2:$B$26,MATCH($C1568,medicine_master!$A$2:$A$26,0)),"Not found")</f>
        <v>Glimepiride 2mg</v>
      </c>
      <c r="H1568" s="39" t="str">
        <f aca="false">IFERROR(INDEX(medicine_master!$C$2:$C$26,MATCH($C1568,medicine_master!$A$2:$A$26,0)),"Not found")</f>
        <v>Diabetes</v>
      </c>
      <c r="I1568" s="39" t="n">
        <f aca="false">YEAR(B1568)</f>
        <v>2026</v>
      </c>
      <c r="J1568" s="39" t="n">
        <f aca="false">MONTH(B1568)</f>
        <v>12</v>
      </c>
      <c r="K1568" s="39" t="str">
        <f aca="false">TEXT(B1568,"mmm")</f>
        <v>Dec</v>
      </c>
      <c r="L1568" s="45" t="n">
        <f aca="false">IFERROR(INDEX(medicine_master!$I$2:$I$26,MATCH($C1568,medicine_master!$A$2:$A$26,0)),0)</f>
        <v>52</v>
      </c>
      <c r="M1568" s="45" t="n">
        <f aca="false">IFERROR(INDEX(medicine_master!$G$2:$G$26,MATCH($C1568,medicine_master!$A$2:$A$26,0)),0)</f>
        <v>38</v>
      </c>
      <c r="N1568" s="45" t="n">
        <f aca="false">IF(D1568="Sale",E1568*L1568,0)</f>
        <v>0</v>
      </c>
      <c r="O1568" s="45" t="n">
        <f aca="false">IF(D1568="Sale",E1568*M1568,0)</f>
        <v>0</v>
      </c>
      <c r="P1568" s="45" t="n">
        <f aca="false">N1568-O1568</f>
        <v>0</v>
      </c>
      <c r="Q1568" s="45" t="n">
        <f aca="false">IF(D1568="Purchase",E1568*M1568,0)</f>
        <v>380</v>
      </c>
    </row>
    <row r="1569" customFormat="false" ht="15" hidden="false" customHeight="false" outlineLevel="0" collapsed="false">
      <c r="A1569" s="39" t="s">
        <v>1893</v>
      </c>
      <c r="B1569" s="44" t="n">
        <v>46090</v>
      </c>
      <c r="C1569" s="39" t="s">
        <v>179</v>
      </c>
      <c r="D1569" s="39" t="s">
        <v>137</v>
      </c>
      <c r="E1569" s="39" t="n">
        <v>5</v>
      </c>
      <c r="F1569" s="39" t="str">
        <f aca="false">IF(COUNTIF(medicine_master!$A$2:$A$26,C1569)&gt;0,"Valid","Invalid")</f>
        <v>Valid</v>
      </c>
      <c r="G1569" s="39" t="str">
        <f aca="false">IFERROR(INDEX(medicine_master!$B$2:$B$26,MATCH($C1569,medicine_master!$A$2:$A$26,0)),"Not found")</f>
        <v>Ibuprofen 400mg</v>
      </c>
      <c r="H1569" s="39" t="str">
        <f aca="false">IFERROR(INDEX(medicine_master!$C$2:$C$26,MATCH($C1569,medicine_master!$A$2:$A$26,0)),"Not found")</f>
        <v>Pain Relief</v>
      </c>
      <c r="I1569" s="39" t="n">
        <f aca="false">YEAR(B1569)</f>
        <v>2026</v>
      </c>
      <c r="J1569" s="39" t="n">
        <f aca="false">MONTH(B1569)</f>
        <v>3</v>
      </c>
      <c r="K1569" s="39" t="str">
        <f aca="false">TEXT(B1569,"mmm")</f>
        <v>Mar</v>
      </c>
      <c r="L1569" s="45" t="n">
        <f aca="false">IFERROR(INDEX(medicine_master!$I$2:$I$26,MATCH($C1569,medicine_master!$A$2:$A$26,0)),0)</f>
        <v>30</v>
      </c>
      <c r="M1569" s="45" t="n">
        <f aca="false">IFERROR(INDEX(medicine_master!$G$2:$G$26,MATCH($C1569,medicine_master!$A$2:$A$26,0)),0)</f>
        <v>22</v>
      </c>
      <c r="N1569" s="45" t="n">
        <f aca="false">IF(D1569="Sale",E1569*L1569,0)</f>
        <v>150</v>
      </c>
      <c r="O1569" s="45" t="n">
        <f aca="false">IF(D1569="Sale",E1569*M1569,0)</f>
        <v>110</v>
      </c>
      <c r="P1569" s="45" t="n">
        <f aca="false">N1569-O1569</f>
        <v>40</v>
      </c>
      <c r="Q1569" s="45" t="n">
        <f aca="false">IF(D1569="Purchase",E1569*M1569,0)</f>
        <v>0</v>
      </c>
    </row>
    <row r="1570" customFormat="false" ht="15" hidden="false" customHeight="false" outlineLevel="0" collapsed="false">
      <c r="A1570" s="39" t="s">
        <v>1894</v>
      </c>
      <c r="B1570" s="44" t="n">
        <v>46064</v>
      </c>
      <c r="C1570" s="39" t="s">
        <v>326</v>
      </c>
      <c r="D1570" s="39" t="s">
        <v>138</v>
      </c>
      <c r="E1570" s="39" t="n">
        <v>40</v>
      </c>
      <c r="F1570" s="39" t="str">
        <f aca="false">IF(COUNTIF(medicine_master!$A$2:$A$26,C1570)&gt;0,"Valid","Invalid")</f>
        <v>Valid</v>
      </c>
      <c r="G1570" s="39" t="str">
        <f aca="false">IFERROR(INDEX(medicine_master!$B$2:$B$26,MATCH($C1570,medicine_master!$A$2:$A$26,0)),"Not found")</f>
        <v>Omeprazole 20mg</v>
      </c>
      <c r="H1570" s="39" t="str">
        <f aca="false">IFERROR(INDEX(medicine_master!$C$2:$C$26,MATCH($C1570,medicine_master!$A$2:$A$26,0)),"Not found")</f>
        <v>Gastric</v>
      </c>
      <c r="I1570" s="39" t="n">
        <f aca="false">YEAR(B1570)</f>
        <v>2026</v>
      </c>
      <c r="J1570" s="39" t="n">
        <f aca="false">MONTH(B1570)</f>
        <v>2</v>
      </c>
      <c r="K1570" s="39" t="str">
        <f aca="false">TEXT(B1570,"mmm")</f>
        <v>Feb</v>
      </c>
      <c r="L1570" s="45" t="n">
        <f aca="false">IFERROR(INDEX(medicine_master!$I$2:$I$26,MATCH($C1570,medicine_master!$A$2:$A$26,0)),0)</f>
        <v>26</v>
      </c>
      <c r="M1570" s="45" t="n">
        <f aca="false">IFERROR(INDEX(medicine_master!$G$2:$G$26,MATCH($C1570,medicine_master!$A$2:$A$26,0)),0)</f>
        <v>18</v>
      </c>
      <c r="N1570" s="45" t="n">
        <f aca="false">IF(D1570="Sale",E1570*L1570,0)</f>
        <v>0</v>
      </c>
      <c r="O1570" s="45" t="n">
        <f aca="false">IF(D1570="Sale",E1570*M1570,0)</f>
        <v>0</v>
      </c>
      <c r="P1570" s="45" t="n">
        <f aca="false">N1570-O1570</f>
        <v>0</v>
      </c>
      <c r="Q1570" s="45" t="n">
        <f aca="false">IF(D1570="Purchase",E1570*M1570,0)</f>
        <v>720</v>
      </c>
    </row>
    <row r="1571" customFormat="false" ht="15" hidden="false" customHeight="false" outlineLevel="0" collapsed="false">
      <c r="A1571" s="39" t="s">
        <v>1895</v>
      </c>
      <c r="B1571" s="44" t="n">
        <v>46032</v>
      </c>
      <c r="C1571" s="39" t="s">
        <v>158</v>
      </c>
      <c r="D1571" s="39" t="s">
        <v>138</v>
      </c>
      <c r="E1571" s="39" t="n">
        <v>30</v>
      </c>
      <c r="F1571" s="39" t="str">
        <f aca="false">IF(COUNTIF(medicine_master!$A$2:$A$26,C1571)&gt;0,"Valid","Invalid")</f>
        <v>Valid</v>
      </c>
      <c r="G1571" s="39" t="str">
        <f aca="false">IFERROR(INDEX(medicine_master!$B$2:$B$26,MATCH($C1571,medicine_master!$A$2:$A$26,0)),"Not found")</f>
        <v>Cough Syrup 100ml</v>
      </c>
      <c r="H1571" s="39" t="str">
        <f aca="false">IFERROR(INDEX(medicine_master!$C$2:$C$26,MATCH($C1571,medicine_master!$A$2:$A$26,0)),"Not found")</f>
        <v>Cold &amp; Cough</v>
      </c>
      <c r="I1571" s="39" t="n">
        <f aca="false">YEAR(B1571)</f>
        <v>2026</v>
      </c>
      <c r="J1571" s="39" t="n">
        <f aca="false">MONTH(B1571)</f>
        <v>1</v>
      </c>
      <c r="K1571" s="39" t="str">
        <f aca="false">TEXT(B1571,"mmm")</f>
        <v>Jan</v>
      </c>
      <c r="L1571" s="45" t="n">
        <f aca="false">IFERROR(INDEX(medicine_master!$I$2:$I$26,MATCH($C1571,medicine_master!$A$2:$A$26,0)),0)</f>
        <v>72</v>
      </c>
      <c r="M1571" s="45" t="n">
        <f aca="false">IFERROR(INDEX(medicine_master!$G$2:$G$26,MATCH($C1571,medicine_master!$A$2:$A$26,0)),0)</f>
        <v>52</v>
      </c>
      <c r="N1571" s="45" t="n">
        <f aca="false">IF(D1571="Sale",E1571*L1571,0)</f>
        <v>0</v>
      </c>
      <c r="O1571" s="45" t="n">
        <f aca="false">IF(D1571="Sale",E1571*M1571,0)</f>
        <v>0</v>
      </c>
      <c r="P1571" s="45" t="n">
        <f aca="false">N1571-O1571</f>
        <v>0</v>
      </c>
      <c r="Q1571" s="45" t="n">
        <f aca="false">IF(D1571="Purchase",E1571*M1571,0)</f>
        <v>1560</v>
      </c>
    </row>
    <row r="1572" customFormat="false" ht="15" hidden="false" customHeight="false" outlineLevel="0" collapsed="false">
      <c r="A1572" s="39" t="s">
        <v>1896</v>
      </c>
      <c r="B1572" s="44" t="n">
        <v>46215</v>
      </c>
      <c r="C1572" s="39" t="s">
        <v>145</v>
      </c>
      <c r="D1572" s="39" t="s">
        <v>138</v>
      </c>
      <c r="E1572" s="39" t="n">
        <v>10</v>
      </c>
      <c r="F1572" s="39" t="str">
        <f aca="false">IF(COUNTIF(medicine_master!$A$2:$A$26,C1572)&gt;0,"Valid","Invalid")</f>
        <v>Valid</v>
      </c>
      <c r="G1572" s="39" t="str">
        <f aca="false">IFERROR(INDEX(medicine_master!$B$2:$B$26,MATCH($C1572,medicine_master!$A$2:$A$26,0)),"Not found")</f>
        <v>Clotrimazole Cream</v>
      </c>
      <c r="H1572" s="39" t="str">
        <f aca="false">IFERROR(INDEX(medicine_master!$C$2:$C$26,MATCH($C1572,medicine_master!$A$2:$A$26,0)),"Not found")</f>
        <v>Dermatology</v>
      </c>
      <c r="I1572" s="39" t="n">
        <f aca="false">YEAR(B1572)</f>
        <v>2026</v>
      </c>
      <c r="J1572" s="39" t="n">
        <f aca="false">MONTH(B1572)</f>
        <v>7</v>
      </c>
      <c r="K1572" s="39" t="str">
        <f aca="false">TEXT(B1572,"mmm")</f>
        <v>Jul</v>
      </c>
      <c r="L1572" s="45" t="n">
        <f aca="false">IFERROR(INDEX(medicine_master!$I$2:$I$26,MATCH($C1572,medicine_master!$A$2:$A$26,0)),0)</f>
        <v>48</v>
      </c>
      <c r="M1572" s="45" t="n">
        <f aca="false">IFERROR(INDEX(medicine_master!$G$2:$G$26,MATCH($C1572,medicine_master!$A$2:$A$26,0)),0)</f>
        <v>32</v>
      </c>
      <c r="N1572" s="45" t="n">
        <f aca="false">IF(D1572="Sale",E1572*L1572,0)</f>
        <v>0</v>
      </c>
      <c r="O1572" s="45" t="n">
        <f aca="false">IF(D1572="Sale",E1572*M1572,0)</f>
        <v>0</v>
      </c>
      <c r="P1572" s="45" t="n">
        <f aca="false">N1572-O1572</f>
        <v>0</v>
      </c>
      <c r="Q1572" s="45" t="n">
        <f aca="false">IF(D1572="Purchase",E1572*M1572,0)</f>
        <v>320</v>
      </c>
    </row>
    <row r="1573" customFormat="false" ht="15" hidden="false" customHeight="false" outlineLevel="0" collapsed="false">
      <c r="A1573" s="39" t="s">
        <v>1897</v>
      </c>
      <c r="B1573" s="44" t="n">
        <v>46235</v>
      </c>
      <c r="C1573" s="39" t="s">
        <v>145</v>
      </c>
      <c r="D1573" s="39" t="s">
        <v>138</v>
      </c>
      <c r="E1573" s="39" t="n">
        <v>30</v>
      </c>
      <c r="F1573" s="39" t="str">
        <f aca="false">IF(COUNTIF(medicine_master!$A$2:$A$26,C1573)&gt;0,"Valid","Invalid")</f>
        <v>Valid</v>
      </c>
      <c r="G1573" s="39" t="str">
        <f aca="false">IFERROR(INDEX(medicine_master!$B$2:$B$26,MATCH($C1573,medicine_master!$A$2:$A$26,0)),"Not found")</f>
        <v>Clotrimazole Cream</v>
      </c>
      <c r="H1573" s="39" t="str">
        <f aca="false">IFERROR(INDEX(medicine_master!$C$2:$C$26,MATCH($C1573,medicine_master!$A$2:$A$26,0)),"Not found")</f>
        <v>Dermatology</v>
      </c>
      <c r="I1573" s="39" t="n">
        <f aca="false">YEAR(B1573)</f>
        <v>2026</v>
      </c>
      <c r="J1573" s="39" t="n">
        <f aca="false">MONTH(B1573)</f>
        <v>8</v>
      </c>
      <c r="K1573" s="39" t="str">
        <f aca="false">TEXT(B1573,"mmm")</f>
        <v>Aug</v>
      </c>
      <c r="L1573" s="45" t="n">
        <f aca="false">IFERROR(INDEX(medicine_master!$I$2:$I$26,MATCH($C1573,medicine_master!$A$2:$A$26,0)),0)</f>
        <v>48</v>
      </c>
      <c r="M1573" s="45" t="n">
        <f aca="false">IFERROR(INDEX(medicine_master!$G$2:$G$26,MATCH($C1573,medicine_master!$A$2:$A$26,0)),0)</f>
        <v>32</v>
      </c>
      <c r="N1573" s="45" t="n">
        <f aca="false">IF(D1573="Sale",E1573*L1573,0)</f>
        <v>0</v>
      </c>
      <c r="O1573" s="45" t="n">
        <f aca="false">IF(D1573="Sale",E1573*M1573,0)</f>
        <v>0</v>
      </c>
      <c r="P1573" s="45" t="n">
        <f aca="false">N1573-O1573</f>
        <v>0</v>
      </c>
      <c r="Q1573" s="45" t="n">
        <f aca="false">IF(D1573="Purchase",E1573*M1573,0)</f>
        <v>960</v>
      </c>
    </row>
    <row r="1574" customFormat="false" ht="15" hidden="false" customHeight="false" outlineLevel="0" collapsed="false">
      <c r="A1574" s="39" t="s">
        <v>1898</v>
      </c>
      <c r="B1574" s="44" t="n">
        <v>46207</v>
      </c>
      <c r="C1574" s="39" t="s">
        <v>146</v>
      </c>
      <c r="D1574" s="39" t="s">
        <v>137</v>
      </c>
      <c r="E1574" s="39" t="n">
        <v>20</v>
      </c>
      <c r="F1574" s="39" t="str">
        <f aca="false">IF(COUNTIF(medicine_master!$A$2:$A$26,C1574)&gt;0,"Valid","Invalid")</f>
        <v>Valid</v>
      </c>
      <c r="G1574" s="39" t="str">
        <f aca="false">IFERROR(INDEX(medicine_master!$B$2:$B$26,MATCH($C1574,medicine_master!$A$2:$A$26,0)),"Not found")</f>
        <v>Diclofenac Gel</v>
      </c>
      <c r="H1574" s="39" t="str">
        <f aca="false">IFERROR(INDEX(medicine_master!$C$2:$C$26,MATCH($C1574,medicine_master!$A$2:$A$26,0)),"Not found")</f>
        <v>Pain Relief</v>
      </c>
      <c r="I1574" s="39" t="n">
        <f aca="false">YEAR(B1574)</f>
        <v>2026</v>
      </c>
      <c r="J1574" s="39" t="n">
        <f aca="false">MONTH(B1574)</f>
        <v>7</v>
      </c>
      <c r="K1574" s="39" t="str">
        <f aca="false">TEXT(B1574,"mmm")</f>
        <v>Jul</v>
      </c>
      <c r="L1574" s="45" t="n">
        <f aca="false">IFERROR(INDEX(medicine_master!$I$2:$I$26,MATCH($C1574,medicine_master!$A$2:$A$26,0)),0)</f>
        <v>55</v>
      </c>
      <c r="M1574" s="45" t="n">
        <f aca="false">IFERROR(INDEX(medicine_master!$G$2:$G$26,MATCH($C1574,medicine_master!$A$2:$A$26,0)),0)</f>
        <v>38</v>
      </c>
      <c r="N1574" s="45" t="n">
        <f aca="false">IF(D1574="Sale",E1574*L1574,0)</f>
        <v>1100</v>
      </c>
      <c r="O1574" s="45" t="n">
        <f aca="false">IF(D1574="Sale",E1574*M1574,0)</f>
        <v>760</v>
      </c>
      <c r="P1574" s="45" t="n">
        <f aca="false">N1574-O1574</f>
        <v>340</v>
      </c>
      <c r="Q1574" s="45" t="n">
        <f aca="false">IF(D1574="Purchase",E1574*M1574,0)</f>
        <v>0</v>
      </c>
    </row>
    <row r="1575" customFormat="false" ht="15" hidden="false" customHeight="false" outlineLevel="0" collapsed="false">
      <c r="A1575" s="39" t="s">
        <v>1899</v>
      </c>
      <c r="B1575" s="44" t="n">
        <v>46085</v>
      </c>
      <c r="C1575" s="39" t="s">
        <v>404</v>
      </c>
      <c r="D1575" s="39" t="s">
        <v>137</v>
      </c>
      <c r="E1575" s="39" t="n">
        <v>5</v>
      </c>
      <c r="F1575" s="39" t="str">
        <f aca="false">IF(COUNTIF(medicine_master!$A$2:$A$26,C1575)&gt;0,"Valid","Invalid")</f>
        <v>Valid</v>
      </c>
      <c r="G1575" s="39" t="str">
        <f aca="false">IFERROR(INDEX(medicine_master!$B$2:$B$26,MATCH($C1575,medicine_master!$A$2:$A$26,0)),"Not found")</f>
        <v>ORS Sachet</v>
      </c>
      <c r="H1575" s="39" t="str">
        <f aca="false">IFERROR(INDEX(medicine_master!$C$2:$C$26,MATCH($C1575,medicine_master!$A$2:$A$26,0)),"Not found")</f>
        <v>First Aid</v>
      </c>
      <c r="I1575" s="39" t="n">
        <f aca="false">YEAR(B1575)</f>
        <v>2026</v>
      </c>
      <c r="J1575" s="39" t="n">
        <f aca="false">MONTH(B1575)</f>
        <v>3</v>
      </c>
      <c r="K1575" s="39" t="str">
        <f aca="false">TEXT(B1575,"mmm")</f>
        <v>Mar</v>
      </c>
      <c r="L1575" s="45" t="n">
        <f aca="false">IFERROR(INDEX(medicine_master!$I$2:$I$26,MATCH($C1575,medicine_master!$A$2:$A$26,0)),0)</f>
        <v>10</v>
      </c>
      <c r="M1575" s="45" t="n">
        <f aca="false">IFERROR(INDEX(medicine_master!$G$2:$G$26,MATCH($C1575,medicine_master!$A$2:$A$26,0)),0)</f>
        <v>6</v>
      </c>
      <c r="N1575" s="45" t="n">
        <f aca="false">IF(D1575="Sale",E1575*L1575,0)</f>
        <v>50</v>
      </c>
      <c r="O1575" s="45" t="n">
        <f aca="false">IF(D1575="Sale",E1575*M1575,0)</f>
        <v>30</v>
      </c>
      <c r="P1575" s="45" t="n">
        <f aca="false">N1575-O1575</f>
        <v>20</v>
      </c>
      <c r="Q1575" s="45" t="n">
        <f aca="false">IF(D1575="Purchase",E1575*M1575,0)</f>
        <v>0</v>
      </c>
    </row>
    <row r="1576" customFormat="false" ht="15" hidden="false" customHeight="false" outlineLevel="0" collapsed="false">
      <c r="A1576" s="39" t="s">
        <v>1900</v>
      </c>
      <c r="B1576" s="44" t="n">
        <v>46356</v>
      </c>
      <c r="C1576" s="39" t="s">
        <v>147</v>
      </c>
      <c r="D1576" s="39" t="s">
        <v>137</v>
      </c>
      <c r="E1576" s="39" t="n">
        <v>20</v>
      </c>
      <c r="F1576" s="39" t="str">
        <f aca="false">IF(COUNTIF(medicine_master!$A$2:$A$26,C1576)&gt;0,"Valid","Invalid")</f>
        <v>Valid</v>
      </c>
      <c r="G1576" s="39" t="str">
        <f aca="false">IFERROR(INDEX(medicine_master!$B$2:$B$26,MATCH($C1576,medicine_master!$A$2:$A$26,0)),"Not found")</f>
        <v>Insulin Injection</v>
      </c>
      <c r="H1576" s="39" t="str">
        <f aca="false">IFERROR(INDEX(medicine_master!$C$2:$C$26,MATCH($C1576,medicine_master!$A$2:$A$26,0)),"Not found")</f>
        <v>Diabetes</v>
      </c>
      <c r="I1576" s="39" t="n">
        <f aca="false">YEAR(B1576)</f>
        <v>2026</v>
      </c>
      <c r="J1576" s="39" t="n">
        <f aca="false">MONTH(B1576)</f>
        <v>11</v>
      </c>
      <c r="K1576" s="39" t="str">
        <f aca="false">TEXT(B1576,"mmm")</f>
        <v>Nov</v>
      </c>
      <c r="L1576" s="45" t="n">
        <f aca="false">IFERROR(INDEX(medicine_master!$I$2:$I$26,MATCH($C1576,medicine_master!$A$2:$A$26,0)),0)</f>
        <v>225</v>
      </c>
      <c r="M1576" s="45" t="n">
        <f aca="false">IFERROR(INDEX(medicine_master!$G$2:$G$26,MATCH($C1576,medicine_master!$A$2:$A$26,0)),0)</f>
        <v>165</v>
      </c>
      <c r="N1576" s="45" t="n">
        <f aca="false">IF(D1576="Sale",E1576*L1576,0)</f>
        <v>4500</v>
      </c>
      <c r="O1576" s="45" t="n">
        <f aca="false">IF(D1576="Sale",E1576*M1576,0)</f>
        <v>3300</v>
      </c>
      <c r="P1576" s="45" t="n">
        <f aca="false">N1576-O1576</f>
        <v>1200</v>
      </c>
      <c r="Q1576" s="45" t="n">
        <f aca="false">IF(D1576="Purchase",E1576*M1576,0)</f>
        <v>0</v>
      </c>
    </row>
    <row r="1577" customFormat="false" ht="15" hidden="false" customHeight="false" outlineLevel="0" collapsed="false">
      <c r="A1577" s="39" t="s">
        <v>1901</v>
      </c>
      <c r="B1577" s="44" t="n">
        <v>46314</v>
      </c>
      <c r="C1577" s="39" t="s">
        <v>144</v>
      </c>
      <c r="D1577" s="39" t="s">
        <v>137</v>
      </c>
      <c r="E1577" s="39" t="n">
        <v>40</v>
      </c>
      <c r="F1577" s="39" t="str">
        <f aca="false">IF(COUNTIF(medicine_master!$A$2:$A$26,C1577)&gt;0,"Valid","Invalid")</f>
        <v>Valid</v>
      </c>
      <c r="G1577" s="39" t="str">
        <f aca="false">IFERROR(INDEX(medicine_master!$B$2:$B$26,MATCH($C1577,medicine_master!$A$2:$A$26,0)),"Not found")</f>
        <v>Glimepiride 2mg</v>
      </c>
      <c r="H1577" s="39" t="str">
        <f aca="false">IFERROR(INDEX(medicine_master!$C$2:$C$26,MATCH($C1577,medicine_master!$A$2:$A$26,0)),"Not found")</f>
        <v>Diabetes</v>
      </c>
      <c r="I1577" s="39" t="n">
        <f aca="false">YEAR(B1577)</f>
        <v>2026</v>
      </c>
      <c r="J1577" s="39" t="n">
        <f aca="false">MONTH(B1577)</f>
        <v>10</v>
      </c>
      <c r="K1577" s="39" t="str">
        <f aca="false">TEXT(B1577,"mmm")</f>
        <v>Oct</v>
      </c>
      <c r="L1577" s="45" t="n">
        <f aca="false">IFERROR(INDEX(medicine_master!$I$2:$I$26,MATCH($C1577,medicine_master!$A$2:$A$26,0)),0)</f>
        <v>52</v>
      </c>
      <c r="M1577" s="45" t="n">
        <f aca="false">IFERROR(INDEX(medicine_master!$G$2:$G$26,MATCH($C1577,medicine_master!$A$2:$A$26,0)),0)</f>
        <v>38</v>
      </c>
      <c r="N1577" s="45" t="n">
        <f aca="false">IF(D1577="Sale",E1577*L1577,0)</f>
        <v>2080</v>
      </c>
      <c r="O1577" s="45" t="n">
        <f aca="false">IF(D1577="Sale",E1577*M1577,0)</f>
        <v>1520</v>
      </c>
      <c r="P1577" s="45" t="n">
        <f aca="false">N1577-O1577</f>
        <v>560</v>
      </c>
      <c r="Q1577" s="45" t="n">
        <f aca="false">IF(D1577="Purchase",E1577*M1577,0)</f>
        <v>0</v>
      </c>
    </row>
    <row r="1578" customFormat="false" ht="15" hidden="false" customHeight="false" outlineLevel="0" collapsed="false">
      <c r="A1578" s="39" t="s">
        <v>1902</v>
      </c>
      <c r="B1578" s="44" t="n">
        <v>46093</v>
      </c>
      <c r="C1578" s="39" t="s">
        <v>390</v>
      </c>
      <c r="D1578" s="39" t="s">
        <v>137</v>
      </c>
      <c r="E1578" s="39" t="n">
        <v>5</v>
      </c>
      <c r="F1578" s="39" t="str">
        <f aca="false">IF(COUNTIF(medicine_master!$A$2:$A$26,C1578)&gt;0,"Valid","Invalid")</f>
        <v>Valid</v>
      </c>
      <c r="G1578" s="39" t="str">
        <f aca="false">IFERROR(INDEX(medicine_master!$B$2:$B$26,MATCH($C1578,medicine_master!$A$2:$A$26,0)),"Not found")</f>
        <v>Montelukast 10mg</v>
      </c>
      <c r="H1578" s="39" t="str">
        <f aca="false">IFERROR(INDEX(medicine_master!$C$2:$C$26,MATCH($C1578,medicine_master!$A$2:$A$26,0)),"Not found")</f>
        <v>Allergy</v>
      </c>
      <c r="I1578" s="39" t="n">
        <f aca="false">YEAR(B1578)</f>
        <v>2026</v>
      </c>
      <c r="J1578" s="39" t="n">
        <f aca="false">MONTH(B1578)</f>
        <v>3</v>
      </c>
      <c r="K1578" s="39" t="str">
        <f aca="false">TEXT(B1578,"mmm")</f>
        <v>Mar</v>
      </c>
      <c r="L1578" s="45" t="n">
        <f aca="false">IFERROR(INDEX(medicine_master!$I$2:$I$26,MATCH($C1578,medicine_master!$A$2:$A$26,0)),0)</f>
        <v>39</v>
      </c>
      <c r="M1578" s="45" t="n">
        <f aca="false">IFERROR(INDEX(medicine_master!$G$2:$G$26,MATCH($C1578,medicine_master!$A$2:$A$26,0)),0)</f>
        <v>27</v>
      </c>
      <c r="N1578" s="45" t="n">
        <f aca="false">IF(D1578="Sale",E1578*L1578,0)</f>
        <v>195</v>
      </c>
      <c r="O1578" s="45" t="n">
        <f aca="false">IF(D1578="Sale",E1578*M1578,0)</f>
        <v>135</v>
      </c>
      <c r="P1578" s="45" t="n">
        <f aca="false">N1578-O1578</f>
        <v>60</v>
      </c>
      <c r="Q1578" s="45" t="n">
        <f aca="false">IF(D1578="Purchase",E1578*M1578,0)</f>
        <v>0</v>
      </c>
    </row>
    <row r="1579" customFormat="false" ht="15" hidden="false" customHeight="false" outlineLevel="0" collapsed="false">
      <c r="A1579" s="39" t="s">
        <v>1903</v>
      </c>
      <c r="B1579" s="44" t="n">
        <v>46260</v>
      </c>
      <c r="C1579" s="39" t="s">
        <v>148</v>
      </c>
      <c r="D1579" s="39" t="s">
        <v>138</v>
      </c>
      <c r="E1579" s="39" t="n">
        <v>25</v>
      </c>
      <c r="F1579" s="39" t="str">
        <f aca="false">IF(COUNTIF(medicine_master!$A$2:$A$26,C1579)&gt;0,"Valid","Invalid")</f>
        <v>Valid</v>
      </c>
      <c r="G1579" s="39" t="str">
        <f aca="false">IFERROR(INDEX(medicine_master!$B$2:$B$26,MATCH($C1579,medicine_master!$A$2:$A$26,0)),"Not found")</f>
        <v>Dextromethorphan Syrup</v>
      </c>
      <c r="H1579" s="39" t="str">
        <f aca="false">IFERROR(INDEX(medicine_master!$C$2:$C$26,MATCH($C1579,medicine_master!$A$2:$A$26,0)),"Not found")</f>
        <v>Cold &amp; Cough</v>
      </c>
      <c r="I1579" s="39" t="n">
        <f aca="false">YEAR(B1579)</f>
        <v>2026</v>
      </c>
      <c r="J1579" s="39" t="n">
        <f aca="false">MONTH(B1579)</f>
        <v>8</v>
      </c>
      <c r="K1579" s="39" t="str">
        <f aca="false">TEXT(B1579,"mmm")</f>
        <v>Aug</v>
      </c>
      <c r="L1579" s="45" t="n">
        <f aca="false">IFERROR(INDEX(medicine_master!$I$2:$I$26,MATCH($C1579,medicine_master!$A$2:$A$26,0)),0)</f>
        <v>80</v>
      </c>
      <c r="M1579" s="45" t="n">
        <f aca="false">IFERROR(INDEX(medicine_master!$G$2:$G$26,MATCH($C1579,medicine_master!$A$2:$A$26,0)),0)</f>
        <v>58</v>
      </c>
      <c r="N1579" s="45" t="n">
        <f aca="false">IF(D1579="Sale",E1579*L1579,0)</f>
        <v>0</v>
      </c>
      <c r="O1579" s="45" t="n">
        <f aca="false">IF(D1579="Sale",E1579*M1579,0)</f>
        <v>0</v>
      </c>
      <c r="P1579" s="45" t="n">
        <f aca="false">N1579-O1579</f>
        <v>0</v>
      </c>
      <c r="Q1579" s="45" t="n">
        <f aca="false">IF(D1579="Purchase",E1579*M1579,0)</f>
        <v>1450</v>
      </c>
    </row>
    <row r="1580" customFormat="false" ht="15" hidden="false" customHeight="false" outlineLevel="0" collapsed="false">
      <c r="A1580" s="39" t="s">
        <v>1904</v>
      </c>
      <c r="B1580" s="44" t="n">
        <v>46047</v>
      </c>
      <c r="C1580" s="39" t="s">
        <v>152</v>
      </c>
      <c r="D1580" s="39" t="s">
        <v>138</v>
      </c>
      <c r="E1580" s="39" t="n">
        <v>25</v>
      </c>
      <c r="F1580" s="39" t="str">
        <f aca="false">IF(COUNTIF(medicine_master!$A$2:$A$26,C1580)&gt;0,"Valid","Invalid")</f>
        <v>Valid</v>
      </c>
      <c r="G1580" s="39" t="str">
        <f aca="false">IFERROR(INDEX(medicine_master!$B$2:$B$26,MATCH($C1580,medicine_master!$A$2:$A$26,0)),"Not found")</f>
        <v>Amoxicillin 500mg</v>
      </c>
      <c r="H1580" s="39" t="str">
        <f aca="false">IFERROR(INDEX(medicine_master!$C$2:$C$26,MATCH($C1580,medicine_master!$A$2:$A$26,0)),"Not found")</f>
        <v>Antibiotic</v>
      </c>
      <c r="I1580" s="39" t="n">
        <f aca="false">YEAR(B1580)</f>
        <v>2026</v>
      </c>
      <c r="J1580" s="39" t="n">
        <f aca="false">MONTH(B1580)</f>
        <v>1</v>
      </c>
      <c r="K1580" s="39" t="str">
        <f aca="false">TEXT(B1580,"mmm")</f>
        <v>Jan</v>
      </c>
      <c r="L1580" s="45" t="n">
        <f aca="false">IFERROR(INDEX(medicine_master!$I$2:$I$26,MATCH($C1580,medicine_master!$A$2:$A$26,0)),0)</f>
        <v>40</v>
      </c>
      <c r="M1580" s="45" t="n">
        <f aca="false">IFERROR(INDEX(medicine_master!$G$2:$G$26,MATCH($C1580,medicine_master!$A$2:$A$26,0)),0)</f>
        <v>28</v>
      </c>
      <c r="N1580" s="45" t="n">
        <f aca="false">IF(D1580="Sale",E1580*L1580,0)</f>
        <v>0</v>
      </c>
      <c r="O1580" s="45" t="n">
        <f aca="false">IF(D1580="Sale",E1580*M1580,0)</f>
        <v>0</v>
      </c>
      <c r="P1580" s="45" t="n">
        <f aca="false">N1580-O1580</f>
        <v>0</v>
      </c>
      <c r="Q1580" s="45" t="n">
        <f aca="false">IF(D1580="Purchase",E1580*M1580,0)</f>
        <v>700</v>
      </c>
    </row>
    <row r="1581" customFormat="false" ht="15" hidden="false" customHeight="false" outlineLevel="0" collapsed="false">
      <c r="A1581" s="39" t="s">
        <v>1905</v>
      </c>
      <c r="B1581" s="44" t="n">
        <v>46220</v>
      </c>
      <c r="C1581" s="39" t="s">
        <v>178</v>
      </c>
      <c r="D1581" s="39" t="s">
        <v>138</v>
      </c>
      <c r="E1581" s="39" t="n">
        <v>20</v>
      </c>
      <c r="F1581" s="39" t="str">
        <f aca="false">IF(COUNTIF(medicine_master!$A$2:$A$26,C1581)&gt;0,"Valid","Invalid")</f>
        <v>Valid</v>
      </c>
      <c r="G1581" s="39" t="str">
        <f aca="false">IFERROR(INDEX(medicine_master!$B$2:$B$26,MATCH($C1581,medicine_master!$A$2:$A$26,0)),"Not found")</f>
        <v>Aspirin 75mg</v>
      </c>
      <c r="H1581" s="39" t="str">
        <f aca="false">IFERROR(INDEX(medicine_master!$C$2:$C$26,MATCH($C1581,medicine_master!$A$2:$A$26,0)),"Not found")</f>
        <v>Cardiac</v>
      </c>
      <c r="I1581" s="39" t="n">
        <f aca="false">YEAR(B1581)</f>
        <v>2026</v>
      </c>
      <c r="J1581" s="39" t="n">
        <f aca="false">MONTH(B1581)</f>
        <v>7</v>
      </c>
      <c r="K1581" s="39" t="str">
        <f aca="false">TEXT(B1581,"mmm")</f>
        <v>Jul</v>
      </c>
      <c r="L1581" s="45" t="n">
        <f aca="false">IFERROR(INDEX(medicine_master!$I$2:$I$26,MATCH($C1581,medicine_master!$A$2:$A$26,0)),0)</f>
        <v>15</v>
      </c>
      <c r="M1581" s="45" t="n">
        <f aca="false">IFERROR(INDEX(medicine_master!$G$2:$G$26,MATCH($C1581,medicine_master!$A$2:$A$26,0)),0)</f>
        <v>10</v>
      </c>
      <c r="N1581" s="45" t="n">
        <f aca="false">IF(D1581="Sale",E1581*L1581,0)</f>
        <v>0</v>
      </c>
      <c r="O1581" s="45" t="n">
        <f aca="false">IF(D1581="Sale",E1581*M1581,0)</f>
        <v>0</v>
      </c>
      <c r="P1581" s="45" t="n">
        <f aca="false">N1581-O1581</f>
        <v>0</v>
      </c>
      <c r="Q1581" s="45" t="n">
        <f aca="false">IF(D1581="Purchase",E1581*M1581,0)</f>
        <v>200</v>
      </c>
    </row>
    <row r="1582" customFormat="false" ht="15" hidden="false" customHeight="false" outlineLevel="0" collapsed="false">
      <c r="A1582" s="39" t="s">
        <v>1906</v>
      </c>
      <c r="B1582" s="44" t="n">
        <v>46215</v>
      </c>
      <c r="C1582" s="39" t="s">
        <v>167</v>
      </c>
      <c r="D1582" s="39" t="s">
        <v>138</v>
      </c>
      <c r="E1582" s="39" t="n">
        <v>25</v>
      </c>
      <c r="F1582" s="39" t="str">
        <f aca="false">IF(COUNTIF(medicine_master!$A$2:$A$26,C1582)&gt;0,"Valid","Invalid")</f>
        <v>Valid</v>
      </c>
      <c r="G1582" s="39" t="str">
        <f aca="false">IFERROR(INDEX(medicine_master!$B$2:$B$26,MATCH($C1582,medicine_master!$A$2:$A$26,0)),"Not found")</f>
        <v>Amlodipine 5mg</v>
      </c>
      <c r="H1582" s="39" t="str">
        <f aca="false">IFERROR(INDEX(medicine_master!$C$2:$C$26,MATCH($C1582,medicine_master!$A$2:$A$26,0)),"Not found")</f>
        <v>Cardiac</v>
      </c>
      <c r="I1582" s="39" t="n">
        <f aca="false">YEAR(B1582)</f>
        <v>2026</v>
      </c>
      <c r="J1582" s="39" t="n">
        <f aca="false">MONTH(B1582)</f>
        <v>7</v>
      </c>
      <c r="K1582" s="39" t="str">
        <f aca="false">TEXT(B1582,"mmm")</f>
        <v>Jul</v>
      </c>
      <c r="L1582" s="45" t="n">
        <f aca="false">IFERROR(INDEX(medicine_master!$I$2:$I$26,MATCH($C1582,medicine_master!$A$2:$A$26,0)),0)</f>
        <v>19</v>
      </c>
      <c r="M1582" s="45" t="n">
        <f aca="false">IFERROR(INDEX(medicine_master!$G$2:$G$26,MATCH($C1582,medicine_master!$A$2:$A$26,0)),0)</f>
        <v>13</v>
      </c>
      <c r="N1582" s="45" t="n">
        <f aca="false">IF(D1582="Sale",E1582*L1582,0)</f>
        <v>0</v>
      </c>
      <c r="O1582" s="45" t="n">
        <f aca="false">IF(D1582="Sale",E1582*M1582,0)</f>
        <v>0</v>
      </c>
      <c r="P1582" s="45" t="n">
        <f aca="false">N1582-O1582</f>
        <v>0</v>
      </c>
      <c r="Q1582" s="45" t="n">
        <f aca="false">IF(D1582="Purchase",E1582*M1582,0)</f>
        <v>325</v>
      </c>
    </row>
    <row r="1583" customFormat="false" ht="15" hidden="false" customHeight="false" outlineLevel="0" collapsed="false">
      <c r="A1583" s="39" t="s">
        <v>1907</v>
      </c>
      <c r="B1583" s="44" t="n">
        <v>46255</v>
      </c>
      <c r="C1583" s="39" t="s">
        <v>157</v>
      </c>
      <c r="D1583" s="39" t="s">
        <v>138</v>
      </c>
      <c r="E1583" s="39" t="n">
        <v>20</v>
      </c>
      <c r="F1583" s="39" t="str">
        <f aca="false">IF(COUNTIF(medicine_master!$A$2:$A$26,C1583)&gt;0,"Valid","Invalid")</f>
        <v>Valid</v>
      </c>
      <c r="G1583" s="39" t="str">
        <f aca="false">IFERROR(INDEX(medicine_master!$B$2:$B$26,MATCH($C1583,medicine_master!$A$2:$A$26,0)),"Not found")</f>
        <v>Multivitamin Tablets</v>
      </c>
      <c r="H1583" s="39" t="str">
        <f aca="false">IFERROR(INDEX(medicine_master!$C$2:$C$26,MATCH($C1583,medicine_master!$A$2:$A$26,0)),"Not found")</f>
        <v>Vitamin</v>
      </c>
      <c r="I1583" s="39" t="n">
        <f aca="false">YEAR(B1583)</f>
        <v>2026</v>
      </c>
      <c r="J1583" s="39" t="n">
        <f aca="false">MONTH(B1583)</f>
        <v>8</v>
      </c>
      <c r="K1583" s="39" t="str">
        <f aca="false">TEXT(B1583,"mmm")</f>
        <v>Aug</v>
      </c>
      <c r="L1583" s="45" t="n">
        <f aca="false">IFERROR(INDEX(medicine_master!$I$2:$I$26,MATCH($C1583,medicine_master!$A$2:$A$26,0)),0)</f>
        <v>105</v>
      </c>
      <c r="M1583" s="45" t="n">
        <f aca="false">IFERROR(INDEX(medicine_master!$G$2:$G$26,MATCH($C1583,medicine_master!$A$2:$A$26,0)),0)</f>
        <v>72</v>
      </c>
      <c r="N1583" s="45" t="n">
        <f aca="false">IF(D1583="Sale",E1583*L1583,0)</f>
        <v>0</v>
      </c>
      <c r="O1583" s="45" t="n">
        <f aca="false">IF(D1583="Sale",E1583*M1583,0)</f>
        <v>0</v>
      </c>
      <c r="P1583" s="45" t="n">
        <f aca="false">N1583-O1583</f>
        <v>0</v>
      </c>
      <c r="Q1583" s="45" t="n">
        <f aca="false">IF(D1583="Purchase",E1583*M1583,0)</f>
        <v>1440</v>
      </c>
    </row>
    <row r="1584" customFormat="false" ht="15" hidden="false" customHeight="false" outlineLevel="0" collapsed="false">
      <c r="A1584" s="39" t="s">
        <v>1908</v>
      </c>
      <c r="B1584" s="44" t="n">
        <v>46077</v>
      </c>
      <c r="C1584" s="39" t="s">
        <v>146</v>
      </c>
      <c r="D1584" s="39" t="s">
        <v>138</v>
      </c>
      <c r="E1584" s="39" t="n">
        <v>10</v>
      </c>
      <c r="F1584" s="39" t="str">
        <f aca="false">IF(COUNTIF(medicine_master!$A$2:$A$26,C1584)&gt;0,"Valid","Invalid")</f>
        <v>Valid</v>
      </c>
      <c r="G1584" s="39" t="str">
        <f aca="false">IFERROR(INDEX(medicine_master!$B$2:$B$26,MATCH($C1584,medicine_master!$A$2:$A$26,0)),"Not found")</f>
        <v>Diclofenac Gel</v>
      </c>
      <c r="H1584" s="39" t="str">
        <f aca="false">IFERROR(INDEX(medicine_master!$C$2:$C$26,MATCH($C1584,medicine_master!$A$2:$A$26,0)),"Not found")</f>
        <v>Pain Relief</v>
      </c>
      <c r="I1584" s="39" t="n">
        <f aca="false">YEAR(B1584)</f>
        <v>2026</v>
      </c>
      <c r="J1584" s="39" t="n">
        <f aca="false">MONTH(B1584)</f>
        <v>2</v>
      </c>
      <c r="K1584" s="39" t="str">
        <f aca="false">TEXT(B1584,"mmm")</f>
        <v>Feb</v>
      </c>
      <c r="L1584" s="45" t="n">
        <f aca="false">IFERROR(INDEX(medicine_master!$I$2:$I$26,MATCH($C1584,medicine_master!$A$2:$A$26,0)),0)</f>
        <v>55</v>
      </c>
      <c r="M1584" s="45" t="n">
        <f aca="false">IFERROR(INDEX(medicine_master!$G$2:$G$26,MATCH($C1584,medicine_master!$A$2:$A$26,0)),0)</f>
        <v>38</v>
      </c>
      <c r="N1584" s="45" t="n">
        <f aca="false">IF(D1584="Sale",E1584*L1584,0)</f>
        <v>0</v>
      </c>
      <c r="O1584" s="45" t="n">
        <f aca="false">IF(D1584="Sale",E1584*M1584,0)</f>
        <v>0</v>
      </c>
      <c r="P1584" s="45" t="n">
        <f aca="false">N1584-O1584</f>
        <v>0</v>
      </c>
      <c r="Q1584" s="45" t="n">
        <f aca="false">IF(D1584="Purchase",E1584*M1584,0)</f>
        <v>380</v>
      </c>
    </row>
    <row r="1585" customFormat="false" ht="15" hidden="false" customHeight="false" outlineLevel="0" collapsed="false">
      <c r="A1585" s="39" t="s">
        <v>1909</v>
      </c>
      <c r="B1585" s="44" t="n">
        <v>46206</v>
      </c>
      <c r="C1585" s="39" t="s">
        <v>148</v>
      </c>
      <c r="D1585" s="39" t="s">
        <v>137</v>
      </c>
      <c r="E1585" s="39" t="n">
        <v>20</v>
      </c>
      <c r="F1585" s="39" t="str">
        <f aca="false">IF(COUNTIF(medicine_master!$A$2:$A$26,C1585)&gt;0,"Valid","Invalid")</f>
        <v>Valid</v>
      </c>
      <c r="G1585" s="39" t="str">
        <f aca="false">IFERROR(INDEX(medicine_master!$B$2:$B$26,MATCH($C1585,medicine_master!$A$2:$A$26,0)),"Not found")</f>
        <v>Dextromethorphan Syrup</v>
      </c>
      <c r="H1585" s="39" t="str">
        <f aca="false">IFERROR(INDEX(medicine_master!$C$2:$C$26,MATCH($C1585,medicine_master!$A$2:$A$26,0)),"Not found")</f>
        <v>Cold &amp; Cough</v>
      </c>
      <c r="I1585" s="39" t="n">
        <f aca="false">YEAR(B1585)</f>
        <v>2026</v>
      </c>
      <c r="J1585" s="39" t="n">
        <f aca="false">MONTH(B1585)</f>
        <v>7</v>
      </c>
      <c r="K1585" s="39" t="str">
        <f aca="false">TEXT(B1585,"mmm")</f>
        <v>Jul</v>
      </c>
      <c r="L1585" s="45" t="n">
        <f aca="false">IFERROR(INDEX(medicine_master!$I$2:$I$26,MATCH($C1585,medicine_master!$A$2:$A$26,0)),0)</f>
        <v>80</v>
      </c>
      <c r="M1585" s="45" t="n">
        <f aca="false">IFERROR(INDEX(medicine_master!$G$2:$G$26,MATCH($C1585,medicine_master!$A$2:$A$26,0)),0)</f>
        <v>58</v>
      </c>
      <c r="N1585" s="45" t="n">
        <f aca="false">IF(D1585="Sale",E1585*L1585,0)</f>
        <v>1600</v>
      </c>
      <c r="O1585" s="45" t="n">
        <f aca="false">IF(D1585="Sale",E1585*M1585,0)</f>
        <v>1160</v>
      </c>
      <c r="P1585" s="45" t="n">
        <f aca="false">N1585-O1585</f>
        <v>440</v>
      </c>
      <c r="Q1585" s="45" t="n">
        <f aca="false">IF(D1585="Purchase",E1585*M1585,0)</f>
        <v>0</v>
      </c>
    </row>
    <row r="1586" customFormat="false" ht="15" hidden="false" customHeight="false" outlineLevel="0" collapsed="false">
      <c r="A1586" s="39" t="s">
        <v>1910</v>
      </c>
      <c r="B1586" s="44" t="n">
        <v>46109</v>
      </c>
      <c r="C1586" s="39" t="s">
        <v>326</v>
      </c>
      <c r="D1586" s="39" t="s">
        <v>138</v>
      </c>
      <c r="E1586" s="39" t="n">
        <v>30</v>
      </c>
      <c r="F1586" s="39" t="str">
        <f aca="false">IF(COUNTIF(medicine_master!$A$2:$A$26,C1586)&gt;0,"Valid","Invalid")</f>
        <v>Valid</v>
      </c>
      <c r="G1586" s="39" t="str">
        <f aca="false">IFERROR(INDEX(medicine_master!$B$2:$B$26,MATCH($C1586,medicine_master!$A$2:$A$26,0)),"Not found")</f>
        <v>Omeprazole 20mg</v>
      </c>
      <c r="H1586" s="39" t="str">
        <f aca="false">IFERROR(INDEX(medicine_master!$C$2:$C$26,MATCH($C1586,medicine_master!$A$2:$A$26,0)),"Not found")</f>
        <v>Gastric</v>
      </c>
      <c r="I1586" s="39" t="n">
        <f aca="false">YEAR(B1586)</f>
        <v>2026</v>
      </c>
      <c r="J1586" s="39" t="n">
        <f aca="false">MONTH(B1586)</f>
        <v>3</v>
      </c>
      <c r="K1586" s="39" t="str">
        <f aca="false">TEXT(B1586,"mmm")</f>
        <v>Mar</v>
      </c>
      <c r="L1586" s="45" t="n">
        <f aca="false">IFERROR(INDEX(medicine_master!$I$2:$I$26,MATCH($C1586,medicine_master!$A$2:$A$26,0)),0)</f>
        <v>26</v>
      </c>
      <c r="M1586" s="45" t="n">
        <f aca="false">IFERROR(INDEX(medicine_master!$G$2:$G$26,MATCH($C1586,medicine_master!$A$2:$A$26,0)),0)</f>
        <v>18</v>
      </c>
      <c r="N1586" s="45" t="n">
        <f aca="false">IF(D1586="Sale",E1586*L1586,0)</f>
        <v>0</v>
      </c>
      <c r="O1586" s="45" t="n">
        <f aca="false">IF(D1586="Sale",E1586*M1586,0)</f>
        <v>0</v>
      </c>
      <c r="P1586" s="45" t="n">
        <f aca="false">N1586-O1586</f>
        <v>0</v>
      </c>
      <c r="Q1586" s="45" t="n">
        <f aca="false">IF(D1586="Purchase",E1586*M1586,0)</f>
        <v>540</v>
      </c>
    </row>
    <row r="1587" customFormat="false" ht="15" hidden="false" customHeight="false" outlineLevel="0" collapsed="false">
      <c r="A1587" s="39" t="s">
        <v>1911</v>
      </c>
      <c r="B1587" s="44" t="n">
        <v>46233</v>
      </c>
      <c r="C1587" s="39" t="s">
        <v>147</v>
      </c>
      <c r="D1587" s="39" t="s">
        <v>138</v>
      </c>
      <c r="E1587" s="39" t="n">
        <v>10</v>
      </c>
      <c r="F1587" s="39" t="str">
        <f aca="false">IF(COUNTIF(medicine_master!$A$2:$A$26,C1587)&gt;0,"Valid","Invalid")</f>
        <v>Valid</v>
      </c>
      <c r="G1587" s="39" t="str">
        <f aca="false">IFERROR(INDEX(medicine_master!$B$2:$B$26,MATCH($C1587,medicine_master!$A$2:$A$26,0)),"Not found")</f>
        <v>Insulin Injection</v>
      </c>
      <c r="H1587" s="39" t="str">
        <f aca="false">IFERROR(INDEX(medicine_master!$C$2:$C$26,MATCH($C1587,medicine_master!$A$2:$A$26,0)),"Not found")</f>
        <v>Diabetes</v>
      </c>
      <c r="I1587" s="39" t="n">
        <f aca="false">YEAR(B1587)</f>
        <v>2026</v>
      </c>
      <c r="J1587" s="39" t="n">
        <f aca="false">MONTH(B1587)</f>
        <v>7</v>
      </c>
      <c r="K1587" s="39" t="str">
        <f aca="false">TEXT(B1587,"mmm")</f>
        <v>Jul</v>
      </c>
      <c r="L1587" s="45" t="n">
        <f aca="false">IFERROR(INDEX(medicine_master!$I$2:$I$26,MATCH($C1587,medicine_master!$A$2:$A$26,0)),0)</f>
        <v>225</v>
      </c>
      <c r="M1587" s="45" t="n">
        <f aca="false">IFERROR(INDEX(medicine_master!$G$2:$G$26,MATCH($C1587,medicine_master!$A$2:$A$26,0)),0)</f>
        <v>165</v>
      </c>
      <c r="N1587" s="45" t="n">
        <f aca="false">IF(D1587="Sale",E1587*L1587,0)</f>
        <v>0</v>
      </c>
      <c r="O1587" s="45" t="n">
        <f aca="false">IF(D1587="Sale",E1587*M1587,0)</f>
        <v>0</v>
      </c>
      <c r="P1587" s="45" t="n">
        <f aca="false">N1587-O1587</f>
        <v>0</v>
      </c>
      <c r="Q1587" s="45" t="n">
        <f aca="false">IF(D1587="Purchase",E1587*M1587,0)</f>
        <v>1650</v>
      </c>
    </row>
    <row r="1588" customFormat="false" ht="15" hidden="false" customHeight="false" outlineLevel="0" collapsed="false">
      <c r="A1588" s="39" t="s">
        <v>1912</v>
      </c>
      <c r="B1588" s="44" t="n">
        <v>46064</v>
      </c>
      <c r="C1588" s="39" t="s">
        <v>146</v>
      </c>
      <c r="D1588" s="39" t="s">
        <v>137</v>
      </c>
      <c r="E1588" s="39" t="n">
        <v>5</v>
      </c>
      <c r="F1588" s="39" t="str">
        <f aca="false">IF(COUNTIF(medicine_master!$A$2:$A$26,C1588)&gt;0,"Valid","Invalid")</f>
        <v>Valid</v>
      </c>
      <c r="G1588" s="39" t="str">
        <f aca="false">IFERROR(INDEX(medicine_master!$B$2:$B$26,MATCH($C1588,medicine_master!$A$2:$A$26,0)),"Not found")</f>
        <v>Diclofenac Gel</v>
      </c>
      <c r="H1588" s="39" t="str">
        <f aca="false">IFERROR(INDEX(medicine_master!$C$2:$C$26,MATCH($C1588,medicine_master!$A$2:$A$26,0)),"Not found")</f>
        <v>Pain Relief</v>
      </c>
      <c r="I1588" s="39" t="n">
        <f aca="false">YEAR(B1588)</f>
        <v>2026</v>
      </c>
      <c r="J1588" s="39" t="n">
        <f aca="false">MONTH(B1588)</f>
        <v>2</v>
      </c>
      <c r="K1588" s="39" t="str">
        <f aca="false">TEXT(B1588,"mmm")</f>
        <v>Feb</v>
      </c>
      <c r="L1588" s="45" t="n">
        <f aca="false">IFERROR(INDEX(medicine_master!$I$2:$I$26,MATCH($C1588,medicine_master!$A$2:$A$26,0)),0)</f>
        <v>55</v>
      </c>
      <c r="M1588" s="45" t="n">
        <f aca="false">IFERROR(INDEX(medicine_master!$G$2:$G$26,MATCH($C1588,medicine_master!$A$2:$A$26,0)),0)</f>
        <v>38</v>
      </c>
      <c r="N1588" s="45" t="n">
        <f aca="false">IF(D1588="Sale",E1588*L1588,0)</f>
        <v>275</v>
      </c>
      <c r="O1588" s="45" t="n">
        <f aca="false">IF(D1588="Sale",E1588*M1588,0)</f>
        <v>190</v>
      </c>
      <c r="P1588" s="45" t="n">
        <f aca="false">N1588-O1588</f>
        <v>85</v>
      </c>
      <c r="Q1588" s="45" t="n">
        <f aca="false">IF(D1588="Purchase",E1588*M1588,0)</f>
        <v>0</v>
      </c>
    </row>
    <row r="1589" customFormat="false" ht="15" hidden="false" customHeight="false" outlineLevel="0" collapsed="false">
      <c r="A1589" s="39" t="s">
        <v>1913</v>
      </c>
      <c r="B1589" s="44" t="n">
        <v>46280</v>
      </c>
      <c r="C1589" s="39" t="s">
        <v>149</v>
      </c>
      <c r="D1589" s="39" t="s">
        <v>137</v>
      </c>
      <c r="E1589" s="39" t="n">
        <v>15</v>
      </c>
      <c r="F1589" s="39" t="str">
        <f aca="false">IF(COUNTIF(medicine_master!$A$2:$A$26,C1589)&gt;0,"Valid","Invalid")</f>
        <v>Valid</v>
      </c>
      <c r="G1589" s="39" t="str">
        <f aca="false">IFERROR(INDEX(medicine_master!$B$2:$B$26,MATCH($C1589,medicine_master!$A$2:$A$26,0)),"Not found")</f>
        <v>Azithromycin 500mg</v>
      </c>
      <c r="H1589" s="39" t="str">
        <f aca="false">IFERROR(INDEX(medicine_master!$C$2:$C$26,MATCH($C1589,medicine_master!$A$2:$A$26,0)),"Not found")</f>
        <v>Antibiotic</v>
      </c>
      <c r="I1589" s="39" t="n">
        <f aca="false">YEAR(B1589)</f>
        <v>2026</v>
      </c>
      <c r="J1589" s="39" t="n">
        <f aca="false">MONTH(B1589)</f>
        <v>9</v>
      </c>
      <c r="K1589" s="39" t="str">
        <f aca="false">TEXT(B1589,"mmm")</f>
        <v>Sep</v>
      </c>
      <c r="L1589" s="45" t="n">
        <f aca="false">IFERROR(INDEX(medicine_master!$I$2:$I$26,MATCH($C1589,medicine_master!$A$2:$A$26,0)),0)</f>
        <v>50</v>
      </c>
      <c r="M1589" s="45" t="n">
        <f aca="false">IFERROR(INDEX(medicine_master!$G$2:$G$26,MATCH($C1589,medicine_master!$A$2:$A$26,0)),0)</f>
        <v>35</v>
      </c>
      <c r="N1589" s="45" t="n">
        <f aca="false">IF(D1589="Sale",E1589*L1589,0)</f>
        <v>750</v>
      </c>
      <c r="O1589" s="45" t="n">
        <f aca="false">IF(D1589="Sale",E1589*M1589,0)</f>
        <v>525</v>
      </c>
      <c r="P1589" s="45" t="n">
        <f aca="false">N1589-O1589</f>
        <v>225</v>
      </c>
      <c r="Q1589" s="45" t="n">
        <f aca="false">IF(D1589="Purchase",E1589*M1589,0)</f>
        <v>0</v>
      </c>
    </row>
    <row r="1590" customFormat="false" ht="15" hidden="false" customHeight="false" outlineLevel="0" collapsed="false">
      <c r="A1590" s="39" t="s">
        <v>1914</v>
      </c>
      <c r="B1590" s="44" t="n">
        <v>46268</v>
      </c>
      <c r="C1590" s="39" t="s">
        <v>180</v>
      </c>
      <c r="D1590" s="39" t="s">
        <v>137</v>
      </c>
      <c r="E1590" s="39" t="n">
        <v>20</v>
      </c>
      <c r="F1590" s="39" t="str">
        <f aca="false">IF(COUNTIF(medicine_master!$A$2:$A$26,C1590)&gt;0,"Valid","Invalid")</f>
        <v>Valid</v>
      </c>
      <c r="G1590" s="39" t="str">
        <f aca="false">IFERROR(INDEX(medicine_master!$B$2:$B$26,MATCH($C1590,medicine_master!$A$2:$A$26,0)),"Not found")</f>
        <v>Vitamin C 500mg</v>
      </c>
      <c r="H1590" s="39" t="str">
        <f aca="false">IFERROR(INDEX(medicine_master!$C$2:$C$26,MATCH($C1590,medicine_master!$A$2:$A$26,0)),"Not found")</f>
        <v>Vitamin</v>
      </c>
      <c r="I1590" s="39" t="n">
        <f aca="false">YEAR(B1590)</f>
        <v>2026</v>
      </c>
      <c r="J1590" s="39" t="n">
        <f aca="false">MONTH(B1590)</f>
        <v>9</v>
      </c>
      <c r="K1590" s="39" t="str">
        <f aca="false">TEXT(B1590,"mmm")</f>
        <v>Sep</v>
      </c>
      <c r="L1590" s="45" t="n">
        <f aca="false">IFERROR(INDEX(medicine_master!$I$2:$I$26,MATCH($C1590,medicine_master!$A$2:$A$26,0)),0)</f>
        <v>22</v>
      </c>
      <c r="M1590" s="45" t="n">
        <f aca="false">IFERROR(INDEX(medicine_master!$G$2:$G$26,MATCH($C1590,medicine_master!$A$2:$A$26,0)),0)</f>
        <v>14</v>
      </c>
      <c r="N1590" s="45" t="n">
        <f aca="false">IF(D1590="Sale",E1590*L1590,0)</f>
        <v>440</v>
      </c>
      <c r="O1590" s="45" t="n">
        <f aca="false">IF(D1590="Sale",E1590*M1590,0)</f>
        <v>280</v>
      </c>
      <c r="P1590" s="45" t="n">
        <f aca="false">N1590-O1590</f>
        <v>160</v>
      </c>
      <c r="Q1590" s="45" t="n">
        <f aca="false">IF(D1590="Purchase",E1590*M1590,0)</f>
        <v>0</v>
      </c>
    </row>
    <row r="1591" customFormat="false" ht="15" hidden="false" customHeight="false" outlineLevel="0" collapsed="false">
      <c r="A1591" s="39" t="s">
        <v>1915</v>
      </c>
      <c r="B1591" s="44" t="n">
        <v>46219</v>
      </c>
      <c r="C1591" s="39" t="s">
        <v>144</v>
      </c>
      <c r="D1591" s="39" t="s">
        <v>137</v>
      </c>
      <c r="E1591" s="39" t="n">
        <v>5</v>
      </c>
      <c r="F1591" s="39" t="str">
        <f aca="false">IF(COUNTIF(medicine_master!$A$2:$A$26,C1591)&gt;0,"Valid","Invalid")</f>
        <v>Valid</v>
      </c>
      <c r="G1591" s="39" t="str">
        <f aca="false">IFERROR(INDEX(medicine_master!$B$2:$B$26,MATCH($C1591,medicine_master!$A$2:$A$26,0)),"Not found")</f>
        <v>Glimepiride 2mg</v>
      </c>
      <c r="H1591" s="39" t="str">
        <f aca="false">IFERROR(INDEX(medicine_master!$C$2:$C$26,MATCH($C1591,medicine_master!$A$2:$A$26,0)),"Not found")</f>
        <v>Diabetes</v>
      </c>
      <c r="I1591" s="39" t="n">
        <f aca="false">YEAR(B1591)</f>
        <v>2026</v>
      </c>
      <c r="J1591" s="39" t="n">
        <f aca="false">MONTH(B1591)</f>
        <v>7</v>
      </c>
      <c r="K1591" s="39" t="str">
        <f aca="false">TEXT(B1591,"mmm")</f>
        <v>Jul</v>
      </c>
      <c r="L1591" s="45" t="n">
        <f aca="false">IFERROR(INDEX(medicine_master!$I$2:$I$26,MATCH($C1591,medicine_master!$A$2:$A$26,0)),0)</f>
        <v>52</v>
      </c>
      <c r="M1591" s="45" t="n">
        <f aca="false">IFERROR(INDEX(medicine_master!$G$2:$G$26,MATCH($C1591,medicine_master!$A$2:$A$26,0)),0)</f>
        <v>38</v>
      </c>
      <c r="N1591" s="45" t="n">
        <f aca="false">IF(D1591="Sale",E1591*L1591,0)</f>
        <v>260</v>
      </c>
      <c r="O1591" s="45" t="n">
        <f aca="false">IF(D1591="Sale",E1591*M1591,0)</f>
        <v>190</v>
      </c>
      <c r="P1591" s="45" t="n">
        <f aca="false">N1591-O1591</f>
        <v>70</v>
      </c>
      <c r="Q1591" s="45" t="n">
        <f aca="false">IF(D1591="Purchase",E1591*M1591,0)</f>
        <v>0</v>
      </c>
    </row>
    <row r="1592" customFormat="false" ht="15" hidden="false" customHeight="false" outlineLevel="0" collapsed="false">
      <c r="A1592" s="39" t="s">
        <v>1916</v>
      </c>
      <c r="B1592" s="44" t="n">
        <v>46218</v>
      </c>
      <c r="C1592" s="39" t="s">
        <v>404</v>
      </c>
      <c r="D1592" s="39" t="s">
        <v>138</v>
      </c>
      <c r="E1592" s="39" t="n">
        <v>15</v>
      </c>
      <c r="F1592" s="39" t="str">
        <f aca="false">IF(COUNTIF(medicine_master!$A$2:$A$26,C1592)&gt;0,"Valid","Invalid")</f>
        <v>Valid</v>
      </c>
      <c r="G1592" s="39" t="str">
        <f aca="false">IFERROR(INDEX(medicine_master!$B$2:$B$26,MATCH($C1592,medicine_master!$A$2:$A$26,0)),"Not found")</f>
        <v>ORS Sachet</v>
      </c>
      <c r="H1592" s="39" t="str">
        <f aca="false">IFERROR(INDEX(medicine_master!$C$2:$C$26,MATCH($C1592,medicine_master!$A$2:$A$26,0)),"Not found")</f>
        <v>First Aid</v>
      </c>
      <c r="I1592" s="39" t="n">
        <f aca="false">YEAR(B1592)</f>
        <v>2026</v>
      </c>
      <c r="J1592" s="39" t="n">
        <f aca="false">MONTH(B1592)</f>
        <v>7</v>
      </c>
      <c r="K1592" s="39" t="str">
        <f aca="false">TEXT(B1592,"mmm")</f>
        <v>Jul</v>
      </c>
      <c r="L1592" s="45" t="n">
        <f aca="false">IFERROR(INDEX(medicine_master!$I$2:$I$26,MATCH($C1592,medicine_master!$A$2:$A$26,0)),0)</f>
        <v>10</v>
      </c>
      <c r="M1592" s="45" t="n">
        <f aca="false">IFERROR(INDEX(medicine_master!$G$2:$G$26,MATCH($C1592,medicine_master!$A$2:$A$26,0)),0)</f>
        <v>6</v>
      </c>
      <c r="N1592" s="45" t="n">
        <f aca="false">IF(D1592="Sale",E1592*L1592,0)</f>
        <v>0</v>
      </c>
      <c r="O1592" s="45" t="n">
        <f aca="false">IF(D1592="Sale",E1592*M1592,0)</f>
        <v>0</v>
      </c>
      <c r="P1592" s="45" t="n">
        <f aca="false">N1592-O1592</f>
        <v>0</v>
      </c>
      <c r="Q1592" s="45" t="n">
        <f aca="false">IF(D1592="Purchase",E1592*M1592,0)</f>
        <v>90</v>
      </c>
    </row>
    <row r="1593" customFormat="false" ht="15" hidden="false" customHeight="false" outlineLevel="0" collapsed="false">
      <c r="A1593" s="39" t="s">
        <v>1917</v>
      </c>
      <c r="B1593" s="44" t="n">
        <v>46079</v>
      </c>
      <c r="C1593" s="39" t="s">
        <v>404</v>
      </c>
      <c r="D1593" s="39" t="s">
        <v>137</v>
      </c>
      <c r="E1593" s="39" t="n">
        <v>20</v>
      </c>
      <c r="F1593" s="39" t="str">
        <f aca="false">IF(COUNTIF(medicine_master!$A$2:$A$26,C1593)&gt;0,"Valid","Invalid")</f>
        <v>Valid</v>
      </c>
      <c r="G1593" s="39" t="str">
        <f aca="false">IFERROR(INDEX(medicine_master!$B$2:$B$26,MATCH($C1593,medicine_master!$A$2:$A$26,0)),"Not found")</f>
        <v>ORS Sachet</v>
      </c>
      <c r="H1593" s="39" t="str">
        <f aca="false">IFERROR(INDEX(medicine_master!$C$2:$C$26,MATCH($C1593,medicine_master!$A$2:$A$26,0)),"Not found")</f>
        <v>First Aid</v>
      </c>
      <c r="I1593" s="39" t="n">
        <f aca="false">YEAR(B1593)</f>
        <v>2026</v>
      </c>
      <c r="J1593" s="39" t="n">
        <f aca="false">MONTH(B1593)</f>
        <v>2</v>
      </c>
      <c r="K1593" s="39" t="str">
        <f aca="false">TEXT(B1593,"mmm")</f>
        <v>Feb</v>
      </c>
      <c r="L1593" s="45" t="n">
        <f aca="false">IFERROR(INDEX(medicine_master!$I$2:$I$26,MATCH($C1593,medicine_master!$A$2:$A$26,0)),0)</f>
        <v>10</v>
      </c>
      <c r="M1593" s="45" t="n">
        <f aca="false">IFERROR(INDEX(medicine_master!$G$2:$G$26,MATCH($C1593,medicine_master!$A$2:$A$26,0)),0)</f>
        <v>6</v>
      </c>
      <c r="N1593" s="45" t="n">
        <f aca="false">IF(D1593="Sale",E1593*L1593,0)</f>
        <v>200</v>
      </c>
      <c r="O1593" s="45" t="n">
        <f aca="false">IF(D1593="Sale",E1593*M1593,0)</f>
        <v>120</v>
      </c>
      <c r="P1593" s="45" t="n">
        <f aca="false">N1593-O1593</f>
        <v>80</v>
      </c>
      <c r="Q1593" s="45" t="n">
        <f aca="false">IF(D1593="Purchase",E1593*M1593,0)</f>
        <v>0</v>
      </c>
    </row>
    <row r="1594" customFormat="false" ht="15" hidden="false" customHeight="false" outlineLevel="0" collapsed="false">
      <c r="A1594" s="39" t="s">
        <v>1918</v>
      </c>
      <c r="B1594" s="44" t="n">
        <v>46366</v>
      </c>
      <c r="C1594" s="39" t="s">
        <v>495</v>
      </c>
      <c r="D1594" s="39" t="s">
        <v>138</v>
      </c>
      <c r="E1594" s="39" t="n">
        <v>20</v>
      </c>
      <c r="F1594" s="39" t="str">
        <f aca="false">IF(COUNTIF(medicine_master!$A$2:$A$26,C1594)&gt;0,"Valid","Invalid")</f>
        <v>Valid</v>
      </c>
      <c r="G1594" s="39" t="str">
        <f aca="false">IFERROR(INDEX(medicine_master!$B$2:$B$26,MATCH($C1594,medicine_master!$A$2:$A$26,0)),"Not found")</f>
        <v>Metformin 500mg</v>
      </c>
      <c r="H1594" s="39" t="str">
        <f aca="false">IFERROR(INDEX(medicine_master!$C$2:$C$26,MATCH($C1594,medicine_master!$A$2:$A$26,0)),"Not found")</f>
        <v>Diabetes</v>
      </c>
      <c r="I1594" s="39" t="n">
        <f aca="false">YEAR(B1594)</f>
        <v>2026</v>
      </c>
      <c r="J1594" s="39" t="n">
        <f aca="false">MONTH(B1594)</f>
        <v>12</v>
      </c>
      <c r="K1594" s="39" t="str">
        <f aca="false">TEXT(B1594,"mmm")</f>
        <v>Dec</v>
      </c>
      <c r="L1594" s="45" t="n">
        <f aca="false">IFERROR(INDEX(medicine_master!$I$2:$I$26,MATCH($C1594,medicine_master!$A$2:$A$26,0)),0)</f>
        <v>24</v>
      </c>
      <c r="M1594" s="45" t="n">
        <f aca="false">IFERROR(INDEX(medicine_master!$G$2:$G$26,MATCH($C1594,medicine_master!$A$2:$A$26,0)),0)</f>
        <v>16</v>
      </c>
      <c r="N1594" s="45" t="n">
        <f aca="false">IF(D1594="Sale",E1594*L1594,0)</f>
        <v>0</v>
      </c>
      <c r="O1594" s="45" t="n">
        <f aca="false">IF(D1594="Sale",E1594*M1594,0)</f>
        <v>0</v>
      </c>
      <c r="P1594" s="45" t="n">
        <f aca="false">N1594-O1594</f>
        <v>0</v>
      </c>
      <c r="Q1594" s="45" t="n">
        <f aca="false">IF(D1594="Purchase",E1594*M1594,0)</f>
        <v>320</v>
      </c>
    </row>
    <row r="1595" customFormat="false" ht="15" hidden="false" customHeight="false" outlineLevel="0" collapsed="false">
      <c r="A1595" s="39" t="s">
        <v>1919</v>
      </c>
      <c r="B1595" s="44" t="n">
        <v>46357</v>
      </c>
      <c r="C1595" s="39" t="s">
        <v>326</v>
      </c>
      <c r="D1595" s="39" t="s">
        <v>137</v>
      </c>
      <c r="E1595" s="39" t="n">
        <v>20</v>
      </c>
      <c r="F1595" s="39" t="str">
        <f aca="false">IF(COUNTIF(medicine_master!$A$2:$A$26,C1595)&gt;0,"Valid","Invalid")</f>
        <v>Valid</v>
      </c>
      <c r="G1595" s="39" t="str">
        <f aca="false">IFERROR(INDEX(medicine_master!$B$2:$B$26,MATCH($C1595,medicine_master!$A$2:$A$26,0)),"Not found")</f>
        <v>Omeprazole 20mg</v>
      </c>
      <c r="H1595" s="39" t="str">
        <f aca="false">IFERROR(INDEX(medicine_master!$C$2:$C$26,MATCH($C1595,medicine_master!$A$2:$A$26,0)),"Not found")</f>
        <v>Gastric</v>
      </c>
      <c r="I1595" s="39" t="n">
        <f aca="false">YEAR(B1595)</f>
        <v>2026</v>
      </c>
      <c r="J1595" s="39" t="n">
        <f aca="false">MONTH(B1595)</f>
        <v>12</v>
      </c>
      <c r="K1595" s="39" t="str">
        <f aca="false">TEXT(B1595,"mmm")</f>
        <v>Dec</v>
      </c>
      <c r="L1595" s="45" t="n">
        <f aca="false">IFERROR(INDEX(medicine_master!$I$2:$I$26,MATCH($C1595,medicine_master!$A$2:$A$26,0)),0)</f>
        <v>26</v>
      </c>
      <c r="M1595" s="45" t="n">
        <f aca="false">IFERROR(INDEX(medicine_master!$G$2:$G$26,MATCH($C1595,medicine_master!$A$2:$A$26,0)),0)</f>
        <v>18</v>
      </c>
      <c r="N1595" s="45" t="n">
        <f aca="false">IF(D1595="Sale",E1595*L1595,0)</f>
        <v>520</v>
      </c>
      <c r="O1595" s="45" t="n">
        <f aca="false">IF(D1595="Sale",E1595*M1595,0)</f>
        <v>360</v>
      </c>
      <c r="P1595" s="45" t="n">
        <f aca="false">N1595-O1595</f>
        <v>160</v>
      </c>
      <c r="Q1595" s="45" t="n">
        <f aca="false">IF(D1595="Purchase",E1595*M1595,0)</f>
        <v>0</v>
      </c>
    </row>
    <row r="1596" customFormat="false" ht="15" hidden="false" customHeight="false" outlineLevel="0" collapsed="false">
      <c r="A1596" s="39" t="s">
        <v>1920</v>
      </c>
      <c r="B1596" s="44" t="n">
        <v>46236</v>
      </c>
      <c r="C1596" s="39" t="s">
        <v>404</v>
      </c>
      <c r="D1596" s="39" t="s">
        <v>138</v>
      </c>
      <c r="E1596" s="39" t="n">
        <v>30</v>
      </c>
      <c r="F1596" s="39" t="str">
        <f aca="false">IF(COUNTIF(medicine_master!$A$2:$A$26,C1596)&gt;0,"Valid","Invalid")</f>
        <v>Valid</v>
      </c>
      <c r="G1596" s="39" t="str">
        <f aca="false">IFERROR(INDEX(medicine_master!$B$2:$B$26,MATCH($C1596,medicine_master!$A$2:$A$26,0)),"Not found")</f>
        <v>ORS Sachet</v>
      </c>
      <c r="H1596" s="39" t="str">
        <f aca="false">IFERROR(INDEX(medicine_master!$C$2:$C$26,MATCH($C1596,medicine_master!$A$2:$A$26,0)),"Not found")</f>
        <v>First Aid</v>
      </c>
      <c r="I1596" s="39" t="n">
        <f aca="false">YEAR(B1596)</f>
        <v>2026</v>
      </c>
      <c r="J1596" s="39" t="n">
        <f aca="false">MONTH(B1596)</f>
        <v>8</v>
      </c>
      <c r="K1596" s="39" t="str">
        <f aca="false">TEXT(B1596,"mmm")</f>
        <v>Aug</v>
      </c>
      <c r="L1596" s="45" t="n">
        <f aca="false">IFERROR(INDEX(medicine_master!$I$2:$I$26,MATCH($C1596,medicine_master!$A$2:$A$26,0)),0)</f>
        <v>10</v>
      </c>
      <c r="M1596" s="45" t="n">
        <f aca="false">IFERROR(INDEX(medicine_master!$G$2:$G$26,MATCH($C1596,medicine_master!$A$2:$A$26,0)),0)</f>
        <v>6</v>
      </c>
      <c r="N1596" s="45" t="n">
        <f aca="false">IF(D1596="Sale",E1596*L1596,0)</f>
        <v>0</v>
      </c>
      <c r="O1596" s="45" t="n">
        <f aca="false">IF(D1596="Sale",E1596*M1596,0)</f>
        <v>0</v>
      </c>
      <c r="P1596" s="45" t="n">
        <f aca="false">N1596-O1596</f>
        <v>0</v>
      </c>
      <c r="Q1596" s="45" t="n">
        <f aca="false">IF(D1596="Purchase",E1596*M1596,0)</f>
        <v>180</v>
      </c>
    </row>
    <row r="1597" customFormat="false" ht="15" hidden="false" customHeight="false" outlineLevel="0" collapsed="false">
      <c r="A1597" s="39" t="s">
        <v>1921</v>
      </c>
      <c r="B1597" s="44" t="n">
        <v>46235</v>
      </c>
      <c r="C1597" s="39" t="s">
        <v>145</v>
      </c>
      <c r="D1597" s="39" t="s">
        <v>137</v>
      </c>
      <c r="E1597" s="39" t="n">
        <v>15</v>
      </c>
      <c r="F1597" s="39" t="str">
        <f aca="false">IF(COUNTIF(medicine_master!$A$2:$A$26,C1597)&gt;0,"Valid","Invalid")</f>
        <v>Valid</v>
      </c>
      <c r="G1597" s="39" t="str">
        <f aca="false">IFERROR(INDEX(medicine_master!$B$2:$B$26,MATCH($C1597,medicine_master!$A$2:$A$26,0)),"Not found")</f>
        <v>Clotrimazole Cream</v>
      </c>
      <c r="H1597" s="39" t="str">
        <f aca="false">IFERROR(INDEX(medicine_master!$C$2:$C$26,MATCH($C1597,medicine_master!$A$2:$A$26,0)),"Not found")</f>
        <v>Dermatology</v>
      </c>
      <c r="I1597" s="39" t="n">
        <f aca="false">YEAR(B1597)</f>
        <v>2026</v>
      </c>
      <c r="J1597" s="39" t="n">
        <f aca="false">MONTH(B1597)</f>
        <v>8</v>
      </c>
      <c r="K1597" s="39" t="str">
        <f aca="false">TEXT(B1597,"mmm")</f>
        <v>Aug</v>
      </c>
      <c r="L1597" s="45" t="n">
        <f aca="false">IFERROR(INDEX(medicine_master!$I$2:$I$26,MATCH($C1597,medicine_master!$A$2:$A$26,0)),0)</f>
        <v>48</v>
      </c>
      <c r="M1597" s="45" t="n">
        <f aca="false">IFERROR(INDEX(medicine_master!$G$2:$G$26,MATCH($C1597,medicine_master!$A$2:$A$26,0)),0)</f>
        <v>32</v>
      </c>
      <c r="N1597" s="45" t="n">
        <f aca="false">IF(D1597="Sale",E1597*L1597,0)</f>
        <v>720</v>
      </c>
      <c r="O1597" s="45" t="n">
        <f aca="false">IF(D1597="Sale",E1597*M1597,0)</f>
        <v>480</v>
      </c>
      <c r="P1597" s="45" t="n">
        <f aca="false">N1597-O1597</f>
        <v>240</v>
      </c>
      <c r="Q1597" s="45" t="n">
        <f aca="false">IF(D1597="Purchase",E1597*M1597,0)</f>
        <v>0</v>
      </c>
    </row>
    <row r="1598" customFormat="false" ht="15" hidden="false" customHeight="false" outlineLevel="0" collapsed="false">
      <c r="A1598" s="39" t="s">
        <v>1922</v>
      </c>
      <c r="B1598" s="44" t="n">
        <v>46337</v>
      </c>
      <c r="C1598" s="39" t="s">
        <v>180</v>
      </c>
      <c r="D1598" s="39" t="s">
        <v>137</v>
      </c>
      <c r="E1598" s="39" t="n">
        <v>20</v>
      </c>
      <c r="F1598" s="39" t="str">
        <f aca="false">IF(COUNTIF(medicine_master!$A$2:$A$26,C1598)&gt;0,"Valid","Invalid")</f>
        <v>Valid</v>
      </c>
      <c r="G1598" s="39" t="str">
        <f aca="false">IFERROR(INDEX(medicine_master!$B$2:$B$26,MATCH($C1598,medicine_master!$A$2:$A$26,0)),"Not found")</f>
        <v>Vitamin C 500mg</v>
      </c>
      <c r="H1598" s="39" t="str">
        <f aca="false">IFERROR(INDEX(medicine_master!$C$2:$C$26,MATCH($C1598,medicine_master!$A$2:$A$26,0)),"Not found")</f>
        <v>Vitamin</v>
      </c>
      <c r="I1598" s="39" t="n">
        <f aca="false">YEAR(B1598)</f>
        <v>2026</v>
      </c>
      <c r="J1598" s="39" t="n">
        <f aca="false">MONTH(B1598)</f>
        <v>11</v>
      </c>
      <c r="K1598" s="39" t="str">
        <f aca="false">TEXT(B1598,"mmm")</f>
        <v>Nov</v>
      </c>
      <c r="L1598" s="45" t="n">
        <f aca="false">IFERROR(INDEX(medicine_master!$I$2:$I$26,MATCH($C1598,medicine_master!$A$2:$A$26,0)),0)</f>
        <v>22</v>
      </c>
      <c r="M1598" s="45" t="n">
        <f aca="false">IFERROR(INDEX(medicine_master!$G$2:$G$26,MATCH($C1598,medicine_master!$A$2:$A$26,0)),0)</f>
        <v>14</v>
      </c>
      <c r="N1598" s="45" t="n">
        <f aca="false">IF(D1598="Sale",E1598*L1598,0)</f>
        <v>440</v>
      </c>
      <c r="O1598" s="45" t="n">
        <f aca="false">IF(D1598="Sale",E1598*M1598,0)</f>
        <v>280</v>
      </c>
      <c r="P1598" s="45" t="n">
        <f aca="false">N1598-O1598</f>
        <v>160</v>
      </c>
      <c r="Q1598" s="45" t="n">
        <f aca="false">IF(D1598="Purchase",E1598*M1598,0)</f>
        <v>0</v>
      </c>
    </row>
    <row r="1599" customFormat="false" ht="15" hidden="false" customHeight="false" outlineLevel="0" collapsed="false">
      <c r="A1599" s="39" t="s">
        <v>1923</v>
      </c>
      <c r="B1599" s="44" t="n">
        <v>46049</v>
      </c>
      <c r="C1599" s="39" t="s">
        <v>160</v>
      </c>
      <c r="D1599" s="39" t="s">
        <v>137</v>
      </c>
      <c r="E1599" s="39" t="n">
        <v>40</v>
      </c>
      <c r="F1599" s="39" t="str">
        <f aca="false">IF(COUNTIF(medicine_master!$A$2:$A$26,C1599)&gt;0,"Valid","Invalid")</f>
        <v>Valid</v>
      </c>
      <c r="G1599" s="39" t="str">
        <f aca="false">IFERROR(INDEX(medicine_master!$B$2:$B$26,MATCH($C1599,medicine_master!$A$2:$A$26,0)),"Not found")</f>
        <v>Calamine Lotion</v>
      </c>
      <c r="H1599" s="39" t="str">
        <f aca="false">IFERROR(INDEX(medicine_master!$C$2:$C$26,MATCH($C1599,medicine_master!$A$2:$A$26,0)),"Not found")</f>
        <v>Dermatology</v>
      </c>
      <c r="I1599" s="39" t="n">
        <f aca="false">YEAR(B1599)</f>
        <v>2026</v>
      </c>
      <c r="J1599" s="39" t="n">
        <f aca="false">MONTH(B1599)</f>
        <v>1</v>
      </c>
      <c r="K1599" s="39" t="str">
        <f aca="false">TEXT(B1599,"mmm")</f>
        <v>Jan</v>
      </c>
      <c r="L1599" s="45" t="n">
        <f aca="false">IFERROR(INDEX(medicine_master!$I$2:$I$26,MATCH($C1599,medicine_master!$A$2:$A$26,0)),0)</f>
        <v>60</v>
      </c>
      <c r="M1599" s="45" t="n">
        <f aca="false">IFERROR(INDEX(medicine_master!$G$2:$G$26,MATCH($C1599,medicine_master!$A$2:$A$26,0)),0)</f>
        <v>42</v>
      </c>
      <c r="N1599" s="45" t="n">
        <f aca="false">IF(D1599="Sale",E1599*L1599,0)</f>
        <v>2400</v>
      </c>
      <c r="O1599" s="45" t="n">
        <f aca="false">IF(D1599="Sale",E1599*M1599,0)</f>
        <v>1680</v>
      </c>
      <c r="P1599" s="45" t="n">
        <f aca="false">N1599-O1599</f>
        <v>720</v>
      </c>
      <c r="Q1599" s="45" t="n">
        <f aca="false">IF(D1599="Purchase",E1599*M1599,0)</f>
        <v>0</v>
      </c>
    </row>
    <row r="1600" customFormat="false" ht="15" hidden="false" customHeight="false" outlineLevel="0" collapsed="false">
      <c r="A1600" s="39" t="s">
        <v>1924</v>
      </c>
      <c r="B1600" s="44" t="n">
        <v>46104</v>
      </c>
      <c r="C1600" s="39" t="s">
        <v>144</v>
      </c>
      <c r="D1600" s="39" t="s">
        <v>137</v>
      </c>
      <c r="E1600" s="39" t="n">
        <v>40</v>
      </c>
      <c r="F1600" s="39" t="str">
        <f aca="false">IF(COUNTIF(medicine_master!$A$2:$A$26,C1600)&gt;0,"Valid","Invalid")</f>
        <v>Valid</v>
      </c>
      <c r="G1600" s="39" t="str">
        <f aca="false">IFERROR(INDEX(medicine_master!$B$2:$B$26,MATCH($C1600,medicine_master!$A$2:$A$26,0)),"Not found")</f>
        <v>Glimepiride 2mg</v>
      </c>
      <c r="H1600" s="39" t="str">
        <f aca="false">IFERROR(INDEX(medicine_master!$C$2:$C$26,MATCH($C1600,medicine_master!$A$2:$A$26,0)),"Not found")</f>
        <v>Diabetes</v>
      </c>
      <c r="I1600" s="39" t="n">
        <f aca="false">YEAR(B1600)</f>
        <v>2026</v>
      </c>
      <c r="J1600" s="39" t="n">
        <f aca="false">MONTH(B1600)</f>
        <v>3</v>
      </c>
      <c r="K1600" s="39" t="str">
        <f aca="false">TEXT(B1600,"mmm")</f>
        <v>Mar</v>
      </c>
      <c r="L1600" s="45" t="n">
        <f aca="false">IFERROR(INDEX(medicine_master!$I$2:$I$26,MATCH($C1600,medicine_master!$A$2:$A$26,0)),0)</f>
        <v>52</v>
      </c>
      <c r="M1600" s="45" t="n">
        <f aca="false">IFERROR(INDEX(medicine_master!$G$2:$G$26,MATCH($C1600,medicine_master!$A$2:$A$26,0)),0)</f>
        <v>38</v>
      </c>
      <c r="N1600" s="45" t="n">
        <f aca="false">IF(D1600="Sale",E1600*L1600,0)</f>
        <v>2080</v>
      </c>
      <c r="O1600" s="45" t="n">
        <f aca="false">IF(D1600="Sale",E1600*M1600,0)</f>
        <v>1520</v>
      </c>
      <c r="P1600" s="45" t="n">
        <f aca="false">N1600-O1600</f>
        <v>560</v>
      </c>
      <c r="Q1600" s="45" t="n">
        <f aca="false">IF(D1600="Purchase",E1600*M1600,0)</f>
        <v>0</v>
      </c>
    </row>
    <row r="1601" customFormat="false" ht="15" hidden="false" customHeight="false" outlineLevel="0" collapsed="false">
      <c r="A1601" s="39" t="s">
        <v>1925</v>
      </c>
      <c r="B1601" s="44" t="n">
        <v>46184</v>
      </c>
      <c r="C1601" s="39" t="s">
        <v>180</v>
      </c>
      <c r="D1601" s="39" t="s">
        <v>137</v>
      </c>
      <c r="E1601" s="39" t="n">
        <v>10</v>
      </c>
      <c r="F1601" s="39" t="str">
        <f aca="false">IF(COUNTIF(medicine_master!$A$2:$A$26,C1601)&gt;0,"Valid","Invalid")</f>
        <v>Valid</v>
      </c>
      <c r="G1601" s="39" t="str">
        <f aca="false">IFERROR(INDEX(medicine_master!$B$2:$B$26,MATCH($C1601,medicine_master!$A$2:$A$26,0)),"Not found")</f>
        <v>Vitamin C 500mg</v>
      </c>
      <c r="H1601" s="39" t="str">
        <f aca="false">IFERROR(INDEX(medicine_master!$C$2:$C$26,MATCH($C1601,medicine_master!$A$2:$A$26,0)),"Not found")</f>
        <v>Vitamin</v>
      </c>
      <c r="I1601" s="39" t="n">
        <f aca="false">YEAR(B1601)</f>
        <v>2026</v>
      </c>
      <c r="J1601" s="39" t="n">
        <f aca="false">MONTH(B1601)</f>
        <v>6</v>
      </c>
      <c r="K1601" s="39" t="str">
        <f aca="false">TEXT(B1601,"mmm")</f>
        <v>Jun</v>
      </c>
      <c r="L1601" s="45" t="n">
        <f aca="false">IFERROR(INDEX(medicine_master!$I$2:$I$26,MATCH($C1601,medicine_master!$A$2:$A$26,0)),0)</f>
        <v>22</v>
      </c>
      <c r="M1601" s="45" t="n">
        <f aca="false">IFERROR(INDEX(medicine_master!$G$2:$G$26,MATCH($C1601,medicine_master!$A$2:$A$26,0)),0)</f>
        <v>14</v>
      </c>
      <c r="N1601" s="45" t="n">
        <f aca="false">IF(D1601="Sale",E1601*L1601,0)</f>
        <v>220</v>
      </c>
      <c r="O1601" s="45" t="n">
        <f aca="false">IF(D1601="Sale",E1601*M1601,0)</f>
        <v>140</v>
      </c>
      <c r="P1601" s="45" t="n">
        <f aca="false">N1601-O1601</f>
        <v>80</v>
      </c>
      <c r="Q1601" s="45" t="n">
        <f aca="false">IF(D1601="Purchase",E1601*M1601,0)</f>
        <v>0</v>
      </c>
    </row>
    <row r="1602" customFormat="false" ht="15" hidden="false" customHeight="false" outlineLevel="0" collapsed="false">
      <c r="A1602" s="39" t="s">
        <v>1926</v>
      </c>
      <c r="B1602" s="44" t="n">
        <v>46223</v>
      </c>
      <c r="C1602" s="39" t="s">
        <v>153</v>
      </c>
      <c r="D1602" s="39" t="s">
        <v>138</v>
      </c>
      <c r="E1602" s="39" t="n">
        <v>25</v>
      </c>
      <c r="F1602" s="39" t="str">
        <f aca="false">IF(COUNTIF(medicine_master!$A$2:$A$26,C1602)&gt;0,"Valid","Invalid")</f>
        <v>Valid</v>
      </c>
      <c r="G1602" s="39" t="str">
        <f aca="false">IFERROR(INDEX(medicine_master!$B$2:$B$26,MATCH($C1602,medicine_master!$A$2:$A$26,0)),"Not found")</f>
        <v>Atorvastatin 10mg</v>
      </c>
      <c r="H1602" s="39" t="str">
        <f aca="false">IFERROR(INDEX(medicine_master!$C$2:$C$26,MATCH($C1602,medicine_master!$A$2:$A$26,0)),"Not found")</f>
        <v>Cardiac</v>
      </c>
      <c r="I1602" s="39" t="n">
        <f aca="false">YEAR(B1602)</f>
        <v>2026</v>
      </c>
      <c r="J1602" s="39" t="n">
        <f aca="false">MONTH(B1602)</f>
        <v>7</v>
      </c>
      <c r="K1602" s="39" t="str">
        <f aca="false">TEXT(B1602,"mmm")</f>
        <v>Jul</v>
      </c>
      <c r="L1602" s="45" t="n">
        <f aca="false">IFERROR(INDEX(medicine_master!$I$2:$I$26,MATCH($C1602,medicine_master!$A$2:$A$26,0)),0)</f>
        <v>28</v>
      </c>
      <c r="M1602" s="45" t="n">
        <f aca="false">IFERROR(INDEX(medicine_master!$G$2:$G$26,MATCH($C1602,medicine_master!$A$2:$A$26,0)),0)</f>
        <v>19</v>
      </c>
      <c r="N1602" s="45" t="n">
        <f aca="false">IF(D1602="Sale",E1602*L1602,0)</f>
        <v>0</v>
      </c>
      <c r="O1602" s="45" t="n">
        <f aca="false">IF(D1602="Sale",E1602*M1602,0)</f>
        <v>0</v>
      </c>
      <c r="P1602" s="45" t="n">
        <f aca="false">N1602-O1602</f>
        <v>0</v>
      </c>
      <c r="Q1602" s="45" t="n">
        <f aca="false">IF(D1602="Purchase",E1602*M1602,0)</f>
        <v>475</v>
      </c>
    </row>
    <row r="1603" customFormat="false" ht="15" hidden="false" customHeight="false" outlineLevel="0" collapsed="false">
      <c r="A1603" s="39" t="s">
        <v>1927</v>
      </c>
      <c r="B1603" s="44" t="n">
        <v>46104</v>
      </c>
      <c r="C1603" s="39" t="s">
        <v>152</v>
      </c>
      <c r="D1603" s="39" t="s">
        <v>137</v>
      </c>
      <c r="E1603" s="39" t="n">
        <v>25</v>
      </c>
      <c r="F1603" s="39" t="str">
        <f aca="false">IF(COUNTIF(medicine_master!$A$2:$A$26,C1603)&gt;0,"Valid","Invalid")</f>
        <v>Valid</v>
      </c>
      <c r="G1603" s="39" t="str">
        <f aca="false">IFERROR(INDEX(medicine_master!$B$2:$B$26,MATCH($C1603,medicine_master!$A$2:$A$26,0)),"Not found")</f>
        <v>Amoxicillin 500mg</v>
      </c>
      <c r="H1603" s="39" t="str">
        <f aca="false">IFERROR(INDEX(medicine_master!$C$2:$C$26,MATCH($C1603,medicine_master!$A$2:$A$26,0)),"Not found")</f>
        <v>Antibiotic</v>
      </c>
      <c r="I1603" s="39" t="n">
        <f aca="false">YEAR(B1603)</f>
        <v>2026</v>
      </c>
      <c r="J1603" s="39" t="n">
        <f aca="false">MONTH(B1603)</f>
        <v>3</v>
      </c>
      <c r="K1603" s="39" t="str">
        <f aca="false">TEXT(B1603,"mmm")</f>
        <v>Mar</v>
      </c>
      <c r="L1603" s="45" t="n">
        <f aca="false">IFERROR(INDEX(medicine_master!$I$2:$I$26,MATCH($C1603,medicine_master!$A$2:$A$26,0)),0)</f>
        <v>40</v>
      </c>
      <c r="M1603" s="45" t="n">
        <f aca="false">IFERROR(INDEX(medicine_master!$G$2:$G$26,MATCH($C1603,medicine_master!$A$2:$A$26,0)),0)</f>
        <v>28</v>
      </c>
      <c r="N1603" s="45" t="n">
        <f aca="false">IF(D1603="Sale",E1603*L1603,0)</f>
        <v>1000</v>
      </c>
      <c r="O1603" s="45" t="n">
        <f aca="false">IF(D1603="Sale",E1603*M1603,0)</f>
        <v>700</v>
      </c>
      <c r="P1603" s="45" t="n">
        <f aca="false">N1603-O1603</f>
        <v>300</v>
      </c>
      <c r="Q1603" s="45" t="n">
        <f aca="false">IF(D1603="Purchase",E1603*M1603,0)</f>
        <v>0</v>
      </c>
    </row>
    <row r="1604" customFormat="false" ht="15" hidden="false" customHeight="false" outlineLevel="0" collapsed="false">
      <c r="A1604" s="39" t="s">
        <v>1928</v>
      </c>
      <c r="B1604" s="44" t="n">
        <v>46189</v>
      </c>
      <c r="C1604" s="39" t="s">
        <v>146</v>
      </c>
      <c r="D1604" s="39" t="s">
        <v>138</v>
      </c>
      <c r="E1604" s="39" t="n">
        <v>40</v>
      </c>
      <c r="F1604" s="39" t="str">
        <f aca="false">IF(COUNTIF(medicine_master!$A$2:$A$26,C1604)&gt;0,"Valid","Invalid")</f>
        <v>Valid</v>
      </c>
      <c r="G1604" s="39" t="str">
        <f aca="false">IFERROR(INDEX(medicine_master!$B$2:$B$26,MATCH($C1604,medicine_master!$A$2:$A$26,0)),"Not found")</f>
        <v>Diclofenac Gel</v>
      </c>
      <c r="H1604" s="39" t="str">
        <f aca="false">IFERROR(INDEX(medicine_master!$C$2:$C$26,MATCH($C1604,medicine_master!$A$2:$A$26,0)),"Not found")</f>
        <v>Pain Relief</v>
      </c>
      <c r="I1604" s="39" t="n">
        <f aca="false">YEAR(B1604)</f>
        <v>2026</v>
      </c>
      <c r="J1604" s="39" t="n">
        <f aca="false">MONTH(B1604)</f>
        <v>6</v>
      </c>
      <c r="K1604" s="39" t="str">
        <f aca="false">TEXT(B1604,"mmm")</f>
        <v>Jun</v>
      </c>
      <c r="L1604" s="45" t="n">
        <f aca="false">IFERROR(INDEX(medicine_master!$I$2:$I$26,MATCH($C1604,medicine_master!$A$2:$A$26,0)),0)</f>
        <v>55</v>
      </c>
      <c r="M1604" s="45" t="n">
        <f aca="false">IFERROR(INDEX(medicine_master!$G$2:$G$26,MATCH($C1604,medicine_master!$A$2:$A$26,0)),0)</f>
        <v>38</v>
      </c>
      <c r="N1604" s="45" t="n">
        <f aca="false">IF(D1604="Sale",E1604*L1604,0)</f>
        <v>0</v>
      </c>
      <c r="O1604" s="45" t="n">
        <f aca="false">IF(D1604="Sale",E1604*M1604,0)</f>
        <v>0</v>
      </c>
      <c r="P1604" s="45" t="n">
        <f aca="false">N1604-O1604</f>
        <v>0</v>
      </c>
      <c r="Q1604" s="45" t="n">
        <f aca="false">IF(D1604="Purchase",E1604*M1604,0)</f>
        <v>1520</v>
      </c>
    </row>
    <row r="1605" customFormat="false" ht="15" hidden="false" customHeight="false" outlineLevel="0" collapsed="false">
      <c r="A1605" s="39" t="s">
        <v>1929</v>
      </c>
      <c r="B1605" s="44" t="n">
        <v>46216</v>
      </c>
      <c r="C1605" s="39" t="s">
        <v>495</v>
      </c>
      <c r="D1605" s="39" t="s">
        <v>138</v>
      </c>
      <c r="E1605" s="39" t="n">
        <v>15</v>
      </c>
      <c r="F1605" s="39" t="str">
        <f aca="false">IF(COUNTIF(medicine_master!$A$2:$A$26,C1605)&gt;0,"Valid","Invalid")</f>
        <v>Valid</v>
      </c>
      <c r="G1605" s="39" t="str">
        <f aca="false">IFERROR(INDEX(medicine_master!$B$2:$B$26,MATCH($C1605,medicine_master!$A$2:$A$26,0)),"Not found")</f>
        <v>Metformin 500mg</v>
      </c>
      <c r="H1605" s="39" t="str">
        <f aca="false">IFERROR(INDEX(medicine_master!$C$2:$C$26,MATCH($C1605,medicine_master!$A$2:$A$26,0)),"Not found")</f>
        <v>Diabetes</v>
      </c>
      <c r="I1605" s="39" t="n">
        <f aca="false">YEAR(B1605)</f>
        <v>2026</v>
      </c>
      <c r="J1605" s="39" t="n">
        <f aca="false">MONTH(B1605)</f>
        <v>7</v>
      </c>
      <c r="K1605" s="39" t="str">
        <f aca="false">TEXT(B1605,"mmm")</f>
        <v>Jul</v>
      </c>
      <c r="L1605" s="45" t="n">
        <f aca="false">IFERROR(INDEX(medicine_master!$I$2:$I$26,MATCH($C1605,medicine_master!$A$2:$A$26,0)),0)</f>
        <v>24</v>
      </c>
      <c r="M1605" s="45" t="n">
        <f aca="false">IFERROR(INDEX(medicine_master!$G$2:$G$26,MATCH($C1605,medicine_master!$A$2:$A$26,0)),0)</f>
        <v>16</v>
      </c>
      <c r="N1605" s="45" t="n">
        <f aca="false">IF(D1605="Sale",E1605*L1605,0)</f>
        <v>0</v>
      </c>
      <c r="O1605" s="45" t="n">
        <f aca="false">IF(D1605="Sale",E1605*M1605,0)</f>
        <v>0</v>
      </c>
      <c r="P1605" s="45" t="n">
        <f aca="false">N1605-O1605</f>
        <v>0</v>
      </c>
      <c r="Q1605" s="45" t="n">
        <f aca="false">IF(D1605="Purchase",E1605*M1605,0)</f>
        <v>240</v>
      </c>
    </row>
    <row r="1606" customFormat="false" ht="15" hidden="false" customHeight="false" outlineLevel="0" collapsed="false">
      <c r="A1606" s="39" t="s">
        <v>1930</v>
      </c>
      <c r="B1606" s="44" t="n">
        <v>46326</v>
      </c>
      <c r="C1606" s="39" t="s">
        <v>146</v>
      </c>
      <c r="D1606" s="39" t="s">
        <v>138</v>
      </c>
      <c r="E1606" s="39" t="n">
        <v>10</v>
      </c>
      <c r="F1606" s="39" t="str">
        <f aca="false">IF(COUNTIF(medicine_master!$A$2:$A$26,C1606)&gt;0,"Valid","Invalid")</f>
        <v>Valid</v>
      </c>
      <c r="G1606" s="39" t="str">
        <f aca="false">IFERROR(INDEX(medicine_master!$B$2:$B$26,MATCH($C1606,medicine_master!$A$2:$A$26,0)),"Not found")</f>
        <v>Diclofenac Gel</v>
      </c>
      <c r="H1606" s="39" t="str">
        <f aca="false">IFERROR(INDEX(medicine_master!$C$2:$C$26,MATCH($C1606,medicine_master!$A$2:$A$26,0)),"Not found")</f>
        <v>Pain Relief</v>
      </c>
      <c r="I1606" s="39" t="n">
        <f aca="false">YEAR(B1606)</f>
        <v>2026</v>
      </c>
      <c r="J1606" s="39" t="n">
        <f aca="false">MONTH(B1606)</f>
        <v>10</v>
      </c>
      <c r="K1606" s="39" t="str">
        <f aca="false">TEXT(B1606,"mmm")</f>
        <v>Oct</v>
      </c>
      <c r="L1606" s="45" t="n">
        <f aca="false">IFERROR(INDEX(medicine_master!$I$2:$I$26,MATCH($C1606,medicine_master!$A$2:$A$26,0)),0)</f>
        <v>55</v>
      </c>
      <c r="M1606" s="45" t="n">
        <f aca="false">IFERROR(INDEX(medicine_master!$G$2:$G$26,MATCH($C1606,medicine_master!$A$2:$A$26,0)),0)</f>
        <v>38</v>
      </c>
      <c r="N1606" s="45" t="n">
        <f aca="false">IF(D1606="Sale",E1606*L1606,0)</f>
        <v>0</v>
      </c>
      <c r="O1606" s="45" t="n">
        <f aca="false">IF(D1606="Sale",E1606*M1606,0)</f>
        <v>0</v>
      </c>
      <c r="P1606" s="45" t="n">
        <f aca="false">N1606-O1606</f>
        <v>0</v>
      </c>
      <c r="Q1606" s="45" t="n">
        <f aca="false">IF(D1606="Purchase",E1606*M1606,0)</f>
        <v>380</v>
      </c>
    </row>
    <row r="1607" customFormat="false" ht="15" hidden="false" customHeight="false" outlineLevel="0" collapsed="false">
      <c r="A1607" s="39" t="s">
        <v>1931</v>
      </c>
      <c r="B1607" s="44" t="n">
        <v>46110</v>
      </c>
      <c r="C1607" s="39" t="s">
        <v>178</v>
      </c>
      <c r="D1607" s="39" t="s">
        <v>138</v>
      </c>
      <c r="E1607" s="39" t="n">
        <v>15</v>
      </c>
      <c r="F1607" s="39" t="str">
        <f aca="false">IF(COUNTIF(medicine_master!$A$2:$A$26,C1607)&gt;0,"Valid","Invalid")</f>
        <v>Valid</v>
      </c>
      <c r="G1607" s="39" t="str">
        <f aca="false">IFERROR(INDEX(medicine_master!$B$2:$B$26,MATCH($C1607,medicine_master!$A$2:$A$26,0)),"Not found")</f>
        <v>Aspirin 75mg</v>
      </c>
      <c r="H1607" s="39" t="str">
        <f aca="false">IFERROR(INDEX(medicine_master!$C$2:$C$26,MATCH($C1607,medicine_master!$A$2:$A$26,0)),"Not found")</f>
        <v>Cardiac</v>
      </c>
      <c r="I1607" s="39" t="n">
        <f aca="false">YEAR(B1607)</f>
        <v>2026</v>
      </c>
      <c r="J1607" s="39" t="n">
        <f aca="false">MONTH(B1607)</f>
        <v>3</v>
      </c>
      <c r="K1607" s="39" t="str">
        <f aca="false">TEXT(B1607,"mmm")</f>
        <v>Mar</v>
      </c>
      <c r="L1607" s="45" t="n">
        <f aca="false">IFERROR(INDEX(medicine_master!$I$2:$I$26,MATCH($C1607,medicine_master!$A$2:$A$26,0)),0)</f>
        <v>15</v>
      </c>
      <c r="M1607" s="45" t="n">
        <f aca="false">IFERROR(INDEX(medicine_master!$G$2:$G$26,MATCH($C1607,medicine_master!$A$2:$A$26,0)),0)</f>
        <v>10</v>
      </c>
      <c r="N1607" s="45" t="n">
        <f aca="false">IF(D1607="Sale",E1607*L1607,0)</f>
        <v>0</v>
      </c>
      <c r="O1607" s="45" t="n">
        <f aca="false">IF(D1607="Sale",E1607*M1607,0)</f>
        <v>0</v>
      </c>
      <c r="P1607" s="45" t="n">
        <f aca="false">N1607-O1607</f>
        <v>0</v>
      </c>
      <c r="Q1607" s="45" t="n">
        <f aca="false">IF(D1607="Purchase",E1607*M1607,0)</f>
        <v>150</v>
      </c>
    </row>
    <row r="1608" customFormat="false" ht="15" hidden="false" customHeight="false" outlineLevel="0" collapsed="false">
      <c r="A1608" s="39" t="s">
        <v>1932</v>
      </c>
      <c r="B1608" s="44" t="n">
        <v>46162</v>
      </c>
      <c r="C1608" s="39" t="s">
        <v>150</v>
      </c>
      <c r="D1608" s="39" t="s">
        <v>138</v>
      </c>
      <c r="E1608" s="39" t="n">
        <v>10</v>
      </c>
      <c r="F1608" s="39" t="str">
        <f aca="false">IF(COUNTIF(medicine_master!$A$2:$A$26,C1608)&gt;0,"Valid","Invalid")</f>
        <v>Valid</v>
      </c>
      <c r="G1608" s="39" t="str">
        <f aca="false">IFERROR(INDEX(medicine_master!$B$2:$B$26,MATCH($C1608,medicine_master!$A$2:$A$26,0)),"Not found")</f>
        <v>Pantoprazole 40mg</v>
      </c>
      <c r="H1608" s="39" t="str">
        <f aca="false">IFERROR(INDEX(medicine_master!$C$2:$C$26,MATCH($C1608,medicine_master!$A$2:$A$26,0)),"Not found")</f>
        <v>Gastric</v>
      </c>
      <c r="I1608" s="39" t="n">
        <f aca="false">YEAR(B1608)</f>
        <v>2026</v>
      </c>
      <c r="J1608" s="39" t="n">
        <f aca="false">MONTH(B1608)</f>
        <v>5</v>
      </c>
      <c r="K1608" s="39" t="str">
        <f aca="false">TEXT(B1608,"mmm")</f>
        <v>May</v>
      </c>
      <c r="L1608" s="45" t="n">
        <f aca="false">IFERROR(INDEX(medicine_master!$I$2:$I$26,MATCH($C1608,medicine_master!$A$2:$A$26,0)),0)</f>
        <v>35</v>
      </c>
      <c r="M1608" s="45" t="n">
        <f aca="false">IFERROR(INDEX(medicine_master!$G$2:$G$26,MATCH($C1608,medicine_master!$A$2:$A$26,0)),0)</f>
        <v>24</v>
      </c>
      <c r="N1608" s="45" t="n">
        <f aca="false">IF(D1608="Sale",E1608*L1608,0)</f>
        <v>0</v>
      </c>
      <c r="O1608" s="45" t="n">
        <f aca="false">IF(D1608="Sale",E1608*M1608,0)</f>
        <v>0</v>
      </c>
      <c r="P1608" s="45" t="n">
        <f aca="false">N1608-O1608</f>
        <v>0</v>
      </c>
      <c r="Q1608" s="45" t="n">
        <f aca="false">IF(D1608="Purchase",E1608*M1608,0)</f>
        <v>240</v>
      </c>
    </row>
    <row r="1609" customFormat="false" ht="15" hidden="false" customHeight="false" outlineLevel="0" collapsed="false">
      <c r="A1609" s="39" t="s">
        <v>1933</v>
      </c>
      <c r="B1609" s="44" t="n">
        <v>46380</v>
      </c>
      <c r="C1609" s="39" t="s">
        <v>144</v>
      </c>
      <c r="D1609" s="39" t="s">
        <v>137</v>
      </c>
      <c r="E1609" s="39" t="n">
        <v>30</v>
      </c>
      <c r="F1609" s="39" t="str">
        <f aca="false">IF(COUNTIF(medicine_master!$A$2:$A$26,C1609)&gt;0,"Valid","Invalid")</f>
        <v>Valid</v>
      </c>
      <c r="G1609" s="39" t="str">
        <f aca="false">IFERROR(INDEX(medicine_master!$B$2:$B$26,MATCH($C1609,medicine_master!$A$2:$A$26,0)),"Not found")</f>
        <v>Glimepiride 2mg</v>
      </c>
      <c r="H1609" s="39" t="str">
        <f aca="false">IFERROR(INDEX(medicine_master!$C$2:$C$26,MATCH($C1609,medicine_master!$A$2:$A$26,0)),"Not found")</f>
        <v>Diabetes</v>
      </c>
      <c r="I1609" s="39" t="n">
        <f aca="false">YEAR(B1609)</f>
        <v>2026</v>
      </c>
      <c r="J1609" s="39" t="n">
        <f aca="false">MONTH(B1609)</f>
        <v>12</v>
      </c>
      <c r="K1609" s="39" t="str">
        <f aca="false">TEXT(B1609,"mmm")</f>
        <v>Dec</v>
      </c>
      <c r="L1609" s="45" t="n">
        <f aca="false">IFERROR(INDEX(medicine_master!$I$2:$I$26,MATCH($C1609,medicine_master!$A$2:$A$26,0)),0)</f>
        <v>52</v>
      </c>
      <c r="M1609" s="45" t="n">
        <f aca="false">IFERROR(INDEX(medicine_master!$G$2:$G$26,MATCH($C1609,medicine_master!$A$2:$A$26,0)),0)</f>
        <v>38</v>
      </c>
      <c r="N1609" s="45" t="n">
        <f aca="false">IF(D1609="Sale",E1609*L1609,0)</f>
        <v>1560</v>
      </c>
      <c r="O1609" s="45" t="n">
        <f aca="false">IF(D1609="Sale",E1609*M1609,0)</f>
        <v>1140</v>
      </c>
      <c r="P1609" s="45" t="n">
        <f aca="false">N1609-O1609</f>
        <v>420</v>
      </c>
      <c r="Q1609" s="45" t="n">
        <f aca="false">IF(D1609="Purchase",E1609*M1609,0)</f>
        <v>0</v>
      </c>
    </row>
    <row r="1610" customFormat="false" ht="15" hidden="false" customHeight="false" outlineLevel="0" collapsed="false">
      <c r="A1610" s="39" t="s">
        <v>1934</v>
      </c>
      <c r="B1610" s="44" t="n">
        <v>46130</v>
      </c>
      <c r="C1610" s="39" t="s">
        <v>145</v>
      </c>
      <c r="D1610" s="39" t="s">
        <v>138</v>
      </c>
      <c r="E1610" s="39" t="n">
        <v>25</v>
      </c>
      <c r="F1610" s="39" t="str">
        <f aca="false">IF(COUNTIF(medicine_master!$A$2:$A$26,C1610)&gt;0,"Valid","Invalid")</f>
        <v>Valid</v>
      </c>
      <c r="G1610" s="39" t="str">
        <f aca="false">IFERROR(INDEX(medicine_master!$B$2:$B$26,MATCH($C1610,medicine_master!$A$2:$A$26,0)),"Not found")</f>
        <v>Clotrimazole Cream</v>
      </c>
      <c r="H1610" s="39" t="str">
        <f aca="false">IFERROR(INDEX(medicine_master!$C$2:$C$26,MATCH($C1610,medicine_master!$A$2:$A$26,0)),"Not found")</f>
        <v>Dermatology</v>
      </c>
      <c r="I1610" s="39" t="n">
        <f aca="false">YEAR(B1610)</f>
        <v>2026</v>
      </c>
      <c r="J1610" s="39" t="n">
        <f aca="false">MONTH(B1610)</f>
        <v>4</v>
      </c>
      <c r="K1610" s="39" t="str">
        <f aca="false">TEXT(B1610,"mmm")</f>
        <v>Apr</v>
      </c>
      <c r="L1610" s="45" t="n">
        <f aca="false">IFERROR(INDEX(medicine_master!$I$2:$I$26,MATCH($C1610,medicine_master!$A$2:$A$26,0)),0)</f>
        <v>48</v>
      </c>
      <c r="M1610" s="45" t="n">
        <f aca="false">IFERROR(INDEX(medicine_master!$G$2:$G$26,MATCH($C1610,medicine_master!$A$2:$A$26,0)),0)</f>
        <v>32</v>
      </c>
      <c r="N1610" s="45" t="n">
        <f aca="false">IF(D1610="Sale",E1610*L1610,0)</f>
        <v>0</v>
      </c>
      <c r="O1610" s="45" t="n">
        <f aca="false">IF(D1610="Sale",E1610*M1610,0)</f>
        <v>0</v>
      </c>
      <c r="P1610" s="45" t="n">
        <f aca="false">N1610-O1610</f>
        <v>0</v>
      </c>
      <c r="Q1610" s="45" t="n">
        <f aca="false">IF(D1610="Purchase",E1610*M1610,0)</f>
        <v>800</v>
      </c>
    </row>
    <row r="1611" customFormat="false" ht="15" hidden="false" customHeight="false" outlineLevel="0" collapsed="false">
      <c r="A1611" s="39" t="s">
        <v>1935</v>
      </c>
      <c r="B1611" s="44" t="n">
        <v>46274</v>
      </c>
      <c r="C1611" s="39" t="s">
        <v>148</v>
      </c>
      <c r="D1611" s="39" t="s">
        <v>137</v>
      </c>
      <c r="E1611" s="39" t="n">
        <v>5</v>
      </c>
      <c r="F1611" s="39" t="str">
        <f aca="false">IF(COUNTIF(medicine_master!$A$2:$A$26,C1611)&gt;0,"Valid","Invalid")</f>
        <v>Valid</v>
      </c>
      <c r="G1611" s="39" t="str">
        <f aca="false">IFERROR(INDEX(medicine_master!$B$2:$B$26,MATCH($C1611,medicine_master!$A$2:$A$26,0)),"Not found")</f>
        <v>Dextromethorphan Syrup</v>
      </c>
      <c r="H1611" s="39" t="str">
        <f aca="false">IFERROR(INDEX(medicine_master!$C$2:$C$26,MATCH($C1611,medicine_master!$A$2:$A$26,0)),"Not found")</f>
        <v>Cold &amp; Cough</v>
      </c>
      <c r="I1611" s="39" t="n">
        <f aca="false">YEAR(B1611)</f>
        <v>2026</v>
      </c>
      <c r="J1611" s="39" t="n">
        <f aca="false">MONTH(B1611)</f>
        <v>9</v>
      </c>
      <c r="K1611" s="39" t="str">
        <f aca="false">TEXT(B1611,"mmm")</f>
        <v>Sep</v>
      </c>
      <c r="L1611" s="45" t="n">
        <f aca="false">IFERROR(INDEX(medicine_master!$I$2:$I$26,MATCH($C1611,medicine_master!$A$2:$A$26,0)),0)</f>
        <v>80</v>
      </c>
      <c r="M1611" s="45" t="n">
        <f aca="false">IFERROR(INDEX(medicine_master!$G$2:$G$26,MATCH($C1611,medicine_master!$A$2:$A$26,0)),0)</f>
        <v>58</v>
      </c>
      <c r="N1611" s="45" t="n">
        <f aca="false">IF(D1611="Sale",E1611*L1611,0)</f>
        <v>400</v>
      </c>
      <c r="O1611" s="45" t="n">
        <f aca="false">IF(D1611="Sale",E1611*M1611,0)</f>
        <v>290</v>
      </c>
      <c r="P1611" s="45" t="n">
        <f aca="false">N1611-O1611</f>
        <v>110</v>
      </c>
      <c r="Q1611" s="45" t="n">
        <f aca="false">IF(D1611="Purchase",E1611*M1611,0)</f>
        <v>0</v>
      </c>
    </row>
    <row r="1612" customFormat="false" ht="15" hidden="false" customHeight="false" outlineLevel="0" collapsed="false">
      <c r="A1612" s="39" t="s">
        <v>1936</v>
      </c>
      <c r="B1612" s="44" t="n">
        <v>46067</v>
      </c>
      <c r="C1612" s="39" t="s">
        <v>404</v>
      </c>
      <c r="D1612" s="39" t="s">
        <v>138</v>
      </c>
      <c r="E1612" s="39" t="n">
        <v>40</v>
      </c>
      <c r="F1612" s="39" t="str">
        <f aca="false">IF(COUNTIF(medicine_master!$A$2:$A$26,C1612)&gt;0,"Valid","Invalid")</f>
        <v>Valid</v>
      </c>
      <c r="G1612" s="39" t="str">
        <f aca="false">IFERROR(INDEX(medicine_master!$B$2:$B$26,MATCH($C1612,medicine_master!$A$2:$A$26,0)),"Not found")</f>
        <v>ORS Sachet</v>
      </c>
      <c r="H1612" s="39" t="str">
        <f aca="false">IFERROR(INDEX(medicine_master!$C$2:$C$26,MATCH($C1612,medicine_master!$A$2:$A$26,0)),"Not found")</f>
        <v>First Aid</v>
      </c>
      <c r="I1612" s="39" t="n">
        <f aca="false">YEAR(B1612)</f>
        <v>2026</v>
      </c>
      <c r="J1612" s="39" t="n">
        <f aca="false">MONTH(B1612)</f>
        <v>2</v>
      </c>
      <c r="K1612" s="39" t="str">
        <f aca="false">TEXT(B1612,"mmm")</f>
        <v>Feb</v>
      </c>
      <c r="L1612" s="45" t="n">
        <f aca="false">IFERROR(INDEX(medicine_master!$I$2:$I$26,MATCH($C1612,medicine_master!$A$2:$A$26,0)),0)</f>
        <v>10</v>
      </c>
      <c r="M1612" s="45" t="n">
        <f aca="false">IFERROR(INDEX(medicine_master!$G$2:$G$26,MATCH($C1612,medicine_master!$A$2:$A$26,0)),0)</f>
        <v>6</v>
      </c>
      <c r="N1612" s="45" t="n">
        <f aca="false">IF(D1612="Sale",E1612*L1612,0)</f>
        <v>0</v>
      </c>
      <c r="O1612" s="45" t="n">
        <f aca="false">IF(D1612="Sale",E1612*M1612,0)</f>
        <v>0</v>
      </c>
      <c r="P1612" s="45" t="n">
        <f aca="false">N1612-O1612</f>
        <v>0</v>
      </c>
      <c r="Q1612" s="45" t="n">
        <f aca="false">IF(D1612="Purchase",E1612*M1612,0)</f>
        <v>240</v>
      </c>
    </row>
    <row r="1613" customFormat="false" ht="15" hidden="false" customHeight="false" outlineLevel="0" collapsed="false">
      <c r="A1613" s="39" t="s">
        <v>1937</v>
      </c>
      <c r="B1613" s="44" t="n">
        <v>46100</v>
      </c>
      <c r="C1613" s="39" t="s">
        <v>158</v>
      </c>
      <c r="D1613" s="39" t="s">
        <v>137</v>
      </c>
      <c r="E1613" s="39" t="n">
        <v>20</v>
      </c>
      <c r="F1613" s="39" t="str">
        <f aca="false">IF(COUNTIF(medicine_master!$A$2:$A$26,C1613)&gt;0,"Valid","Invalid")</f>
        <v>Valid</v>
      </c>
      <c r="G1613" s="39" t="str">
        <f aca="false">IFERROR(INDEX(medicine_master!$B$2:$B$26,MATCH($C1613,medicine_master!$A$2:$A$26,0)),"Not found")</f>
        <v>Cough Syrup 100ml</v>
      </c>
      <c r="H1613" s="39" t="str">
        <f aca="false">IFERROR(INDEX(medicine_master!$C$2:$C$26,MATCH($C1613,medicine_master!$A$2:$A$26,0)),"Not found")</f>
        <v>Cold &amp; Cough</v>
      </c>
      <c r="I1613" s="39" t="n">
        <f aca="false">YEAR(B1613)</f>
        <v>2026</v>
      </c>
      <c r="J1613" s="39" t="n">
        <f aca="false">MONTH(B1613)</f>
        <v>3</v>
      </c>
      <c r="K1613" s="39" t="str">
        <f aca="false">TEXT(B1613,"mmm")</f>
        <v>Mar</v>
      </c>
      <c r="L1613" s="45" t="n">
        <f aca="false">IFERROR(INDEX(medicine_master!$I$2:$I$26,MATCH($C1613,medicine_master!$A$2:$A$26,0)),0)</f>
        <v>72</v>
      </c>
      <c r="M1613" s="45" t="n">
        <f aca="false">IFERROR(INDEX(medicine_master!$G$2:$G$26,MATCH($C1613,medicine_master!$A$2:$A$26,0)),0)</f>
        <v>52</v>
      </c>
      <c r="N1613" s="45" t="n">
        <f aca="false">IF(D1613="Sale",E1613*L1613,0)</f>
        <v>1440</v>
      </c>
      <c r="O1613" s="45" t="n">
        <f aca="false">IF(D1613="Sale",E1613*M1613,0)</f>
        <v>1040</v>
      </c>
      <c r="P1613" s="45" t="n">
        <f aca="false">N1613-O1613</f>
        <v>400</v>
      </c>
      <c r="Q1613" s="45" t="n">
        <f aca="false">IF(D1613="Purchase",E1613*M1613,0)</f>
        <v>0</v>
      </c>
    </row>
    <row r="1614" customFormat="false" ht="15" hidden="false" customHeight="false" outlineLevel="0" collapsed="false">
      <c r="A1614" s="39" t="s">
        <v>1938</v>
      </c>
      <c r="B1614" s="44" t="n">
        <v>46025</v>
      </c>
      <c r="C1614" s="39" t="s">
        <v>321</v>
      </c>
      <c r="D1614" s="39" t="s">
        <v>137</v>
      </c>
      <c r="E1614" s="39" t="n">
        <v>10</v>
      </c>
      <c r="F1614" s="39" t="str">
        <f aca="false">IF(COUNTIF(medicine_master!$A$2:$A$26,C1614)&gt;0,"Valid","Invalid")</f>
        <v>Valid</v>
      </c>
      <c r="G1614" s="39" t="str">
        <f aca="false">IFERROR(INDEX(medicine_master!$B$2:$B$26,MATCH($C1614,medicine_master!$A$2:$A$26,0)),"Not found")</f>
        <v>Levocetirizine 5mg</v>
      </c>
      <c r="H1614" s="39" t="str">
        <f aca="false">IFERROR(INDEX(medicine_master!$C$2:$C$26,MATCH($C1614,medicine_master!$A$2:$A$26,0)),"Not found")</f>
        <v>Allergy</v>
      </c>
      <c r="I1614" s="39" t="n">
        <f aca="false">YEAR(B1614)</f>
        <v>2026</v>
      </c>
      <c r="J1614" s="39" t="n">
        <f aca="false">MONTH(B1614)</f>
        <v>1</v>
      </c>
      <c r="K1614" s="39" t="str">
        <f aca="false">TEXT(B1614,"mmm")</f>
        <v>Jan</v>
      </c>
      <c r="L1614" s="45" t="n">
        <f aca="false">IFERROR(INDEX(medicine_master!$I$2:$I$26,MATCH($C1614,medicine_master!$A$2:$A$26,0)),0)</f>
        <v>22</v>
      </c>
      <c r="M1614" s="45" t="n">
        <f aca="false">IFERROR(INDEX(medicine_master!$G$2:$G$26,MATCH($C1614,medicine_master!$A$2:$A$26,0)),0)</f>
        <v>14</v>
      </c>
      <c r="N1614" s="45" t="n">
        <f aca="false">IF(D1614="Sale",E1614*L1614,0)</f>
        <v>220</v>
      </c>
      <c r="O1614" s="45" t="n">
        <f aca="false">IF(D1614="Sale",E1614*M1614,0)</f>
        <v>140</v>
      </c>
      <c r="P1614" s="45" t="n">
        <f aca="false">N1614-O1614</f>
        <v>80</v>
      </c>
      <c r="Q1614" s="45" t="n">
        <f aca="false">IF(D1614="Purchase",E1614*M1614,0)</f>
        <v>0</v>
      </c>
    </row>
    <row r="1615" customFormat="false" ht="15" hidden="false" customHeight="false" outlineLevel="0" collapsed="false">
      <c r="A1615" s="39" t="s">
        <v>1939</v>
      </c>
      <c r="B1615" s="44" t="n">
        <v>46354</v>
      </c>
      <c r="C1615" s="39" t="s">
        <v>177</v>
      </c>
      <c r="D1615" s="39" t="s">
        <v>138</v>
      </c>
      <c r="E1615" s="39" t="n">
        <v>15</v>
      </c>
      <c r="F1615" s="39" t="str">
        <f aca="false">IF(COUNTIF(medicine_master!$A$2:$A$26,C1615)&gt;0,"Valid","Invalid")</f>
        <v>Valid</v>
      </c>
      <c r="G1615" s="39" t="str">
        <f aca="false">IFERROR(INDEX(medicine_master!$B$2:$B$26,MATCH($C1615,medicine_master!$A$2:$A$26,0)),"Not found")</f>
        <v>Bandage Roll</v>
      </c>
      <c r="H1615" s="39" t="str">
        <f aca="false">IFERROR(INDEX(medicine_master!$C$2:$C$26,MATCH($C1615,medicine_master!$A$2:$A$26,0)),"Not found")</f>
        <v>First Aid</v>
      </c>
      <c r="I1615" s="39" t="n">
        <f aca="false">YEAR(B1615)</f>
        <v>2026</v>
      </c>
      <c r="J1615" s="39" t="n">
        <f aca="false">MONTH(B1615)</f>
        <v>11</v>
      </c>
      <c r="K1615" s="39" t="str">
        <f aca="false">TEXT(B1615,"mmm")</f>
        <v>Nov</v>
      </c>
      <c r="L1615" s="45" t="n">
        <f aca="false">IFERROR(INDEX(medicine_master!$I$2:$I$26,MATCH($C1615,medicine_master!$A$2:$A$26,0)),0)</f>
        <v>25</v>
      </c>
      <c r="M1615" s="45" t="n">
        <f aca="false">IFERROR(INDEX(medicine_master!$G$2:$G$26,MATCH($C1615,medicine_master!$A$2:$A$26,0)),0)</f>
        <v>15</v>
      </c>
      <c r="N1615" s="45" t="n">
        <f aca="false">IF(D1615="Sale",E1615*L1615,0)</f>
        <v>0</v>
      </c>
      <c r="O1615" s="45" t="n">
        <f aca="false">IF(D1615="Sale",E1615*M1615,0)</f>
        <v>0</v>
      </c>
      <c r="P1615" s="45" t="n">
        <f aca="false">N1615-O1615</f>
        <v>0</v>
      </c>
      <c r="Q1615" s="45" t="n">
        <f aca="false">IF(D1615="Purchase",E1615*M1615,0)</f>
        <v>225</v>
      </c>
    </row>
    <row r="1616" customFormat="false" ht="15" hidden="false" customHeight="false" outlineLevel="0" collapsed="false">
      <c r="A1616" s="39" t="s">
        <v>1940</v>
      </c>
      <c r="B1616" s="44" t="n">
        <v>46344</v>
      </c>
      <c r="C1616" s="39" t="s">
        <v>149</v>
      </c>
      <c r="D1616" s="39" t="s">
        <v>138</v>
      </c>
      <c r="E1616" s="39" t="n">
        <v>30</v>
      </c>
      <c r="F1616" s="39" t="str">
        <f aca="false">IF(COUNTIF(medicine_master!$A$2:$A$26,C1616)&gt;0,"Valid","Invalid")</f>
        <v>Valid</v>
      </c>
      <c r="G1616" s="39" t="str">
        <f aca="false">IFERROR(INDEX(medicine_master!$B$2:$B$26,MATCH($C1616,medicine_master!$A$2:$A$26,0)),"Not found")</f>
        <v>Azithromycin 500mg</v>
      </c>
      <c r="H1616" s="39" t="str">
        <f aca="false">IFERROR(INDEX(medicine_master!$C$2:$C$26,MATCH($C1616,medicine_master!$A$2:$A$26,0)),"Not found")</f>
        <v>Antibiotic</v>
      </c>
      <c r="I1616" s="39" t="n">
        <f aca="false">YEAR(B1616)</f>
        <v>2026</v>
      </c>
      <c r="J1616" s="39" t="n">
        <f aca="false">MONTH(B1616)</f>
        <v>11</v>
      </c>
      <c r="K1616" s="39" t="str">
        <f aca="false">TEXT(B1616,"mmm")</f>
        <v>Nov</v>
      </c>
      <c r="L1616" s="45" t="n">
        <f aca="false">IFERROR(INDEX(medicine_master!$I$2:$I$26,MATCH($C1616,medicine_master!$A$2:$A$26,0)),0)</f>
        <v>50</v>
      </c>
      <c r="M1616" s="45" t="n">
        <f aca="false">IFERROR(INDEX(medicine_master!$G$2:$G$26,MATCH($C1616,medicine_master!$A$2:$A$26,0)),0)</f>
        <v>35</v>
      </c>
      <c r="N1616" s="45" t="n">
        <f aca="false">IF(D1616="Sale",E1616*L1616,0)</f>
        <v>0</v>
      </c>
      <c r="O1616" s="45" t="n">
        <f aca="false">IF(D1616="Sale",E1616*M1616,0)</f>
        <v>0</v>
      </c>
      <c r="P1616" s="45" t="n">
        <f aca="false">N1616-O1616</f>
        <v>0</v>
      </c>
      <c r="Q1616" s="45" t="n">
        <f aca="false">IF(D1616="Purchase",E1616*M1616,0)</f>
        <v>1050</v>
      </c>
    </row>
    <row r="1617" customFormat="false" ht="15" hidden="false" customHeight="false" outlineLevel="0" collapsed="false">
      <c r="A1617" s="39" t="s">
        <v>1941</v>
      </c>
      <c r="B1617" s="44" t="n">
        <v>46074</v>
      </c>
      <c r="C1617" s="39" t="s">
        <v>158</v>
      </c>
      <c r="D1617" s="39" t="s">
        <v>137</v>
      </c>
      <c r="E1617" s="39" t="n">
        <v>30</v>
      </c>
      <c r="F1617" s="39" t="str">
        <f aca="false">IF(COUNTIF(medicine_master!$A$2:$A$26,C1617)&gt;0,"Valid","Invalid")</f>
        <v>Valid</v>
      </c>
      <c r="G1617" s="39" t="str">
        <f aca="false">IFERROR(INDEX(medicine_master!$B$2:$B$26,MATCH($C1617,medicine_master!$A$2:$A$26,0)),"Not found")</f>
        <v>Cough Syrup 100ml</v>
      </c>
      <c r="H1617" s="39" t="str">
        <f aca="false">IFERROR(INDEX(medicine_master!$C$2:$C$26,MATCH($C1617,medicine_master!$A$2:$A$26,0)),"Not found")</f>
        <v>Cold &amp; Cough</v>
      </c>
      <c r="I1617" s="39" t="n">
        <f aca="false">YEAR(B1617)</f>
        <v>2026</v>
      </c>
      <c r="J1617" s="39" t="n">
        <f aca="false">MONTH(B1617)</f>
        <v>2</v>
      </c>
      <c r="K1617" s="39" t="str">
        <f aca="false">TEXT(B1617,"mmm")</f>
        <v>Feb</v>
      </c>
      <c r="L1617" s="45" t="n">
        <f aca="false">IFERROR(INDEX(medicine_master!$I$2:$I$26,MATCH($C1617,medicine_master!$A$2:$A$26,0)),0)</f>
        <v>72</v>
      </c>
      <c r="M1617" s="45" t="n">
        <f aca="false">IFERROR(INDEX(medicine_master!$G$2:$G$26,MATCH($C1617,medicine_master!$A$2:$A$26,0)),0)</f>
        <v>52</v>
      </c>
      <c r="N1617" s="45" t="n">
        <f aca="false">IF(D1617="Sale",E1617*L1617,0)</f>
        <v>2160</v>
      </c>
      <c r="O1617" s="45" t="n">
        <f aca="false">IF(D1617="Sale",E1617*M1617,0)</f>
        <v>1560</v>
      </c>
      <c r="P1617" s="45" t="n">
        <f aca="false">N1617-O1617</f>
        <v>600</v>
      </c>
      <c r="Q1617" s="45" t="n">
        <f aca="false">IF(D1617="Purchase",E1617*M1617,0)</f>
        <v>0</v>
      </c>
    </row>
    <row r="1618" customFormat="false" ht="15" hidden="false" customHeight="false" outlineLevel="0" collapsed="false">
      <c r="A1618" s="39" t="s">
        <v>1942</v>
      </c>
      <c r="B1618" s="44" t="n">
        <v>46241</v>
      </c>
      <c r="C1618" s="39" t="s">
        <v>167</v>
      </c>
      <c r="D1618" s="39" t="s">
        <v>138</v>
      </c>
      <c r="E1618" s="39" t="n">
        <v>20</v>
      </c>
      <c r="F1618" s="39" t="str">
        <f aca="false">IF(COUNTIF(medicine_master!$A$2:$A$26,C1618)&gt;0,"Valid","Invalid")</f>
        <v>Valid</v>
      </c>
      <c r="G1618" s="39" t="str">
        <f aca="false">IFERROR(INDEX(medicine_master!$B$2:$B$26,MATCH($C1618,medicine_master!$A$2:$A$26,0)),"Not found")</f>
        <v>Amlodipine 5mg</v>
      </c>
      <c r="H1618" s="39" t="str">
        <f aca="false">IFERROR(INDEX(medicine_master!$C$2:$C$26,MATCH($C1618,medicine_master!$A$2:$A$26,0)),"Not found")</f>
        <v>Cardiac</v>
      </c>
      <c r="I1618" s="39" t="n">
        <f aca="false">YEAR(B1618)</f>
        <v>2026</v>
      </c>
      <c r="J1618" s="39" t="n">
        <f aca="false">MONTH(B1618)</f>
        <v>8</v>
      </c>
      <c r="K1618" s="39" t="str">
        <f aca="false">TEXT(B1618,"mmm")</f>
        <v>Aug</v>
      </c>
      <c r="L1618" s="45" t="n">
        <f aca="false">IFERROR(INDEX(medicine_master!$I$2:$I$26,MATCH($C1618,medicine_master!$A$2:$A$26,0)),0)</f>
        <v>19</v>
      </c>
      <c r="M1618" s="45" t="n">
        <f aca="false">IFERROR(INDEX(medicine_master!$G$2:$G$26,MATCH($C1618,medicine_master!$A$2:$A$26,0)),0)</f>
        <v>13</v>
      </c>
      <c r="N1618" s="45" t="n">
        <f aca="false">IF(D1618="Sale",E1618*L1618,0)</f>
        <v>0</v>
      </c>
      <c r="O1618" s="45" t="n">
        <f aca="false">IF(D1618="Sale",E1618*M1618,0)</f>
        <v>0</v>
      </c>
      <c r="P1618" s="45" t="n">
        <f aca="false">N1618-O1618</f>
        <v>0</v>
      </c>
      <c r="Q1618" s="45" t="n">
        <f aca="false">IF(D1618="Purchase",E1618*M1618,0)</f>
        <v>260</v>
      </c>
    </row>
    <row r="1619" customFormat="false" ht="15" hidden="false" customHeight="false" outlineLevel="0" collapsed="false">
      <c r="A1619" s="39" t="s">
        <v>1943</v>
      </c>
      <c r="B1619" s="44" t="n">
        <v>46026</v>
      </c>
      <c r="C1619" s="39" t="s">
        <v>147</v>
      </c>
      <c r="D1619" s="39" t="s">
        <v>137</v>
      </c>
      <c r="E1619" s="39" t="n">
        <v>30</v>
      </c>
      <c r="F1619" s="39" t="str">
        <f aca="false">IF(COUNTIF(medicine_master!$A$2:$A$26,C1619)&gt;0,"Valid","Invalid")</f>
        <v>Valid</v>
      </c>
      <c r="G1619" s="39" t="str">
        <f aca="false">IFERROR(INDEX(medicine_master!$B$2:$B$26,MATCH($C1619,medicine_master!$A$2:$A$26,0)),"Not found")</f>
        <v>Insulin Injection</v>
      </c>
      <c r="H1619" s="39" t="str">
        <f aca="false">IFERROR(INDEX(medicine_master!$C$2:$C$26,MATCH($C1619,medicine_master!$A$2:$A$26,0)),"Not found")</f>
        <v>Diabetes</v>
      </c>
      <c r="I1619" s="39" t="n">
        <f aca="false">YEAR(B1619)</f>
        <v>2026</v>
      </c>
      <c r="J1619" s="39" t="n">
        <f aca="false">MONTH(B1619)</f>
        <v>1</v>
      </c>
      <c r="K1619" s="39" t="str">
        <f aca="false">TEXT(B1619,"mmm")</f>
        <v>Jan</v>
      </c>
      <c r="L1619" s="45" t="n">
        <f aca="false">IFERROR(INDEX(medicine_master!$I$2:$I$26,MATCH($C1619,medicine_master!$A$2:$A$26,0)),0)</f>
        <v>225</v>
      </c>
      <c r="M1619" s="45" t="n">
        <f aca="false">IFERROR(INDEX(medicine_master!$G$2:$G$26,MATCH($C1619,medicine_master!$A$2:$A$26,0)),0)</f>
        <v>165</v>
      </c>
      <c r="N1619" s="45" t="n">
        <f aca="false">IF(D1619="Sale",E1619*L1619,0)</f>
        <v>6750</v>
      </c>
      <c r="O1619" s="45" t="n">
        <f aca="false">IF(D1619="Sale",E1619*M1619,0)</f>
        <v>4950</v>
      </c>
      <c r="P1619" s="45" t="n">
        <f aca="false">N1619-O1619</f>
        <v>1800</v>
      </c>
      <c r="Q1619" s="45" t="n">
        <f aca="false">IF(D1619="Purchase",E1619*M1619,0)</f>
        <v>0</v>
      </c>
    </row>
    <row r="1620" customFormat="false" ht="15" hidden="false" customHeight="false" outlineLevel="0" collapsed="false">
      <c r="A1620" s="39" t="s">
        <v>1944</v>
      </c>
      <c r="B1620" s="44" t="n">
        <v>46379</v>
      </c>
      <c r="C1620" s="39" t="s">
        <v>157</v>
      </c>
      <c r="D1620" s="39" t="s">
        <v>137</v>
      </c>
      <c r="E1620" s="39" t="n">
        <v>15</v>
      </c>
      <c r="F1620" s="39" t="str">
        <f aca="false">IF(COUNTIF(medicine_master!$A$2:$A$26,C1620)&gt;0,"Valid","Invalid")</f>
        <v>Valid</v>
      </c>
      <c r="G1620" s="39" t="str">
        <f aca="false">IFERROR(INDEX(medicine_master!$B$2:$B$26,MATCH($C1620,medicine_master!$A$2:$A$26,0)),"Not found")</f>
        <v>Multivitamin Tablets</v>
      </c>
      <c r="H1620" s="39" t="str">
        <f aca="false">IFERROR(INDEX(medicine_master!$C$2:$C$26,MATCH($C1620,medicine_master!$A$2:$A$26,0)),"Not found")</f>
        <v>Vitamin</v>
      </c>
      <c r="I1620" s="39" t="n">
        <f aca="false">YEAR(B1620)</f>
        <v>2026</v>
      </c>
      <c r="J1620" s="39" t="n">
        <f aca="false">MONTH(B1620)</f>
        <v>12</v>
      </c>
      <c r="K1620" s="39" t="str">
        <f aca="false">TEXT(B1620,"mmm")</f>
        <v>Dec</v>
      </c>
      <c r="L1620" s="45" t="n">
        <f aca="false">IFERROR(INDEX(medicine_master!$I$2:$I$26,MATCH($C1620,medicine_master!$A$2:$A$26,0)),0)</f>
        <v>105</v>
      </c>
      <c r="M1620" s="45" t="n">
        <f aca="false">IFERROR(INDEX(medicine_master!$G$2:$G$26,MATCH($C1620,medicine_master!$A$2:$A$26,0)),0)</f>
        <v>72</v>
      </c>
      <c r="N1620" s="45" t="n">
        <f aca="false">IF(D1620="Sale",E1620*L1620,0)</f>
        <v>1575</v>
      </c>
      <c r="O1620" s="45" t="n">
        <f aca="false">IF(D1620="Sale",E1620*M1620,0)</f>
        <v>1080</v>
      </c>
      <c r="P1620" s="45" t="n">
        <f aca="false">N1620-O1620</f>
        <v>495</v>
      </c>
      <c r="Q1620" s="45" t="n">
        <f aca="false">IF(D1620="Purchase",E1620*M1620,0)</f>
        <v>0</v>
      </c>
    </row>
    <row r="1621" customFormat="false" ht="15" hidden="false" customHeight="false" outlineLevel="0" collapsed="false">
      <c r="A1621" s="39" t="s">
        <v>1945</v>
      </c>
      <c r="B1621" s="44" t="n">
        <v>46078</v>
      </c>
      <c r="C1621" s="39" t="s">
        <v>144</v>
      </c>
      <c r="D1621" s="39" t="s">
        <v>137</v>
      </c>
      <c r="E1621" s="39" t="n">
        <v>10</v>
      </c>
      <c r="F1621" s="39" t="str">
        <f aca="false">IF(COUNTIF(medicine_master!$A$2:$A$26,C1621)&gt;0,"Valid","Invalid")</f>
        <v>Valid</v>
      </c>
      <c r="G1621" s="39" t="str">
        <f aca="false">IFERROR(INDEX(medicine_master!$B$2:$B$26,MATCH($C1621,medicine_master!$A$2:$A$26,0)),"Not found")</f>
        <v>Glimepiride 2mg</v>
      </c>
      <c r="H1621" s="39" t="str">
        <f aca="false">IFERROR(INDEX(medicine_master!$C$2:$C$26,MATCH($C1621,medicine_master!$A$2:$A$26,0)),"Not found")</f>
        <v>Diabetes</v>
      </c>
      <c r="I1621" s="39" t="n">
        <f aca="false">YEAR(B1621)</f>
        <v>2026</v>
      </c>
      <c r="J1621" s="39" t="n">
        <f aca="false">MONTH(B1621)</f>
        <v>2</v>
      </c>
      <c r="K1621" s="39" t="str">
        <f aca="false">TEXT(B1621,"mmm")</f>
        <v>Feb</v>
      </c>
      <c r="L1621" s="45" t="n">
        <f aca="false">IFERROR(INDEX(medicine_master!$I$2:$I$26,MATCH($C1621,medicine_master!$A$2:$A$26,0)),0)</f>
        <v>52</v>
      </c>
      <c r="M1621" s="45" t="n">
        <f aca="false">IFERROR(INDEX(medicine_master!$G$2:$G$26,MATCH($C1621,medicine_master!$A$2:$A$26,0)),0)</f>
        <v>38</v>
      </c>
      <c r="N1621" s="45" t="n">
        <f aca="false">IF(D1621="Sale",E1621*L1621,0)</f>
        <v>520</v>
      </c>
      <c r="O1621" s="45" t="n">
        <f aca="false">IF(D1621="Sale",E1621*M1621,0)</f>
        <v>380</v>
      </c>
      <c r="P1621" s="45" t="n">
        <f aca="false">N1621-O1621</f>
        <v>140</v>
      </c>
      <c r="Q1621" s="45" t="n">
        <f aca="false">IF(D1621="Purchase",E1621*M1621,0)</f>
        <v>0</v>
      </c>
    </row>
    <row r="1622" customFormat="false" ht="15" hidden="false" customHeight="false" outlineLevel="0" collapsed="false">
      <c r="A1622" s="39" t="s">
        <v>1946</v>
      </c>
      <c r="B1622" s="44" t="n">
        <v>46324</v>
      </c>
      <c r="C1622" s="39" t="s">
        <v>153</v>
      </c>
      <c r="D1622" s="39" t="s">
        <v>138</v>
      </c>
      <c r="E1622" s="39" t="n">
        <v>25</v>
      </c>
      <c r="F1622" s="39" t="str">
        <f aca="false">IF(COUNTIF(medicine_master!$A$2:$A$26,C1622)&gt;0,"Valid","Invalid")</f>
        <v>Valid</v>
      </c>
      <c r="G1622" s="39" t="str">
        <f aca="false">IFERROR(INDEX(medicine_master!$B$2:$B$26,MATCH($C1622,medicine_master!$A$2:$A$26,0)),"Not found")</f>
        <v>Atorvastatin 10mg</v>
      </c>
      <c r="H1622" s="39" t="str">
        <f aca="false">IFERROR(INDEX(medicine_master!$C$2:$C$26,MATCH($C1622,medicine_master!$A$2:$A$26,0)),"Not found")</f>
        <v>Cardiac</v>
      </c>
      <c r="I1622" s="39" t="n">
        <f aca="false">YEAR(B1622)</f>
        <v>2026</v>
      </c>
      <c r="J1622" s="39" t="n">
        <f aca="false">MONTH(B1622)</f>
        <v>10</v>
      </c>
      <c r="K1622" s="39" t="str">
        <f aca="false">TEXT(B1622,"mmm")</f>
        <v>Oct</v>
      </c>
      <c r="L1622" s="45" t="n">
        <f aca="false">IFERROR(INDEX(medicine_master!$I$2:$I$26,MATCH($C1622,medicine_master!$A$2:$A$26,0)),0)</f>
        <v>28</v>
      </c>
      <c r="M1622" s="45" t="n">
        <f aca="false">IFERROR(INDEX(medicine_master!$G$2:$G$26,MATCH($C1622,medicine_master!$A$2:$A$26,0)),0)</f>
        <v>19</v>
      </c>
      <c r="N1622" s="45" t="n">
        <f aca="false">IF(D1622="Sale",E1622*L1622,0)</f>
        <v>0</v>
      </c>
      <c r="O1622" s="45" t="n">
        <f aca="false">IF(D1622="Sale",E1622*M1622,0)</f>
        <v>0</v>
      </c>
      <c r="P1622" s="45" t="n">
        <f aca="false">N1622-O1622</f>
        <v>0</v>
      </c>
      <c r="Q1622" s="45" t="n">
        <f aca="false">IF(D1622="Purchase",E1622*M1622,0)</f>
        <v>475</v>
      </c>
    </row>
    <row r="1623" customFormat="false" ht="15" hidden="false" customHeight="false" outlineLevel="0" collapsed="false">
      <c r="A1623" s="39" t="s">
        <v>1947</v>
      </c>
      <c r="B1623" s="44" t="n">
        <v>46254</v>
      </c>
      <c r="C1623" s="39" t="s">
        <v>145</v>
      </c>
      <c r="D1623" s="39" t="s">
        <v>138</v>
      </c>
      <c r="E1623" s="39" t="n">
        <v>30</v>
      </c>
      <c r="F1623" s="39" t="str">
        <f aca="false">IF(COUNTIF(medicine_master!$A$2:$A$26,C1623)&gt;0,"Valid","Invalid")</f>
        <v>Valid</v>
      </c>
      <c r="G1623" s="39" t="str">
        <f aca="false">IFERROR(INDEX(medicine_master!$B$2:$B$26,MATCH($C1623,medicine_master!$A$2:$A$26,0)),"Not found")</f>
        <v>Clotrimazole Cream</v>
      </c>
      <c r="H1623" s="39" t="str">
        <f aca="false">IFERROR(INDEX(medicine_master!$C$2:$C$26,MATCH($C1623,medicine_master!$A$2:$A$26,0)),"Not found")</f>
        <v>Dermatology</v>
      </c>
      <c r="I1623" s="39" t="n">
        <f aca="false">YEAR(B1623)</f>
        <v>2026</v>
      </c>
      <c r="J1623" s="39" t="n">
        <f aca="false">MONTH(B1623)</f>
        <v>8</v>
      </c>
      <c r="K1623" s="39" t="str">
        <f aca="false">TEXT(B1623,"mmm")</f>
        <v>Aug</v>
      </c>
      <c r="L1623" s="45" t="n">
        <f aca="false">IFERROR(INDEX(medicine_master!$I$2:$I$26,MATCH($C1623,medicine_master!$A$2:$A$26,0)),0)</f>
        <v>48</v>
      </c>
      <c r="M1623" s="45" t="n">
        <f aca="false">IFERROR(INDEX(medicine_master!$G$2:$G$26,MATCH($C1623,medicine_master!$A$2:$A$26,0)),0)</f>
        <v>32</v>
      </c>
      <c r="N1623" s="45" t="n">
        <f aca="false">IF(D1623="Sale",E1623*L1623,0)</f>
        <v>0</v>
      </c>
      <c r="O1623" s="45" t="n">
        <f aca="false">IF(D1623="Sale",E1623*M1623,0)</f>
        <v>0</v>
      </c>
      <c r="P1623" s="45" t="n">
        <f aca="false">N1623-O1623</f>
        <v>0</v>
      </c>
      <c r="Q1623" s="45" t="n">
        <f aca="false">IF(D1623="Purchase",E1623*M1623,0)</f>
        <v>960</v>
      </c>
    </row>
    <row r="1624" customFormat="false" ht="15" hidden="false" customHeight="false" outlineLevel="0" collapsed="false">
      <c r="A1624" s="39" t="s">
        <v>1948</v>
      </c>
      <c r="B1624" s="44" t="n">
        <v>46271</v>
      </c>
      <c r="C1624" s="39" t="s">
        <v>167</v>
      </c>
      <c r="D1624" s="39" t="s">
        <v>137</v>
      </c>
      <c r="E1624" s="39" t="n">
        <v>15</v>
      </c>
      <c r="F1624" s="39" t="str">
        <f aca="false">IF(COUNTIF(medicine_master!$A$2:$A$26,C1624)&gt;0,"Valid","Invalid")</f>
        <v>Valid</v>
      </c>
      <c r="G1624" s="39" t="str">
        <f aca="false">IFERROR(INDEX(medicine_master!$B$2:$B$26,MATCH($C1624,medicine_master!$A$2:$A$26,0)),"Not found")</f>
        <v>Amlodipine 5mg</v>
      </c>
      <c r="H1624" s="39" t="str">
        <f aca="false">IFERROR(INDEX(medicine_master!$C$2:$C$26,MATCH($C1624,medicine_master!$A$2:$A$26,0)),"Not found")</f>
        <v>Cardiac</v>
      </c>
      <c r="I1624" s="39" t="n">
        <f aca="false">YEAR(B1624)</f>
        <v>2026</v>
      </c>
      <c r="J1624" s="39" t="n">
        <f aca="false">MONTH(B1624)</f>
        <v>9</v>
      </c>
      <c r="K1624" s="39" t="str">
        <f aca="false">TEXT(B1624,"mmm")</f>
        <v>Sep</v>
      </c>
      <c r="L1624" s="45" t="n">
        <f aca="false">IFERROR(INDEX(medicine_master!$I$2:$I$26,MATCH($C1624,medicine_master!$A$2:$A$26,0)),0)</f>
        <v>19</v>
      </c>
      <c r="M1624" s="45" t="n">
        <f aca="false">IFERROR(INDEX(medicine_master!$G$2:$G$26,MATCH($C1624,medicine_master!$A$2:$A$26,0)),0)</f>
        <v>13</v>
      </c>
      <c r="N1624" s="45" t="n">
        <f aca="false">IF(D1624="Sale",E1624*L1624,0)</f>
        <v>285</v>
      </c>
      <c r="O1624" s="45" t="n">
        <f aca="false">IF(D1624="Sale",E1624*M1624,0)</f>
        <v>195</v>
      </c>
      <c r="P1624" s="45" t="n">
        <f aca="false">N1624-O1624</f>
        <v>90</v>
      </c>
      <c r="Q1624" s="45" t="n">
        <f aca="false">IF(D1624="Purchase",E1624*M1624,0)</f>
        <v>0</v>
      </c>
    </row>
    <row r="1625" customFormat="false" ht="15" hidden="false" customHeight="false" outlineLevel="0" collapsed="false">
      <c r="A1625" s="39" t="s">
        <v>1949</v>
      </c>
      <c r="B1625" s="44" t="n">
        <v>46193</v>
      </c>
      <c r="C1625" s="39" t="s">
        <v>321</v>
      </c>
      <c r="D1625" s="39" t="s">
        <v>138</v>
      </c>
      <c r="E1625" s="39" t="n">
        <v>30</v>
      </c>
      <c r="F1625" s="39" t="str">
        <f aca="false">IF(COUNTIF(medicine_master!$A$2:$A$26,C1625)&gt;0,"Valid","Invalid")</f>
        <v>Valid</v>
      </c>
      <c r="G1625" s="39" t="str">
        <f aca="false">IFERROR(INDEX(medicine_master!$B$2:$B$26,MATCH($C1625,medicine_master!$A$2:$A$26,0)),"Not found")</f>
        <v>Levocetirizine 5mg</v>
      </c>
      <c r="H1625" s="39" t="str">
        <f aca="false">IFERROR(INDEX(medicine_master!$C$2:$C$26,MATCH($C1625,medicine_master!$A$2:$A$26,0)),"Not found")</f>
        <v>Allergy</v>
      </c>
      <c r="I1625" s="39" t="n">
        <f aca="false">YEAR(B1625)</f>
        <v>2026</v>
      </c>
      <c r="J1625" s="39" t="n">
        <f aca="false">MONTH(B1625)</f>
        <v>6</v>
      </c>
      <c r="K1625" s="39" t="str">
        <f aca="false">TEXT(B1625,"mmm")</f>
        <v>Jun</v>
      </c>
      <c r="L1625" s="45" t="n">
        <f aca="false">IFERROR(INDEX(medicine_master!$I$2:$I$26,MATCH($C1625,medicine_master!$A$2:$A$26,0)),0)</f>
        <v>22</v>
      </c>
      <c r="M1625" s="45" t="n">
        <f aca="false">IFERROR(INDEX(medicine_master!$G$2:$G$26,MATCH($C1625,medicine_master!$A$2:$A$26,0)),0)</f>
        <v>14</v>
      </c>
      <c r="N1625" s="45" t="n">
        <f aca="false">IF(D1625="Sale",E1625*L1625,0)</f>
        <v>0</v>
      </c>
      <c r="O1625" s="45" t="n">
        <f aca="false">IF(D1625="Sale",E1625*M1625,0)</f>
        <v>0</v>
      </c>
      <c r="P1625" s="45" t="n">
        <f aca="false">N1625-O1625</f>
        <v>0</v>
      </c>
      <c r="Q1625" s="45" t="n">
        <f aca="false">IF(D1625="Purchase",E1625*M1625,0)</f>
        <v>420</v>
      </c>
    </row>
    <row r="1626" customFormat="false" ht="15" hidden="false" customHeight="false" outlineLevel="0" collapsed="false">
      <c r="A1626" s="39" t="s">
        <v>1950</v>
      </c>
      <c r="B1626" s="44" t="n">
        <v>46249</v>
      </c>
      <c r="C1626" s="39" t="s">
        <v>144</v>
      </c>
      <c r="D1626" s="39" t="s">
        <v>137</v>
      </c>
      <c r="E1626" s="39" t="n">
        <v>25</v>
      </c>
      <c r="F1626" s="39" t="str">
        <f aca="false">IF(COUNTIF(medicine_master!$A$2:$A$26,C1626)&gt;0,"Valid","Invalid")</f>
        <v>Valid</v>
      </c>
      <c r="G1626" s="39" t="str">
        <f aca="false">IFERROR(INDEX(medicine_master!$B$2:$B$26,MATCH($C1626,medicine_master!$A$2:$A$26,0)),"Not found")</f>
        <v>Glimepiride 2mg</v>
      </c>
      <c r="H1626" s="39" t="str">
        <f aca="false">IFERROR(INDEX(medicine_master!$C$2:$C$26,MATCH($C1626,medicine_master!$A$2:$A$26,0)),"Not found")</f>
        <v>Diabetes</v>
      </c>
      <c r="I1626" s="39" t="n">
        <f aca="false">YEAR(B1626)</f>
        <v>2026</v>
      </c>
      <c r="J1626" s="39" t="n">
        <f aca="false">MONTH(B1626)</f>
        <v>8</v>
      </c>
      <c r="K1626" s="39" t="str">
        <f aca="false">TEXT(B1626,"mmm")</f>
        <v>Aug</v>
      </c>
      <c r="L1626" s="45" t="n">
        <f aca="false">IFERROR(INDEX(medicine_master!$I$2:$I$26,MATCH($C1626,medicine_master!$A$2:$A$26,0)),0)</f>
        <v>52</v>
      </c>
      <c r="M1626" s="45" t="n">
        <f aca="false">IFERROR(INDEX(medicine_master!$G$2:$G$26,MATCH($C1626,medicine_master!$A$2:$A$26,0)),0)</f>
        <v>38</v>
      </c>
      <c r="N1626" s="45" t="n">
        <f aca="false">IF(D1626="Sale",E1626*L1626,0)</f>
        <v>1300</v>
      </c>
      <c r="O1626" s="45" t="n">
        <f aca="false">IF(D1626="Sale",E1626*M1626,0)</f>
        <v>950</v>
      </c>
      <c r="P1626" s="45" t="n">
        <f aca="false">N1626-O1626</f>
        <v>350</v>
      </c>
      <c r="Q1626" s="45" t="n">
        <f aca="false">IF(D1626="Purchase",E1626*M1626,0)</f>
        <v>0</v>
      </c>
    </row>
    <row r="1627" customFormat="false" ht="15" hidden="false" customHeight="false" outlineLevel="0" collapsed="false">
      <c r="A1627" s="39" t="s">
        <v>1951</v>
      </c>
      <c r="B1627" s="44" t="n">
        <v>46061</v>
      </c>
      <c r="C1627" s="39" t="s">
        <v>167</v>
      </c>
      <c r="D1627" s="39" t="s">
        <v>138</v>
      </c>
      <c r="E1627" s="39" t="n">
        <v>25</v>
      </c>
      <c r="F1627" s="39" t="str">
        <f aca="false">IF(COUNTIF(medicine_master!$A$2:$A$26,C1627)&gt;0,"Valid","Invalid")</f>
        <v>Valid</v>
      </c>
      <c r="G1627" s="39" t="str">
        <f aca="false">IFERROR(INDEX(medicine_master!$B$2:$B$26,MATCH($C1627,medicine_master!$A$2:$A$26,0)),"Not found")</f>
        <v>Amlodipine 5mg</v>
      </c>
      <c r="H1627" s="39" t="str">
        <f aca="false">IFERROR(INDEX(medicine_master!$C$2:$C$26,MATCH($C1627,medicine_master!$A$2:$A$26,0)),"Not found")</f>
        <v>Cardiac</v>
      </c>
      <c r="I1627" s="39" t="n">
        <f aca="false">YEAR(B1627)</f>
        <v>2026</v>
      </c>
      <c r="J1627" s="39" t="n">
        <f aca="false">MONTH(B1627)</f>
        <v>2</v>
      </c>
      <c r="K1627" s="39" t="str">
        <f aca="false">TEXT(B1627,"mmm")</f>
        <v>Feb</v>
      </c>
      <c r="L1627" s="45" t="n">
        <f aca="false">IFERROR(INDEX(medicine_master!$I$2:$I$26,MATCH($C1627,medicine_master!$A$2:$A$26,0)),0)</f>
        <v>19</v>
      </c>
      <c r="M1627" s="45" t="n">
        <f aca="false">IFERROR(INDEX(medicine_master!$G$2:$G$26,MATCH($C1627,medicine_master!$A$2:$A$26,0)),0)</f>
        <v>13</v>
      </c>
      <c r="N1627" s="45" t="n">
        <f aca="false">IF(D1627="Sale",E1627*L1627,0)</f>
        <v>0</v>
      </c>
      <c r="O1627" s="45" t="n">
        <f aca="false">IF(D1627="Sale",E1627*M1627,0)</f>
        <v>0</v>
      </c>
      <c r="P1627" s="45" t="n">
        <f aca="false">N1627-O1627</f>
        <v>0</v>
      </c>
      <c r="Q1627" s="45" t="n">
        <f aca="false">IF(D1627="Purchase",E1627*M1627,0)</f>
        <v>325</v>
      </c>
    </row>
    <row r="1628" customFormat="false" ht="15" hidden="false" customHeight="false" outlineLevel="0" collapsed="false">
      <c r="A1628" s="39" t="s">
        <v>1952</v>
      </c>
      <c r="B1628" s="44" t="n">
        <v>46290</v>
      </c>
      <c r="C1628" s="39" t="s">
        <v>167</v>
      </c>
      <c r="D1628" s="39" t="s">
        <v>137</v>
      </c>
      <c r="E1628" s="39" t="n">
        <v>10</v>
      </c>
      <c r="F1628" s="39" t="str">
        <f aca="false">IF(COUNTIF(medicine_master!$A$2:$A$26,C1628)&gt;0,"Valid","Invalid")</f>
        <v>Valid</v>
      </c>
      <c r="G1628" s="39" t="str">
        <f aca="false">IFERROR(INDEX(medicine_master!$B$2:$B$26,MATCH($C1628,medicine_master!$A$2:$A$26,0)),"Not found")</f>
        <v>Amlodipine 5mg</v>
      </c>
      <c r="H1628" s="39" t="str">
        <f aca="false">IFERROR(INDEX(medicine_master!$C$2:$C$26,MATCH($C1628,medicine_master!$A$2:$A$26,0)),"Not found")</f>
        <v>Cardiac</v>
      </c>
      <c r="I1628" s="39" t="n">
        <f aca="false">YEAR(B1628)</f>
        <v>2026</v>
      </c>
      <c r="J1628" s="39" t="n">
        <f aca="false">MONTH(B1628)</f>
        <v>9</v>
      </c>
      <c r="K1628" s="39" t="str">
        <f aca="false">TEXT(B1628,"mmm")</f>
        <v>Sep</v>
      </c>
      <c r="L1628" s="45" t="n">
        <f aca="false">IFERROR(INDEX(medicine_master!$I$2:$I$26,MATCH($C1628,medicine_master!$A$2:$A$26,0)),0)</f>
        <v>19</v>
      </c>
      <c r="M1628" s="45" t="n">
        <f aca="false">IFERROR(INDEX(medicine_master!$G$2:$G$26,MATCH($C1628,medicine_master!$A$2:$A$26,0)),0)</f>
        <v>13</v>
      </c>
      <c r="N1628" s="45" t="n">
        <f aca="false">IF(D1628="Sale",E1628*L1628,0)</f>
        <v>190</v>
      </c>
      <c r="O1628" s="45" t="n">
        <f aca="false">IF(D1628="Sale",E1628*M1628,0)</f>
        <v>130</v>
      </c>
      <c r="P1628" s="45" t="n">
        <f aca="false">N1628-O1628</f>
        <v>60</v>
      </c>
      <c r="Q1628" s="45" t="n">
        <f aca="false">IF(D1628="Purchase",E1628*M1628,0)</f>
        <v>0</v>
      </c>
    </row>
    <row r="1629" customFormat="false" ht="15" hidden="false" customHeight="false" outlineLevel="0" collapsed="false">
      <c r="A1629" s="39" t="s">
        <v>1953</v>
      </c>
      <c r="B1629" s="44" t="n">
        <v>46062</v>
      </c>
      <c r="C1629" s="39" t="s">
        <v>321</v>
      </c>
      <c r="D1629" s="39" t="s">
        <v>137</v>
      </c>
      <c r="E1629" s="39" t="n">
        <v>15</v>
      </c>
      <c r="F1629" s="39" t="str">
        <f aca="false">IF(COUNTIF(medicine_master!$A$2:$A$26,C1629)&gt;0,"Valid","Invalid")</f>
        <v>Valid</v>
      </c>
      <c r="G1629" s="39" t="str">
        <f aca="false">IFERROR(INDEX(medicine_master!$B$2:$B$26,MATCH($C1629,medicine_master!$A$2:$A$26,0)),"Not found")</f>
        <v>Levocetirizine 5mg</v>
      </c>
      <c r="H1629" s="39" t="str">
        <f aca="false">IFERROR(INDEX(medicine_master!$C$2:$C$26,MATCH($C1629,medicine_master!$A$2:$A$26,0)),"Not found")</f>
        <v>Allergy</v>
      </c>
      <c r="I1629" s="39" t="n">
        <f aca="false">YEAR(B1629)</f>
        <v>2026</v>
      </c>
      <c r="J1629" s="39" t="n">
        <f aca="false">MONTH(B1629)</f>
        <v>2</v>
      </c>
      <c r="K1629" s="39" t="str">
        <f aca="false">TEXT(B1629,"mmm")</f>
        <v>Feb</v>
      </c>
      <c r="L1629" s="45" t="n">
        <f aca="false">IFERROR(INDEX(medicine_master!$I$2:$I$26,MATCH($C1629,medicine_master!$A$2:$A$26,0)),0)</f>
        <v>22</v>
      </c>
      <c r="M1629" s="45" t="n">
        <f aca="false">IFERROR(INDEX(medicine_master!$G$2:$G$26,MATCH($C1629,medicine_master!$A$2:$A$26,0)),0)</f>
        <v>14</v>
      </c>
      <c r="N1629" s="45" t="n">
        <f aca="false">IF(D1629="Sale",E1629*L1629,0)</f>
        <v>330</v>
      </c>
      <c r="O1629" s="45" t="n">
        <f aca="false">IF(D1629="Sale",E1629*M1629,0)</f>
        <v>210</v>
      </c>
      <c r="P1629" s="45" t="n">
        <f aca="false">N1629-O1629</f>
        <v>120</v>
      </c>
      <c r="Q1629" s="45" t="n">
        <f aca="false">IF(D1629="Purchase",E1629*M1629,0)</f>
        <v>0</v>
      </c>
    </row>
    <row r="1630" customFormat="false" ht="15" hidden="false" customHeight="false" outlineLevel="0" collapsed="false">
      <c r="A1630" s="39" t="s">
        <v>1954</v>
      </c>
      <c r="B1630" s="44" t="n">
        <v>46281</v>
      </c>
      <c r="C1630" s="39" t="s">
        <v>147</v>
      </c>
      <c r="D1630" s="39" t="s">
        <v>138</v>
      </c>
      <c r="E1630" s="39" t="n">
        <v>25</v>
      </c>
      <c r="F1630" s="39" t="str">
        <f aca="false">IF(COUNTIF(medicine_master!$A$2:$A$26,C1630)&gt;0,"Valid","Invalid")</f>
        <v>Valid</v>
      </c>
      <c r="G1630" s="39" t="str">
        <f aca="false">IFERROR(INDEX(medicine_master!$B$2:$B$26,MATCH($C1630,medicine_master!$A$2:$A$26,0)),"Not found")</f>
        <v>Insulin Injection</v>
      </c>
      <c r="H1630" s="39" t="str">
        <f aca="false">IFERROR(INDEX(medicine_master!$C$2:$C$26,MATCH($C1630,medicine_master!$A$2:$A$26,0)),"Not found")</f>
        <v>Diabetes</v>
      </c>
      <c r="I1630" s="39" t="n">
        <f aca="false">YEAR(B1630)</f>
        <v>2026</v>
      </c>
      <c r="J1630" s="39" t="n">
        <f aca="false">MONTH(B1630)</f>
        <v>9</v>
      </c>
      <c r="K1630" s="39" t="str">
        <f aca="false">TEXT(B1630,"mmm")</f>
        <v>Sep</v>
      </c>
      <c r="L1630" s="45" t="n">
        <f aca="false">IFERROR(INDEX(medicine_master!$I$2:$I$26,MATCH($C1630,medicine_master!$A$2:$A$26,0)),0)</f>
        <v>225</v>
      </c>
      <c r="M1630" s="45" t="n">
        <f aca="false">IFERROR(INDEX(medicine_master!$G$2:$G$26,MATCH($C1630,medicine_master!$A$2:$A$26,0)),0)</f>
        <v>165</v>
      </c>
      <c r="N1630" s="45" t="n">
        <f aca="false">IF(D1630="Sale",E1630*L1630,0)</f>
        <v>0</v>
      </c>
      <c r="O1630" s="45" t="n">
        <f aca="false">IF(D1630="Sale",E1630*M1630,0)</f>
        <v>0</v>
      </c>
      <c r="P1630" s="45" t="n">
        <f aca="false">N1630-O1630</f>
        <v>0</v>
      </c>
      <c r="Q1630" s="45" t="n">
        <f aca="false">IF(D1630="Purchase",E1630*M1630,0)</f>
        <v>4125</v>
      </c>
    </row>
    <row r="1631" customFormat="false" ht="15" hidden="false" customHeight="false" outlineLevel="0" collapsed="false">
      <c r="A1631" s="39" t="s">
        <v>1955</v>
      </c>
      <c r="B1631" s="44" t="n">
        <v>46349</v>
      </c>
      <c r="C1631" s="39" t="s">
        <v>390</v>
      </c>
      <c r="D1631" s="39" t="s">
        <v>137</v>
      </c>
      <c r="E1631" s="39" t="n">
        <v>25</v>
      </c>
      <c r="F1631" s="39" t="str">
        <f aca="false">IF(COUNTIF(medicine_master!$A$2:$A$26,C1631)&gt;0,"Valid","Invalid")</f>
        <v>Valid</v>
      </c>
      <c r="G1631" s="39" t="str">
        <f aca="false">IFERROR(INDEX(medicine_master!$B$2:$B$26,MATCH($C1631,medicine_master!$A$2:$A$26,0)),"Not found")</f>
        <v>Montelukast 10mg</v>
      </c>
      <c r="H1631" s="39" t="str">
        <f aca="false">IFERROR(INDEX(medicine_master!$C$2:$C$26,MATCH($C1631,medicine_master!$A$2:$A$26,0)),"Not found")</f>
        <v>Allergy</v>
      </c>
      <c r="I1631" s="39" t="n">
        <f aca="false">YEAR(B1631)</f>
        <v>2026</v>
      </c>
      <c r="J1631" s="39" t="n">
        <f aca="false">MONTH(B1631)</f>
        <v>11</v>
      </c>
      <c r="K1631" s="39" t="str">
        <f aca="false">TEXT(B1631,"mmm")</f>
        <v>Nov</v>
      </c>
      <c r="L1631" s="45" t="n">
        <f aca="false">IFERROR(INDEX(medicine_master!$I$2:$I$26,MATCH($C1631,medicine_master!$A$2:$A$26,0)),0)</f>
        <v>39</v>
      </c>
      <c r="M1631" s="45" t="n">
        <f aca="false">IFERROR(INDEX(medicine_master!$G$2:$G$26,MATCH($C1631,medicine_master!$A$2:$A$26,0)),0)</f>
        <v>27</v>
      </c>
      <c r="N1631" s="45" t="n">
        <f aca="false">IF(D1631="Sale",E1631*L1631,0)</f>
        <v>975</v>
      </c>
      <c r="O1631" s="45" t="n">
        <f aca="false">IF(D1631="Sale",E1631*M1631,0)</f>
        <v>675</v>
      </c>
      <c r="P1631" s="45" t="n">
        <f aca="false">N1631-O1631</f>
        <v>300</v>
      </c>
      <c r="Q1631" s="45" t="n">
        <f aca="false">IF(D1631="Purchase",E1631*M1631,0)</f>
        <v>0</v>
      </c>
    </row>
    <row r="1632" customFormat="false" ht="15" hidden="false" customHeight="false" outlineLevel="0" collapsed="false">
      <c r="A1632" s="39" t="s">
        <v>1956</v>
      </c>
      <c r="B1632" s="44" t="n">
        <v>46184</v>
      </c>
      <c r="C1632" s="39" t="s">
        <v>151</v>
      </c>
      <c r="D1632" s="39" t="s">
        <v>138</v>
      </c>
      <c r="E1632" s="39" t="n">
        <v>15</v>
      </c>
      <c r="F1632" s="39" t="str">
        <f aca="false">IF(COUNTIF(medicine_master!$A$2:$A$26,C1632)&gt;0,"Valid","Invalid")</f>
        <v>Valid</v>
      </c>
      <c r="G1632" s="39" t="str">
        <f aca="false">IFERROR(INDEX(medicine_master!$B$2:$B$26,MATCH($C1632,medicine_master!$A$2:$A$26,0)),"Not found")</f>
        <v>Cetirizine 10mg</v>
      </c>
      <c r="H1632" s="39" t="str">
        <f aca="false">IFERROR(INDEX(medicine_master!$C$2:$C$26,MATCH($C1632,medicine_master!$A$2:$A$26,0)),"Not found")</f>
        <v>Allergy</v>
      </c>
      <c r="I1632" s="39" t="n">
        <f aca="false">YEAR(B1632)</f>
        <v>2026</v>
      </c>
      <c r="J1632" s="39" t="n">
        <f aca="false">MONTH(B1632)</f>
        <v>6</v>
      </c>
      <c r="K1632" s="39" t="str">
        <f aca="false">TEXT(B1632,"mmm")</f>
        <v>Jun</v>
      </c>
      <c r="L1632" s="45" t="n">
        <f aca="false">IFERROR(INDEX(medicine_master!$I$2:$I$26,MATCH($C1632,medicine_master!$A$2:$A$26,0)),0)</f>
        <v>13</v>
      </c>
      <c r="M1632" s="45" t="n">
        <f aca="false">IFERROR(INDEX(medicine_master!$G$2:$G$26,MATCH($C1632,medicine_master!$A$2:$A$26,0)),0)</f>
        <v>8</v>
      </c>
      <c r="N1632" s="45" t="n">
        <f aca="false">IF(D1632="Sale",E1632*L1632,0)</f>
        <v>0</v>
      </c>
      <c r="O1632" s="45" t="n">
        <f aca="false">IF(D1632="Sale",E1632*M1632,0)</f>
        <v>0</v>
      </c>
      <c r="P1632" s="45" t="n">
        <f aca="false">N1632-O1632</f>
        <v>0</v>
      </c>
      <c r="Q1632" s="45" t="n">
        <f aca="false">IF(D1632="Purchase",E1632*M1632,0)</f>
        <v>120</v>
      </c>
    </row>
    <row r="1633" customFormat="false" ht="15" hidden="false" customHeight="false" outlineLevel="0" collapsed="false">
      <c r="A1633" s="39" t="s">
        <v>1957</v>
      </c>
      <c r="B1633" s="44" t="n">
        <v>46349</v>
      </c>
      <c r="C1633" s="39" t="s">
        <v>167</v>
      </c>
      <c r="D1633" s="39" t="s">
        <v>138</v>
      </c>
      <c r="E1633" s="39" t="n">
        <v>10</v>
      </c>
      <c r="F1633" s="39" t="str">
        <f aca="false">IF(COUNTIF(medicine_master!$A$2:$A$26,C1633)&gt;0,"Valid","Invalid")</f>
        <v>Valid</v>
      </c>
      <c r="G1633" s="39" t="str">
        <f aca="false">IFERROR(INDEX(medicine_master!$B$2:$B$26,MATCH($C1633,medicine_master!$A$2:$A$26,0)),"Not found")</f>
        <v>Amlodipine 5mg</v>
      </c>
      <c r="H1633" s="39" t="str">
        <f aca="false">IFERROR(INDEX(medicine_master!$C$2:$C$26,MATCH($C1633,medicine_master!$A$2:$A$26,0)),"Not found")</f>
        <v>Cardiac</v>
      </c>
      <c r="I1633" s="39" t="n">
        <f aca="false">YEAR(B1633)</f>
        <v>2026</v>
      </c>
      <c r="J1633" s="39" t="n">
        <f aca="false">MONTH(B1633)</f>
        <v>11</v>
      </c>
      <c r="K1633" s="39" t="str">
        <f aca="false">TEXT(B1633,"mmm")</f>
        <v>Nov</v>
      </c>
      <c r="L1633" s="45" t="n">
        <f aca="false">IFERROR(INDEX(medicine_master!$I$2:$I$26,MATCH($C1633,medicine_master!$A$2:$A$26,0)),0)</f>
        <v>19</v>
      </c>
      <c r="M1633" s="45" t="n">
        <f aca="false">IFERROR(INDEX(medicine_master!$G$2:$G$26,MATCH($C1633,medicine_master!$A$2:$A$26,0)),0)</f>
        <v>13</v>
      </c>
      <c r="N1633" s="45" t="n">
        <f aca="false">IF(D1633="Sale",E1633*L1633,0)</f>
        <v>0</v>
      </c>
      <c r="O1633" s="45" t="n">
        <f aca="false">IF(D1633="Sale",E1633*M1633,0)</f>
        <v>0</v>
      </c>
      <c r="P1633" s="45" t="n">
        <f aca="false">N1633-O1633</f>
        <v>0</v>
      </c>
      <c r="Q1633" s="45" t="n">
        <f aca="false">IF(D1633="Purchase",E1633*M1633,0)</f>
        <v>130</v>
      </c>
    </row>
    <row r="1634" customFormat="false" ht="15" hidden="false" customHeight="false" outlineLevel="0" collapsed="false">
      <c r="A1634" s="39" t="s">
        <v>1958</v>
      </c>
      <c r="B1634" s="44" t="n">
        <v>46042</v>
      </c>
      <c r="C1634" s="39" t="s">
        <v>178</v>
      </c>
      <c r="D1634" s="39" t="s">
        <v>138</v>
      </c>
      <c r="E1634" s="39" t="n">
        <v>20</v>
      </c>
      <c r="F1634" s="39" t="str">
        <f aca="false">IF(COUNTIF(medicine_master!$A$2:$A$26,C1634)&gt;0,"Valid","Invalid")</f>
        <v>Valid</v>
      </c>
      <c r="G1634" s="39" t="str">
        <f aca="false">IFERROR(INDEX(medicine_master!$B$2:$B$26,MATCH($C1634,medicine_master!$A$2:$A$26,0)),"Not found")</f>
        <v>Aspirin 75mg</v>
      </c>
      <c r="H1634" s="39" t="str">
        <f aca="false">IFERROR(INDEX(medicine_master!$C$2:$C$26,MATCH($C1634,medicine_master!$A$2:$A$26,0)),"Not found")</f>
        <v>Cardiac</v>
      </c>
      <c r="I1634" s="39" t="n">
        <f aca="false">YEAR(B1634)</f>
        <v>2026</v>
      </c>
      <c r="J1634" s="39" t="n">
        <f aca="false">MONTH(B1634)</f>
        <v>1</v>
      </c>
      <c r="K1634" s="39" t="str">
        <f aca="false">TEXT(B1634,"mmm")</f>
        <v>Jan</v>
      </c>
      <c r="L1634" s="45" t="n">
        <f aca="false">IFERROR(INDEX(medicine_master!$I$2:$I$26,MATCH($C1634,medicine_master!$A$2:$A$26,0)),0)</f>
        <v>15</v>
      </c>
      <c r="M1634" s="45" t="n">
        <f aca="false">IFERROR(INDEX(medicine_master!$G$2:$G$26,MATCH($C1634,medicine_master!$A$2:$A$26,0)),0)</f>
        <v>10</v>
      </c>
      <c r="N1634" s="45" t="n">
        <f aca="false">IF(D1634="Sale",E1634*L1634,0)</f>
        <v>0</v>
      </c>
      <c r="O1634" s="45" t="n">
        <f aca="false">IF(D1634="Sale",E1634*M1634,0)</f>
        <v>0</v>
      </c>
      <c r="P1634" s="45" t="n">
        <f aca="false">N1634-O1634</f>
        <v>0</v>
      </c>
      <c r="Q1634" s="45" t="n">
        <f aca="false">IF(D1634="Purchase",E1634*M1634,0)</f>
        <v>200</v>
      </c>
    </row>
    <row r="1635" customFormat="false" ht="15" hidden="false" customHeight="false" outlineLevel="0" collapsed="false">
      <c r="A1635" s="39" t="s">
        <v>1959</v>
      </c>
      <c r="B1635" s="44" t="n">
        <v>46221</v>
      </c>
      <c r="C1635" s="39" t="s">
        <v>180</v>
      </c>
      <c r="D1635" s="39" t="s">
        <v>137</v>
      </c>
      <c r="E1635" s="39" t="n">
        <v>40</v>
      </c>
      <c r="F1635" s="39" t="str">
        <f aca="false">IF(COUNTIF(medicine_master!$A$2:$A$26,C1635)&gt;0,"Valid","Invalid")</f>
        <v>Valid</v>
      </c>
      <c r="G1635" s="39" t="str">
        <f aca="false">IFERROR(INDEX(medicine_master!$B$2:$B$26,MATCH($C1635,medicine_master!$A$2:$A$26,0)),"Not found")</f>
        <v>Vitamin C 500mg</v>
      </c>
      <c r="H1635" s="39" t="str">
        <f aca="false">IFERROR(INDEX(medicine_master!$C$2:$C$26,MATCH($C1635,medicine_master!$A$2:$A$26,0)),"Not found")</f>
        <v>Vitamin</v>
      </c>
      <c r="I1635" s="39" t="n">
        <f aca="false">YEAR(B1635)</f>
        <v>2026</v>
      </c>
      <c r="J1635" s="39" t="n">
        <f aca="false">MONTH(B1635)</f>
        <v>7</v>
      </c>
      <c r="K1635" s="39" t="str">
        <f aca="false">TEXT(B1635,"mmm")</f>
        <v>Jul</v>
      </c>
      <c r="L1635" s="45" t="n">
        <f aca="false">IFERROR(INDEX(medicine_master!$I$2:$I$26,MATCH($C1635,medicine_master!$A$2:$A$26,0)),0)</f>
        <v>22</v>
      </c>
      <c r="M1635" s="45" t="n">
        <f aca="false">IFERROR(INDEX(medicine_master!$G$2:$G$26,MATCH($C1635,medicine_master!$A$2:$A$26,0)),0)</f>
        <v>14</v>
      </c>
      <c r="N1635" s="45" t="n">
        <f aca="false">IF(D1635="Sale",E1635*L1635,0)</f>
        <v>880</v>
      </c>
      <c r="O1635" s="45" t="n">
        <f aca="false">IF(D1635="Sale",E1635*M1635,0)</f>
        <v>560</v>
      </c>
      <c r="P1635" s="45" t="n">
        <f aca="false">N1635-O1635</f>
        <v>320</v>
      </c>
      <c r="Q1635" s="45" t="n">
        <f aca="false">IF(D1635="Purchase",E1635*M1635,0)</f>
        <v>0</v>
      </c>
    </row>
    <row r="1636" customFormat="false" ht="15" hidden="false" customHeight="false" outlineLevel="0" collapsed="false">
      <c r="A1636" s="39" t="s">
        <v>1960</v>
      </c>
      <c r="B1636" s="44" t="n">
        <v>46113</v>
      </c>
      <c r="C1636" s="39" t="s">
        <v>153</v>
      </c>
      <c r="D1636" s="39" t="s">
        <v>137</v>
      </c>
      <c r="E1636" s="39" t="n">
        <v>30</v>
      </c>
      <c r="F1636" s="39" t="str">
        <f aca="false">IF(COUNTIF(medicine_master!$A$2:$A$26,C1636)&gt;0,"Valid","Invalid")</f>
        <v>Valid</v>
      </c>
      <c r="G1636" s="39" t="str">
        <f aca="false">IFERROR(INDEX(medicine_master!$B$2:$B$26,MATCH($C1636,medicine_master!$A$2:$A$26,0)),"Not found")</f>
        <v>Atorvastatin 10mg</v>
      </c>
      <c r="H1636" s="39" t="str">
        <f aca="false">IFERROR(INDEX(medicine_master!$C$2:$C$26,MATCH($C1636,medicine_master!$A$2:$A$26,0)),"Not found")</f>
        <v>Cardiac</v>
      </c>
      <c r="I1636" s="39" t="n">
        <f aca="false">YEAR(B1636)</f>
        <v>2026</v>
      </c>
      <c r="J1636" s="39" t="n">
        <f aca="false">MONTH(B1636)</f>
        <v>4</v>
      </c>
      <c r="K1636" s="39" t="str">
        <f aca="false">TEXT(B1636,"mmm")</f>
        <v>Apr</v>
      </c>
      <c r="L1636" s="45" t="n">
        <f aca="false">IFERROR(INDEX(medicine_master!$I$2:$I$26,MATCH($C1636,medicine_master!$A$2:$A$26,0)),0)</f>
        <v>28</v>
      </c>
      <c r="M1636" s="45" t="n">
        <f aca="false">IFERROR(INDEX(medicine_master!$G$2:$G$26,MATCH($C1636,medicine_master!$A$2:$A$26,0)),0)</f>
        <v>19</v>
      </c>
      <c r="N1636" s="45" t="n">
        <f aca="false">IF(D1636="Sale",E1636*L1636,0)</f>
        <v>840</v>
      </c>
      <c r="O1636" s="45" t="n">
        <f aca="false">IF(D1636="Sale",E1636*M1636,0)</f>
        <v>570</v>
      </c>
      <c r="P1636" s="45" t="n">
        <f aca="false">N1636-O1636</f>
        <v>270</v>
      </c>
      <c r="Q1636" s="45" t="n">
        <f aca="false">IF(D1636="Purchase",E1636*M1636,0)</f>
        <v>0</v>
      </c>
    </row>
    <row r="1637" customFormat="false" ht="15" hidden="false" customHeight="false" outlineLevel="0" collapsed="false">
      <c r="A1637" s="39" t="s">
        <v>1961</v>
      </c>
      <c r="B1637" s="44" t="n">
        <v>46236</v>
      </c>
      <c r="C1637" s="39" t="s">
        <v>146</v>
      </c>
      <c r="D1637" s="39" t="s">
        <v>138</v>
      </c>
      <c r="E1637" s="39" t="n">
        <v>25</v>
      </c>
      <c r="F1637" s="39" t="str">
        <f aca="false">IF(COUNTIF(medicine_master!$A$2:$A$26,C1637)&gt;0,"Valid","Invalid")</f>
        <v>Valid</v>
      </c>
      <c r="G1637" s="39" t="str">
        <f aca="false">IFERROR(INDEX(medicine_master!$B$2:$B$26,MATCH($C1637,medicine_master!$A$2:$A$26,0)),"Not found")</f>
        <v>Diclofenac Gel</v>
      </c>
      <c r="H1637" s="39" t="str">
        <f aca="false">IFERROR(INDEX(medicine_master!$C$2:$C$26,MATCH($C1637,medicine_master!$A$2:$A$26,0)),"Not found")</f>
        <v>Pain Relief</v>
      </c>
      <c r="I1637" s="39" t="n">
        <f aca="false">YEAR(B1637)</f>
        <v>2026</v>
      </c>
      <c r="J1637" s="39" t="n">
        <f aca="false">MONTH(B1637)</f>
        <v>8</v>
      </c>
      <c r="K1637" s="39" t="str">
        <f aca="false">TEXT(B1637,"mmm")</f>
        <v>Aug</v>
      </c>
      <c r="L1637" s="45" t="n">
        <f aca="false">IFERROR(INDEX(medicine_master!$I$2:$I$26,MATCH($C1637,medicine_master!$A$2:$A$26,0)),0)</f>
        <v>55</v>
      </c>
      <c r="M1637" s="45" t="n">
        <f aca="false">IFERROR(INDEX(medicine_master!$G$2:$G$26,MATCH($C1637,medicine_master!$A$2:$A$26,0)),0)</f>
        <v>38</v>
      </c>
      <c r="N1637" s="45" t="n">
        <f aca="false">IF(D1637="Sale",E1637*L1637,0)</f>
        <v>0</v>
      </c>
      <c r="O1637" s="45" t="n">
        <f aca="false">IF(D1637="Sale",E1637*M1637,0)</f>
        <v>0</v>
      </c>
      <c r="P1637" s="45" t="n">
        <f aca="false">N1637-O1637</f>
        <v>0</v>
      </c>
      <c r="Q1637" s="45" t="n">
        <f aca="false">IF(D1637="Purchase",E1637*M1637,0)</f>
        <v>950</v>
      </c>
    </row>
    <row r="1638" customFormat="false" ht="15" hidden="false" customHeight="false" outlineLevel="0" collapsed="false">
      <c r="A1638" s="39" t="s">
        <v>1962</v>
      </c>
      <c r="B1638" s="44" t="n">
        <v>46371</v>
      </c>
      <c r="C1638" s="39" t="s">
        <v>157</v>
      </c>
      <c r="D1638" s="39" t="s">
        <v>137</v>
      </c>
      <c r="E1638" s="39" t="n">
        <v>25</v>
      </c>
      <c r="F1638" s="39" t="str">
        <f aca="false">IF(COUNTIF(medicine_master!$A$2:$A$26,C1638)&gt;0,"Valid","Invalid")</f>
        <v>Valid</v>
      </c>
      <c r="G1638" s="39" t="str">
        <f aca="false">IFERROR(INDEX(medicine_master!$B$2:$B$26,MATCH($C1638,medicine_master!$A$2:$A$26,0)),"Not found")</f>
        <v>Multivitamin Tablets</v>
      </c>
      <c r="H1638" s="39" t="str">
        <f aca="false">IFERROR(INDEX(medicine_master!$C$2:$C$26,MATCH($C1638,medicine_master!$A$2:$A$26,0)),"Not found")</f>
        <v>Vitamin</v>
      </c>
      <c r="I1638" s="39" t="n">
        <f aca="false">YEAR(B1638)</f>
        <v>2026</v>
      </c>
      <c r="J1638" s="39" t="n">
        <f aca="false">MONTH(B1638)</f>
        <v>12</v>
      </c>
      <c r="K1638" s="39" t="str">
        <f aca="false">TEXT(B1638,"mmm")</f>
        <v>Dec</v>
      </c>
      <c r="L1638" s="45" t="n">
        <f aca="false">IFERROR(INDEX(medicine_master!$I$2:$I$26,MATCH($C1638,medicine_master!$A$2:$A$26,0)),0)</f>
        <v>105</v>
      </c>
      <c r="M1638" s="45" t="n">
        <f aca="false">IFERROR(INDEX(medicine_master!$G$2:$G$26,MATCH($C1638,medicine_master!$A$2:$A$26,0)),0)</f>
        <v>72</v>
      </c>
      <c r="N1638" s="45" t="n">
        <f aca="false">IF(D1638="Sale",E1638*L1638,0)</f>
        <v>2625</v>
      </c>
      <c r="O1638" s="45" t="n">
        <f aca="false">IF(D1638="Sale",E1638*M1638,0)</f>
        <v>1800</v>
      </c>
      <c r="P1638" s="45" t="n">
        <f aca="false">N1638-O1638</f>
        <v>825</v>
      </c>
      <c r="Q1638" s="45" t="n">
        <f aca="false">IF(D1638="Purchase",E1638*M1638,0)</f>
        <v>0</v>
      </c>
    </row>
    <row r="1639" customFormat="false" ht="15" hidden="false" customHeight="false" outlineLevel="0" collapsed="false">
      <c r="A1639" s="39" t="s">
        <v>1963</v>
      </c>
      <c r="B1639" s="44" t="n">
        <v>46300</v>
      </c>
      <c r="C1639" s="39" t="s">
        <v>160</v>
      </c>
      <c r="D1639" s="39" t="s">
        <v>137</v>
      </c>
      <c r="E1639" s="39" t="n">
        <v>5</v>
      </c>
      <c r="F1639" s="39" t="str">
        <f aca="false">IF(COUNTIF(medicine_master!$A$2:$A$26,C1639)&gt;0,"Valid","Invalid")</f>
        <v>Valid</v>
      </c>
      <c r="G1639" s="39" t="str">
        <f aca="false">IFERROR(INDEX(medicine_master!$B$2:$B$26,MATCH($C1639,medicine_master!$A$2:$A$26,0)),"Not found")</f>
        <v>Calamine Lotion</v>
      </c>
      <c r="H1639" s="39" t="str">
        <f aca="false">IFERROR(INDEX(medicine_master!$C$2:$C$26,MATCH($C1639,medicine_master!$A$2:$A$26,0)),"Not found")</f>
        <v>Dermatology</v>
      </c>
      <c r="I1639" s="39" t="n">
        <f aca="false">YEAR(B1639)</f>
        <v>2026</v>
      </c>
      <c r="J1639" s="39" t="n">
        <f aca="false">MONTH(B1639)</f>
        <v>10</v>
      </c>
      <c r="K1639" s="39" t="str">
        <f aca="false">TEXT(B1639,"mmm")</f>
        <v>Oct</v>
      </c>
      <c r="L1639" s="45" t="n">
        <f aca="false">IFERROR(INDEX(medicine_master!$I$2:$I$26,MATCH($C1639,medicine_master!$A$2:$A$26,0)),0)</f>
        <v>60</v>
      </c>
      <c r="M1639" s="45" t="n">
        <f aca="false">IFERROR(INDEX(medicine_master!$G$2:$G$26,MATCH($C1639,medicine_master!$A$2:$A$26,0)),0)</f>
        <v>42</v>
      </c>
      <c r="N1639" s="45" t="n">
        <f aca="false">IF(D1639="Sale",E1639*L1639,0)</f>
        <v>300</v>
      </c>
      <c r="O1639" s="45" t="n">
        <f aca="false">IF(D1639="Sale",E1639*M1639,0)</f>
        <v>210</v>
      </c>
      <c r="P1639" s="45" t="n">
        <f aca="false">N1639-O1639</f>
        <v>90</v>
      </c>
      <c r="Q1639" s="45" t="n">
        <f aca="false">IF(D1639="Purchase",E1639*M1639,0)</f>
        <v>0</v>
      </c>
    </row>
    <row r="1640" customFormat="false" ht="15" hidden="false" customHeight="false" outlineLevel="0" collapsed="false">
      <c r="A1640" s="39" t="s">
        <v>1964</v>
      </c>
      <c r="B1640" s="44" t="n">
        <v>46188</v>
      </c>
      <c r="C1640" s="39" t="s">
        <v>321</v>
      </c>
      <c r="D1640" s="39" t="s">
        <v>138</v>
      </c>
      <c r="E1640" s="39" t="n">
        <v>20</v>
      </c>
      <c r="F1640" s="39" t="str">
        <f aca="false">IF(COUNTIF(medicine_master!$A$2:$A$26,C1640)&gt;0,"Valid","Invalid")</f>
        <v>Valid</v>
      </c>
      <c r="G1640" s="39" t="str">
        <f aca="false">IFERROR(INDEX(medicine_master!$B$2:$B$26,MATCH($C1640,medicine_master!$A$2:$A$26,0)),"Not found")</f>
        <v>Levocetirizine 5mg</v>
      </c>
      <c r="H1640" s="39" t="str">
        <f aca="false">IFERROR(INDEX(medicine_master!$C$2:$C$26,MATCH($C1640,medicine_master!$A$2:$A$26,0)),"Not found")</f>
        <v>Allergy</v>
      </c>
      <c r="I1640" s="39" t="n">
        <f aca="false">YEAR(B1640)</f>
        <v>2026</v>
      </c>
      <c r="J1640" s="39" t="n">
        <f aca="false">MONTH(B1640)</f>
        <v>6</v>
      </c>
      <c r="K1640" s="39" t="str">
        <f aca="false">TEXT(B1640,"mmm")</f>
        <v>Jun</v>
      </c>
      <c r="L1640" s="45" t="n">
        <f aca="false">IFERROR(INDEX(medicine_master!$I$2:$I$26,MATCH($C1640,medicine_master!$A$2:$A$26,0)),0)</f>
        <v>22</v>
      </c>
      <c r="M1640" s="45" t="n">
        <f aca="false">IFERROR(INDEX(medicine_master!$G$2:$G$26,MATCH($C1640,medicine_master!$A$2:$A$26,0)),0)</f>
        <v>14</v>
      </c>
      <c r="N1640" s="45" t="n">
        <f aca="false">IF(D1640="Sale",E1640*L1640,0)</f>
        <v>0</v>
      </c>
      <c r="O1640" s="45" t="n">
        <f aca="false">IF(D1640="Sale",E1640*M1640,0)</f>
        <v>0</v>
      </c>
      <c r="P1640" s="45" t="n">
        <f aca="false">N1640-O1640</f>
        <v>0</v>
      </c>
      <c r="Q1640" s="45" t="n">
        <f aca="false">IF(D1640="Purchase",E1640*M1640,0)</f>
        <v>280</v>
      </c>
    </row>
    <row r="1641" customFormat="false" ht="15" hidden="false" customHeight="false" outlineLevel="0" collapsed="false">
      <c r="A1641" s="39" t="s">
        <v>1965</v>
      </c>
      <c r="B1641" s="44" t="n">
        <v>46342</v>
      </c>
      <c r="C1641" s="39" t="s">
        <v>150</v>
      </c>
      <c r="D1641" s="39" t="s">
        <v>138</v>
      </c>
      <c r="E1641" s="39" t="n">
        <v>20</v>
      </c>
      <c r="F1641" s="39" t="str">
        <f aca="false">IF(COUNTIF(medicine_master!$A$2:$A$26,C1641)&gt;0,"Valid","Invalid")</f>
        <v>Valid</v>
      </c>
      <c r="G1641" s="39" t="str">
        <f aca="false">IFERROR(INDEX(medicine_master!$B$2:$B$26,MATCH($C1641,medicine_master!$A$2:$A$26,0)),"Not found")</f>
        <v>Pantoprazole 40mg</v>
      </c>
      <c r="H1641" s="39" t="str">
        <f aca="false">IFERROR(INDEX(medicine_master!$C$2:$C$26,MATCH($C1641,medicine_master!$A$2:$A$26,0)),"Not found")</f>
        <v>Gastric</v>
      </c>
      <c r="I1641" s="39" t="n">
        <f aca="false">YEAR(B1641)</f>
        <v>2026</v>
      </c>
      <c r="J1641" s="39" t="n">
        <f aca="false">MONTH(B1641)</f>
        <v>11</v>
      </c>
      <c r="K1641" s="39" t="str">
        <f aca="false">TEXT(B1641,"mmm")</f>
        <v>Nov</v>
      </c>
      <c r="L1641" s="45" t="n">
        <f aca="false">IFERROR(INDEX(medicine_master!$I$2:$I$26,MATCH($C1641,medicine_master!$A$2:$A$26,0)),0)</f>
        <v>35</v>
      </c>
      <c r="M1641" s="45" t="n">
        <f aca="false">IFERROR(INDEX(medicine_master!$G$2:$G$26,MATCH($C1641,medicine_master!$A$2:$A$26,0)),0)</f>
        <v>24</v>
      </c>
      <c r="N1641" s="45" t="n">
        <f aca="false">IF(D1641="Sale",E1641*L1641,0)</f>
        <v>0</v>
      </c>
      <c r="O1641" s="45" t="n">
        <f aca="false">IF(D1641="Sale",E1641*M1641,0)</f>
        <v>0</v>
      </c>
      <c r="P1641" s="45" t="n">
        <f aca="false">N1641-O1641</f>
        <v>0</v>
      </c>
      <c r="Q1641" s="45" t="n">
        <f aca="false">IF(D1641="Purchase",E1641*M1641,0)</f>
        <v>480</v>
      </c>
    </row>
    <row r="1642" customFormat="false" ht="15" hidden="false" customHeight="false" outlineLevel="0" collapsed="false">
      <c r="A1642" s="39" t="s">
        <v>1966</v>
      </c>
      <c r="B1642" s="44" t="n">
        <v>46322</v>
      </c>
      <c r="C1642" s="39" t="s">
        <v>160</v>
      </c>
      <c r="D1642" s="39" t="s">
        <v>138</v>
      </c>
      <c r="E1642" s="39" t="n">
        <v>10</v>
      </c>
      <c r="F1642" s="39" t="str">
        <f aca="false">IF(COUNTIF(medicine_master!$A$2:$A$26,C1642)&gt;0,"Valid","Invalid")</f>
        <v>Valid</v>
      </c>
      <c r="G1642" s="39" t="str">
        <f aca="false">IFERROR(INDEX(medicine_master!$B$2:$B$26,MATCH($C1642,medicine_master!$A$2:$A$26,0)),"Not found")</f>
        <v>Calamine Lotion</v>
      </c>
      <c r="H1642" s="39" t="str">
        <f aca="false">IFERROR(INDEX(medicine_master!$C$2:$C$26,MATCH($C1642,medicine_master!$A$2:$A$26,0)),"Not found")</f>
        <v>Dermatology</v>
      </c>
      <c r="I1642" s="39" t="n">
        <f aca="false">YEAR(B1642)</f>
        <v>2026</v>
      </c>
      <c r="J1642" s="39" t="n">
        <f aca="false">MONTH(B1642)</f>
        <v>10</v>
      </c>
      <c r="K1642" s="39" t="str">
        <f aca="false">TEXT(B1642,"mmm")</f>
        <v>Oct</v>
      </c>
      <c r="L1642" s="45" t="n">
        <f aca="false">IFERROR(INDEX(medicine_master!$I$2:$I$26,MATCH($C1642,medicine_master!$A$2:$A$26,0)),0)</f>
        <v>60</v>
      </c>
      <c r="M1642" s="45" t="n">
        <f aca="false">IFERROR(INDEX(medicine_master!$G$2:$G$26,MATCH($C1642,medicine_master!$A$2:$A$26,0)),0)</f>
        <v>42</v>
      </c>
      <c r="N1642" s="45" t="n">
        <f aca="false">IF(D1642="Sale",E1642*L1642,0)</f>
        <v>0</v>
      </c>
      <c r="O1642" s="45" t="n">
        <f aca="false">IF(D1642="Sale",E1642*M1642,0)</f>
        <v>0</v>
      </c>
      <c r="P1642" s="45" t="n">
        <f aca="false">N1642-O1642</f>
        <v>0</v>
      </c>
      <c r="Q1642" s="45" t="n">
        <f aca="false">IF(D1642="Purchase",E1642*M1642,0)</f>
        <v>420</v>
      </c>
    </row>
    <row r="1643" customFormat="false" ht="15" hidden="false" customHeight="false" outlineLevel="0" collapsed="false">
      <c r="A1643" s="39" t="s">
        <v>1967</v>
      </c>
      <c r="B1643" s="44" t="n">
        <v>46380</v>
      </c>
      <c r="C1643" s="39" t="s">
        <v>151</v>
      </c>
      <c r="D1643" s="39" t="s">
        <v>137</v>
      </c>
      <c r="E1643" s="39" t="n">
        <v>20</v>
      </c>
      <c r="F1643" s="39" t="str">
        <f aca="false">IF(COUNTIF(medicine_master!$A$2:$A$26,C1643)&gt;0,"Valid","Invalid")</f>
        <v>Valid</v>
      </c>
      <c r="G1643" s="39" t="str">
        <f aca="false">IFERROR(INDEX(medicine_master!$B$2:$B$26,MATCH($C1643,medicine_master!$A$2:$A$26,0)),"Not found")</f>
        <v>Cetirizine 10mg</v>
      </c>
      <c r="H1643" s="39" t="str">
        <f aca="false">IFERROR(INDEX(medicine_master!$C$2:$C$26,MATCH($C1643,medicine_master!$A$2:$A$26,0)),"Not found")</f>
        <v>Allergy</v>
      </c>
      <c r="I1643" s="39" t="n">
        <f aca="false">YEAR(B1643)</f>
        <v>2026</v>
      </c>
      <c r="J1643" s="39" t="n">
        <f aca="false">MONTH(B1643)</f>
        <v>12</v>
      </c>
      <c r="K1643" s="39" t="str">
        <f aca="false">TEXT(B1643,"mmm")</f>
        <v>Dec</v>
      </c>
      <c r="L1643" s="45" t="n">
        <f aca="false">IFERROR(INDEX(medicine_master!$I$2:$I$26,MATCH($C1643,medicine_master!$A$2:$A$26,0)),0)</f>
        <v>13</v>
      </c>
      <c r="M1643" s="45" t="n">
        <f aca="false">IFERROR(INDEX(medicine_master!$G$2:$G$26,MATCH($C1643,medicine_master!$A$2:$A$26,0)),0)</f>
        <v>8</v>
      </c>
      <c r="N1643" s="45" t="n">
        <f aca="false">IF(D1643="Sale",E1643*L1643,0)</f>
        <v>260</v>
      </c>
      <c r="O1643" s="45" t="n">
        <f aca="false">IF(D1643="Sale",E1643*M1643,0)</f>
        <v>160</v>
      </c>
      <c r="P1643" s="45" t="n">
        <f aca="false">N1643-O1643</f>
        <v>100</v>
      </c>
      <c r="Q1643" s="45" t="n">
        <f aca="false">IF(D1643="Purchase",E1643*M1643,0)</f>
        <v>0</v>
      </c>
    </row>
    <row r="1644" customFormat="false" ht="15" hidden="false" customHeight="false" outlineLevel="0" collapsed="false">
      <c r="A1644" s="39" t="s">
        <v>1968</v>
      </c>
      <c r="B1644" s="44" t="n">
        <v>46191</v>
      </c>
      <c r="C1644" s="39" t="s">
        <v>177</v>
      </c>
      <c r="D1644" s="39" t="s">
        <v>138</v>
      </c>
      <c r="E1644" s="39" t="n">
        <v>25</v>
      </c>
      <c r="F1644" s="39" t="str">
        <f aca="false">IF(COUNTIF(medicine_master!$A$2:$A$26,C1644)&gt;0,"Valid","Invalid")</f>
        <v>Valid</v>
      </c>
      <c r="G1644" s="39" t="str">
        <f aca="false">IFERROR(INDEX(medicine_master!$B$2:$B$26,MATCH($C1644,medicine_master!$A$2:$A$26,0)),"Not found")</f>
        <v>Bandage Roll</v>
      </c>
      <c r="H1644" s="39" t="str">
        <f aca="false">IFERROR(INDEX(medicine_master!$C$2:$C$26,MATCH($C1644,medicine_master!$A$2:$A$26,0)),"Not found")</f>
        <v>First Aid</v>
      </c>
      <c r="I1644" s="39" t="n">
        <f aca="false">YEAR(B1644)</f>
        <v>2026</v>
      </c>
      <c r="J1644" s="39" t="n">
        <f aca="false">MONTH(B1644)</f>
        <v>6</v>
      </c>
      <c r="K1644" s="39" t="str">
        <f aca="false">TEXT(B1644,"mmm")</f>
        <v>Jun</v>
      </c>
      <c r="L1644" s="45" t="n">
        <f aca="false">IFERROR(INDEX(medicine_master!$I$2:$I$26,MATCH($C1644,medicine_master!$A$2:$A$26,0)),0)</f>
        <v>25</v>
      </c>
      <c r="M1644" s="45" t="n">
        <f aca="false">IFERROR(INDEX(medicine_master!$G$2:$G$26,MATCH($C1644,medicine_master!$A$2:$A$26,0)),0)</f>
        <v>15</v>
      </c>
      <c r="N1644" s="45" t="n">
        <f aca="false">IF(D1644="Sale",E1644*L1644,0)</f>
        <v>0</v>
      </c>
      <c r="O1644" s="45" t="n">
        <f aca="false">IF(D1644="Sale",E1644*M1644,0)</f>
        <v>0</v>
      </c>
      <c r="P1644" s="45" t="n">
        <f aca="false">N1644-O1644</f>
        <v>0</v>
      </c>
      <c r="Q1644" s="45" t="n">
        <f aca="false">IF(D1644="Purchase",E1644*M1644,0)</f>
        <v>375</v>
      </c>
    </row>
    <row r="1645" customFormat="false" ht="15" hidden="false" customHeight="false" outlineLevel="0" collapsed="false">
      <c r="A1645" s="39" t="s">
        <v>1969</v>
      </c>
      <c r="B1645" s="44" t="n">
        <v>46203</v>
      </c>
      <c r="C1645" s="39" t="s">
        <v>180</v>
      </c>
      <c r="D1645" s="39" t="s">
        <v>137</v>
      </c>
      <c r="E1645" s="39" t="n">
        <v>25</v>
      </c>
      <c r="F1645" s="39" t="str">
        <f aca="false">IF(COUNTIF(medicine_master!$A$2:$A$26,C1645)&gt;0,"Valid","Invalid")</f>
        <v>Valid</v>
      </c>
      <c r="G1645" s="39" t="str">
        <f aca="false">IFERROR(INDEX(medicine_master!$B$2:$B$26,MATCH($C1645,medicine_master!$A$2:$A$26,0)),"Not found")</f>
        <v>Vitamin C 500mg</v>
      </c>
      <c r="H1645" s="39" t="str">
        <f aca="false">IFERROR(INDEX(medicine_master!$C$2:$C$26,MATCH($C1645,medicine_master!$A$2:$A$26,0)),"Not found")</f>
        <v>Vitamin</v>
      </c>
      <c r="I1645" s="39" t="n">
        <f aca="false">YEAR(B1645)</f>
        <v>2026</v>
      </c>
      <c r="J1645" s="39" t="n">
        <f aca="false">MONTH(B1645)</f>
        <v>6</v>
      </c>
      <c r="K1645" s="39" t="str">
        <f aca="false">TEXT(B1645,"mmm")</f>
        <v>Jun</v>
      </c>
      <c r="L1645" s="45" t="n">
        <f aca="false">IFERROR(INDEX(medicine_master!$I$2:$I$26,MATCH($C1645,medicine_master!$A$2:$A$26,0)),0)</f>
        <v>22</v>
      </c>
      <c r="M1645" s="45" t="n">
        <f aca="false">IFERROR(INDEX(medicine_master!$G$2:$G$26,MATCH($C1645,medicine_master!$A$2:$A$26,0)),0)</f>
        <v>14</v>
      </c>
      <c r="N1645" s="45" t="n">
        <f aca="false">IF(D1645="Sale",E1645*L1645,0)</f>
        <v>550</v>
      </c>
      <c r="O1645" s="45" t="n">
        <f aca="false">IF(D1645="Sale",E1645*M1645,0)</f>
        <v>350</v>
      </c>
      <c r="P1645" s="45" t="n">
        <f aca="false">N1645-O1645</f>
        <v>200</v>
      </c>
      <c r="Q1645" s="45" t="n">
        <f aca="false">IF(D1645="Purchase",E1645*M1645,0)</f>
        <v>0</v>
      </c>
    </row>
    <row r="1646" customFormat="false" ht="15" hidden="false" customHeight="false" outlineLevel="0" collapsed="false">
      <c r="A1646" s="39" t="s">
        <v>1970</v>
      </c>
      <c r="B1646" s="44" t="n">
        <v>46369</v>
      </c>
      <c r="C1646" s="39" t="s">
        <v>167</v>
      </c>
      <c r="D1646" s="39" t="s">
        <v>138</v>
      </c>
      <c r="E1646" s="39" t="n">
        <v>15</v>
      </c>
      <c r="F1646" s="39" t="str">
        <f aca="false">IF(COUNTIF(medicine_master!$A$2:$A$26,C1646)&gt;0,"Valid","Invalid")</f>
        <v>Valid</v>
      </c>
      <c r="G1646" s="39" t="str">
        <f aca="false">IFERROR(INDEX(medicine_master!$B$2:$B$26,MATCH($C1646,medicine_master!$A$2:$A$26,0)),"Not found")</f>
        <v>Amlodipine 5mg</v>
      </c>
      <c r="H1646" s="39" t="str">
        <f aca="false">IFERROR(INDEX(medicine_master!$C$2:$C$26,MATCH($C1646,medicine_master!$A$2:$A$26,0)),"Not found")</f>
        <v>Cardiac</v>
      </c>
      <c r="I1646" s="39" t="n">
        <f aca="false">YEAR(B1646)</f>
        <v>2026</v>
      </c>
      <c r="J1646" s="39" t="n">
        <f aca="false">MONTH(B1646)</f>
        <v>12</v>
      </c>
      <c r="K1646" s="39" t="str">
        <f aca="false">TEXT(B1646,"mmm")</f>
        <v>Dec</v>
      </c>
      <c r="L1646" s="45" t="n">
        <f aca="false">IFERROR(INDEX(medicine_master!$I$2:$I$26,MATCH($C1646,medicine_master!$A$2:$A$26,0)),0)</f>
        <v>19</v>
      </c>
      <c r="M1646" s="45" t="n">
        <f aca="false">IFERROR(INDEX(medicine_master!$G$2:$G$26,MATCH($C1646,medicine_master!$A$2:$A$26,0)),0)</f>
        <v>13</v>
      </c>
      <c r="N1646" s="45" t="n">
        <f aca="false">IF(D1646="Sale",E1646*L1646,0)</f>
        <v>0</v>
      </c>
      <c r="O1646" s="45" t="n">
        <f aca="false">IF(D1646="Sale",E1646*M1646,0)</f>
        <v>0</v>
      </c>
      <c r="P1646" s="45" t="n">
        <f aca="false">N1646-O1646</f>
        <v>0</v>
      </c>
      <c r="Q1646" s="45" t="n">
        <f aca="false">IF(D1646="Purchase",E1646*M1646,0)</f>
        <v>195</v>
      </c>
    </row>
    <row r="1647" customFormat="false" ht="15" hidden="false" customHeight="false" outlineLevel="0" collapsed="false">
      <c r="A1647" s="39" t="s">
        <v>1971</v>
      </c>
      <c r="B1647" s="44" t="n">
        <v>46069</v>
      </c>
      <c r="C1647" s="39" t="s">
        <v>390</v>
      </c>
      <c r="D1647" s="39" t="s">
        <v>138</v>
      </c>
      <c r="E1647" s="39" t="n">
        <v>20</v>
      </c>
      <c r="F1647" s="39" t="str">
        <f aca="false">IF(COUNTIF(medicine_master!$A$2:$A$26,C1647)&gt;0,"Valid","Invalid")</f>
        <v>Valid</v>
      </c>
      <c r="G1647" s="39" t="str">
        <f aca="false">IFERROR(INDEX(medicine_master!$B$2:$B$26,MATCH($C1647,medicine_master!$A$2:$A$26,0)),"Not found")</f>
        <v>Montelukast 10mg</v>
      </c>
      <c r="H1647" s="39" t="str">
        <f aca="false">IFERROR(INDEX(medicine_master!$C$2:$C$26,MATCH($C1647,medicine_master!$A$2:$A$26,0)),"Not found")</f>
        <v>Allergy</v>
      </c>
      <c r="I1647" s="39" t="n">
        <f aca="false">YEAR(B1647)</f>
        <v>2026</v>
      </c>
      <c r="J1647" s="39" t="n">
        <f aca="false">MONTH(B1647)</f>
        <v>2</v>
      </c>
      <c r="K1647" s="39" t="str">
        <f aca="false">TEXT(B1647,"mmm")</f>
        <v>Feb</v>
      </c>
      <c r="L1647" s="45" t="n">
        <f aca="false">IFERROR(INDEX(medicine_master!$I$2:$I$26,MATCH($C1647,medicine_master!$A$2:$A$26,0)),0)</f>
        <v>39</v>
      </c>
      <c r="M1647" s="45" t="n">
        <f aca="false">IFERROR(INDEX(medicine_master!$G$2:$G$26,MATCH($C1647,medicine_master!$A$2:$A$26,0)),0)</f>
        <v>27</v>
      </c>
      <c r="N1647" s="45" t="n">
        <f aca="false">IF(D1647="Sale",E1647*L1647,0)</f>
        <v>0</v>
      </c>
      <c r="O1647" s="45" t="n">
        <f aca="false">IF(D1647="Sale",E1647*M1647,0)</f>
        <v>0</v>
      </c>
      <c r="P1647" s="45" t="n">
        <f aca="false">N1647-O1647</f>
        <v>0</v>
      </c>
      <c r="Q1647" s="45" t="n">
        <f aca="false">IF(D1647="Purchase",E1647*M1647,0)</f>
        <v>540</v>
      </c>
    </row>
    <row r="1648" customFormat="false" ht="15" hidden="false" customHeight="false" outlineLevel="0" collapsed="false">
      <c r="A1648" s="39" t="s">
        <v>1972</v>
      </c>
      <c r="B1648" s="44" t="n">
        <v>46248</v>
      </c>
      <c r="C1648" s="39" t="s">
        <v>390</v>
      </c>
      <c r="D1648" s="39" t="s">
        <v>137</v>
      </c>
      <c r="E1648" s="39" t="n">
        <v>30</v>
      </c>
      <c r="F1648" s="39" t="str">
        <f aca="false">IF(COUNTIF(medicine_master!$A$2:$A$26,C1648)&gt;0,"Valid","Invalid")</f>
        <v>Valid</v>
      </c>
      <c r="G1648" s="39" t="str">
        <f aca="false">IFERROR(INDEX(medicine_master!$B$2:$B$26,MATCH($C1648,medicine_master!$A$2:$A$26,0)),"Not found")</f>
        <v>Montelukast 10mg</v>
      </c>
      <c r="H1648" s="39" t="str">
        <f aca="false">IFERROR(INDEX(medicine_master!$C$2:$C$26,MATCH($C1648,medicine_master!$A$2:$A$26,0)),"Not found")</f>
        <v>Allergy</v>
      </c>
      <c r="I1648" s="39" t="n">
        <f aca="false">YEAR(B1648)</f>
        <v>2026</v>
      </c>
      <c r="J1648" s="39" t="n">
        <f aca="false">MONTH(B1648)</f>
        <v>8</v>
      </c>
      <c r="K1648" s="39" t="str">
        <f aca="false">TEXT(B1648,"mmm")</f>
        <v>Aug</v>
      </c>
      <c r="L1648" s="45" t="n">
        <f aca="false">IFERROR(INDEX(medicine_master!$I$2:$I$26,MATCH($C1648,medicine_master!$A$2:$A$26,0)),0)</f>
        <v>39</v>
      </c>
      <c r="M1648" s="45" t="n">
        <f aca="false">IFERROR(INDEX(medicine_master!$G$2:$G$26,MATCH($C1648,medicine_master!$A$2:$A$26,0)),0)</f>
        <v>27</v>
      </c>
      <c r="N1648" s="45" t="n">
        <f aca="false">IF(D1648="Sale",E1648*L1648,0)</f>
        <v>1170</v>
      </c>
      <c r="O1648" s="45" t="n">
        <f aca="false">IF(D1648="Sale",E1648*M1648,0)</f>
        <v>810</v>
      </c>
      <c r="P1648" s="45" t="n">
        <f aca="false">N1648-O1648</f>
        <v>360</v>
      </c>
      <c r="Q1648" s="45" t="n">
        <f aca="false">IF(D1648="Purchase",E1648*M1648,0)</f>
        <v>0</v>
      </c>
    </row>
    <row r="1649" customFormat="false" ht="15" hidden="false" customHeight="false" outlineLevel="0" collapsed="false">
      <c r="A1649" s="39" t="s">
        <v>1973</v>
      </c>
      <c r="B1649" s="44" t="n">
        <v>46373</v>
      </c>
      <c r="C1649" s="39" t="s">
        <v>404</v>
      </c>
      <c r="D1649" s="39" t="s">
        <v>137</v>
      </c>
      <c r="E1649" s="39" t="n">
        <v>15</v>
      </c>
      <c r="F1649" s="39" t="str">
        <f aca="false">IF(COUNTIF(medicine_master!$A$2:$A$26,C1649)&gt;0,"Valid","Invalid")</f>
        <v>Valid</v>
      </c>
      <c r="G1649" s="39" t="str">
        <f aca="false">IFERROR(INDEX(medicine_master!$B$2:$B$26,MATCH($C1649,medicine_master!$A$2:$A$26,0)),"Not found")</f>
        <v>ORS Sachet</v>
      </c>
      <c r="H1649" s="39" t="str">
        <f aca="false">IFERROR(INDEX(medicine_master!$C$2:$C$26,MATCH($C1649,medicine_master!$A$2:$A$26,0)),"Not found")</f>
        <v>First Aid</v>
      </c>
      <c r="I1649" s="39" t="n">
        <f aca="false">YEAR(B1649)</f>
        <v>2026</v>
      </c>
      <c r="J1649" s="39" t="n">
        <f aca="false">MONTH(B1649)</f>
        <v>12</v>
      </c>
      <c r="K1649" s="39" t="str">
        <f aca="false">TEXT(B1649,"mmm")</f>
        <v>Dec</v>
      </c>
      <c r="L1649" s="45" t="n">
        <f aca="false">IFERROR(INDEX(medicine_master!$I$2:$I$26,MATCH($C1649,medicine_master!$A$2:$A$26,0)),0)</f>
        <v>10</v>
      </c>
      <c r="M1649" s="45" t="n">
        <f aca="false">IFERROR(INDEX(medicine_master!$G$2:$G$26,MATCH($C1649,medicine_master!$A$2:$A$26,0)),0)</f>
        <v>6</v>
      </c>
      <c r="N1649" s="45" t="n">
        <f aca="false">IF(D1649="Sale",E1649*L1649,0)</f>
        <v>150</v>
      </c>
      <c r="O1649" s="45" t="n">
        <f aca="false">IF(D1649="Sale",E1649*M1649,0)</f>
        <v>90</v>
      </c>
      <c r="P1649" s="45" t="n">
        <f aca="false">N1649-O1649</f>
        <v>60</v>
      </c>
      <c r="Q1649" s="45" t="n">
        <f aca="false">IF(D1649="Purchase",E1649*M1649,0)</f>
        <v>0</v>
      </c>
    </row>
    <row r="1650" customFormat="false" ht="15" hidden="false" customHeight="false" outlineLevel="0" collapsed="false">
      <c r="A1650" s="39" t="s">
        <v>1974</v>
      </c>
      <c r="B1650" s="44" t="n">
        <v>46147</v>
      </c>
      <c r="C1650" s="39" t="s">
        <v>404</v>
      </c>
      <c r="D1650" s="39" t="s">
        <v>137</v>
      </c>
      <c r="E1650" s="39" t="n">
        <v>20</v>
      </c>
      <c r="F1650" s="39" t="str">
        <f aca="false">IF(COUNTIF(medicine_master!$A$2:$A$26,C1650)&gt;0,"Valid","Invalid")</f>
        <v>Valid</v>
      </c>
      <c r="G1650" s="39" t="str">
        <f aca="false">IFERROR(INDEX(medicine_master!$B$2:$B$26,MATCH($C1650,medicine_master!$A$2:$A$26,0)),"Not found")</f>
        <v>ORS Sachet</v>
      </c>
      <c r="H1650" s="39" t="str">
        <f aca="false">IFERROR(INDEX(medicine_master!$C$2:$C$26,MATCH($C1650,medicine_master!$A$2:$A$26,0)),"Not found")</f>
        <v>First Aid</v>
      </c>
      <c r="I1650" s="39" t="n">
        <f aca="false">YEAR(B1650)</f>
        <v>2026</v>
      </c>
      <c r="J1650" s="39" t="n">
        <f aca="false">MONTH(B1650)</f>
        <v>5</v>
      </c>
      <c r="K1650" s="39" t="str">
        <f aca="false">TEXT(B1650,"mmm")</f>
        <v>May</v>
      </c>
      <c r="L1650" s="45" t="n">
        <f aca="false">IFERROR(INDEX(medicine_master!$I$2:$I$26,MATCH($C1650,medicine_master!$A$2:$A$26,0)),0)</f>
        <v>10</v>
      </c>
      <c r="M1650" s="45" t="n">
        <f aca="false">IFERROR(INDEX(medicine_master!$G$2:$G$26,MATCH($C1650,medicine_master!$A$2:$A$26,0)),0)</f>
        <v>6</v>
      </c>
      <c r="N1650" s="45" t="n">
        <f aca="false">IF(D1650="Sale",E1650*L1650,0)</f>
        <v>200</v>
      </c>
      <c r="O1650" s="45" t="n">
        <f aca="false">IF(D1650="Sale",E1650*M1650,0)</f>
        <v>120</v>
      </c>
      <c r="P1650" s="45" t="n">
        <f aca="false">N1650-O1650</f>
        <v>80</v>
      </c>
      <c r="Q1650" s="45" t="n">
        <f aca="false">IF(D1650="Purchase",E1650*M1650,0)</f>
        <v>0</v>
      </c>
    </row>
    <row r="1651" customFormat="false" ht="15" hidden="false" customHeight="false" outlineLevel="0" collapsed="false">
      <c r="A1651" s="39" t="s">
        <v>1975</v>
      </c>
      <c r="B1651" s="44" t="n">
        <v>46086</v>
      </c>
      <c r="C1651" s="39" t="s">
        <v>146</v>
      </c>
      <c r="D1651" s="39" t="s">
        <v>137</v>
      </c>
      <c r="E1651" s="39" t="n">
        <v>50</v>
      </c>
      <c r="F1651" s="39" t="str">
        <f aca="false">IF(COUNTIF(medicine_master!$A$2:$A$26,C1651)&gt;0,"Valid","Invalid")</f>
        <v>Valid</v>
      </c>
      <c r="G1651" s="39" t="str">
        <f aca="false">IFERROR(INDEX(medicine_master!$B$2:$B$26,MATCH($C1651,medicine_master!$A$2:$A$26,0)),"Not found")</f>
        <v>Diclofenac Gel</v>
      </c>
      <c r="H1651" s="39" t="str">
        <f aca="false">IFERROR(INDEX(medicine_master!$C$2:$C$26,MATCH($C1651,medicine_master!$A$2:$A$26,0)),"Not found")</f>
        <v>Pain Relief</v>
      </c>
      <c r="I1651" s="39" t="n">
        <f aca="false">YEAR(B1651)</f>
        <v>2026</v>
      </c>
      <c r="J1651" s="39" t="n">
        <f aca="false">MONTH(B1651)</f>
        <v>3</v>
      </c>
      <c r="K1651" s="39" t="str">
        <f aca="false">TEXT(B1651,"mmm")</f>
        <v>Mar</v>
      </c>
      <c r="L1651" s="45" t="n">
        <f aca="false">IFERROR(INDEX(medicine_master!$I$2:$I$26,MATCH($C1651,medicine_master!$A$2:$A$26,0)),0)</f>
        <v>55</v>
      </c>
      <c r="M1651" s="45" t="n">
        <f aca="false">IFERROR(INDEX(medicine_master!$G$2:$G$26,MATCH($C1651,medicine_master!$A$2:$A$26,0)),0)</f>
        <v>38</v>
      </c>
      <c r="N1651" s="45" t="n">
        <f aca="false">IF(D1651="Sale",E1651*L1651,0)</f>
        <v>2750</v>
      </c>
      <c r="O1651" s="45" t="n">
        <f aca="false">IF(D1651="Sale",E1651*M1651,0)</f>
        <v>1900</v>
      </c>
      <c r="P1651" s="45" t="n">
        <f aca="false">N1651-O1651</f>
        <v>850</v>
      </c>
      <c r="Q1651" s="45" t="n">
        <f aca="false">IF(D1651="Purchase",E1651*M1651,0)</f>
        <v>0</v>
      </c>
    </row>
    <row r="1652" customFormat="false" ht="15" hidden="false" customHeight="false" outlineLevel="0" collapsed="false">
      <c r="A1652" s="39" t="s">
        <v>1976</v>
      </c>
      <c r="B1652" s="44" t="n">
        <v>46225</v>
      </c>
      <c r="C1652" s="39" t="s">
        <v>345</v>
      </c>
      <c r="D1652" s="39" t="s">
        <v>137</v>
      </c>
      <c r="E1652" s="39" t="n">
        <v>50</v>
      </c>
      <c r="F1652" s="39" t="str">
        <f aca="false">IF(COUNTIF(medicine_master!$A$2:$A$26,C1652)&gt;0,"Valid","Invalid")</f>
        <v>Valid</v>
      </c>
      <c r="G1652" s="39" t="str">
        <f aca="false">IFERROR(INDEX(medicine_master!$B$2:$B$26,MATCH($C1652,medicine_master!$A$2:$A$26,0)),"Not found")</f>
        <v>Paracetamol 500mg</v>
      </c>
      <c r="H1652" s="39" t="str">
        <f aca="false">IFERROR(INDEX(medicine_master!$C$2:$C$26,MATCH($C1652,medicine_master!$A$2:$A$26,0)),"Not found")</f>
        <v>Pain Relief</v>
      </c>
      <c r="I1652" s="39" t="n">
        <f aca="false">YEAR(B1652)</f>
        <v>2026</v>
      </c>
      <c r="J1652" s="39" t="n">
        <f aca="false">MONTH(B1652)</f>
        <v>7</v>
      </c>
      <c r="K1652" s="39" t="str">
        <f aca="false">TEXT(B1652,"mmm")</f>
        <v>Jul</v>
      </c>
      <c r="L1652" s="45" t="n">
        <f aca="false">IFERROR(INDEX(medicine_master!$I$2:$I$26,MATCH($C1652,medicine_master!$A$2:$A$26,0)),0)</f>
        <v>18</v>
      </c>
      <c r="M1652" s="45" t="n">
        <f aca="false">IFERROR(INDEX(medicine_master!$G$2:$G$26,MATCH($C1652,medicine_master!$A$2:$A$26,0)),0)</f>
        <v>12</v>
      </c>
      <c r="N1652" s="45" t="n">
        <f aca="false">IF(D1652="Sale",E1652*L1652,0)</f>
        <v>900</v>
      </c>
      <c r="O1652" s="45" t="n">
        <f aca="false">IF(D1652="Sale",E1652*M1652,0)</f>
        <v>600</v>
      </c>
      <c r="P1652" s="45" t="n">
        <f aca="false">N1652-O1652</f>
        <v>300</v>
      </c>
      <c r="Q1652" s="45" t="n">
        <f aca="false">IF(D1652="Purchase",E1652*M1652,0)</f>
        <v>0</v>
      </c>
    </row>
    <row r="1653" customFormat="false" ht="15" hidden="false" customHeight="false" outlineLevel="0" collapsed="false">
      <c r="A1653" s="39" t="s">
        <v>1977</v>
      </c>
      <c r="B1653" s="44" t="n">
        <v>46068</v>
      </c>
      <c r="C1653" s="39" t="s">
        <v>179</v>
      </c>
      <c r="D1653" s="39" t="s">
        <v>138</v>
      </c>
      <c r="E1653" s="39" t="n">
        <v>30</v>
      </c>
      <c r="F1653" s="39" t="str">
        <f aca="false">IF(COUNTIF(medicine_master!$A$2:$A$26,C1653)&gt;0,"Valid","Invalid")</f>
        <v>Valid</v>
      </c>
      <c r="G1653" s="39" t="str">
        <f aca="false">IFERROR(INDEX(medicine_master!$B$2:$B$26,MATCH($C1653,medicine_master!$A$2:$A$26,0)),"Not found")</f>
        <v>Ibuprofen 400mg</v>
      </c>
      <c r="H1653" s="39" t="str">
        <f aca="false">IFERROR(INDEX(medicine_master!$C$2:$C$26,MATCH($C1653,medicine_master!$A$2:$A$26,0)),"Not found")</f>
        <v>Pain Relief</v>
      </c>
      <c r="I1653" s="39" t="n">
        <f aca="false">YEAR(B1653)</f>
        <v>2026</v>
      </c>
      <c r="J1653" s="39" t="n">
        <f aca="false">MONTH(B1653)</f>
        <v>2</v>
      </c>
      <c r="K1653" s="39" t="str">
        <f aca="false">TEXT(B1653,"mmm")</f>
        <v>Feb</v>
      </c>
      <c r="L1653" s="45" t="n">
        <f aca="false">IFERROR(INDEX(medicine_master!$I$2:$I$26,MATCH($C1653,medicine_master!$A$2:$A$26,0)),0)</f>
        <v>30</v>
      </c>
      <c r="M1653" s="45" t="n">
        <f aca="false">IFERROR(INDEX(medicine_master!$G$2:$G$26,MATCH($C1653,medicine_master!$A$2:$A$26,0)),0)</f>
        <v>22</v>
      </c>
      <c r="N1653" s="45" t="n">
        <f aca="false">IF(D1653="Sale",E1653*L1653,0)</f>
        <v>0</v>
      </c>
      <c r="O1653" s="45" t="n">
        <f aca="false">IF(D1653="Sale",E1653*M1653,0)</f>
        <v>0</v>
      </c>
      <c r="P1653" s="45" t="n">
        <f aca="false">N1653-O1653</f>
        <v>0</v>
      </c>
      <c r="Q1653" s="45" t="n">
        <f aca="false">IF(D1653="Purchase",E1653*M1653,0)</f>
        <v>660</v>
      </c>
    </row>
    <row r="1654" customFormat="false" ht="15" hidden="false" customHeight="false" outlineLevel="0" collapsed="false">
      <c r="A1654" s="39" t="s">
        <v>1978</v>
      </c>
      <c r="B1654" s="44" t="n">
        <v>46360</v>
      </c>
      <c r="C1654" s="39" t="s">
        <v>345</v>
      </c>
      <c r="D1654" s="39" t="s">
        <v>137</v>
      </c>
      <c r="E1654" s="39" t="n">
        <v>20</v>
      </c>
      <c r="F1654" s="39" t="str">
        <f aca="false">IF(COUNTIF(medicine_master!$A$2:$A$26,C1654)&gt;0,"Valid","Invalid")</f>
        <v>Valid</v>
      </c>
      <c r="G1654" s="39" t="str">
        <f aca="false">IFERROR(INDEX(medicine_master!$B$2:$B$26,MATCH($C1654,medicine_master!$A$2:$A$26,0)),"Not found")</f>
        <v>Paracetamol 500mg</v>
      </c>
      <c r="H1654" s="39" t="str">
        <f aca="false">IFERROR(INDEX(medicine_master!$C$2:$C$26,MATCH($C1654,medicine_master!$A$2:$A$26,0)),"Not found")</f>
        <v>Pain Relief</v>
      </c>
      <c r="I1654" s="39" t="n">
        <f aca="false">YEAR(B1654)</f>
        <v>2026</v>
      </c>
      <c r="J1654" s="39" t="n">
        <f aca="false">MONTH(B1654)</f>
        <v>12</v>
      </c>
      <c r="K1654" s="39" t="str">
        <f aca="false">TEXT(B1654,"mmm")</f>
        <v>Dec</v>
      </c>
      <c r="L1654" s="45" t="n">
        <f aca="false">IFERROR(INDEX(medicine_master!$I$2:$I$26,MATCH($C1654,medicine_master!$A$2:$A$26,0)),0)</f>
        <v>18</v>
      </c>
      <c r="M1654" s="45" t="n">
        <f aca="false">IFERROR(INDEX(medicine_master!$G$2:$G$26,MATCH($C1654,medicine_master!$A$2:$A$26,0)),0)</f>
        <v>12</v>
      </c>
      <c r="N1654" s="45" t="n">
        <f aca="false">IF(D1654="Sale",E1654*L1654,0)</f>
        <v>360</v>
      </c>
      <c r="O1654" s="45" t="n">
        <f aca="false">IF(D1654="Sale",E1654*M1654,0)</f>
        <v>240</v>
      </c>
      <c r="P1654" s="45" t="n">
        <f aca="false">N1654-O1654</f>
        <v>120</v>
      </c>
      <c r="Q1654" s="45" t="n">
        <f aca="false">IF(D1654="Purchase",E1654*M1654,0)</f>
        <v>0</v>
      </c>
    </row>
    <row r="1655" customFormat="false" ht="15" hidden="false" customHeight="false" outlineLevel="0" collapsed="false">
      <c r="A1655" s="39" t="s">
        <v>1979</v>
      </c>
      <c r="B1655" s="44" t="n">
        <v>46125</v>
      </c>
      <c r="C1655" s="39" t="s">
        <v>345</v>
      </c>
      <c r="D1655" s="39" t="s">
        <v>137</v>
      </c>
      <c r="E1655" s="39" t="n">
        <v>20</v>
      </c>
      <c r="F1655" s="39" t="str">
        <f aca="false">IF(COUNTIF(medicine_master!$A$2:$A$26,C1655)&gt;0,"Valid","Invalid")</f>
        <v>Valid</v>
      </c>
      <c r="G1655" s="39" t="str">
        <f aca="false">IFERROR(INDEX(medicine_master!$B$2:$B$26,MATCH($C1655,medicine_master!$A$2:$A$26,0)),"Not found")</f>
        <v>Paracetamol 500mg</v>
      </c>
      <c r="H1655" s="39" t="str">
        <f aca="false">IFERROR(INDEX(medicine_master!$C$2:$C$26,MATCH($C1655,medicine_master!$A$2:$A$26,0)),"Not found")</f>
        <v>Pain Relief</v>
      </c>
      <c r="I1655" s="39" t="n">
        <f aca="false">YEAR(B1655)</f>
        <v>2026</v>
      </c>
      <c r="J1655" s="39" t="n">
        <f aca="false">MONTH(B1655)</f>
        <v>4</v>
      </c>
      <c r="K1655" s="39" t="str">
        <f aca="false">TEXT(B1655,"mmm")</f>
        <v>Apr</v>
      </c>
      <c r="L1655" s="45" t="n">
        <f aca="false">IFERROR(INDEX(medicine_master!$I$2:$I$26,MATCH($C1655,medicine_master!$A$2:$A$26,0)),0)</f>
        <v>18</v>
      </c>
      <c r="M1655" s="45" t="n">
        <f aca="false">IFERROR(INDEX(medicine_master!$G$2:$G$26,MATCH($C1655,medicine_master!$A$2:$A$26,0)),0)</f>
        <v>12</v>
      </c>
      <c r="N1655" s="45" t="n">
        <f aca="false">IF(D1655="Sale",E1655*L1655,0)</f>
        <v>360</v>
      </c>
      <c r="O1655" s="45" t="n">
        <f aca="false">IF(D1655="Sale",E1655*M1655,0)</f>
        <v>240</v>
      </c>
      <c r="P1655" s="45" t="n">
        <f aca="false">N1655-O1655</f>
        <v>120</v>
      </c>
      <c r="Q1655" s="45" t="n">
        <f aca="false">IF(D1655="Purchase",E1655*M1655,0)</f>
        <v>0</v>
      </c>
    </row>
    <row r="1656" customFormat="false" ht="15" hidden="false" customHeight="false" outlineLevel="0" collapsed="false">
      <c r="A1656" s="39" t="s">
        <v>1980</v>
      </c>
      <c r="B1656" s="44" t="n">
        <v>46213</v>
      </c>
      <c r="C1656" s="39" t="s">
        <v>404</v>
      </c>
      <c r="D1656" s="39" t="s">
        <v>138</v>
      </c>
      <c r="E1656" s="39" t="n">
        <v>5</v>
      </c>
      <c r="F1656" s="39" t="str">
        <f aca="false">IF(COUNTIF(medicine_master!$A$2:$A$26,C1656)&gt;0,"Valid","Invalid")</f>
        <v>Valid</v>
      </c>
      <c r="G1656" s="39" t="str">
        <f aca="false">IFERROR(INDEX(medicine_master!$B$2:$B$26,MATCH($C1656,medicine_master!$A$2:$A$26,0)),"Not found")</f>
        <v>ORS Sachet</v>
      </c>
      <c r="H1656" s="39" t="str">
        <f aca="false">IFERROR(INDEX(medicine_master!$C$2:$C$26,MATCH($C1656,medicine_master!$A$2:$A$26,0)),"Not found")</f>
        <v>First Aid</v>
      </c>
      <c r="I1656" s="39" t="n">
        <f aca="false">YEAR(B1656)</f>
        <v>2026</v>
      </c>
      <c r="J1656" s="39" t="n">
        <f aca="false">MONTH(B1656)</f>
        <v>7</v>
      </c>
      <c r="K1656" s="39" t="str">
        <f aca="false">TEXT(B1656,"mmm")</f>
        <v>Jul</v>
      </c>
      <c r="L1656" s="45" t="n">
        <f aca="false">IFERROR(INDEX(medicine_master!$I$2:$I$26,MATCH($C1656,medicine_master!$A$2:$A$26,0)),0)</f>
        <v>10</v>
      </c>
      <c r="M1656" s="45" t="n">
        <f aca="false">IFERROR(INDEX(medicine_master!$G$2:$G$26,MATCH($C1656,medicine_master!$A$2:$A$26,0)),0)</f>
        <v>6</v>
      </c>
      <c r="N1656" s="45" t="n">
        <f aca="false">IF(D1656="Sale",E1656*L1656,0)</f>
        <v>0</v>
      </c>
      <c r="O1656" s="45" t="n">
        <f aca="false">IF(D1656="Sale",E1656*M1656,0)</f>
        <v>0</v>
      </c>
      <c r="P1656" s="45" t="n">
        <f aca="false">N1656-O1656</f>
        <v>0</v>
      </c>
      <c r="Q1656" s="45" t="n">
        <f aca="false">IF(D1656="Purchase",E1656*M1656,0)</f>
        <v>30</v>
      </c>
    </row>
    <row r="1657" customFormat="false" ht="15" hidden="false" customHeight="false" outlineLevel="0" collapsed="false">
      <c r="A1657" s="39" t="s">
        <v>1981</v>
      </c>
      <c r="B1657" s="44" t="n">
        <v>46091</v>
      </c>
      <c r="C1657" s="39" t="s">
        <v>326</v>
      </c>
      <c r="D1657" s="39" t="s">
        <v>137</v>
      </c>
      <c r="E1657" s="39" t="n">
        <v>20</v>
      </c>
      <c r="F1657" s="39" t="str">
        <f aca="false">IF(COUNTIF(medicine_master!$A$2:$A$26,C1657)&gt;0,"Valid","Invalid")</f>
        <v>Valid</v>
      </c>
      <c r="G1657" s="39" t="str">
        <f aca="false">IFERROR(INDEX(medicine_master!$B$2:$B$26,MATCH($C1657,medicine_master!$A$2:$A$26,0)),"Not found")</f>
        <v>Omeprazole 20mg</v>
      </c>
      <c r="H1657" s="39" t="str">
        <f aca="false">IFERROR(INDEX(medicine_master!$C$2:$C$26,MATCH($C1657,medicine_master!$A$2:$A$26,0)),"Not found")</f>
        <v>Gastric</v>
      </c>
      <c r="I1657" s="39" t="n">
        <f aca="false">YEAR(B1657)</f>
        <v>2026</v>
      </c>
      <c r="J1657" s="39" t="n">
        <f aca="false">MONTH(B1657)</f>
        <v>3</v>
      </c>
      <c r="K1657" s="39" t="str">
        <f aca="false">TEXT(B1657,"mmm")</f>
        <v>Mar</v>
      </c>
      <c r="L1657" s="45" t="n">
        <f aca="false">IFERROR(INDEX(medicine_master!$I$2:$I$26,MATCH($C1657,medicine_master!$A$2:$A$26,0)),0)</f>
        <v>26</v>
      </c>
      <c r="M1657" s="45" t="n">
        <f aca="false">IFERROR(INDEX(medicine_master!$G$2:$G$26,MATCH($C1657,medicine_master!$A$2:$A$26,0)),0)</f>
        <v>18</v>
      </c>
      <c r="N1657" s="45" t="n">
        <f aca="false">IF(D1657="Sale",E1657*L1657,0)</f>
        <v>520</v>
      </c>
      <c r="O1657" s="45" t="n">
        <f aca="false">IF(D1657="Sale",E1657*M1657,0)</f>
        <v>360</v>
      </c>
      <c r="P1657" s="45" t="n">
        <f aca="false">N1657-O1657</f>
        <v>160</v>
      </c>
      <c r="Q1657" s="45" t="n">
        <f aca="false">IF(D1657="Purchase",E1657*M1657,0)</f>
        <v>0</v>
      </c>
    </row>
    <row r="1658" customFormat="false" ht="15" hidden="false" customHeight="false" outlineLevel="0" collapsed="false">
      <c r="A1658" s="39" t="s">
        <v>1982</v>
      </c>
      <c r="B1658" s="44" t="n">
        <v>46211</v>
      </c>
      <c r="C1658" s="39" t="s">
        <v>150</v>
      </c>
      <c r="D1658" s="39" t="s">
        <v>138</v>
      </c>
      <c r="E1658" s="39" t="n">
        <v>20</v>
      </c>
      <c r="F1658" s="39" t="str">
        <f aca="false">IF(COUNTIF(medicine_master!$A$2:$A$26,C1658)&gt;0,"Valid","Invalid")</f>
        <v>Valid</v>
      </c>
      <c r="G1658" s="39" t="str">
        <f aca="false">IFERROR(INDEX(medicine_master!$B$2:$B$26,MATCH($C1658,medicine_master!$A$2:$A$26,0)),"Not found")</f>
        <v>Pantoprazole 40mg</v>
      </c>
      <c r="H1658" s="39" t="str">
        <f aca="false">IFERROR(INDEX(medicine_master!$C$2:$C$26,MATCH($C1658,medicine_master!$A$2:$A$26,0)),"Not found")</f>
        <v>Gastric</v>
      </c>
      <c r="I1658" s="39" t="n">
        <f aca="false">YEAR(B1658)</f>
        <v>2026</v>
      </c>
      <c r="J1658" s="39" t="n">
        <f aca="false">MONTH(B1658)</f>
        <v>7</v>
      </c>
      <c r="K1658" s="39" t="str">
        <f aca="false">TEXT(B1658,"mmm")</f>
        <v>Jul</v>
      </c>
      <c r="L1658" s="45" t="n">
        <f aca="false">IFERROR(INDEX(medicine_master!$I$2:$I$26,MATCH($C1658,medicine_master!$A$2:$A$26,0)),0)</f>
        <v>35</v>
      </c>
      <c r="M1658" s="45" t="n">
        <f aca="false">IFERROR(INDEX(medicine_master!$G$2:$G$26,MATCH($C1658,medicine_master!$A$2:$A$26,0)),0)</f>
        <v>24</v>
      </c>
      <c r="N1658" s="45" t="n">
        <f aca="false">IF(D1658="Sale",E1658*L1658,0)</f>
        <v>0</v>
      </c>
      <c r="O1658" s="45" t="n">
        <f aca="false">IF(D1658="Sale",E1658*M1658,0)</f>
        <v>0</v>
      </c>
      <c r="P1658" s="45" t="n">
        <f aca="false">N1658-O1658</f>
        <v>0</v>
      </c>
      <c r="Q1658" s="45" t="n">
        <f aca="false">IF(D1658="Purchase",E1658*M1658,0)</f>
        <v>480</v>
      </c>
    </row>
    <row r="1659" customFormat="false" ht="15" hidden="false" customHeight="false" outlineLevel="0" collapsed="false">
      <c r="A1659" s="39" t="s">
        <v>1983</v>
      </c>
      <c r="B1659" s="44" t="n">
        <v>46107</v>
      </c>
      <c r="C1659" s="39" t="s">
        <v>145</v>
      </c>
      <c r="D1659" s="39" t="s">
        <v>138</v>
      </c>
      <c r="E1659" s="39" t="n">
        <v>40</v>
      </c>
      <c r="F1659" s="39" t="str">
        <f aca="false">IF(COUNTIF(medicine_master!$A$2:$A$26,C1659)&gt;0,"Valid","Invalid")</f>
        <v>Valid</v>
      </c>
      <c r="G1659" s="39" t="str">
        <f aca="false">IFERROR(INDEX(medicine_master!$B$2:$B$26,MATCH($C1659,medicine_master!$A$2:$A$26,0)),"Not found")</f>
        <v>Clotrimazole Cream</v>
      </c>
      <c r="H1659" s="39" t="str">
        <f aca="false">IFERROR(INDEX(medicine_master!$C$2:$C$26,MATCH($C1659,medicine_master!$A$2:$A$26,0)),"Not found")</f>
        <v>Dermatology</v>
      </c>
      <c r="I1659" s="39" t="n">
        <f aca="false">YEAR(B1659)</f>
        <v>2026</v>
      </c>
      <c r="J1659" s="39" t="n">
        <f aca="false">MONTH(B1659)</f>
        <v>3</v>
      </c>
      <c r="K1659" s="39" t="str">
        <f aca="false">TEXT(B1659,"mmm")</f>
        <v>Mar</v>
      </c>
      <c r="L1659" s="45" t="n">
        <f aca="false">IFERROR(INDEX(medicine_master!$I$2:$I$26,MATCH($C1659,medicine_master!$A$2:$A$26,0)),0)</f>
        <v>48</v>
      </c>
      <c r="M1659" s="45" t="n">
        <f aca="false">IFERROR(INDEX(medicine_master!$G$2:$G$26,MATCH($C1659,medicine_master!$A$2:$A$26,0)),0)</f>
        <v>32</v>
      </c>
      <c r="N1659" s="45" t="n">
        <f aca="false">IF(D1659="Sale",E1659*L1659,0)</f>
        <v>0</v>
      </c>
      <c r="O1659" s="45" t="n">
        <f aca="false">IF(D1659="Sale",E1659*M1659,0)</f>
        <v>0</v>
      </c>
      <c r="P1659" s="45" t="n">
        <f aca="false">N1659-O1659</f>
        <v>0</v>
      </c>
      <c r="Q1659" s="45" t="n">
        <f aca="false">IF(D1659="Purchase",E1659*M1659,0)</f>
        <v>1280</v>
      </c>
    </row>
    <row r="1660" customFormat="false" ht="15" hidden="false" customHeight="false" outlineLevel="0" collapsed="false">
      <c r="A1660" s="39" t="s">
        <v>1984</v>
      </c>
      <c r="B1660" s="44" t="n">
        <v>46240</v>
      </c>
      <c r="C1660" s="39" t="s">
        <v>390</v>
      </c>
      <c r="D1660" s="39" t="s">
        <v>137</v>
      </c>
      <c r="E1660" s="39" t="n">
        <v>30</v>
      </c>
      <c r="F1660" s="39" t="str">
        <f aca="false">IF(COUNTIF(medicine_master!$A$2:$A$26,C1660)&gt;0,"Valid","Invalid")</f>
        <v>Valid</v>
      </c>
      <c r="G1660" s="39" t="str">
        <f aca="false">IFERROR(INDEX(medicine_master!$B$2:$B$26,MATCH($C1660,medicine_master!$A$2:$A$26,0)),"Not found")</f>
        <v>Montelukast 10mg</v>
      </c>
      <c r="H1660" s="39" t="str">
        <f aca="false">IFERROR(INDEX(medicine_master!$C$2:$C$26,MATCH($C1660,medicine_master!$A$2:$A$26,0)),"Not found")</f>
        <v>Allergy</v>
      </c>
      <c r="I1660" s="39" t="n">
        <f aca="false">YEAR(B1660)</f>
        <v>2026</v>
      </c>
      <c r="J1660" s="39" t="n">
        <f aca="false">MONTH(B1660)</f>
        <v>8</v>
      </c>
      <c r="K1660" s="39" t="str">
        <f aca="false">TEXT(B1660,"mmm")</f>
        <v>Aug</v>
      </c>
      <c r="L1660" s="45" t="n">
        <f aca="false">IFERROR(INDEX(medicine_master!$I$2:$I$26,MATCH($C1660,medicine_master!$A$2:$A$26,0)),0)</f>
        <v>39</v>
      </c>
      <c r="M1660" s="45" t="n">
        <f aca="false">IFERROR(INDEX(medicine_master!$G$2:$G$26,MATCH($C1660,medicine_master!$A$2:$A$26,0)),0)</f>
        <v>27</v>
      </c>
      <c r="N1660" s="45" t="n">
        <f aca="false">IF(D1660="Sale",E1660*L1660,0)</f>
        <v>1170</v>
      </c>
      <c r="O1660" s="45" t="n">
        <f aca="false">IF(D1660="Sale",E1660*M1660,0)</f>
        <v>810</v>
      </c>
      <c r="P1660" s="45" t="n">
        <f aca="false">N1660-O1660</f>
        <v>360</v>
      </c>
      <c r="Q1660" s="45" t="n">
        <f aca="false">IF(D1660="Purchase",E1660*M1660,0)</f>
        <v>0</v>
      </c>
    </row>
    <row r="1661" customFormat="false" ht="15" hidden="false" customHeight="false" outlineLevel="0" collapsed="false">
      <c r="A1661" s="39" t="s">
        <v>1985</v>
      </c>
      <c r="B1661" s="44" t="n">
        <v>46258</v>
      </c>
      <c r="C1661" s="39" t="s">
        <v>157</v>
      </c>
      <c r="D1661" s="39" t="s">
        <v>138</v>
      </c>
      <c r="E1661" s="39" t="n">
        <v>25</v>
      </c>
      <c r="F1661" s="39" t="str">
        <f aca="false">IF(COUNTIF(medicine_master!$A$2:$A$26,C1661)&gt;0,"Valid","Invalid")</f>
        <v>Valid</v>
      </c>
      <c r="G1661" s="39" t="str">
        <f aca="false">IFERROR(INDEX(medicine_master!$B$2:$B$26,MATCH($C1661,medicine_master!$A$2:$A$26,0)),"Not found")</f>
        <v>Multivitamin Tablets</v>
      </c>
      <c r="H1661" s="39" t="str">
        <f aca="false">IFERROR(INDEX(medicine_master!$C$2:$C$26,MATCH($C1661,medicine_master!$A$2:$A$26,0)),"Not found")</f>
        <v>Vitamin</v>
      </c>
      <c r="I1661" s="39" t="n">
        <f aca="false">YEAR(B1661)</f>
        <v>2026</v>
      </c>
      <c r="J1661" s="39" t="n">
        <f aca="false">MONTH(B1661)</f>
        <v>8</v>
      </c>
      <c r="K1661" s="39" t="str">
        <f aca="false">TEXT(B1661,"mmm")</f>
        <v>Aug</v>
      </c>
      <c r="L1661" s="45" t="n">
        <f aca="false">IFERROR(INDEX(medicine_master!$I$2:$I$26,MATCH($C1661,medicine_master!$A$2:$A$26,0)),0)</f>
        <v>105</v>
      </c>
      <c r="M1661" s="45" t="n">
        <f aca="false">IFERROR(INDEX(medicine_master!$G$2:$G$26,MATCH($C1661,medicine_master!$A$2:$A$26,0)),0)</f>
        <v>72</v>
      </c>
      <c r="N1661" s="45" t="n">
        <f aca="false">IF(D1661="Sale",E1661*L1661,0)</f>
        <v>0</v>
      </c>
      <c r="O1661" s="45" t="n">
        <f aca="false">IF(D1661="Sale",E1661*M1661,0)</f>
        <v>0</v>
      </c>
      <c r="P1661" s="45" t="n">
        <f aca="false">N1661-O1661</f>
        <v>0</v>
      </c>
      <c r="Q1661" s="45" t="n">
        <f aca="false">IF(D1661="Purchase",E1661*M1661,0)</f>
        <v>1800</v>
      </c>
    </row>
    <row r="1662" customFormat="false" ht="15" hidden="false" customHeight="false" outlineLevel="0" collapsed="false">
      <c r="A1662" s="39" t="s">
        <v>1986</v>
      </c>
      <c r="B1662" s="44" t="n">
        <v>46166</v>
      </c>
      <c r="C1662" s="39" t="s">
        <v>345</v>
      </c>
      <c r="D1662" s="39" t="s">
        <v>138</v>
      </c>
      <c r="E1662" s="39" t="n">
        <v>10</v>
      </c>
      <c r="F1662" s="39" t="str">
        <f aca="false">IF(COUNTIF(medicine_master!$A$2:$A$26,C1662)&gt;0,"Valid","Invalid")</f>
        <v>Valid</v>
      </c>
      <c r="G1662" s="39" t="str">
        <f aca="false">IFERROR(INDEX(medicine_master!$B$2:$B$26,MATCH($C1662,medicine_master!$A$2:$A$26,0)),"Not found")</f>
        <v>Paracetamol 500mg</v>
      </c>
      <c r="H1662" s="39" t="str">
        <f aca="false">IFERROR(INDEX(medicine_master!$C$2:$C$26,MATCH($C1662,medicine_master!$A$2:$A$26,0)),"Not found")</f>
        <v>Pain Relief</v>
      </c>
      <c r="I1662" s="39" t="n">
        <f aca="false">YEAR(B1662)</f>
        <v>2026</v>
      </c>
      <c r="J1662" s="39" t="n">
        <f aca="false">MONTH(B1662)</f>
        <v>5</v>
      </c>
      <c r="K1662" s="39" t="str">
        <f aca="false">TEXT(B1662,"mmm")</f>
        <v>May</v>
      </c>
      <c r="L1662" s="45" t="n">
        <f aca="false">IFERROR(INDEX(medicine_master!$I$2:$I$26,MATCH($C1662,medicine_master!$A$2:$A$26,0)),0)</f>
        <v>18</v>
      </c>
      <c r="M1662" s="45" t="n">
        <f aca="false">IFERROR(INDEX(medicine_master!$G$2:$G$26,MATCH($C1662,medicine_master!$A$2:$A$26,0)),0)</f>
        <v>12</v>
      </c>
      <c r="N1662" s="45" t="n">
        <f aca="false">IF(D1662="Sale",E1662*L1662,0)</f>
        <v>0</v>
      </c>
      <c r="O1662" s="45" t="n">
        <f aca="false">IF(D1662="Sale",E1662*M1662,0)</f>
        <v>0</v>
      </c>
      <c r="P1662" s="45" t="n">
        <f aca="false">N1662-O1662</f>
        <v>0</v>
      </c>
      <c r="Q1662" s="45" t="n">
        <f aca="false">IF(D1662="Purchase",E1662*M1662,0)</f>
        <v>120</v>
      </c>
    </row>
    <row r="1663" customFormat="false" ht="15" hidden="false" customHeight="false" outlineLevel="0" collapsed="false">
      <c r="A1663" s="39" t="s">
        <v>1987</v>
      </c>
      <c r="B1663" s="44" t="n">
        <v>46069</v>
      </c>
      <c r="C1663" s="39" t="s">
        <v>167</v>
      </c>
      <c r="D1663" s="39" t="s">
        <v>137</v>
      </c>
      <c r="E1663" s="39" t="n">
        <v>20</v>
      </c>
      <c r="F1663" s="39" t="str">
        <f aca="false">IF(COUNTIF(medicine_master!$A$2:$A$26,C1663)&gt;0,"Valid","Invalid")</f>
        <v>Valid</v>
      </c>
      <c r="G1663" s="39" t="str">
        <f aca="false">IFERROR(INDEX(medicine_master!$B$2:$B$26,MATCH($C1663,medicine_master!$A$2:$A$26,0)),"Not found")</f>
        <v>Amlodipine 5mg</v>
      </c>
      <c r="H1663" s="39" t="str">
        <f aca="false">IFERROR(INDEX(medicine_master!$C$2:$C$26,MATCH($C1663,medicine_master!$A$2:$A$26,0)),"Not found")</f>
        <v>Cardiac</v>
      </c>
      <c r="I1663" s="39" t="n">
        <f aca="false">YEAR(B1663)</f>
        <v>2026</v>
      </c>
      <c r="J1663" s="39" t="n">
        <f aca="false">MONTH(B1663)</f>
        <v>2</v>
      </c>
      <c r="K1663" s="39" t="str">
        <f aca="false">TEXT(B1663,"mmm")</f>
        <v>Feb</v>
      </c>
      <c r="L1663" s="45" t="n">
        <f aca="false">IFERROR(INDEX(medicine_master!$I$2:$I$26,MATCH($C1663,medicine_master!$A$2:$A$26,0)),0)</f>
        <v>19</v>
      </c>
      <c r="M1663" s="45" t="n">
        <f aca="false">IFERROR(INDEX(medicine_master!$G$2:$G$26,MATCH($C1663,medicine_master!$A$2:$A$26,0)),0)</f>
        <v>13</v>
      </c>
      <c r="N1663" s="45" t="n">
        <f aca="false">IF(D1663="Sale",E1663*L1663,0)</f>
        <v>380</v>
      </c>
      <c r="O1663" s="45" t="n">
        <f aca="false">IF(D1663="Sale",E1663*M1663,0)</f>
        <v>260</v>
      </c>
      <c r="P1663" s="45" t="n">
        <f aca="false">N1663-O1663</f>
        <v>120</v>
      </c>
      <c r="Q1663" s="45" t="n">
        <f aca="false">IF(D1663="Purchase",E1663*M1663,0)</f>
        <v>0</v>
      </c>
    </row>
    <row r="1664" customFormat="false" ht="15" hidden="false" customHeight="false" outlineLevel="0" collapsed="false">
      <c r="A1664" s="39" t="s">
        <v>1988</v>
      </c>
      <c r="B1664" s="44" t="n">
        <v>46171</v>
      </c>
      <c r="C1664" s="39" t="s">
        <v>179</v>
      </c>
      <c r="D1664" s="39" t="s">
        <v>137</v>
      </c>
      <c r="E1664" s="39" t="n">
        <v>30</v>
      </c>
      <c r="F1664" s="39" t="str">
        <f aca="false">IF(COUNTIF(medicine_master!$A$2:$A$26,C1664)&gt;0,"Valid","Invalid")</f>
        <v>Valid</v>
      </c>
      <c r="G1664" s="39" t="str">
        <f aca="false">IFERROR(INDEX(medicine_master!$B$2:$B$26,MATCH($C1664,medicine_master!$A$2:$A$26,0)),"Not found")</f>
        <v>Ibuprofen 400mg</v>
      </c>
      <c r="H1664" s="39" t="str">
        <f aca="false">IFERROR(INDEX(medicine_master!$C$2:$C$26,MATCH($C1664,medicine_master!$A$2:$A$26,0)),"Not found")</f>
        <v>Pain Relief</v>
      </c>
      <c r="I1664" s="39" t="n">
        <f aca="false">YEAR(B1664)</f>
        <v>2026</v>
      </c>
      <c r="J1664" s="39" t="n">
        <f aca="false">MONTH(B1664)</f>
        <v>5</v>
      </c>
      <c r="K1664" s="39" t="str">
        <f aca="false">TEXT(B1664,"mmm")</f>
        <v>May</v>
      </c>
      <c r="L1664" s="45" t="n">
        <f aca="false">IFERROR(INDEX(medicine_master!$I$2:$I$26,MATCH($C1664,medicine_master!$A$2:$A$26,0)),0)</f>
        <v>30</v>
      </c>
      <c r="M1664" s="45" t="n">
        <f aca="false">IFERROR(INDEX(medicine_master!$G$2:$G$26,MATCH($C1664,medicine_master!$A$2:$A$26,0)),0)</f>
        <v>22</v>
      </c>
      <c r="N1664" s="45" t="n">
        <f aca="false">IF(D1664="Sale",E1664*L1664,0)</f>
        <v>900</v>
      </c>
      <c r="O1664" s="45" t="n">
        <f aca="false">IF(D1664="Sale",E1664*M1664,0)</f>
        <v>660</v>
      </c>
      <c r="P1664" s="45" t="n">
        <f aca="false">N1664-O1664</f>
        <v>240</v>
      </c>
      <c r="Q1664" s="45" t="n">
        <f aca="false">IF(D1664="Purchase",E1664*M1664,0)</f>
        <v>0</v>
      </c>
    </row>
    <row r="1665" customFormat="false" ht="15" hidden="false" customHeight="false" outlineLevel="0" collapsed="false">
      <c r="A1665" s="39" t="s">
        <v>1989</v>
      </c>
      <c r="B1665" s="44" t="n">
        <v>46208</v>
      </c>
      <c r="C1665" s="39" t="s">
        <v>158</v>
      </c>
      <c r="D1665" s="39" t="s">
        <v>137</v>
      </c>
      <c r="E1665" s="39" t="n">
        <v>40</v>
      </c>
      <c r="F1665" s="39" t="str">
        <f aca="false">IF(COUNTIF(medicine_master!$A$2:$A$26,C1665)&gt;0,"Valid","Invalid")</f>
        <v>Valid</v>
      </c>
      <c r="G1665" s="39" t="str">
        <f aca="false">IFERROR(INDEX(medicine_master!$B$2:$B$26,MATCH($C1665,medicine_master!$A$2:$A$26,0)),"Not found")</f>
        <v>Cough Syrup 100ml</v>
      </c>
      <c r="H1665" s="39" t="str">
        <f aca="false">IFERROR(INDEX(medicine_master!$C$2:$C$26,MATCH($C1665,medicine_master!$A$2:$A$26,0)),"Not found")</f>
        <v>Cold &amp; Cough</v>
      </c>
      <c r="I1665" s="39" t="n">
        <f aca="false">YEAR(B1665)</f>
        <v>2026</v>
      </c>
      <c r="J1665" s="39" t="n">
        <f aca="false">MONTH(B1665)</f>
        <v>7</v>
      </c>
      <c r="K1665" s="39" t="str">
        <f aca="false">TEXT(B1665,"mmm")</f>
        <v>Jul</v>
      </c>
      <c r="L1665" s="45" t="n">
        <f aca="false">IFERROR(INDEX(medicine_master!$I$2:$I$26,MATCH($C1665,medicine_master!$A$2:$A$26,0)),0)</f>
        <v>72</v>
      </c>
      <c r="M1665" s="45" t="n">
        <f aca="false">IFERROR(INDEX(medicine_master!$G$2:$G$26,MATCH($C1665,medicine_master!$A$2:$A$26,0)),0)</f>
        <v>52</v>
      </c>
      <c r="N1665" s="45" t="n">
        <f aca="false">IF(D1665="Sale",E1665*L1665,0)</f>
        <v>2880</v>
      </c>
      <c r="O1665" s="45" t="n">
        <f aca="false">IF(D1665="Sale",E1665*M1665,0)</f>
        <v>2080</v>
      </c>
      <c r="P1665" s="45" t="n">
        <f aca="false">N1665-O1665</f>
        <v>800</v>
      </c>
      <c r="Q1665" s="45" t="n">
        <f aca="false">IF(D1665="Purchase",E1665*M1665,0)</f>
        <v>0</v>
      </c>
    </row>
    <row r="1666" customFormat="false" ht="15" hidden="false" customHeight="false" outlineLevel="0" collapsed="false">
      <c r="A1666" s="39" t="s">
        <v>1990</v>
      </c>
      <c r="B1666" s="44" t="n">
        <v>46286</v>
      </c>
      <c r="C1666" s="39" t="s">
        <v>345</v>
      </c>
      <c r="D1666" s="39" t="s">
        <v>137</v>
      </c>
      <c r="E1666" s="39" t="n">
        <v>10</v>
      </c>
      <c r="F1666" s="39" t="str">
        <f aca="false">IF(COUNTIF(medicine_master!$A$2:$A$26,C1666)&gt;0,"Valid","Invalid")</f>
        <v>Valid</v>
      </c>
      <c r="G1666" s="39" t="str">
        <f aca="false">IFERROR(INDEX(medicine_master!$B$2:$B$26,MATCH($C1666,medicine_master!$A$2:$A$26,0)),"Not found")</f>
        <v>Paracetamol 500mg</v>
      </c>
      <c r="H1666" s="39" t="str">
        <f aca="false">IFERROR(INDEX(medicine_master!$C$2:$C$26,MATCH($C1666,medicine_master!$A$2:$A$26,0)),"Not found")</f>
        <v>Pain Relief</v>
      </c>
      <c r="I1666" s="39" t="n">
        <f aca="false">YEAR(B1666)</f>
        <v>2026</v>
      </c>
      <c r="J1666" s="39" t="n">
        <f aca="false">MONTH(B1666)</f>
        <v>9</v>
      </c>
      <c r="K1666" s="39" t="str">
        <f aca="false">TEXT(B1666,"mmm")</f>
        <v>Sep</v>
      </c>
      <c r="L1666" s="45" t="n">
        <f aca="false">IFERROR(INDEX(medicine_master!$I$2:$I$26,MATCH($C1666,medicine_master!$A$2:$A$26,0)),0)</f>
        <v>18</v>
      </c>
      <c r="M1666" s="45" t="n">
        <f aca="false">IFERROR(INDEX(medicine_master!$G$2:$G$26,MATCH($C1666,medicine_master!$A$2:$A$26,0)),0)</f>
        <v>12</v>
      </c>
      <c r="N1666" s="45" t="n">
        <f aca="false">IF(D1666="Sale",E1666*L1666,0)</f>
        <v>180</v>
      </c>
      <c r="O1666" s="45" t="n">
        <f aca="false">IF(D1666="Sale",E1666*M1666,0)</f>
        <v>120</v>
      </c>
      <c r="P1666" s="45" t="n">
        <f aca="false">N1666-O1666</f>
        <v>60</v>
      </c>
      <c r="Q1666" s="45" t="n">
        <f aca="false">IF(D1666="Purchase",E1666*M1666,0)</f>
        <v>0</v>
      </c>
    </row>
    <row r="1667" customFormat="false" ht="15" hidden="false" customHeight="false" outlineLevel="0" collapsed="false">
      <c r="A1667" s="39" t="s">
        <v>1991</v>
      </c>
      <c r="B1667" s="44" t="n">
        <v>46043</v>
      </c>
      <c r="C1667" s="39" t="s">
        <v>157</v>
      </c>
      <c r="D1667" s="39" t="s">
        <v>137</v>
      </c>
      <c r="E1667" s="39" t="n">
        <v>30</v>
      </c>
      <c r="F1667" s="39" t="str">
        <f aca="false">IF(COUNTIF(medicine_master!$A$2:$A$26,C1667)&gt;0,"Valid","Invalid")</f>
        <v>Valid</v>
      </c>
      <c r="G1667" s="39" t="str">
        <f aca="false">IFERROR(INDEX(medicine_master!$B$2:$B$26,MATCH($C1667,medicine_master!$A$2:$A$26,0)),"Not found")</f>
        <v>Multivitamin Tablets</v>
      </c>
      <c r="H1667" s="39" t="str">
        <f aca="false">IFERROR(INDEX(medicine_master!$C$2:$C$26,MATCH($C1667,medicine_master!$A$2:$A$26,0)),"Not found")</f>
        <v>Vitamin</v>
      </c>
      <c r="I1667" s="39" t="n">
        <f aca="false">YEAR(B1667)</f>
        <v>2026</v>
      </c>
      <c r="J1667" s="39" t="n">
        <f aca="false">MONTH(B1667)</f>
        <v>1</v>
      </c>
      <c r="K1667" s="39" t="str">
        <f aca="false">TEXT(B1667,"mmm")</f>
        <v>Jan</v>
      </c>
      <c r="L1667" s="45" t="n">
        <f aca="false">IFERROR(INDEX(medicine_master!$I$2:$I$26,MATCH($C1667,medicine_master!$A$2:$A$26,0)),0)</f>
        <v>105</v>
      </c>
      <c r="M1667" s="45" t="n">
        <f aca="false">IFERROR(INDEX(medicine_master!$G$2:$G$26,MATCH($C1667,medicine_master!$A$2:$A$26,0)),0)</f>
        <v>72</v>
      </c>
      <c r="N1667" s="45" t="n">
        <f aca="false">IF(D1667="Sale",E1667*L1667,0)</f>
        <v>3150</v>
      </c>
      <c r="O1667" s="45" t="n">
        <f aca="false">IF(D1667="Sale",E1667*M1667,0)</f>
        <v>2160</v>
      </c>
      <c r="P1667" s="45" t="n">
        <f aca="false">N1667-O1667</f>
        <v>990</v>
      </c>
      <c r="Q1667" s="45" t="n">
        <f aca="false">IF(D1667="Purchase",E1667*M1667,0)</f>
        <v>0</v>
      </c>
    </row>
    <row r="1668" customFormat="false" ht="15" hidden="false" customHeight="false" outlineLevel="0" collapsed="false">
      <c r="A1668" s="39" t="s">
        <v>1992</v>
      </c>
      <c r="B1668" s="44" t="n">
        <v>46270</v>
      </c>
      <c r="C1668" s="39" t="s">
        <v>146</v>
      </c>
      <c r="D1668" s="39" t="s">
        <v>137</v>
      </c>
      <c r="E1668" s="39" t="n">
        <v>25</v>
      </c>
      <c r="F1668" s="39" t="str">
        <f aca="false">IF(COUNTIF(medicine_master!$A$2:$A$26,C1668)&gt;0,"Valid","Invalid")</f>
        <v>Valid</v>
      </c>
      <c r="G1668" s="39" t="str">
        <f aca="false">IFERROR(INDEX(medicine_master!$B$2:$B$26,MATCH($C1668,medicine_master!$A$2:$A$26,0)),"Not found")</f>
        <v>Diclofenac Gel</v>
      </c>
      <c r="H1668" s="39" t="str">
        <f aca="false">IFERROR(INDEX(medicine_master!$C$2:$C$26,MATCH($C1668,medicine_master!$A$2:$A$26,0)),"Not found")</f>
        <v>Pain Relief</v>
      </c>
      <c r="I1668" s="39" t="n">
        <f aca="false">YEAR(B1668)</f>
        <v>2026</v>
      </c>
      <c r="J1668" s="39" t="n">
        <f aca="false">MONTH(B1668)</f>
        <v>9</v>
      </c>
      <c r="K1668" s="39" t="str">
        <f aca="false">TEXT(B1668,"mmm")</f>
        <v>Sep</v>
      </c>
      <c r="L1668" s="45" t="n">
        <f aca="false">IFERROR(INDEX(medicine_master!$I$2:$I$26,MATCH($C1668,medicine_master!$A$2:$A$26,0)),0)</f>
        <v>55</v>
      </c>
      <c r="M1668" s="45" t="n">
        <f aca="false">IFERROR(INDEX(medicine_master!$G$2:$G$26,MATCH($C1668,medicine_master!$A$2:$A$26,0)),0)</f>
        <v>38</v>
      </c>
      <c r="N1668" s="45" t="n">
        <f aca="false">IF(D1668="Sale",E1668*L1668,0)</f>
        <v>1375</v>
      </c>
      <c r="O1668" s="45" t="n">
        <f aca="false">IF(D1668="Sale",E1668*M1668,0)</f>
        <v>950</v>
      </c>
      <c r="P1668" s="45" t="n">
        <f aca="false">N1668-O1668</f>
        <v>425</v>
      </c>
      <c r="Q1668" s="45" t="n">
        <f aca="false">IF(D1668="Purchase",E1668*M1668,0)</f>
        <v>0</v>
      </c>
    </row>
    <row r="1669" customFormat="false" ht="15" hidden="false" customHeight="false" outlineLevel="0" collapsed="false">
      <c r="A1669" s="39" t="s">
        <v>1993</v>
      </c>
      <c r="B1669" s="44" t="n">
        <v>46271</v>
      </c>
      <c r="C1669" s="39" t="s">
        <v>177</v>
      </c>
      <c r="D1669" s="39" t="s">
        <v>137</v>
      </c>
      <c r="E1669" s="39" t="n">
        <v>25</v>
      </c>
      <c r="F1669" s="39" t="str">
        <f aca="false">IF(COUNTIF(medicine_master!$A$2:$A$26,C1669)&gt;0,"Valid","Invalid")</f>
        <v>Valid</v>
      </c>
      <c r="G1669" s="39" t="str">
        <f aca="false">IFERROR(INDEX(medicine_master!$B$2:$B$26,MATCH($C1669,medicine_master!$A$2:$A$26,0)),"Not found")</f>
        <v>Bandage Roll</v>
      </c>
      <c r="H1669" s="39" t="str">
        <f aca="false">IFERROR(INDEX(medicine_master!$C$2:$C$26,MATCH($C1669,medicine_master!$A$2:$A$26,0)),"Not found")</f>
        <v>First Aid</v>
      </c>
      <c r="I1669" s="39" t="n">
        <f aca="false">YEAR(B1669)</f>
        <v>2026</v>
      </c>
      <c r="J1669" s="39" t="n">
        <f aca="false">MONTH(B1669)</f>
        <v>9</v>
      </c>
      <c r="K1669" s="39" t="str">
        <f aca="false">TEXT(B1669,"mmm")</f>
        <v>Sep</v>
      </c>
      <c r="L1669" s="45" t="n">
        <f aca="false">IFERROR(INDEX(medicine_master!$I$2:$I$26,MATCH($C1669,medicine_master!$A$2:$A$26,0)),0)</f>
        <v>25</v>
      </c>
      <c r="M1669" s="45" t="n">
        <f aca="false">IFERROR(INDEX(medicine_master!$G$2:$G$26,MATCH($C1669,medicine_master!$A$2:$A$26,0)),0)</f>
        <v>15</v>
      </c>
      <c r="N1669" s="45" t="n">
        <f aca="false">IF(D1669="Sale",E1669*L1669,0)</f>
        <v>625</v>
      </c>
      <c r="O1669" s="45" t="n">
        <f aca="false">IF(D1669="Sale",E1669*M1669,0)</f>
        <v>375</v>
      </c>
      <c r="P1669" s="45" t="n">
        <f aca="false">N1669-O1669</f>
        <v>250</v>
      </c>
      <c r="Q1669" s="45" t="n">
        <f aca="false">IF(D1669="Purchase",E1669*M1669,0)</f>
        <v>0</v>
      </c>
    </row>
    <row r="1670" customFormat="false" ht="15" hidden="false" customHeight="false" outlineLevel="0" collapsed="false">
      <c r="A1670" s="39" t="s">
        <v>1994</v>
      </c>
      <c r="B1670" s="44" t="n">
        <v>46307</v>
      </c>
      <c r="C1670" s="39" t="s">
        <v>321</v>
      </c>
      <c r="D1670" s="39" t="s">
        <v>138</v>
      </c>
      <c r="E1670" s="39" t="n">
        <v>10</v>
      </c>
      <c r="F1670" s="39" t="str">
        <f aca="false">IF(COUNTIF(medicine_master!$A$2:$A$26,C1670)&gt;0,"Valid","Invalid")</f>
        <v>Valid</v>
      </c>
      <c r="G1670" s="39" t="str">
        <f aca="false">IFERROR(INDEX(medicine_master!$B$2:$B$26,MATCH($C1670,medicine_master!$A$2:$A$26,0)),"Not found")</f>
        <v>Levocetirizine 5mg</v>
      </c>
      <c r="H1670" s="39" t="str">
        <f aca="false">IFERROR(INDEX(medicine_master!$C$2:$C$26,MATCH($C1670,medicine_master!$A$2:$A$26,0)),"Not found")</f>
        <v>Allergy</v>
      </c>
      <c r="I1670" s="39" t="n">
        <f aca="false">YEAR(B1670)</f>
        <v>2026</v>
      </c>
      <c r="J1670" s="39" t="n">
        <f aca="false">MONTH(B1670)</f>
        <v>10</v>
      </c>
      <c r="K1670" s="39" t="str">
        <f aca="false">TEXT(B1670,"mmm")</f>
        <v>Oct</v>
      </c>
      <c r="L1670" s="45" t="n">
        <f aca="false">IFERROR(INDEX(medicine_master!$I$2:$I$26,MATCH($C1670,medicine_master!$A$2:$A$26,0)),0)</f>
        <v>22</v>
      </c>
      <c r="M1670" s="45" t="n">
        <f aca="false">IFERROR(INDEX(medicine_master!$G$2:$G$26,MATCH($C1670,medicine_master!$A$2:$A$26,0)),0)</f>
        <v>14</v>
      </c>
      <c r="N1670" s="45" t="n">
        <f aca="false">IF(D1670="Sale",E1670*L1670,0)</f>
        <v>0</v>
      </c>
      <c r="O1670" s="45" t="n">
        <f aca="false">IF(D1670="Sale",E1670*M1670,0)</f>
        <v>0</v>
      </c>
      <c r="P1670" s="45" t="n">
        <f aca="false">N1670-O1670</f>
        <v>0</v>
      </c>
      <c r="Q1670" s="45" t="n">
        <f aca="false">IF(D1670="Purchase",E1670*M1670,0)</f>
        <v>140</v>
      </c>
    </row>
    <row r="1671" customFormat="false" ht="15" hidden="false" customHeight="false" outlineLevel="0" collapsed="false">
      <c r="A1671" s="39" t="s">
        <v>1995</v>
      </c>
      <c r="B1671" s="44" t="n">
        <v>46059</v>
      </c>
      <c r="C1671" s="39" t="s">
        <v>321</v>
      </c>
      <c r="D1671" s="39" t="s">
        <v>137</v>
      </c>
      <c r="E1671" s="39" t="n">
        <v>20</v>
      </c>
      <c r="F1671" s="39" t="str">
        <f aca="false">IF(COUNTIF(medicine_master!$A$2:$A$26,C1671)&gt;0,"Valid","Invalid")</f>
        <v>Valid</v>
      </c>
      <c r="G1671" s="39" t="str">
        <f aca="false">IFERROR(INDEX(medicine_master!$B$2:$B$26,MATCH($C1671,medicine_master!$A$2:$A$26,0)),"Not found")</f>
        <v>Levocetirizine 5mg</v>
      </c>
      <c r="H1671" s="39" t="str">
        <f aca="false">IFERROR(INDEX(medicine_master!$C$2:$C$26,MATCH($C1671,medicine_master!$A$2:$A$26,0)),"Not found")</f>
        <v>Allergy</v>
      </c>
      <c r="I1671" s="39" t="n">
        <f aca="false">YEAR(B1671)</f>
        <v>2026</v>
      </c>
      <c r="J1671" s="39" t="n">
        <f aca="false">MONTH(B1671)</f>
        <v>2</v>
      </c>
      <c r="K1671" s="39" t="str">
        <f aca="false">TEXT(B1671,"mmm")</f>
        <v>Feb</v>
      </c>
      <c r="L1671" s="45" t="n">
        <f aca="false">IFERROR(INDEX(medicine_master!$I$2:$I$26,MATCH($C1671,medicine_master!$A$2:$A$26,0)),0)</f>
        <v>22</v>
      </c>
      <c r="M1671" s="45" t="n">
        <f aca="false">IFERROR(INDEX(medicine_master!$G$2:$G$26,MATCH($C1671,medicine_master!$A$2:$A$26,0)),0)</f>
        <v>14</v>
      </c>
      <c r="N1671" s="45" t="n">
        <f aca="false">IF(D1671="Sale",E1671*L1671,0)</f>
        <v>440</v>
      </c>
      <c r="O1671" s="45" t="n">
        <f aca="false">IF(D1671="Sale",E1671*M1671,0)</f>
        <v>280</v>
      </c>
      <c r="P1671" s="45" t="n">
        <f aca="false">N1671-O1671</f>
        <v>160</v>
      </c>
      <c r="Q1671" s="45" t="n">
        <f aca="false">IF(D1671="Purchase",E1671*M1671,0)</f>
        <v>0</v>
      </c>
    </row>
    <row r="1672" customFormat="false" ht="15" hidden="false" customHeight="false" outlineLevel="0" collapsed="false">
      <c r="A1672" s="39" t="s">
        <v>1996</v>
      </c>
      <c r="B1672" s="44" t="n">
        <v>46115</v>
      </c>
      <c r="C1672" s="39" t="s">
        <v>177</v>
      </c>
      <c r="D1672" s="39" t="s">
        <v>137</v>
      </c>
      <c r="E1672" s="39" t="n">
        <v>10</v>
      </c>
      <c r="F1672" s="39" t="str">
        <f aca="false">IF(COUNTIF(medicine_master!$A$2:$A$26,C1672)&gt;0,"Valid","Invalid")</f>
        <v>Valid</v>
      </c>
      <c r="G1672" s="39" t="str">
        <f aca="false">IFERROR(INDEX(medicine_master!$B$2:$B$26,MATCH($C1672,medicine_master!$A$2:$A$26,0)),"Not found")</f>
        <v>Bandage Roll</v>
      </c>
      <c r="H1672" s="39" t="str">
        <f aca="false">IFERROR(INDEX(medicine_master!$C$2:$C$26,MATCH($C1672,medicine_master!$A$2:$A$26,0)),"Not found")</f>
        <v>First Aid</v>
      </c>
      <c r="I1672" s="39" t="n">
        <f aca="false">YEAR(B1672)</f>
        <v>2026</v>
      </c>
      <c r="J1672" s="39" t="n">
        <f aca="false">MONTH(B1672)</f>
        <v>4</v>
      </c>
      <c r="K1672" s="39" t="str">
        <f aca="false">TEXT(B1672,"mmm")</f>
        <v>Apr</v>
      </c>
      <c r="L1672" s="45" t="n">
        <f aca="false">IFERROR(INDEX(medicine_master!$I$2:$I$26,MATCH($C1672,medicine_master!$A$2:$A$26,0)),0)</f>
        <v>25</v>
      </c>
      <c r="M1672" s="45" t="n">
        <f aca="false">IFERROR(INDEX(medicine_master!$G$2:$G$26,MATCH($C1672,medicine_master!$A$2:$A$26,0)),0)</f>
        <v>15</v>
      </c>
      <c r="N1672" s="45" t="n">
        <f aca="false">IF(D1672="Sale",E1672*L1672,0)</f>
        <v>250</v>
      </c>
      <c r="O1672" s="45" t="n">
        <f aca="false">IF(D1672="Sale",E1672*M1672,0)</f>
        <v>150</v>
      </c>
      <c r="P1672" s="45" t="n">
        <f aca="false">N1672-O1672</f>
        <v>100</v>
      </c>
      <c r="Q1672" s="45" t="n">
        <f aca="false">IF(D1672="Purchase",E1672*M1672,0)</f>
        <v>0</v>
      </c>
    </row>
    <row r="1673" customFormat="false" ht="15" hidden="false" customHeight="false" outlineLevel="0" collapsed="false">
      <c r="A1673" s="39" t="s">
        <v>1997</v>
      </c>
      <c r="B1673" s="44" t="n">
        <v>46181</v>
      </c>
      <c r="C1673" s="39" t="s">
        <v>153</v>
      </c>
      <c r="D1673" s="39" t="s">
        <v>137</v>
      </c>
      <c r="E1673" s="39" t="n">
        <v>25</v>
      </c>
      <c r="F1673" s="39" t="str">
        <f aca="false">IF(COUNTIF(medicine_master!$A$2:$A$26,C1673)&gt;0,"Valid","Invalid")</f>
        <v>Valid</v>
      </c>
      <c r="G1673" s="39" t="str">
        <f aca="false">IFERROR(INDEX(medicine_master!$B$2:$B$26,MATCH($C1673,medicine_master!$A$2:$A$26,0)),"Not found")</f>
        <v>Atorvastatin 10mg</v>
      </c>
      <c r="H1673" s="39" t="str">
        <f aca="false">IFERROR(INDEX(medicine_master!$C$2:$C$26,MATCH($C1673,medicine_master!$A$2:$A$26,0)),"Not found")</f>
        <v>Cardiac</v>
      </c>
      <c r="I1673" s="39" t="n">
        <f aca="false">YEAR(B1673)</f>
        <v>2026</v>
      </c>
      <c r="J1673" s="39" t="n">
        <f aca="false">MONTH(B1673)</f>
        <v>6</v>
      </c>
      <c r="K1673" s="39" t="str">
        <f aca="false">TEXT(B1673,"mmm")</f>
        <v>Jun</v>
      </c>
      <c r="L1673" s="45" t="n">
        <f aca="false">IFERROR(INDEX(medicine_master!$I$2:$I$26,MATCH($C1673,medicine_master!$A$2:$A$26,0)),0)</f>
        <v>28</v>
      </c>
      <c r="M1673" s="45" t="n">
        <f aca="false">IFERROR(INDEX(medicine_master!$G$2:$G$26,MATCH($C1673,medicine_master!$A$2:$A$26,0)),0)</f>
        <v>19</v>
      </c>
      <c r="N1673" s="45" t="n">
        <f aca="false">IF(D1673="Sale",E1673*L1673,0)</f>
        <v>700</v>
      </c>
      <c r="O1673" s="45" t="n">
        <f aca="false">IF(D1673="Sale",E1673*M1673,0)</f>
        <v>475</v>
      </c>
      <c r="P1673" s="45" t="n">
        <f aca="false">N1673-O1673</f>
        <v>225</v>
      </c>
      <c r="Q1673" s="45" t="n">
        <f aca="false">IF(D1673="Purchase",E1673*M1673,0)</f>
        <v>0</v>
      </c>
    </row>
    <row r="1674" customFormat="false" ht="15" hidden="false" customHeight="false" outlineLevel="0" collapsed="false">
      <c r="A1674" s="39" t="s">
        <v>1998</v>
      </c>
      <c r="B1674" s="44" t="n">
        <v>46271</v>
      </c>
      <c r="C1674" s="39" t="s">
        <v>147</v>
      </c>
      <c r="D1674" s="39" t="s">
        <v>137</v>
      </c>
      <c r="E1674" s="39" t="n">
        <v>20</v>
      </c>
      <c r="F1674" s="39" t="str">
        <f aca="false">IF(COUNTIF(medicine_master!$A$2:$A$26,C1674)&gt;0,"Valid","Invalid")</f>
        <v>Valid</v>
      </c>
      <c r="G1674" s="39" t="str">
        <f aca="false">IFERROR(INDEX(medicine_master!$B$2:$B$26,MATCH($C1674,medicine_master!$A$2:$A$26,0)),"Not found")</f>
        <v>Insulin Injection</v>
      </c>
      <c r="H1674" s="39" t="str">
        <f aca="false">IFERROR(INDEX(medicine_master!$C$2:$C$26,MATCH($C1674,medicine_master!$A$2:$A$26,0)),"Not found")</f>
        <v>Diabetes</v>
      </c>
      <c r="I1674" s="39" t="n">
        <f aca="false">YEAR(B1674)</f>
        <v>2026</v>
      </c>
      <c r="J1674" s="39" t="n">
        <f aca="false">MONTH(B1674)</f>
        <v>9</v>
      </c>
      <c r="K1674" s="39" t="str">
        <f aca="false">TEXT(B1674,"mmm")</f>
        <v>Sep</v>
      </c>
      <c r="L1674" s="45" t="n">
        <f aca="false">IFERROR(INDEX(medicine_master!$I$2:$I$26,MATCH($C1674,medicine_master!$A$2:$A$26,0)),0)</f>
        <v>225</v>
      </c>
      <c r="M1674" s="45" t="n">
        <f aca="false">IFERROR(INDEX(medicine_master!$G$2:$G$26,MATCH($C1674,medicine_master!$A$2:$A$26,0)),0)</f>
        <v>165</v>
      </c>
      <c r="N1674" s="45" t="n">
        <f aca="false">IF(D1674="Sale",E1674*L1674,0)</f>
        <v>4500</v>
      </c>
      <c r="O1674" s="45" t="n">
        <f aca="false">IF(D1674="Sale",E1674*M1674,0)</f>
        <v>3300</v>
      </c>
      <c r="P1674" s="45" t="n">
        <f aca="false">N1674-O1674</f>
        <v>1200</v>
      </c>
      <c r="Q1674" s="45" t="n">
        <f aca="false">IF(D1674="Purchase",E1674*M1674,0)</f>
        <v>0</v>
      </c>
    </row>
    <row r="1675" customFormat="false" ht="15" hidden="false" customHeight="false" outlineLevel="0" collapsed="false">
      <c r="A1675" s="39" t="s">
        <v>1999</v>
      </c>
      <c r="B1675" s="44" t="n">
        <v>46327</v>
      </c>
      <c r="C1675" s="39" t="s">
        <v>495</v>
      </c>
      <c r="D1675" s="39" t="s">
        <v>137</v>
      </c>
      <c r="E1675" s="39" t="n">
        <v>30</v>
      </c>
      <c r="F1675" s="39" t="str">
        <f aca="false">IF(COUNTIF(medicine_master!$A$2:$A$26,C1675)&gt;0,"Valid","Invalid")</f>
        <v>Valid</v>
      </c>
      <c r="G1675" s="39" t="str">
        <f aca="false">IFERROR(INDEX(medicine_master!$B$2:$B$26,MATCH($C1675,medicine_master!$A$2:$A$26,0)),"Not found")</f>
        <v>Metformin 500mg</v>
      </c>
      <c r="H1675" s="39" t="str">
        <f aca="false">IFERROR(INDEX(medicine_master!$C$2:$C$26,MATCH($C1675,medicine_master!$A$2:$A$26,0)),"Not found")</f>
        <v>Diabetes</v>
      </c>
      <c r="I1675" s="39" t="n">
        <f aca="false">YEAR(B1675)</f>
        <v>2026</v>
      </c>
      <c r="J1675" s="39" t="n">
        <f aca="false">MONTH(B1675)</f>
        <v>11</v>
      </c>
      <c r="K1675" s="39" t="str">
        <f aca="false">TEXT(B1675,"mmm")</f>
        <v>Nov</v>
      </c>
      <c r="L1675" s="45" t="n">
        <f aca="false">IFERROR(INDEX(medicine_master!$I$2:$I$26,MATCH($C1675,medicine_master!$A$2:$A$26,0)),0)</f>
        <v>24</v>
      </c>
      <c r="M1675" s="45" t="n">
        <f aca="false">IFERROR(INDEX(medicine_master!$G$2:$G$26,MATCH($C1675,medicine_master!$A$2:$A$26,0)),0)</f>
        <v>16</v>
      </c>
      <c r="N1675" s="45" t="n">
        <f aca="false">IF(D1675="Sale",E1675*L1675,0)</f>
        <v>720</v>
      </c>
      <c r="O1675" s="45" t="n">
        <f aca="false">IF(D1675="Sale",E1675*M1675,0)</f>
        <v>480</v>
      </c>
      <c r="P1675" s="45" t="n">
        <f aca="false">N1675-O1675</f>
        <v>240</v>
      </c>
      <c r="Q1675" s="45" t="n">
        <f aca="false">IF(D1675="Purchase",E1675*M1675,0)</f>
        <v>0</v>
      </c>
    </row>
    <row r="1676" customFormat="false" ht="15" hidden="false" customHeight="false" outlineLevel="0" collapsed="false">
      <c r="A1676" s="39" t="s">
        <v>2000</v>
      </c>
      <c r="B1676" s="44" t="n">
        <v>46243</v>
      </c>
      <c r="C1676" s="39" t="s">
        <v>152</v>
      </c>
      <c r="D1676" s="39" t="s">
        <v>137</v>
      </c>
      <c r="E1676" s="39" t="n">
        <v>25</v>
      </c>
      <c r="F1676" s="39" t="str">
        <f aca="false">IF(COUNTIF(medicine_master!$A$2:$A$26,C1676)&gt;0,"Valid","Invalid")</f>
        <v>Valid</v>
      </c>
      <c r="G1676" s="39" t="str">
        <f aca="false">IFERROR(INDEX(medicine_master!$B$2:$B$26,MATCH($C1676,medicine_master!$A$2:$A$26,0)),"Not found")</f>
        <v>Amoxicillin 500mg</v>
      </c>
      <c r="H1676" s="39" t="str">
        <f aca="false">IFERROR(INDEX(medicine_master!$C$2:$C$26,MATCH($C1676,medicine_master!$A$2:$A$26,0)),"Not found")</f>
        <v>Antibiotic</v>
      </c>
      <c r="I1676" s="39" t="n">
        <f aca="false">YEAR(B1676)</f>
        <v>2026</v>
      </c>
      <c r="J1676" s="39" t="n">
        <f aca="false">MONTH(B1676)</f>
        <v>8</v>
      </c>
      <c r="K1676" s="39" t="str">
        <f aca="false">TEXT(B1676,"mmm")</f>
        <v>Aug</v>
      </c>
      <c r="L1676" s="45" t="n">
        <f aca="false">IFERROR(INDEX(medicine_master!$I$2:$I$26,MATCH($C1676,medicine_master!$A$2:$A$26,0)),0)</f>
        <v>40</v>
      </c>
      <c r="M1676" s="45" t="n">
        <f aca="false">IFERROR(INDEX(medicine_master!$G$2:$G$26,MATCH($C1676,medicine_master!$A$2:$A$26,0)),0)</f>
        <v>28</v>
      </c>
      <c r="N1676" s="45" t="n">
        <f aca="false">IF(D1676="Sale",E1676*L1676,0)</f>
        <v>1000</v>
      </c>
      <c r="O1676" s="45" t="n">
        <f aca="false">IF(D1676="Sale",E1676*M1676,0)</f>
        <v>700</v>
      </c>
      <c r="P1676" s="45" t="n">
        <f aca="false">N1676-O1676</f>
        <v>300</v>
      </c>
      <c r="Q1676" s="45" t="n">
        <f aca="false">IF(D1676="Purchase",E1676*M1676,0)</f>
        <v>0</v>
      </c>
    </row>
    <row r="1677" customFormat="false" ht="15" hidden="false" customHeight="false" outlineLevel="0" collapsed="false">
      <c r="A1677" s="39" t="s">
        <v>2001</v>
      </c>
      <c r="B1677" s="44" t="n">
        <v>46383</v>
      </c>
      <c r="C1677" s="39" t="s">
        <v>153</v>
      </c>
      <c r="D1677" s="39" t="s">
        <v>138</v>
      </c>
      <c r="E1677" s="39" t="n">
        <v>30</v>
      </c>
      <c r="F1677" s="39" t="str">
        <f aca="false">IF(COUNTIF(medicine_master!$A$2:$A$26,C1677)&gt;0,"Valid","Invalid")</f>
        <v>Valid</v>
      </c>
      <c r="G1677" s="39" t="str">
        <f aca="false">IFERROR(INDEX(medicine_master!$B$2:$B$26,MATCH($C1677,medicine_master!$A$2:$A$26,0)),"Not found")</f>
        <v>Atorvastatin 10mg</v>
      </c>
      <c r="H1677" s="39" t="str">
        <f aca="false">IFERROR(INDEX(medicine_master!$C$2:$C$26,MATCH($C1677,medicine_master!$A$2:$A$26,0)),"Not found")</f>
        <v>Cardiac</v>
      </c>
      <c r="I1677" s="39" t="n">
        <f aca="false">YEAR(B1677)</f>
        <v>2026</v>
      </c>
      <c r="J1677" s="39" t="n">
        <f aca="false">MONTH(B1677)</f>
        <v>12</v>
      </c>
      <c r="K1677" s="39" t="str">
        <f aca="false">TEXT(B1677,"mmm")</f>
        <v>Dec</v>
      </c>
      <c r="L1677" s="45" t="n">
        <f aca="false">IFERROR(INDEX(medicine_master!$I$2:$I$26,MATCH($C1677,medicine_master!$A$2:$A$26,0)),0)</f>
        <v>28</v>
      </c>
      <c r="M1677" s="45" t="n">
        <f aca="false">IFERROR(INDEX(medicine_master!$G$2:$G$26,MATCH($C1677,medicine_master!$A$2:$A$26,0)),0)</f>
        <v>19</v>
      </c>
      <c r="N1677" s="45" t="n">
        <f aca="false">IF(D1677="Sale",E1677*L1677,0)</f>
        <v>0</v>
      </c>
      <c r="O1677" s="45" t="n">
        <f aca="false">IF(D1677="Sale",E1677*M1677,0)</f>
        <v>0</v>
      </c>
      <c r="P1677" s="45" t="n">
        <f aca="false">N1677-O1677</f>
        <v>0</v>
      </c>
      <c r="Q1677" s="45" t="n">
        <f aca="false">IF(D1677="Purchase",E1677*M1677,0)</f>
        <v>570</v>
      </c>
    </row>
    <row r="1678" customFormat="false" ht="15" hidden="false" customHeight="false" outlineLevel="0" collapsed="false">
      <c r="A1678" s="39" t="s">
        <v>2002</v>
      </c>
      <c r="B1678" s="44" t="n">
        <v>46151</v>
      </c>
      <c r="C1678" s="39" t="s">
        <v>148</v>
      </c>
      <c r="D1678" s="39" t="s">
        <v>137</v>
      </c>
      <c r="E1678" s="39" t="n">
        <v>10</v>
      </c>
      <c r="F1678" s="39" t="str">
        <f aca="false">IF(COUNTIF(medicine_master!$A$2:$A$26,C1678)&gt;0,"Valid","Invalid")</f>
        <v>Valid</v>
      </c>
      <c r="G1678" s="39" t="str">
        <f aca="false">IFERROR(INDEX(medicine_master!$B$2:$B$26,MATCH($C1678,medicine_master!$A$2:$A$26,0)),"Not found")</f>
        <v>Dextromethorphan Syrup</v>
      </c>
      <c r="H1678" s="39" t="str">
        <f aca="false">IFERROR(INDEX(medicine_master!$C$2:$C$26,MATCH($C1678,medicine_master!$A$2:$A$26,0)),"Not found")</f>
        <v>Cold &amp; Cough</v>
      </c>
      <c r="I1678" s="39" t="n">
        <f aca="false">YEAR(B1678)</f>
        <v>2026</v>
      </c>
      <c r="J1678" s="39" t="n">
        <f aca="false">MONTH(B1678)</f>
        <v>5</v>
      </c>
      <c r="K1678" s="39" t="str">
        <f aca="false">TEXT(B1678,"mmm")</f>
        <v>May</v>
      </c>
      <c r="L1678" s="45" t="n">
        <f aca="false">IFERROR(INDEX(medicine_master!$I$2:$I$26,MATCH($C1678,medicine_master!$A$2:$A$26,0)),0)</f>
        <v>80</v>
      </c>
      <c r="M1678" s="45" t="n">
        <f aca="false">IFERROR(INDEX(medicine_master!$G$2:$G$26,MATCH($C1678,medicine_master!$A$2:$A$26,0)),0)</f>
        <v>58</v>
      </c>
      <c r="N1678" s="45" t="n">
        <f aca="false">IF(D1678="Sale",E1678*L1678,0)</f>
        <v>800</v>
      </c>
      <c r="O1678" s="45" t="n">
        <f aca="false">IF(D1678="Sale",E1678*M1678,0)</f>
        <v>580</v>
      </c>
      <c r="P1678" s="45" t="n">
        <f aca="false">N1678-O1678</f>
        <v>220</v>
      </c>
      <c r="Q1678" s="45" t="n">
        <f aca="false">IF(D1678="Purchase",E1678*M1678,0)</f>
        <v>0</v>
      </c>
    </row>
    <row r="1679" customFormat="false" ht="15" hidden="false" customHeight="false" outlineLevel="0" collapsed="false">
      <c r="A1679" s="39" t="s">
        <v>2003</v>
      </c>
      <c r="B1679" s="44" t="n">
        <v>46204</v>
      </c>
      <c r="C1679" s="39" t="s">
        <v>151</v>
      </c>
      <c r="D1679" s="39" t="s">
        <v>137</v>
      </c>
      <c r="E1679" s="39" t="n">
        <v>15</v>
      </c>
      <c r="F1679" s="39" t="str">
        <f aca="false">IF(COUNTIF(medicine_master!$A$2:$A$26,C1679)&gt;0,"Valid","Invalid")</f>
        <v>Valid</v>
      </c>
      <c r="G1679" s="39" t="str">
        <f aca="false">IFERROR(INDEX(medicine_master!$B$2:$B$26,MATCH($C1679,medicine_master!$A$2:$A$26,0)),"Not found")</f>
        <v>Cetirizine 10mg</v>
      </c>
      <c r="H1679" s="39" t="str">
        <f aca="false">IFERROR(INDEX(medicine_master!$C$2:$C$26,MATCH($C1679,medicine_master!$A$2:$A$26,0)),"Not found")</f>
        <v>Allergy</v>
      </c>
      <c r="I1679" s="39" t="n">
        <f aca="false">YEAR(B1679)</f>
        <v>2026</v>
      </c>
      <c r="J1679" s="39" t="n">
        <f aca="false">MONTH(B1679)</f>
        <v>7</v>
      </c>
      <c r="K1679" s="39" t="str">
        <f aca="false">TEXT(B1679,"mmm")</f>
        <v>Jul</v>
      </c>
      <c r="L1679" s="45" t="n">
        <f aca="false">IFERROR(INDEX(medicine_master!$I$2:$I$26,MATCH($C1679,medicine_master!$A$2:$A$26,0)),0)</f>
        <v>13</v>
      </c>
      <c r="M1679" s="45" t="n">
        <f aca="false">IFERROR(INDEX(medicine_master!$G$2:$G$26,MATCH($C1679,medicine_master!$A$2:$A$26,0)),0)</f>
        <v>8</v>
      </c>
      <c r="N1679" s="45" t="n">
        <f aca="false">IF(D1679="Sale",E1679*L1679,0)</f>
        <v>195</v>
      </c>
      <c r="O1679" s="45" t="n">
        <f aca="false">IF(D1679="Sale",E1679*M1679,0)</f>
        <v>120</v>
      </c>
      <c r="P1679" s="45" t="n">
        <f aca="false">N1679-O1679</f>
        <v>75</v>
      </c>
      <c r="Q1679" s="45" t="n">
        <f aca="false">IF(D1679="Purchase",E1679*M1679,0)</f>
        <v>0</v>
      </c>
    </row>
    <row r="1680" customFormat="false" ht="15" hidden="false" customHeight="false" outlineLevel="0" collapsed="false">
      <c r="A1680" s="39" t="s">
        <v>2004</v>
      </c>
      <c r="B1680" s="44" t="n">
        <v>46075</v>
      </c>
      <c r="C1680" s="39" t="s">
        <v>179</v>
      </c>
      <c r="D1680" s="39" t="s">
        <v>138</v>
      </c>
      <c r="E1680" s="39" t="n">
        <v>25</v>
      </c>
      <c r="F1680" s="39" t="str">
        <f aca="false">IF(COUNTIF(medicine_master!$A$2:$A$26,C1680)&gt;0,"Valid","Invalid")</f>
        <v>Valid</v>
      </c>
      <c r="G1680" s="39" t="str">
        <f aca="false">IFERROR(INDEX(medicine_master!$B$2:$B$26,MATCH($C1680,medicine_master!$A$2:$A$26,0)),"Not found")</f>
        <v>Ibuprofen 400mg</v>
      </c>
      <c r="H1680" s="39" t="str">
        <f aca="false">IFERROR(INDEX(medicine_master!$C$2:$C$26,MATCH($C1680,medicine_master!$A$2:$A$26,0)),"Not found")</f>
        <v>Pain Relief</v>
      </c>
      <c r="I1680" s="39" t="n">
        <f aca="false">YEAR(B1680)</f>
        <v>2026</v>
      </c>
      <c r="J1680" s="39" t="n">
        <f aca="false">MONTH(B1680)</f>
        <v>2</v>
      </c>
      <c r="K1680" s="39" t="str">
        <f aca="false">TEXT(B1680,"mmm")</f>
        <v>Feb</v>
      </c>
      <c r="L1680" s="45" t="n">
        <f aca="false">IFERROR(INDEX(medicine_master!$I$2:$I$26,MATCH($C1680,medicine_master!$A$2:$A$26,0)),0)</f>
        <v>30</v>
      </c>
      <c r="M1680" s="45" t="n">
        <f aca="false">IFERROR(INDEX(medicine_master!$G$2:$G$26,MATCH($C1680,medicine_master!$A$2:$A$26,0)),0)</f>
        <v>22</v>
      </c>
      <c r="N1680" s="45" t="n">
        <f aca="false">IF(D1680="Sale",E1680*L1680,0)</f>
        <v>0</v>
      </c>
      <c r="O1680" s="45" t="n">
        <f aca="false">IF(D1680="Sale",E1680*M1680,0)</f>
        <v>0</v>
      </c>
      <c r="P1680" s="45" t="n">
        <f aca="false">N1680-O1680</f>
        <v>0</v>
      </c>
      <c r="Q1680" s="45" t="n">
        <f aca="false">IF(D1680="Purchase",E1680*M1680,0)</f>
        <v>550</v>
      </c>
    </row>
    <row r="1681" customFormat="false" ht="15" hidden="false" customHeight="false" outlineLevel="0" collapsed="false">
      <c r="A1681" s="39" t="s">
        <v>2005</v>
      </c>
      <c r="B1681" s="44" t="n">
        <v>46024</v>
      </c>
      <c r="C1681" s="39" t="s">
        <v>144</v>
      </c>
      <c r="D1681" s="39" t="s">
        <v>137</v>
      </c>
      <c r="E1681" s="39" t="n">
        <v>20</v>
      </c>
      <c r="F1681" s="39" t="str">
        <f aca="false">IF(COUNTIF(medicine_master!$A$2:$A$26,C1681)&gt;0,"Valid","Invalid")</f>
        <v>Valid</v>
      </c>
      <c r="G1681" s="39" t="str">
        <f aca="false">IFERROR(INDEX(medicine_master!$B$2:$B$26,MATCH($C1681,medicine_master!$A$2:$A$26,0)),"Not found")</f>
        <v>Glimepiride 2mg</v>
      </c>
      <c r="H1681" s="39" t="str">
        <f aca="false">IFERROR(INDEX(medicine_master!$C$2:$C$26,MATCH($C1681,medicine_master!$A$2:$A$26,0)),"Not found")</f>
        <v>Diabetes</v>
      </c>
      <c r="I1681" s="39" t="n">
        <f aca="false">YEAR(B1681)</f>
        <v>2026</v>
      </c>
      <c r="J1681" s="39" t="n">
        <f aca="false">MONTH(B1681)</f>
        <v>1</v>
      </c>
      <c r="K1681" s="39" t="str">
        <f aca="false">TEXT(B1681,"mmm")</f>
        <v>Jan</v>
      </c>
      <c r="L1681" s="45" t="n">
        <f aca="false">IFERROR(INDEX(medicine_master!$I$2:$I$26,MATCH($C1681,medicine_master!$A$2:$A$26,0)),0)</f>
        <v>52</v>
      </c>
      <c r="M1681" s="45" t="n">
        <f aca="false">IFERROR(INDEX(medicine_master!$G$2:$G$26,MATCH($C1681,medicine_master!$A$2:$A$26,0)),0)</f>
        <v>38</v>
      </c>
      <c r="N1681" s="45" t="n">
        <f aca="false">IF(D1681="Sale",E1681*L1681,0)</f>
        <v>1040</v>
      </c>
      <c r="O1681" s="45" t="n">
        <f aca="false">IF(D1681="Sale",E1681*M1681,0)</f>
        <v>760</v>
      </c>
      <c r="P1681" s="45" t="n">
        <f aca="false">N1681-O1681</f>
        <v>280</v>
      </c>
      <c r="Q1681" s="45" t="n">
        <f aca="false">IF(D1681="Purchase",E1681*M1681,0)</f>
        <v>0</v>
      </c>
    </row>
    <row r="1682" customFormat="false" ht="15" hidden="false" customHeight="false" outlineLevel="0" collapsed="false">
      <c r="A1682" s="39" t="s">
        <v>2006</v>
      </c>
      <c r="B1682" s="44" t="n">
        <v>46046</v>
      </c>
      <c r="C1682" s="39" t="s">
        <v>177</v>
      </c>
      <c r="D1682" s="39" t="s">
        <v>138</v>
      </c>
      <c r="E1682" s="39" t="n">
        <v>5</v>
      </c>
      <c r="F1682" s="39" t="str">
        <f aca="false">IF(COUNTIF(medicine_master!$A$2:$A$26,C1682)&gt;0,"Valid","Invalid")</f>
        <v>Valid</v>
      </c>
      <c r="G1682" s="39" t="str">
        <f aca="false">IFERROR(INDEX(medicine_master!$B$2:$B$26,MATCH($C1682,medicine_master!$A$2:$A$26,0)),"Not found")</f>
        <v>Bandage Roll</v>
      </c>
      <c r="H1682" s="39" t="str">
        <f aca="false">IFERROR(INDEX(medicine_master!$C$2:$C$26,MATCH($C1682,medicine_master!$A$2:$A$26,0)),"Not found")</f>
        <v>First Aid</v>
      </c>
      <c r="I1682" s="39" t="n">
        <f aca="false">YEAR(B1682)</f>
        <v>2026</v>
      </c>
      <c r="J1682" s="39" t="n">
        <f aca="false">MONTH(B1682)</f>
        <v>1</v>
      </c>
      <c r="K1682" s="39" t="str">
        <f aca="false">TEXT(B1682,"mmm")</f>
        <v>Jan</v>
      </c>
      <c r="L1682" s="45" t="n">
        <f aca="false">IFERROR(INDEX(medicine_master!$I$2:$I$26,MATCH($C1682,medicine_master!$A$2:$A$26,0)),0)</f>
        <v>25</v>
      </c>
      <c r="M1682" s="45" t="n">
        <f aca="false">IFERROR(INDEX(medicine_master!$G$2:$G$26,MATCH($C1682,medicine_master!$A$2:$A$26,0)),0)</f>
        <v>15</v>
      </c>
      <c r="N1682" s="45" t="n">
        <f aca="false">IF(D1682="Sale",E1682*L1682,0)</f>
        <v>0</v>
      </c>
      <c r="O1682" s="45" t="n">
        <f aca="false">IF(D1682="Sale",E1682*M1682,0)</f>
        <v>0</v>
      </c>
      <c r="P1682" s="45" t="n">
        <f aca="false">N1682-O1682</f>
        <v>0</v>
      </c>
      <c r="Q1682" s="45" t="n">
        <f aca="false">IF(D1682="Purchase",E1682*M1682,0)</f>
        <v>75</v>
      </c>
    </row>
    <row r="1683" customFormat="false" ht="15" hidden="false" customHeight="false" outlineLevel="0" collapsed="false">
      <c r="A1683" s="39" t="s">
        <v>2007</v>
      </c>
      <c r="B1683" s="44" t="n">
        <v>46273</v>
      </c>
      <c r="C1683" s="39" t="s">
        <v>345</v>
      </c>
      <c r="D1683" s="39" t="s">
        <v>138</v>
      </c>
      <c r="E1683" s="39" t="n">
        <v>50</v>
      </c>
      <c r="F1683" s="39" t="str">
        <f aca="false">IF(COUNTIF(medicine_master!$A$2:$A$26,C1683)&gt;0,"Valid","Invalid")</f>
        <v>Valid</v>
      </c>
      <c r="G1683" s="39" t="str">
        <f aca="false">IFERROR(INDEX(medicine_master!$B$2:$B$26,MATCH($C1683,medicine_master!$A$2:$A$26,0)),"Not found")</f>
        <v>Paracetamol 500mg</v>
      </c>
      <c r="H1683" s="39" t="str">
        <f aca="false">IFERROR(INDEX(medicine_master!$C$2:$C$26,MATCH($C1683,medicine_master!$A$2:$A$26,0)),"Not found")</f>
        <v>Pain Relief</v>
      </c>
      <c r="I1683" s="39" t="n">
        <f aca="false">YEAR(B1683)</f>
        <v>2026</v>
      </c>
      <c r="J1683" s="39" t="n">
        <f aca="false">MONTH(B1683)</f>
        <v>9</v>
      </c>
      <c r="K1683" s="39" t="str">
        <f aca="false">TEXT(B1683,"mmm")</f>
        <v>Sep</v>
      </c>
      <c r="L1683" s="45" t="n">
        <f aca="false">IFERROR(INDEX(medicine_master!$I$2:$I$26,MATCH($C1683,medicine_master!$A$2:$A$26,0)),0)</f>
        <v>18</v>
      </c>
      <c r="M1683" s="45" t="n">
        <f aca="false">IFERROR(INDEX(medicine_master!$G$2:$G$26,MATCH($C1683,medicine_master!$A$2:$A$26,0)),0)</f>
        <v>12</v>
      </c>
      <c r="N1683" s="45" t="n">
        <f aca="false">IF(D1683="Sale",E1683*L1683,0)</f>
        <v>0</v>
      </c>
      <c r="O1683" s="45" t="n">
        <f aca="false">IF(D1683="Sale",E1683*M1683,0)</f>
        <v>0</v>
      </c>
      <c r="P1683" s="45" t="n">
        <f aca="false">N1683-O1683</f>
        <v>0</v>
      </c>
      <c r="Q1683" s="45" t="n">
        <f aca="false">IF(D1683="Purchase",E1683*M1683,0)</f>
        <v>600</v>
      </c>
    </row>
    <row r="1684" customFormat="false" ht="15" hidden="false" customHeight="false" outlineLevel="0" collapsed="false">
      <c r="A1684" s="39" t="s">
        <v>2008</v>
      </c>
      <c r="B1684" s="44" t="n">
        <v>46127</v>
      </c>
      <c r="C1684" s="39" t="s">
        <v>159</v>
      </c>
      <c r="D1684" s="39" t="s">
        <v>137</v>
      </c>
      <c r="E1684" s="39" t="n">
        <v>30</v>
      </c>
      <c r="F1684" s="39" t="str">
        <f aca="false">IF(COUNTIF(medicine_master!$A$2:$A$26,C1684)&gt;0,"Valid","Invalid")</f>
        <v>Valid</v>
      </c>
      <c r="G1684" s="39" t="str">
        <f aca="false">IFERROR(INDEX(medicine_master!$B$2:$B$26,MATCH($C1684,medicine_master!$A$2:$A$26,0)),"Not found")</f>
        <v>Antiseptic Liquid 100ml</v>
      </c>
      <c r="H1684" s="39" t="str">
        <f aca="false">IFERROR(INDEX(medicine_master!$C$2:$C$26,MATCH($C1684,medicine_master!$A$2:$A$26,0)),"Not found")</f>
        <v>First Aid</v>
      </c>
      <c r="I1684" s="39" t="n">
        <f aca="false">YEAR(B1684)</f>
        <v>2026</v>
      </c>
      <c r="J1684" s="39" t="n">
        <f aca="false">MONTH(B1684)</f>
        <v>4</v>
      </c>
      <c r="K1684" s="39" t="str">
        <f aca="false">TEXT(B1684,"mmm")</f>
        <v>Apr</v>
      </c>
      <c r="L1684" s="45" t="n">
        <f aca="false">IFERROR(INDEX(medicine_master!$I$2:$I$26,MATCH($C1684,medicine_master!$A$2:$A$26,0)),0)</f>
        <v>65</v>
      </c>
      <c r="M1684" s="45" t="n">
        <f aca="false">IFERROR(INDEX(medicine_master!$G$2:$G$26,MATCH($C1684,medicine_master!$A$2:$A$26,0)),0)</f>
        <v>48</v>
      </c>
      <c r="N1684" s="45" t="n">
        <f aca="false">IF(D1684="Sale",E1684*L1684,0)</f>
        <v>1950</v>
      </c>
      <c r="O1684" s="45" t="n">
        <f aca="false">IF(D1684="Sale",E1684*M1684,0)</f>
        <v>1440</v>
      </c>
      <c r="P1684" s="45" t="n">
        <f aca="false">N1684-O1684</f>
        <v>510</v>
      </c>
      <c r="Q1684" s="45" t="n">
        <f aca="false">IF(D1684="Purchase",E1684*M1684,0)</f>
        <v>0</v>
      </c>
    </row>
    <row r="1685" customFormat="false" ht="15" hidden="false" customHeight="false" outlineLevel="0" collapsed="false">
      <c r="A1685" s="39" t="s">
        <v>2009</v>
      </c>
      <c r="B1685" s="44" t="n">
        <v>46238</v>
      </c>
      <c r="C1685" s="39" t="s">
        <v>321</v>
      </c>
      <c r="D1685" s="39" t="s">
        <v>137</v>
      </c>
      <c r="E1685" s="39" t="n">
        <v>5</v>
      </c>
      <c r="F1685" s="39" t="str">
        <f aca="false">IF(COUNTIF(medicine_master!$A$2:$A$26,C1685)&gt;0,"Valid","Invalid")</f>
        <v>Valid</v>
      </c>
      <c r="G1685" s="39" t="str">
        <f aca="false">IFERROR(INDEX(medicine_master!$B$2:$B$26,MATCH($C1685,medicine_master!$A$2:$A$26,0)),"Not found")</f>
        <v>Levocetirizine 5mg</v>
      </c>
      <c r="H1685" s="39" t="str">
        <f aca="false">IFERROR(INDEX(medicine_master!$C$2:$C$26,MATCH($C1685,medicine_master!$A$2:$A$26,0)),"Not found")</f>
        <v>Allergy</v>
      </c>
      <c r="I1685" s="39" t="n">
        <f aca="false">YEAR(B1685)</f>
        <v>2026</v>
      </c>
      <c r="J1685" s="39" t="n">
        <f aca="false">MONTH(B1685)</f>
        <v>8</v>
      </c>
      <c r="K1685" s="39" t="str">
        <f aca="false">TEXT(B1685,"mmm")</f>
        <v>Aug</v>
      </c>
      <c r="L1685" s="45" t="n">
        <f aca="false">IFERROR(INDEX(medicine_master!$I$2:$I$26,MATCH($C1685,medicine_master!$A$2:$A$26,0)),0)</f>
        <v>22</v>
      </c>
      <c r="M1685" s="45" t="n">
        <f aca="false">IFERROR(INDEX(medicine_master!$G$2:$G$26,MATCH($C1685,medicine_master!$A$2:$A$26,0)),0)</f>
        <v>14</v>
      </c>
      <c r="N1685" s="45" t="n">
        <f aca="false">IF(D1685="Sale",E1685*L1685,0)</f>
        <v>110</v>
      </c>
      <c r="O1685" s="45" t="n">
        <f aca="false">IF(D1685="Sale",E1685*M1685,0)</f>
        <v>70</v>
      </c>
      <c r="P1685" s="45" t="n">
        <f aca="false">N1685-O1685</f>
        <v>40</v>
      </c>
      <c r="Q1685" s="45" t="n">
        <f aca="false">IF(D1685="Purchase",E1685*M1685,0)</f>
        <v>0</v>
      </c>
    </row>
    <row r="1686" customFormat="false" ht="15" hidden="false" customHeight="false" outlineLevel="0" collapsed="false">
      <c r="A1686" s="39" t="s">
        <v>2010</v>
      </c>
      <c r="B1686" s="44" t="n">
        <v>46355</v>
      </c>
      <c r="C1686" s="39" t="s">
        <v>345</v>
      </c>
      <c r="D1686" s="39" t="s">
        <v>138</v>
      </c>
      <c r="E1686" s="39" t="n">
        <v>40</v>
      </c>
      <c r="F1686" s="39" t="str">
        <f aca="false">IF(COUNTIF(medicine_master!$A$2:$A$26,C1686)&gt;0,"Valid","Invalid")</f>
        <v>Valid</v>
      </c>
      <c r="G1686" s="39" t="str">
        <f aca="false">IFERROR(INDEX(medicine_master!$B$2:$B$26,MATCH($C1686,medicine_master!$A$2:$A$26,0)),"Not found")</f>
        <v>Paracetamol 500mg</v>
      </c>
      <c r="H1686" s="39" t="str">
        <f aca="false">IFERROR(INDEX(medicine_master!$C$2:$C$26,MATCH($C1686,medicine_master!$A$2:$A$26,0)),"Not found")</f>
        <v>Pain Relief</v>
      </c>
      <c r="I1686" s="39" t="n">
        <f aca="false">YEAR(B1686)</f>
        <v>2026</v>
      </c>
      <c r="J1686" s="39" t="n">
        <f aca="false">MONTH(B1686)</f>
        <v>11</v>
      </c>
      <c r="K1686" s="39" t="str">
        <f aca="false">TEXT(B1686,"mmm")</f>
        <v>Nov</v>
      </c>
      <c r="L1686" s="45" t="n">
        <f aca="false">IFERROR(INDEX(medicine_master!$I$2:$I$26,MATCH($C1686,medicine_master!$A$2:$A$26,0)),0)</f>
        <v>18</v>
      </c>
      <c r="M1686" s="45" t="n">
        <f aca="false">IFERROR(INDEX(medicine_master!$G$2:$G$26,MATCH($C1686,medicine_master!$A$2:$A$26,0)),0)</f>
        <v>12</v>
      </c>
      <c r="N1686" s="45" t="n">
        <f aca="false">IF(D1686="Sale",E1686*L1686,0)</f>
        <v>0</v>
      </c>
      <c r="O1686" s="45" t="n">
        <f aca="false">IF(D1686="Sale",E1686*M1686,0)</f>
        <v>0</v>
      </c>
      <c r="P1686" s="45" t="n">
        <f aca="false">N1686-O1686</f>
        <v>0</v>
      </c>
      <c r="Q1686" s="45" t="n">
        <f aca="false">IF(D1686="Purchase",E1686*M1686,0)</f>
        <v>480</v>
      </c>
    </row>
    <row r="1687" customFormat="false" ht="15" hidden="false" customHeight="false" outlineLevel="0" collapsed="false">
      <c r="A1687" s="39" t="s">
        <v>2011</v>
      </c>
      <c r="B1687" s="44" t="n">
        <v>46046</v>
      </c>
      <c r="C1687" s="39" t="s">
        <v>149</v>
      </c>
      <c r="D1687" s="39" t="s">
        <v>137</v>
      </c>
      <c r="E1687" s="39" t="n">
        <v>10</v>
      </c>
      <c r="F1687" s="39" t="str">
        <f aca="false">IF(COUNTIF(medicine_master!$A$2:$A$26,C1687)&gt;0,"Valid","Invalid")</f>
        <v>Valid</v>
      </c>
      <c r="G1687" s="39" t="str">
        <f aca="false">IFERROR(INDEX(medicine_master!$B$2:$B$26,MATCH($C1687,medicine_master!$A$2:$A$26,0)),"Not found")</f>
        <v>Azithromycin 500mg</v>
      </c>
      <c r="H1687" s="39" t="str">
        <f aca="false">IFERROR(INDEX(medicine_master!$C$2:$C$26,MATCH($C1687,medicine_master!$A$2:$A$26,0)),"Not found")</f>
        <v>Antibiotic</v>
      </c>
      <c r="I1687" s="39" t="n">
        <f aca="false">YEAR(B1687)</f>
        <v>2026</v>
      </c>
      <c r="J1687" s="39" t="n">
        <f aca="false">MONTH(B1687)</f>
        <v>1</v>
      </c>
      <c r="K1687" s="39" t="str">
        <f aca="false">TEXT(B1687,"mmm")</f>
        <v>Jan</v>
      </c>
      <c r="L1687" s="45" t="n">
        <f aca="false">IFERROR(INDEX(medicine_master!$I$2:$I$26,MATCH($C1687,medicine_master!$A$2:$A$26,0)),0)</f>
        <v>50</v>
      </c>
      <c r="M1687" s="45" t="n">
        <f aca="false">IFERROR(INDEX(medicine_master!$G$2:$G$26,MATCH($C1687,medicine_master!$A$2:$A$26,0)),0)</f>
        <v>35</v>
      </c>
      <c r="N1687" s="45" t="n">
        <f aca="false">IF(D1687="Sale",E1687*L1687,0)</f>
        <v>500</v>
      </c>
      <c r="O1687" s="45" t="n">
        <f aca="false">IF(D1687="Sale",E1687*M1687,0)</f>
        <v>350</v>
      </c>
      <c r="P1687" s="45" t="n">
        <f aca="false">N1687-O1687</f>
        <v>150</v>
      </c>
      <c r="Q1687" s="45" t="n">
        <f aca="false">IF(D1687="Purchase",E1687*M1687,0)</f>
        <v>0</v>
      </c>
    </row>
    <row r="1688" customFormat="false" ht="15" hidden="false" customHeight="false" outlineLevel="0" collapsed="false">
      <c r="A1688" s="39" t="s">
        <v>2012</v>
      </c>
      <c r="B1688" s="44" t="n">
        <v>46265</v>
      </c>
      <c r="C1688" s="39" t="s">
        <v>321</v>
      </c>
      <c r="D1688" s="39" t="s">
        <v>137</v>
      </c>
      <c r="E1688" s="39" t="n">
        <v>25</v>
      </c>
      <c r="F1688" s="39" t="str">
        <f aca="false">IF(COUNTIF(medicine_master!$A$2:$A$26,C1688)&gt;0,"Valid","Invalid")</f>
        <v>Valid</v>
      </c>
      <c r="G1688" s="39" t="str">
        <f aca="false">IFERROR(INDEX(medicine_master!$B$2:$B$26,MATCH($C1688,medicine_master!$A$2:$A$26,0)),"Not found")</f>
        <v>Levocetirizine 5mg</v>
      </c>
      <c r="H1688" s="39" t="str">
        <f aca="false">IFERROR(INDEX(medicine_master!$C$2:$C$26,MATCH($C1688,medicine_master!$A$2:$A$26,0)),"Not found")</f>
        <v>Allergy</v>
      </c>
      <c r="I1688" s="39" t="n">
        <f aca="false">YEAR(B1688)</f>
        <v>2026</v>
      </c>
      <c r="J1688" s="39" t="n">
        <f aca="false">MONTH(B1688)</f>
        <v>8</v>
      </c>
      <c r="K1688" s="39" t="str">
        <f aca="false">TEXT(B1688,"mmm")</f>
        <v>Aug</v>
      </c>
      <c r="L1688" s="45" t="n">
        <f aca="false">IFERROR(INDEX(medicine_master!$I$2:$I$26,MATCH($C1688,medicine_master!$A$2:$A$26,0)),0)</f>
        <v>22</v>
      </c>
      <c r="M1688" s="45" t="n">
        <f aca="false">IFERROR(INDEX(medicine_master!$G$2:$G$26,MATCH($C1688,medicine_master!$A$2:$A$26,0)),0)</f>
        <v>14</v>
      </c>
      <c r="N1688" s="45" t="n">
        <f aca="false">IF(D1688="Sale",E1688*L1688,0)</f>
        <v>550</v>
      </c>
      <c r="O1688" s="45" t="n">
        <f aca="false">IF(D1688="Sale",E1688*M1688,0)</f>
        <v>350</v>
      </c>
      <c r="P1688" s="45" t="n">
        <f aca="false">N1688-O1688</f>
        <v>200</v>
      </c>
      <c r="Q1688" s="45" t="n">
        <f aca="false">IF(D1688="Purchase",E1688*M1688,0)</f>
        <v>0</v>
      </c>
    </row>
    <row r="1689" customFormat="false" ht="15" hidden="false" customHeight="false" outlineLevel="0" collapsed="false">
      <c r="A1689" s="39" t="s">
        <v>2013</v>
      </c>
      <c r="B1689" s="44" t="n">
        <v>46289</v>
      </c>
      <c r="C1689" s="39" t="s">
        <v>345</v>
      </c>
      <c r="D1689" s="39" t="s">
        <v>137</v>
      </c>
      <c r="E1689" s="39" t="n">
        <v>15</v>
      </c>
      <c r="F1689" s="39" t="str">
        <f aca="false">IF(COUNTIF(medicine_master!$A$2:$A$26,C1689)&gt;0,"Valid","Invalid")</f>
        <v>Valid</v>
      </c>
      <c r="G1689" s="39" t="str">
        <f aca="false">IFERROR(INDEX(medicine_master!$B$2:$B$26,MATCH($C1689,medicine_master!$A$2:$A$26,0)),"Not found")</f>
        <v>Paracetamol 500mg</v>
      </c>
      <c r="H1689" s="39" t="str">
        <f aca="false">IFERROR(INDEX(medicine_master!$C$2:$C$26,MATCH($C1689,medicine_master!$A$2:$A$26,0)),"Not found")</f>
        <v>Pain Relief</v>
      </c>
      <c r="I1689" s="39" t="n">
        <f aca="false">YEAR(B1689)</f>
        <v>2026</v>
      </c>
      <c r="J1689" s="39" t="n">
        <f aca="false">MONTH(B1689)</f>
        <v>9</v>
      </c>
      <c r="K1689" s="39" t="str">
        <f aca="false">TEXT(B1689,"mmm")</f>
        <v>Sep</v>
      </c>
      <c r="L1689" s="45" t="n">
        <f aca="false">IFERROR(INDEX(medicine_master!$I$2:$I$26,MATCH($C1689,medicine_master!$A$2:$A$26,0)),0)</f>
        <v>18</v>
      </c>
      <c r="M1689" s="45" t="n">
        <f aca="false">IFERROR(INDEX(medicine_master!$G$2:$G$26,MATCH($C1689,medicine_master!$A$2:$A$26,0)),0)</f>
        <v>12</v>
      </c>
      <c r="N1689" s="45" t="n">
        <f aca="false">IF(D1689="Sale",E1689*L1689,0)</f>
        <v>270</v>
      </c>
      <c r="O1689" s="45" t="n">
        <f aca="false">IF(D1689="Sale",E1689*M1689,0)</f>
        <v>180</v>
      </c>
      <c r="P1689" s="45" t="n">
        <f aca="false">N1689-O1689</f>
        <v>90</v>
      </c>
      <c r="Q1689" s="45" t="n">
        <f aca="false">IF(D1689="Purchase",E1689*M1689,0)</f>
        <v>0</v>
      </c>
    </row>
    <row r="1690" customFormat="false" ht="15" hidden="false" customHeight="false" outlineLevel="0" collapsed="false">
      <c r="A1690" s="39" t="s">
        <v>2014</v>
      </c>
      <c r="B1690" s="44" t="n">
        <v>46321</v>
      </c>
      <c r="C1690" s="39" t="s">
        <v>152</v>
      </c>
      <c r="D1690" s="39" t="s">
        <v>137</v>
      </c>
      <c r="E1690" s="39" t="n">
        <v>50</v>
      </c>
      <c r="F1690" s="39" t="str">
        <f aca="false">IF(COUNTIF(medicine_master!$A$2:$A$26,C1690)&gt;0,"Valid","Invalid")</f>
        <v>Valid</v>
      </c>
      <c r="G1690" s="39" t="str">
        <f aca="false">IFERROR(INDEX(medicine_master!$B$2:$B$26,MATCH($C1690,medicine_master!$A$2:$A$26,0)),"Not found")</f>
        <v>Amoxicillin 500mg</v>
      </c>
      <c r="H1690" s="39" t="str">
        <f aca="false">IFERROR(INDEX(medicine_master!$C$2:$C$26,MATCH($C1690,medicine_master!$A$2:$A$26,0)),"Not found")</f>
        <v>Antibiotic</v>
      </c>
      <c r="I1690" s="39" t="n">
        <f aca="false">YEAR(B1690)</f>
        <v>2026</v>
      </c>
      <c r="J1690" s="39" t="n">
        <f aca="false">MONTH(B1690)</f>
        <v>10</v>
      </c>
      <c r="K1690" s="39" t="str">
        <f aca="false">TEXT(B1690,"mmm")</f>
        <v>Oct</v>
      </c>
      <c r="L1690" s="45" t="n">
        <f aca="false">IFERROR(INDEX(medicine_master!$I$2:$I$26,MATCH($C1690,medicine_master!$A$2:$A$26,0)),0)</f>
        <v>40</v>
      </c>
      <c r="M1690" s="45" t="n">
        <f aca="false">IFERROR(INDEX(medicine_master!$G$2:$G$26,MATCH($C1690,medicine_master!$A$2:$A$26,0)),0)</f>
        <v>28</v>
      </c>
      <c r="N1690" s="45" t="n">
        <f aca="false">IF(D1690="Sale",E1690*L1690,0)</f>
        <v>2000</v>
      </c>
      <c r="O1690" s="45" t="n">
        <f aca="false">IF(D1690="Sale",E1690*M1690,0)</f>
        <v>1400</v>
      </c>
      <c r="P1690" s="45" t="n">
        <f aca="false">N1690-O1690</f>
        <v>600</v>
      </c>
      <c r="Q1690" s="45" t="n">
        <f aca="false">IF(D1690="Purchase",E1690*M1690,0)</f>
        <v>0</v>
      </c>
    </row>
    <row r="1691" customFormat="false" ht="15" hidden="false" customHeight="false" outlineLevel="0" collapsed="false">
      <c r="A1691" s="39" t="s">
        <v>2015</v>
      </c>
      <c r="B1691" s="44" t="n">
        <v>46125</v>
      </c>
      <c r="C1691" s="39" t="s">
        <v>326</v>
      </c>
      <c r="D1691" s="39" t="s">
        <v>138</v>
      </c>
      <c r="E1691" s="39" t="n">
        <v>25</v>
      </c>
      <c r="F1691" s="39" t="str">
        <f aca="false">IF(COUNTIF(medicine_master!$A$2:$A$26,C1691)&gt;0,"Valid","Invalid")</f>
        <v>Valid</v>
      </c>
      <c r="G1691" s="39" t="str">
        <f aca="false">IFERROR(INDEX(medicine_master!$B$2:$B$26,MATCH($C1691,medicine_master!$A$2:$A$26,0)),"Not found")</f>
        <v>Omeprazole 20mg</v>
      </c>
      <c r="H1691" s="39" t="str">
        <f aca="false">IFERROR(INDEX(medicine_master!$C$2:$C$26,MATCH($C1691,medicine_master!$A$2:$A$26,0)),"Not found")</f>
        <v>Gastric</v>
      </c>
      <c r="I1691" s="39" t="n">
        <f aca="false">YEAR(B1691)</f>
        <v>2026</v>
      </c>
      <c r="J1691" s="39" t="n">
        <f aca="false">MONTH(B1691)</f>
        <v>4</v>
      </c>
      <c r="K1691" s="39" t="str">
        <f aca="false">TEXT(B1691,"mmm")</f>
        <v>Apr</v>
      </c>
      <c r="L1691" s="45" t="n">
        <f aca="false">IFERROR(INDEX(medicine_master!$I$2:$I$26,MATCH($C1691,medicine_master!$A$2:$A$26,0)),0)</f>
        <v>26</v>
      </c>
      <c r="M1691" s="45" t="n">
        <f aca="false">IFERROR(INDEX(medicine_master!$G$2:$G$26,MATCH($C1691,medicine_master!$A$2:$A$26,0)),0)</f>
        <v>18</v>
      </c>
      <c r="N1691" s="45" t="n">
        <f aca="false">IF(D1691="Sale",E1691*L1691,0)</f>
        <v>0</v>
      </c>
      <c r="O1691" s="45" t="n">
        <f aca="false">IF(D1691="Sale",E1691*M1691,0)</f>
        <v>0</v>
      </c>
      <c r="P1691" s="45" t="n">
        <f aca="false">N1691-O1691</f>
        <v>0</v>
      </c>
      <c r="Q1691" s="45" t="n">
        <f aca="false">IF(D1691="Purchase",E1691*M1691,0)</f>
        <v>450</v>
      </c>
    </row>
    <row r="1692" customFormat="false" ht="15" hidden="false" customHeight="false" outlineLevel="0" collapsed="false">
      <c r="A1692" s="39" t="s">
        <v>2016</v>
      </c>
      <c r="B1692" s="44" t="n">
        <v>46337</v>
      </c>
      <c r="C1692" s="39" t="s">
        <v>180</v>
      </c>
      <c r="D1692" s="39" t="s">
        <v>137</v>
      </c>
      <c r="E1692" s="39" t="n">
        <v>15</v>
      </c>
      <c r="F1692" s="39" t="str">
        <f aca="false">IF(COUNTIF(medicine_master!$A$2:$A$26,C1692)&gt;0,"Valid","Invalid")</f>
        <v>Valid</v>
      </c>
      <c r="G1692" s="39" t="str">
        <f aca="false">IFERROR(INDEX(medicine_master!$B$2:$B$26,MATCH($C1692,medicine_master!$A$2:$A$26,0)),"Not found")</f>
        <v>Vitamin C 500mg</v>
      </c>
      <c r="H1692" s="39" t="str">
        <f aca="false">IFERROR(INDEX(medicine_master!$C$2:$C$26,MATCH($C1692,medicine_master!$A$2:$A$26,0)),"Not found")</f>
        <v>Vitamin</v>
      </c>
      <c r="I1692" s="39" t="n">
        <f aca="false">YEAR(B1692)</f>
        <v>2026</v>
      </c>
      <c r="J1692" s="39" t="n">
        <f aca="false">MONTH(B1692)</f>
        <v>11</v>
      </c>
      <c r="K1692" s="39" t="str">
        <f aca="false">TEXT(B1692,"mmm")</f>
        <v>Nov</v>
      </c>
      <c r="L1692" s="45" t="n">
        <f aca="false">IFERROR(INDEX(medicine_master!$I$2:$I$26,MATCH($C1692,medicine_master!$A$2:$A$26,0)),0)</f>
        <v>22</v>
      </c>
      <c r="M1692" s="45" t="n">
        <f aca="false">IFERROR(INDEX(medicine_master!$G$2:$G$26,MATCH($C1692,medicine_master!$A$2:$A$26,0)),0)</f>
        <v>14</v>
      </c>
      <c r="N1692" s="45" t="n">
        <f aca="false">IF(D1692="Sale",E1692*L1692,0)</f>
        <v>330</v>
      </c>
      <c r="O1692" s="45" t="n">
        <f aca="false">IF(D1692="Sale",E1692*M1692,0)</f>
        <v>210</v>
      </c>
      <c r="P1692" s="45" t="n">
        <f aca="false">N1692-O1692</f>
        <v>120</v>
      </c>
      <c r="Q1692" s="45" t="n">
        <f aca="false">IF(D1692="Purchase",E1692*M1692,0)</f>
        <v>0</v>
      </c>
    </row>
    <row r="1693" customFormat="false" ht="15" hidden="false" customHeight="false" outlineLevel="0" collapsed="false">
      <c r="A1693" s="39" t="s">
        <v>2017</v>
      </c>
      <c r="B1693" s="44" t="n">
        <v>46048</v>
      </c>
      <c r="C1693" s="39" t="s">
        <v>345</v>
      </c>
      <c r="D1693" s="39" t="s">
        <v>138</v>
      </c>
      <c r="E1693" s="39" t="n">
        <v>25</v>
      </c>
      <c r="F1693" s="39" t="str">
        <f aca="false">IF(COUNTIF(medicine_master!$A$2:$A$26,C1693)&gt;0,"Valid","Invalid")</f>
        <v>Valid</v>
      </c>
      <c r="G1693" s="39" t="str">
        <f aca="false">IFERROR(INDEX(medicine_master!$B$2:$B$26,MATCH($C1693,medicine_master!$A$2:$A$26,0)),"Not found")</f>
        <v>Paracetamol 500mg</v>
      </c>
      <c r="H1693" s="39" t="str">
        <f aca="false">IFERROR(INDEX(medicine_master!$C$2:$C$26,MATCH($C1693,medicine_master!$A$2:$A$26,0)),"Not found")</f>
        <v>Pain Relief</v>
      </c>
      <c r="I1693" s="39" t="n">
        <f aca="false">YEAR(B1693)</f>
        <v>2026</v>
      </c>
      <c r="J1693" s="39" t="n">
        <f aca="false">MONTH(B1693)</f>
        <v>1</v>
      </c>
      <c r="K1693" s="39" t="str">
        <f aca="false">TEXT(B1693,"mmm")</f>
        <v>Jan</v>
      </c>
      <c r="L1693" s="45" t="n">
        <f aca="false">IFERROR(INDEX(medicine_master!$I$2:$I$26,MATCH($C1693,medicine_master!$A$2:$A$26,0)),0)</f>
        <v>18</v>
      </c>
      <c r="M1693" s="45" t="n">
        <f aca="false">IFERROR(INDEX(medicine_master!$G$2:$G$26,MATCH($C1693,medicine_master!$A$2:$A$26,0)),0)</f>
        <v>12</v>
      </c>
      <c r="N1693" s="45" t="n">
        <f aca="false">IF(D1693="Sale",E1693*L1693,0)</f>
        <v>0</v>
      </c>
      <c r="O1693" s="45" t="n">
        <f aca="false">IF(D1693="Sale",E1693*M1693,0)</f>
        <v>0</v>
      </c>
      <c r="P1693" s="45" t="n">
        <f aca="false">N1693-O1693</f>
        <v>0</v>
      </c>
      <c r="Q1693" s="45" t="n">
        <f aca="false">IF(D1693="Purchase",E1693*M1693,0)</f>
        <v>300</v>
      </c>
    </row>
    <row r="1694" customFormat="false" ht="15" hidden="false" customHeight="false" outlineLevel="0" collapsed="false">
      <c r="A1694" s="39" t="s">
        <v>2018</v>
      </c>
      <c r="B1694" s="44" t="n">
        <v>46154</v>
      </c>
      <c r="C1694" s="39" t="s">
        <v>146</v>
      </c>
      <c r="D1694" s="39" t="s">
        <v>137</v>
      </c>
      <c r="E1694" s="39" t="n">
        <v>50</v>
      </c>
      <c r="F1694" s="39" t="str">
        <f aca="false">IF(COUNTIF(medicine_master!$A$2:$A$26,C1694)&gt;0,"Valid","Invalid")</f>
        <v>Valid</v>
      </c>
      <c r="G1694" s="39" t="str">
        <f aca="false">IFERROR(INDEX(medicine_master!$B$2:$B$26,MATCH($C1694,medicine_master!$A$2:$A$26,0)),"Not found")</f>
        <v>Diclofenac Gel</v>
      </c>
      <c r="H1694" s="39" t="str">
        <f aca="false">IFERROR(INDEX(medicine_master!$C$2:$C$26,MATCH($C1694,medicine_master!$A$2:$A$26,0)),"Not found")</f>
        <v>Pain Relief</v>
      </c>
      <c r="I1694" s="39" t="n">
        <f aca="false">YEAR(B1694)</f>
        <v>2026</v>
      </c>
      <c r="J1694" s="39" t="n">
        <f aca="false">MONTH(B1694)</f>
        <v>5</v>
      </c>
      <c r="K1694" s="39" t="str">
        <f aca="false">TEXT(B1694,"mmm")</f>
        <v>May</v>
      </c>
      <c r="L1694" s="45" t="n">
        <f aca="false">IFERROR(INDEX(medicine_master!$I$2:$I$26,MATCH($C1694,medicine_master!$A$2:$A$26,0)),0)</f>
        <v>55</v>
      </c>
      <c r="M1694" s="45" t="n">
        <f aca="false">IFERROR(INDEX(medicine_master!$G$2:$G$26,MATCH($C1694,medicine_master!$A$2:$A$26,0)),0)</f>
        <v>38</v>
      </c>
      <c r="N1694" s="45" t="n">
        <f aca="false">IF(D1694="Sale",E1694*L1694,0)</f>
        <v>2750</v>
      </c>
      <c r="O1694" s="45" t="n">
        <f aca="false">IF(D1694="Sale",E1694*M1694,0)</f>
        <v>1900</v>
      </c>
      <c r="P1694" s="45" t="n">
        <f aca="false">N1694-O1694</f>
        <v>850</v>
      </c>
      <c r="Q1694" s="45" t="n">
        <f aca="false">IF(D1694="Purchase",E1694*M1694,0)</f>
        <v>0</v>
      </c>
    </row>
    <row r="1695" customFormat="false" ht="15" hidden="false" customHeight="false" outlineLevel="0" collapsed="false">
      <c r="A1695" s="39" t="s">
        <v>2019</v>
      </c>
      <c r="B1695" s="44" t="n">
        <v>46050</v>
      </c>
      <c r="C1695" s="39" t="s">
        <v>167</v>
      </c>
      <c r="D1695" s="39" t="s">
        <v>138</v>
      </c>
      <c r="E1695" s="39" t="n">
        <v>10</v>
      </c>
      <c r="F1695" s="39" t="str">
        <f aca="false">IF(COUNTIF(medicine_master!$A$2:$A$26,C1695)&gt;0,"Valid","Invalid")</f>
        <v>Valid</v>
      </c>
      <c r="G1695" s="39" t="str">
        <f aca="false">IFERROR(INDEX(medicine_master!$B$2:$B$26,MATCH($C1695,medicine_master!$A$2:$A$26,0)),"Not found")</f>
        <v>Amlodipine 5mg</v>
      </c>
      <c r="H1695" s="39" t="str">
        <f aca="false">IFERROR(INDEX(medicine_master!$C$2:$C$26,MATCH($C1695,medicine_master!$A$2:$A$26,0)),"Not found")</f>
        <v>Cardiac</v>
      </c>
      <c r="I1695" s="39" t="n">
        <f aca="false">YEAR(B1695)</f>
        <v>2026</v>
      </c>
      <c r="J1695" s="39" t="n">
        <f aca="false">MONTH(B1695)</f>
        <v>1</v>
      </c>
      <c r="K1695" s="39" t="str">
        <f aca="false">TEXT(B1695,"mmm")</f>
        <v>Jan</v>
      </c>
      <c r="L1695" s="45" t="n">
        <f aca="false">IFERROR(INDEX(medicine_master!$I$2:$I$26,MATCH($C1695,medicine_master!$A$2:$A$26,0)),0)</f>
        <v>19</v>
      </c>
      <c r="M1695" s="45" t="n">
        <f aca="false">IFERROR(INDEX(medicine_master!$G$2:$G$26,MATCH($C1695,medicine_master!$A$2:$A$26,0)),0)</f>
        <v>13</v>
      </c>
      <c r="N1695" s="45" t="n">
        <f aca="false">IF(D1695="Sale",E1695*L1695,0)</f>
        <v>0</v>
      </c>
      <c r="O1695" s="45" t="n">
        <f aca="false">IF(D1695="Sale",E1695*M1695,0)</f>
        <v>0</v>
      </c>
      <c r="P1695" s="45" t="n">
        <f aca="false">N1695-O1695</f>
        <v>0</v>
      </c>
      <c r="Q1695" s="45" t="n">
        <f aca="false">IF(D1695="Purchase",E1695*M1695,0)</f>
        <v>130</v>
      </c>
    </row>
    <row r="1696" customFormat="false" ht="15" hidden="false" customHeight="false" outlineLevel="0" collapsed="false">
      <c r="A1696" s="39" t="s">
        <v>2020</v>
      </c>
      <c r="B1696" s="44" t="n">
        <v>46134</v>
      </c>
      <c r="C1696" s="39" t="s">
        <v>321</v>
      </c>
      <c r="D1696" s="39" t="s">
        <v>138</v>
      </c>
      <c r="E1696" s="39" t="n">
        <v>25</v>
      </c>
      <c r="F1696" s="39" t="str">
        <f aca="false">IF(COUNTIF(medicine_master!$A$2:$A$26,C1696)&gt;0,"Valid","Invalid")</f>
        <v>Valid</v>
      </c>
      <c r="G1696" s="39" t="str">
        <f aca="false">IFERROR(INDEX(medicine_master!$B$2:$B$26,MATCH($C1696,medicine_master!$A$2:$A$26,0)),"Not found")</f>
        <v>Levocetirizine 5mg</v>
      </c>
      <c r="H1696" s="39" t="str">
        <f aca="false">IFERROR(INDEX(medicine_master!$C$2:$C$26,MATCH($C1696,medicine_master!$A$2:$A$26,0)),"Not found")</f>
        <v>Allergy</v>
      </c>
      <c r="I1696" s="39" t="n">
        <f aca="false">YEAR(B1696)</f>
        <v>2026</v>
      </c>
      <c r="J1696" s="39" t="n">
        <f aca="false">MONTH(B1696)</f>
        <v>4</v>
      </c>
      <c r="K1696" s="39" t="str">
        <f aca="false">TEXT(B1696,"mmm")</f>
        <v>Apr</v>
      </c>
      <c r="L1696" s="45" t="n">
        <f aca="false">IFERROR(INDEX(medicine_master!$I$2:$I$26,MATCH($C1696,medicine_master!$A$2:$A$26,0)),0)</f>
        <v>22</v>
      </c>
      <c r="M1696" s="45" t="n">
        <f aca="false">IFERROR(INDEX(medicine_master!$G$2:$G$26,MATCH($C1696,medicine_master!$A$2:$A$26,0)),0)</f>
        <v>14</v>
      </c>
      <c r="N1696" s="45" t="n">
        <f aca="false">IF(D1696="Sale",E1696*L1696,0)</f>
        <v>0</v>
      </c>
      <c r="O1696" s="45" t="n">
        <f aca="false">IF(D1696="Sale",E1696*M1696,0)</f>
        <v>0</v>
      </c>
      <c r="P1696" s="45" t="n">
        <f aca="false">N1696-O1696</f>
        <v>0</v>
      </c>
      <c r="Q1696" s="45" t="n">
        <f aca="false">IF(D1696="Purchase",E1696*M1696,0)</f>
        <v>350</v>
      </c>
    </row>
    <row r="1697" customFormat="false" ht="15" hidden="false" customHeight="false" outlineLevel="0" collapsed="false">
      <c r="A1697" s="39" t="s">
        <v>2021</v>
      </c>
      <c r="B1697" s="44" t="n">
        <v>46102</v>
      </c>
      <c r="C1697" s="39" t="s">
        <v>404</v>
      </c>
      <c r="D1697" s="39" t="s">
        <v>137</v>
      </c>
      <c r="E1697" s="39" t="n">
        <v>10</v>
      </c>
      <c r="F1697" s="39" t="str">
        <f aca="false">IF(COUNTIF(medicine_master!$A$2:$A$26,C1697)&gt;0,"Valid","Invalid")</f>
        <v>Valid</v>
      </c>
      <c r="G1697" s="39" t="str">
        <f aca="false">IFERROR(INDEX(medicine_master!$B$2:$B$26,MATCH($C1697,medicine_master!$A$2:$A$26,0)),"Not found")</f>
        <v>ORS Sachet</v>
      </c>
      <c r="H1697" s="39" t="str">
        <f aca="false">IFERROR(INDEX(medicine_master!$C$2:$C$26,MATCH($C1697,medicine_master!$A$2:$A$26,0)),"Not found")</f>
        <v>First Aid</v>
      </c>
      <c r="I1697" s="39" t="n">
        <f aca="false">YEAR(B1697)</f>
        <v>2026</v>
      </c>
      <c r="J1697" s="39" t="n">
        <f aca="false">MONTH(B1697)</f>
        <v>3</v>
      </c>
      <c r="K1697" s="39" t="str">
        <f aca="false">TEXT(B1697,"mmm")</f>
        <v>Mar</v>
      </c>
      <c r="L1697" s="45" t="n">
        <f aca="false">IFERROR(INDEX(medicine_master!$I$2:$I$26,MATCH($C1697,medicine_master!$A$2:$A$26,0)),0)</f>
        <v>10</v>
      </c>
      <c r="M1697" s="45" t="n">
        <f aca="false">IFERROR(INDEX(medicine_master!$G$2:$G$26,MATCH($C1697,medicine_master!$A$2:$A$26,0)),0)</f>
        <v>6</v>
      </c>
      <c r="N1697" s="45" t="n">
        <f aca="false">IF(D1697="Sale",E1697*L1697,0)</f>
        <v>100</v>
      </c>
      <c r="O1697" s="45" t="n">
        <f aca="false">IF(D1697="Sale",E1697*M1697,0)</f>
        <v>60</v>
      </c>
      <c r="P1697" s="45" t="n">
        <f aca="false">N1697-O1697</f>
        <v>40</v>
      </c>
      <c r="Q1697" s="45" t="n">
        <f aca="false">IF(D1697="Purchase",E1697*M1697,0)</f>
        <v>0</v>
      </c>
    </row>
    <row r="1698" customFormat="false" ht="15" hidden="false" customHeight="false" outlineLevel="0" collapsed="false">
      <c r="A1698" s="39" t="s">
        <v>2022</v>
      </c>
      <c r="B1698" s="44" t="n">
        <v>46044</v>
      </c>
      <c r="C1698" s="39" t="s">
        <v>147</v>
      </c>
      <c r="D1698" s="39" t="s">
        <v>137</v>
      </c>
      <c r="E1698" s="39" t="n">
        <v>10</v>
      </c>
      <c r="F1698" s="39" t="str">
        <f aca="false">IF(COUNTIF(medicine_master!$A$2:$A$26,C1698)&gt;0,"Valid","Invalid")</f>
        <v>Valid</v>
      </c>
      <c r="G1698" s="39" t="str">
        <f aca="false">IFERROR(INDEX(medicine_master!$B$2:$B$26,MATCH($C1698,medicine_master!$A$2:$A$26,0)),"Not found")</f>
        <v>Insulin Injection</v>
      </c>
      <c r="H1698" s="39" t="str">
        <f aca="false">IFERROR(INDEX(medicine_master!$C$2:$C$26,MATCH($C1698,medicine_master!$A$2:$A$26,0)),"Not found")</f>
        <v>Diabetes</v>
      </c>
      <c r="I1698" s="39" t="n">
        <f aca="false">YEAR(B1698)</f>
        <v>2026</v>
      </c>
      <c r="J1698" s="39" t="n">
        <f aca="false">MONTH(B1698)</f>
        <v>1</v>
      </c>
      <c r="K1698" s="39" t="str">
        <f aca="false">TEXT(B1698,"mmm")</f>
        <v>Jan</v>
      </c>
      <c r="L1698" s="45" t="n">
        <f aca="false">IFERROR(INDEX(medicine_master!$I$2:$I$26,MATCH($C1698,medicine_master!$A$2:$A$26,0)),0)</f>
        <v>225</v>
      </c>
      <c r="M1698" s="45" t="n">
        <f aca="false">IFERROR(INDEX(medicine_master!$G$2:$G$26,MATCH($C1698,medicine_master!$A$2:$A$26,0)),0)</f>
        <v>165</v>
      </c>
      <c r="N1698" s="45" t="n">
        <f aca="false">IF(D1698="Sale",E1698*L1698,0)</f>
        <v>2250</v>
      </c>
      <c r="O1698" s="45" t="n">
        <f aca="false">IF(D1698="Sale",E1698*M1698,0)</f>
        <v>1650</v>
      </c>
      <c r="P1698" s="45" t="n">
        <f aca="false">N1698-O1698</f>
        <v>600</v>
      </c>
      <c r="Q1698" s="45" t="n">
        <f aca="false">IF(D1698="Purchase",E1698*M1698,0)</f>
        <v>0</v>
      </c>
    </row>
    <row r="1699" customFormat="false" ht="15" hidden="false" customHeight="false" outlineLevel="0" collapsed="false">
      <c r="A1699" s="39" t="s">
        <v>2023</v>
      </c>
      <c r="B1699" s="44" t="n">
        <v>46203</v>
      </c>
      <c r="C1699" s="39" t="s">
        <v>149</v>
      </c>
      <c r="D1699" s="39" t="s">
        <v>138</v>
      </c>
      <c r="E1699" s="39" t="n">
        <v>40</v>
      </c>
      <c r="F1699" s="39" t="str">
        <f aca="false">IF(COUNTIF(medicine_master!$A$2:$A$26,C1699)&gt;0,"Valid","Invalid")</f>
        <v>Valid</v>
      </c>
      <c r="G1699" s="39" t="str">
        <f aca="false">IFERROR(INDEX(medicine_master!$B$2:$B$26,MATCH($C1699,medicine_master!$A$2:$A$26,0)),"Not found")</f>
        <v>Azithromycin 500mg</v>
      </c>
      <c r="H1699" s="39" t="str">
        <f aca="false">IFERROR(INDEX(medicine_master!$C$2:$C$26,MATCH($C1699,medicine_master!$A$2:$A$26,0)),"Not found")</f>
        <v>Antibiotic</v>
      </c>
      <c r="I1699" s="39" t="n">
        <f aca="false">YEAR(B1699)</f>
        <v>2026</v>
      </c>
      <c r="J1699" s="39" t="n">
        <f aca="false">MONTH(B1699)</f>
        <v>6</v>
      </c>
      <c r="K1699" s="39" t="str">
        <f aca="false">TEXT(B1699,"mmm")</f>
        <v>Jun</v>
      </c>
      <c r="L1699" s="45" t="n">
        <f aca="false">IFERROR(INDEX(medicine_master!$I$2:$I$26,MATCH($C1699,medicine_master!$A$2:$A$26,0)),0)</f>
        <v>50</v>
      </c>
      <c r="M1699" s="45" t="n">
        <f aca="false">IFERROR(INDEX(medicine_master!$G$2:$G$26,MATCH($C1699,medicine_master!$A$2:$A$26,0)),0)</f>
        <v>35</v>
      </c>
      <c r="N1699" s="45" t="n">
        <f aca="false">IF(D1699="Sale",E1699*L1699,0)</f>
        <v>0</v>
      </c>
      <c r="O1699" s="45" t="n">
        <f aca="false">IF(D1699="Sale",E1699*M1699,0)</f>
        <v>0</v>
      </c>
      <c r="P1699" s="45" t="n">
        <f aca="false">N1699-O1699</f>
        <v>0</v>
      </c>
      <c r="Q1699" s="45" t="n">
        <f aca="false">IF(D1699="Purchase",E1699*M1699,0)</f>
        <v>1400</v>
      </c>
    </row>
    <row r="1700" customFormat="false" ht="15" hidden="false" customHeight="false" outlineLevel="0" collapsed="false">
      <c r="A1700" s="39" t="s">
        <v>2024</v>
      </c>
      <c r="B1700" s="44" t="n">
        <v>46203</v>
      </c>
      <c r="C1700" s="39" t="s">
        <v>160</v>
      </c>
      <c r="D1700" s="39" t="s">
        <v>138</v>
      </c>
      <c r="E1700" s="39" t="n">
        <v>25</v>
      </c>
      <c r="F1700" s="39" t="str">
        <f aca="false">IF(COUNTIF(medicine_master!$A$2:$A$26,C1700)&gt;0,"Valid","Invalid")</f>
        <v>Valid</v>
      </c>
      <c r="G1700" s="39" t="str">
        <f aca="false">IFERROR(INDEX(medicine_master!$B$2:$B$26,MATCH($C1700,medicine_master!$A$2:$A$26,0)),"Not found")</f>
        <v>Calamine Lotion</v>
      </c>
      <c r="H1700" s="39" t="str">
        <f aca="false">IFERROR(INDEX(medicine_master!$C$2:$C$26,MATCH($C1700,medicine_master!$A$2:$A$26,0)),"Not found")</f>
        <v>Dermatology</v>
      </c>
      <c r="I1700" s="39" t="n">
        <f aca="false">YEAR(B1700)</f>
        <v>2026</v>
      </c>
      <c r="J1700" s="39" t="n">
        <f aca="false">MONTH(B1700)</f>
        <v>6</v>
      </c>
      <c r="K1700" s="39" t="str">
        <f aca="false">TEXT(B1700,"mmm")</f>
        <v>Jun</v>
      </c>
      <c r="L1700" s="45" t="n">
        <f aca="false">IFERROR(INDEX(medicine_master!$I$2:$I$26,MATCH($C1700,medicine_master!$A$2:$A$26,0)),0)</f>
        <v>60</v>
      </c>
      <c r="M1700" s="45" t="n">
        <f aca="false">IFERROR(INDEX(medicine_master!$G$2:$G$26,MATCH($C1700,medicine_master!$A$2:$A$26,0)),0)</f>
        <v>42</v>
      </c>
      <c r="N1700" s="45" t="n">
        <f aca="false">IF(D1700="Sale",E1700*L1700,0)</f>
        <v>0</v>
      </c>
      <c r="O1700" s="45" t="n">
        <f aca="false">IF(D1700="Sale",E1700*M1700,0)</f>
        <v>0</v>
      </c>
      <c r="P1700" s="45" t="n">
        <f aca="false">N1700-O1700</f>
        <v>0</v>
      </c>
      <c r="Q1700" s="45" t="n">
        <f aca="false">IF(D1700="Purchase",E1700*M1700,0)</f>
        <v>1050</v>
      </c>
    </row>
    <row r="1701" customFormat="false" ht="15" hidden="false" customHeight="false" outlineLevel="0" collapsed="false">
      <c r="A1701" s="39" t="s">
        <v>2025</v>
      </c>
      <c r="B1701" s="44" t="n">
        <v>46044</v>
      </c>
      <c r="C1701" s="39" t="s">
        <v>179</v>
      </c>
      <c r="D1701" s="39" t="s">
        <v>137</v>
      </c>
      <c r="E1701" s="39" t="n">
        <v>25</v>
      </c>
      <c r="F1701" s="39" t="str">
        <f aca="false">IF(COUNTIF(medicine_master!$A$2:$A$26,C1701)&gt;0,"Valid","Invalid")</f>
        <v>Valid</v>
      </c>
      <c r="G1701" s="39" t="str">
        <f aca="false">IFERROR(INDEX(medicine_master!$B$2:$B$26,MATCH($C1701,medicine_master!$A$2:$A$26,0)),"Not found")</f>
        <v>Ibuprofen 400mg</v>
      </c>
      <c r="H1701" s="39" t="str">
        <f aca="false">IFERROR(INDEX(medicine_master!$C$2:$C$26,MATCH($C1701,medicine_master!$A$2:$A$26,0)),"Not found")</f>
        <v>Pain Relief</v>
      </c>
      <c r="I1701" s="39" t="n">
        <f aca="false">YEAR(B1701)</f>
        <v>2026</v>
      </c>
      <c r="J1701" s="39" t="n">
        <f aca="false">MONTH(B1701)</f>
        <v>1</v>
      </c>
      <c r="K1701" s="39" t="str">
        <f aca="false">TEXT(B1701,"mmm")</f>
        <v>Jan</v>
      </c>
      <c r="L1701" s="45" t="n">
        <f aca="false">IFERROR(INDEX(medicine_master!$I$2:$I$26,MATCH($C1701,medicine_master!$A$2:$A$26,0)),0)</f>
        <v>30</v>
      </c>
      <c r="M1701" s="45" t="n">
        <f aca="false">IFERROR(INDEX(medicine_master!$G$2:$G$26,MATCH($C1701,medicine_master!$A$2:$A$26,0)),0)</f>
        <v>22</v>
      </c>
      <c r="N1701" s="45" t="n">
        <f aca="false">IF(D1701="Sale",E1701*L1701,0)</f>
        <v>750</v>
      </c>
      <c r="O1701" s="45" t="n">
        <f aca="false">IF(D1701="Sale",E1701*M1701,0)</f>
        <v>550</v>
      </c>
      <c r="P1701" s="45" t="n">
        <f aca="false">N1701-O1701</f>
        <v>200</v>
      </c>
      <c r="Q1701" s="45" t="n">
        <f aca="false">IF(D1701="Purchase",E1701*M1701,0)</f>
        <v>0</v>
      </c>
    </row>
    <row r="1702" customFormat="false" ht="15" hidden="false" customHeight="false" outlineLevel="0" collapsed="false">
      <c r="A1702" s="39" t="s">
        <v>2026</v>
      </c>
      <c r="B1702" s="44" t="n">
        <v>46125</v>
      </c>
      <c r="C1702" s="39" t="s">
        <v>159</v>
      </c>
      <c r="D1702" s="39" t="s">
        <v>138</v>
      </c>
      <c r="E1702" s="39" t="n">
        <v>5</v>
      </c>
      <c r="F1702" s="39" t="str">
        <f aca="false">IF(COUNTIF(medicine_master!$A$2:$A$26,C1702)&gt;0,"Valid","Invalid")</f>
        <v>Valid</v>
      </c>
      <c r="G1702" s="39" t="str">
        <f aca="false">IFERROR(INDEX(medicine_master!$B$2:$B$26,MATCH($C1702,medicine_master!$A$2:$A$26,0)),"Not found")</f>
        <v>Antiseptic Liquid 100ml</v>
      </c>
      <c r="H1702" s="39" t="str">
        <f aca="false">IFERROR(INDEX(medicine_master!$C$2:$C$26,MATCH($C1702,medicine_master!$A$2:$A$26,0)),"Not found")</f>
        <v>First Aid</v>
      </c>
      <c r="I1702" s="39" t="n">
        <f aca="false">YEAR(B1702)</f>
        <v>2026</v>
      </c>
      <c r="J1702" s="39" t="n">
        <f aca="false">MONTH(B1702)</f>
        <v>4</v>
      </c>
      <c r="K1702" s="39" t="str">
        <f aca="false">TEXT(B1702,"mmm")</f>
        <v>Apr</v>
      </c>
      <c r="L1702" s="45" t="n">
        <f aca="false">IFERROR(INDEX(medicine_master!$I$2:$I$26,MATCH($C1702,medicine_master!$A$2:$A$26,0)),0)</f>
        <v>65</v>
      </c>
      <c r="M1702" s="45" t="n">
        <f aca="false">IFERROR(INDEX(medicine_master!$G$2:$G$26,MATCH($C1702,medicine_master!$A$2:$A$26,0)),0)</f>
        <v>48</v>
      </c>
      <c r="N1702" s="45" t="n">
        <f aca="false">IF(D1702="Sale",E1702*L1702,0)</f>
        <v>0</v>
      </c>
      <c r="O1702" s="45" t="n">
        <f aca="false">IF(D1702="Sale",E1702*M1702,0)</f>
        <v>0</v>
      </c>
      <c r="P1702" s="45" t="n">
        <f aca="false">N1702-O1702</f>
        <v>0</v>
      </c>
      <c r="Q1702" s="45" t="n">
        <f aca="false">IF(D1702="Purchase",E1702*M1702,0)</f>
        <v>240</v>
      </c>
    </row>
    <row r="1703" customFormat="false" ht="15" hidden="false" customHeight="false" outlineLevel="0" collapsed="false">
      <c r="A1703" s="39" t="s">
        <v>2027</v>
      </c>
      <c r="B1703" s="44" t="n">
        <v>46107</v>
      </c>
      <c r="C1703" s="39" t="s">
        <v>145</v>
      </c>
      <c r="D1703" s="39" t="s">
        <v>137</v>
      </c>
      <c r="E1703" s="39" t="n">
        <v>25</v>
      </c>
      <c r="F1703" s="39" t="str">
        <f aca="false">IF(COUNTIF(medicine_master!$A$2:$A$26,C1703)&gt;0,"Valid","Invalid")</f>
        <v>Valid</v>
      </c>
      <c r="G1703" s="39" t="str">
        <f aca="false">IFERROR(INDEX(medicine_master!$B$2:$B$26,MATCH($C1703,medicine_master!$A$2:$A$26,0)),"Not found")</f>
        <v>Clotrimazole Cream</v>
      </c>
      <c r="H1703" s="39" t="str">
        <f aca="false">IFERROR(INDEX(medicine_master!$C$2:$C$26,MATCH($C1703,medicine_master!$A$2:$A$26,0)),"Not found")</f>
        <v>Dermatology</v>
      </c>
      <c r="I1703" s="39" t="n">
        <f aca="false">YEAR(B1703)</f>
        <v>2026</v>
      </c>
      <c r="J1703" s="39" t="n">
        <f aca="false">MONTH(B1703)</f>
        <v>3</v>
      </c>
      <c r="K1703" s="39" t="str">
        <f aca="false">TEXT(B1703,"mmm")</f>
        <v>Mar</v>
      </c>
      <c r="L1703" s="45" t="n">
        <f aca="false">IFERROR(INDEX(medicine_master!$I$2:$I$26,MATCH($C1703,medicine_master!$A$2:$A$26,0)),0)</f>
        <v>48</v>
      </c>
      <c r="M1703" s="45" t="n">
        <f aca="false">IFERROR(INDEX(medicine_master!$G$2:$G$26,MATCH($C1703,medicine_master!$A$2:$A$26,0)),0)</f>
        <v>32</v>
      </c>
      <c r="N1703" s="45" t="n">
        <f aca="false">IF(D1703="Sale",E1703*L1703,0)</f>
        <v>1200</v>
      </c>
      <c r="O1703" s="45" t="n">
        <f aca="false">IF(D1703="Sale",E1703*M1703,0)</f>
        <v>800</v>
      </c>
      <c r="P1703" s="45" t="n">
        <f aca="false">N1703-O1703</f>
        <v>400</v>
      </c>
      <c r="Q1703" s="45" t="n">
        <f aca="false">IF(D1703="Purchase",E1703*M1703,0)</f>
        <v>0</v>
      </c>
    </row>
    <row r="1704" customFormat="false" ht="15" hidden="false" customHeight="false" outlineLevel="0" collapsed="false">
      <c r="A1704" s="39" t="s">
        <v>2028</v>
      </c>
      <c r="B1704" s="44" t="n">
        <v>46095</v>
      </c>
      <c r="C1704" s="39" t="s">
        <v>153</v>
      </c>
      <c r="D1704" s="39" t="s">
        <v>138</v>
      </c>
      <c r="E1704" s="39" t="n">
        <v>10</v>
      </c>
      <c r="F1704" s="39" t="str">
        <f aca="false">IF(COUNTIF(medicine_master!$A$2:$A$26,C1704)&gt;0,"Valid","Invalid")</f>
        <v>Valid</v>
      </c>
      <c r="G1704" s="39" t="str">
        <f aca="false">IFERROR(INDEX(medicine_master!$B$2:$B$26,MATCH($C1704,medicine_master!$A$2:$A$26,0)),"Not found")</f>
        <v>Atorvastatin 10mg</v>
      </c>
      <c r="H1704" s="39" t="str">
        <f aca="false">IFERROR(INDEX(medicine_master!$C$2:$C$26,MATCH($C1704,medicine_master!$A$2:$A$26,0)),"Not found")</f>
        <v>Cardiac</v>
      </c>
      <c r="I1704" s="39" t="n">
        <f aca="false">YEAR(B1704)</f>
        <v>2026</v>
      </c>
      <c r="J1704" s="39" t="n">
        <f aca="false">MONTH(B1704)</f>
        <v>3</v>
      </c>
      <c r="K1704" s="39" t="str">
        <f aca="false">TEXT(B1704,"mmm")</f>
        <v>Mar</v>
      </c>
      <c r="L1704" s="45" t="n">
        <f aca="false">IFERROR(INDEX(medicine_master!$I$2:$I$26,MATCH($C1704,medicine_master!$A$2:$A$26,0)),0)</f>
        <v>28</v>
      </c>
      <c r="M1704" s="45" t="n">
        <f aca="false">IFERROR(INDEX(medicine_master!$G$2:$G$26,MATCH($C1704,medicine_master!$A$2:$A$26,0)),0)</f>
        <v>19</v>
      </c>
      <c r="N1704" s="45" t="n">
        <f aca="false">IF(D1704="Sale",E1704*L1704,0)</f>
        <v>0</v>
      </c>
      <c r="O1704" s="45" t="n">
        <f aca="false">IF(D1704="Sale",E1704*M1704,0)</f>
        <v>0</v>
      </c>
      <c r="P1704" s="45" t="n">
        <f aca="false">N1704-O1704</f>
        <v>0</v>
      </c>
      <c r="Q1704" s="45" t="n">
        <f aca="false">IF(D1704="Purchase",E1704*M1704,0)</f>
        <v>190</v>
      </c>
    </row>
    <row r="1705" customFormat="false" ht="15" hidden="false" customHeight="false" outlineLevel="0" collapsed="false">
      <c r="A1705" s="39" t="s">
        <v>2029</v>
      </c>
      <c r="B1705" s="44" t="n">
        <v>46198</v>
      </c>
      <c r="C1705" s="39" t="s">
        <v>153</v>
      </c>
      <c r="D1705" s="39" t="s">
        <v>137</v>
      </c>
      <c r="E1705" s="39" t="n">
        <v>25</v>
      </c>
      <c r="F1705" s="39" t="str">
        <f aca="false">IF(COUNTIF(medicine_master!$A$2:$A$26,C1705)&gt;0,"Valid","Invalid")</f>
        <v>Valid</v>
      </c>
      <c r="G1705" s="39" t="str">
        <f aca="false">IFERROR(INDEX(medicine_master!$B$2:$B$26,MATCH($C1705,medicine_master!$A$2:$A$26,0)),"Not found")</f>
        <v>Atorvastatin 10mg</v>
      </c>
      <c r="H1705" s="39" t="str">
        <f aca="false">IFERROR(INDEX(medicine_master!$C$2:$C$26,MATCH($C1705,medicine_master!$A$2:$A$26,0)),"Not found")</f>
        <v>Cardiac</v>
      </c>
      <c r="I1705" s="39" t="n">
        <f aca="false">YEAR(B1705)</f>
        <v>2026</v>
      </c>
      <c r="J1705" s="39" t="n">
        <f aca="false">MONTH(B1705)</f>
        <v>6</v>
      </c>
      <c r="K1705" s="39" t="str">
        <f aca="false">TEXT(B1705,"mmm")</f>
        <v>Jun</v>
      </c>
      <c r="L1705" s="45" t="n">
        <f aca="false">IFERROR(INDEX(medicine_master!$I$2:$I$26,MATCH($C1705,medicine_master!$A$2:$A$26,0)),0)</f>
        <v>28</v>
      </c>
      <c r="M1705" s="45" t="n">
        <f aca="false">IFERROR(INDEX(medicine_master!$G$2:$G$26,MATCH($C1705,medicine_master!$A$2:$A$26,0)),0)</f>
        <v>19</v>
      </c>
      <c r="N1705" s="45" t="n">
        <f aca="false">IF(D1705="Sale",E1705*L1705,0)</f>
        <v>700</v>
      </c>
      <c r="O1705" s="45" t="n">
        <f aca="false">IF(D1705="Sale",E1705*M1705,0)</f>
        <v>475</v>
      </c>
      <c r="P1705" s="45" t="n">
        <f aca="false">N1705-O1705</f>
        <v>225</v>
      </c>
      <c r="Q1705" s="45" t="n">
        <f aca="false">IF(D1705="Purchase",E1705*M1705,0)</f>
        <v>0</v>
      </c>
    </row>
    <row r="1706" customFormat="false" ht="15" hidden="false" customHeight="false" outlineLevel="0" collapsed="false">
      <c r="A1706" s="39" t="s">
        <v>2030</v>
      </c>
      <c r="B1706" s="44" t="n">
        <v>46381</v>
      </c>
      <c r="C1706" s="39" t="s">
        <v>159</v>
      </c>
      <c r="D1706" s="39" t="s">
        <v>137</v>
      </c>
      <c r="E1706" s="39" t="n">
        <v>15</v>
      </c>
      <c r="F1706" s="39" t="str">
        <f aca="false">IF(COUNTIF(medicine_master!$A$2:$A$26,C1706)&gt;0,"Valid","Invalid")</f>
        <v>Valid</v>
      </c>
      <c r="G1706" s="39" t="str">
        <f aca="false">IFERROR(INDEX(medicine_master!$B$2:$B$26,MATCH($C1706,medicine_master!$A$2:$A$26,0)),"Not found")</f>
        <v>Antiseptic Liquid 100ml</v>
      </c>
      <c r="H1706" s="39" t="str">
        <f aca="false">IFERROR(INDEX(medicine_master!$C$2:$C$26,MATCH($C1706,medicine_master!$A$2:$A$26,0)),"Not found")</f>
        <v>First Aid</v>
      </c>
      <c r="I1706" s="39" t="n">
        <f aca="false">YEAR(B1706)</f>
        <v>2026</v>
      </c>
      <c r="J1706" s="39" t="n">
        <f aca="false">MONTH(B1706)</f>
        <v>12</v>
      </c>
      <c r="K1706" s="39" t="str">
        <f aca="false">TEXT(B1706,"mmm")</f>
        <v>Dec</v>
      </c>
      <c r="L1706" s="45" t="n">
        <f aca="false">IFERROR(INDEX(medicine_master!$I$2:$I$26,MATCH($C1706,medicine_master!$A$2:$A$26,0)),0)</f>
        <v>65</v>
      </c>
      <c r="M1706" s="45" t="n">
        <f aca="false">IFERROR(INDEX(medicine_master!$G$2:$G$26,MATCH($C1706,medicine_master!$A$2:$A$26,0)),0)</f>
        <v>48</v>
      </c>
      <c r="N1706" s="45" t="n">
        <f aca="false">IF(D1706="Sale",E1706*L1706,0)</f>
        <v>975</v>
      </c>
      <c r="O1706" s="45" t="n">
        <f aca="false">IF(D1706="Sale",E1706*M1706,0)</f>
        <v>720</v>
      </c>
      <c r="P1706" s="45" t="n">
        <f aca="false">N1706-O1706</f>
        <v>255</v>
      </c>
      <c r="Q1706" s="45" t="n">
        <f aca="false">IF(D1706="Purchase",E1706*M1706,0)</f>
        <v>0</v>
      </c>
    </row>
    <row r="1707" customFormat="false" ht="15" hidden="false" customHeight="false" outlineLevel="0" collapsed="false">
      <c r="A1707" s="39" t="s">
        <v>2031</v>
      </c>
      <c r="B1707" s="44" t="n">
        <v>46319</v>
      </c>
      <c r="C1707" s="39" t="s">
        <v>404</v>
      </c>
      <c r="D1707" s="39" t="s">
        <v>137</v>
      </c>
      <c r="E1707" s="39" t="n">
        <v>30</v>
      </c>
      <c r="F1707" s="39" t="str">
        <f aca="false">IF(COUNTIF(medicine_master!$A$2:$A$26,C1707)&gt;0,"Valid","Invalid")</f>
        <v>Valid</v>
      </c>
      <c r="G1707" s="39" t="str">
        <f aca="false">IFERROR(INDEX(medicine_master!$B$2:$B$26,MATCH($C1707,medicine_master!$A$2:$A$26,0)),"Not found")</f>
        <v>ORS Sachet</v>
      </c>
      <c r="H1707" s="39" t="str">
        <f aca="false">IFERROR(INDEX(medicine_master!$C$2:$C$26,MATCH($C1707,medicine_master!$A$2:$A$26,0)),"Not found")</f>
        <v>First Aid</v>
      </c>
      <c r="I1707" s="39" t="n">
        <f aca="false">YEAR(B1707)</f>
        <v>2026</v>
      </c>
      <c r="J1707" s="39" t="n">
        <f aca="false">MONTH(B1707)</f>
        <v>10</v>
      </c>
      <c r="K1707" s="39" t="str">
        <f aca="false">TEXT(B1707,"mmm")</f>
        <v>Oct</v>
      </c>
      <c r="L1707" s="45" t="n">
        <f aca="false">IFERROR(INDEX(medicine_master!$I$2:$I$26,MATCH($C1707,medicine_master!$A$2:$A$26,0)),0)</f>
        <v>10</v>
      </c>
      <c r="M1707" s="45" t="n">
        <f aca="false">IFERROR(INDEX(medicine_master!$G$2:$G$26,MATCH($C1707,medicine_master!$A$2:$A$26,0)),0)</f>
        <v>6</v>
      </c>
      <c r="N1707" s="45" t="n">
        <f aca="false">IF(D1707="Sale",E1707*L1707,0)</f>
        <v>300</v>
      </c>
      <c r="O1707" s="45" t="n">
        <f aca="false">IF(D1707="Sale",E1707*M1707,0)</f>
        <v>180</v>
      </c>
      <c r="P1707" s="45" t="n">
        <f aca="false">N1707-O1707</f>
        <v>120</v>
      </c>
      <c r="Q1707" s="45" t="n">
        <f aca="false">IF(D1707="Purchase",E1707*M1707,0)</f>
        <v>0</v>
      </c>
    </row>
    <row r="1708" customFormat="false" ht="15" hidden="false" customHeight="false" outlineLevel="0" collapsed="false">
      <c r="A1708" s="39" t="s">
        <v>2032</v>
      </c>
      <c r="B1708" s="44" t="n">
        <v>46162</v>
      </c>
      <c r="C1708" s="39" t="s">
        <v>180</v>
      </c>
      <c r="D1708" s="39" t="s">
        <v>138</v>
      </c>
      <c r="E1708" s="39" t="n">
        <v>5</v>
      </c>
      <c r="F1708" s="39" t="str">
        <f aca="false">IF(COUNTIF(medicine_master!$A$2:$A$26,C1708)&gt;0,"Valid","Invalid")</f>
        <v>Valid</v>
      </c>
      <c r="G1708" s="39" t="str">
        <f aca="false">IFERROR(INDEX(medicine_master!$B$2:$B$26,MATCH($C1708,medicine_master!$A$2:$A$26,0)),"Not found")</f>
        <v>Vitamin C 500mg</v>
      </c>
      <c r="H1708" s="39" t="str">
        <f aca="false">IFERROR(INDEX(medicine_master!$C$2:$C$26,MATCH($C1708,medicine_master!$A$2:$A$26,0)),"Not found")</f>
        <v>Vitamin</v>
      </c>
      <c r="I1708" s="39" t="n">
        <f aca="false">YEAR(B1708)</f>
        <v>2026</v>
      </c>
      <c r="J1708" s="39" t="n">
        <f aca="false">MONTH(B1708)</f>
        <v>5</v>
      </c>
      <c r="K1708" s="39" t="str">
        <f aca="false">TEXT(B1708,"mmm")</f>
        <v>May</v>
      </c>
      <c r="L1708" s="45" t="n">
        <f aca="false">IFERROR(INDEX(medicine_master!$I$2:$I$26,MATCH($C1708,medicine_master!$A$2:$A$26,0)),0)</f>
        <v>22</v>
      </c>
      <c r="M1708" s="45" t="n">
        <f aca="false">IFERROR(INDEX(medicine_master!$G$2:$G$26,MATCH($C1708,medicine_master!$A$2:$A$26,0)),0)</f>
        <v>14</v>
      </c>
      <c r="N1708" s="45" t="n">
        <f aca="false">IF(D1708="Sale",E1708*L1708,0)</f>
        <v>0</v>
      </c>
      <c r="O1708" s="45" t="n">
        <f aca="false">IF(D1708="Sale",E1708*M1708,0)</f>
        <v>0</v>
      </c>
      <c r="P1708" s="45" t="n">
        <f aca="false">N1708-O1708</f>
        <v>0</v>
      </c>
      <c r="Q1708" s="45" t="n">
        <f aca="false">IF(D1708="Purchase",E1708*M1708,0)</f>
        <v>70</v>
      </c>
    </row>
    <row r="1709" customFormat="false" ht="15" hidden="false" customHeight="false" outlineLevel="0" collapsed="false">
      <c r="A1709" s="39" t="s">
        <v>2033</v>
      </c>
      <c r="B1709" s="44" t="n">
        <v>46359</v>
      </c>
      <c r="C1709" s="39" t="s">
        <v>150</v>
      </c>
      <c r="D1709" s="39" t="s">
        <v>137</v>
      </c>
      <c r="E1709" s="39" t="n">
        <v>50</v>
      </c>
      <c r="F1709" s="39" t="str">
        <f aca="false">IF(COUNTIF(medicine_master!$A$2:$A$26,C1709)&gt;0,"Valid","Invalid")</f>
        <v>Valid</v>
      </c>
      <c r="G1709" s="39" t="str">
        <f aca="false">IFERROR(INDEX(medicine_master!$B$2:$B$26,MATCH($C1709,medicine_master!$A$2:$A$26,0)),"Not found")</f>
        <v>Pantoprazole 40mg</v>
      </c>
      <c r="H1709" s="39" t="str">
        <f aca="false">IFERROR(INDEX(medicine_master!$C$2:$C$26,MATCH($C1709,medicine_master!$A$2:$A$26,0)),"Not found")</f>
        <v>Gastric</v>
      </c>
      <c r="I1709" s="39" t="n">
        <f aca="false">YEAR(B1709)</f>
        <v>2026</v>
      </c>
      <c r="J1709" s="39" t="n">
        <f aca="false">MONTH(B1709)</f>
        <v>12</v>
      </c>
      <c r="K1709" s="39" t="str">
        <f aca="false">TEXT(B1709,"mmm")</f>
        <v>Dec</v>
      </c>
      <c r="L1709" s="45" t="n">
        <f aca="false">IFERROR(INDEX(medicine_master!$I$2:$I$26,MATCH($C1709,medicine_master!$A$2:$A$26,0)),0)</f>
        <v>35</v>
      </c>
      <c r="M1709" s="45" t="n">
        <f aca="false">IFERROR(INDEX(medicine_master!$G$2:$G$26,MATCH($C1709,medicine_master!$A$2:$A$26,0)),0)</f>
        <v>24</v>
      </c>
      <c r="N1709" s="45" t="n">
        <f aca="false">IF(D1709="Sale",E1709*L1709,0)</f>
        <v>1750</v>
      </c>
      <c r="O1709" s="45" t="n">
        <f aca="false">IF(D1709="Sale",E1709*M1709,0)</f>
        <v>1200</v>
      </c>
      <c r="P1709" s="45" t="n">
        <f aca="false">N1709-O1709</f>
        <v>550</v>
      </c>
      <c r="Q1709" s="45" t="n">
        <f aca="false">IF(D1709="Purchase",E1709*M1709,0)</f>
        <v>0</v>
      </c>
    </row>
    <row r="1710" customFormat="false" ht="15" hidden="false" customHeight="false" outlineLevel="0" collapsed="false">
      <c r="A1710" s="39" t="s">
        <v>2034</v>
      </c>
      <c r="B1710" s="44" t="n">
        <v>46091</v>
      </c>
      <c r="C1710" s="39" t="s">
        <v>167</v>
      </c>
      <c r="D1710" s="39" t="s">
        <v>138</v>
      </c>
      <c r="E1710" s="39" t="n">
        <v>25</v>
      </c>
      <c r="F1710" s="39" t="str">
        <f aca="false">IF(COUNTIF(medicine_master!$A$2:$A$26,C1710)&gt;0,"Valid","Invalid")</f>
        <v>Valid</v>
      </c>
      <c r="G1710" s="39" t="str">
        <f aca="false">IFERROR(INDEX(medicine_master!$B$2:$B$26,MATCH($C1710,medicine_master!$A$2:$A$26,0)),"Not found")</f>
        <v>Amlodipine 5mg</v>
      </c>
      <c r="H1710" s="39" t="str">
        <f aca="false">IFERROR(INDEX(medicine_master!$C$2:$C$26,MATCH($C1710,medicine_master!$A$2:$A$26,0)),"Not found")</f>
        <v>Cardiac</v>
      </c>
      <c r="I1710" s="39" t="n">
        <f aca="false">YEAR(B1710)</f>
        <v>2026</v>
      </c>
      <c r="J1710" s="39" t="n">
        <f aca="false">MONTH(B1710)</f>
        <v>3</v>
      </c>
      <c r="K1710" s="39" t="str">
        <f aca="false">TEXT(B1710,"mmm")</f>
        <v>Mar</v>
      </c>
      <c r="L1710" s="45" t="n">
        <f aca="false">IFERROR(INDEX(medicine_master!$I$2:$I$26,MATCH($C1710,medicine_master!$A$2:$A$26,0)),0)</f>
        <v>19</v>
      </c>
      <c r="M1710" s="45" t="n">
        <f aca="false">IFERROR(INDEX(medicine_master!$G$2:$G$26,MATCH($C1710,medicine_master!$A$2:$A$26,0)),0)</f>
        <v>13</v>
      </c>
      <c r="N1710" s="45" t="n">
        <f aca="false">IF(D1710="Sale",E1710*L1710,0)</f>
        <v>0</v>
      </c>
      <c r="O1710" s="45" t="n">
        <f aca="false">IF(D1710="Sale",E1710*M1710,0)</f>
        <v>0</v>
      </c>
      <c r="P1710" s="45" t="n">
        <f aca="false">N1710-O1710</f>
        <v>0</v>
      </c>
      <c r="Q1710" s="45" t="n">
        <f aca="false">IF(D1710="Purchase",E1710*M1710,0)</f>
        <v>325</v>
      </c>
    </row>
    <row r="1711" customFormat="false" ht="15" hidden="false" customHeight="false" outlineLevel="0" collapsed="false">
      <c r="A1711" s="39" t="s">
        <v>2035</v>
      </c>
      <c r="B1711" s="44" t="n">
        <v>46122</v>
      </c>
      <c r="C1711" s="39" t="s">
        <v>160</v>
      </c>
      <c r="D1711" s="39" t="s">
        <v>138</v>
      </c>
      <c r="E1711" s="39" t="n">
        <v>40</v>
      </c>
      <c r="F1711" s="39" t="str">
        <f aca="false">IF(COUNTIF(medicine_master!$A$2:$A$26,C1711)&gt;0,"Valid","Invalid")</f>
        <v>Valid</v>
      </c>
      <c r="G1711" s="39" t="str">
        <f aca="false">IFERROR(INDEX(medicine_master!$B$2:$B$26,MATCH($C1711,medicine_master!$A$2:$A$26,0)),"Not found")</f>
        <v>Calamine Lotion</v>
      </c>
      <c r="H1711" s="39" t="str">
        <f aca="false">IFERROR(INDEX(medicine_master!$C$2:$C$26,MATCH($C1711,medicine_master!$A$2:$A$26,0)),"Not found")</f>
        <v>Dermatology</v>
      </c>
      <c r="I1711" s="39" t="n">
        <f aca="false">YEAR(B1711)</f>
        <v>2026</v>
      </c>
      <c r="J1711" s="39" t="n">
        <f aca="false">MONTH(B1711)</f>
        <v>4</v>
      </c>
      <c r="K1711" s="39" t="str">
        <f aca="false">TEXT(B1711,"mmm")</f>
        <v>Apr</v>
      </c>
      <c r="L1711" s="45" t="n">
        <f aca="false">IFERROR(INDEX(medicine_master!$I$2:$I$26,MATCH($C1711,medicine_master!$A$2:$A$26,0)),0)</f>
        <v>60</v>
      </c>
      <c r="M1711" s="45" t="n">
        <f aca="false">IFERROR(INDEX(medicine_master!$G$2:$G$26,MATCH($C1711,medicine_master!$A$2:$A$26,0)),0)</f>
        <v>42</v>
      </c>
      <c r="N1711" s="45" t="n">
        <f aca="false">IF(D1711="Sale",E1711*L1711,0)</f>
        <v>0</v>
      </c>
      <c r="O1711" s="45" t="n">
        <f aca="false">IF(D1711="Sale",E1711*M1711,0)</f>
        <v>0</v>
      </c>
      <c r="P1711" s="45" t="n">
        <f aca="false">N1711-O1711</f>
        <v>0</v>
      </c>
      <c r="Q1711" s="45" t="n">
        <f aca="false">IF(D1711="Purchase",E1711*M1711,0)</f>
        <v>1680</v>
      </c>
    </row>
    <row r="1712" customFormat="false" ht="15" hidden="false" customHeight="false" outlineLevel="0" collapsed="false">
      <c r="A1712" s="39" t="s">
        <v>2036</v>
      </c>
      <c r="B1712" s="44" t="n">
        <v>46136</v>
      </c>
      <c r="C1712" s="39" t="s">
        <v>153</v>
      </c>
      <c r="D1712" s="39" t="s">
        <v>138</v>
      </c>
      <c r="E1712" s="39" t="n">
        <v>15</v>
      </c>
      <c r="F1712" s="39" t="str">
        <f aca="false">IF(COUNTIF(medicine_master!$A$2:$A$26,C1712)&gt;0,"Valid","Invalid")</f>
        <v>Valid</v>
      </c>
      <c r="G1712" s="39" t="str">
        <f aca="false">IFERROR(INDEX(medicine_master!$B$2:$B$26,MATCH($C1712,medicine_master!$A$2:$A$26,0)),"Not found")</f>
        <v>Atorvastatin 10mg</v>
      </c>
      <c r="H1712" s="39" t="str">
        <f aca="false">IFERROR(INDEX(medicine_master!$C$2:$C$26,MATCH($C1712,medicine_master!$A$2:$A$26,0)),"Not found")</f>
        <v>Cardiac</v>
      </c>
      <c r="I1712" s="39" t="n">
        <f aca="false">YEAR(B1712)</f>
        <v>2026</v>
      </c>
      <c r="J1712" s="39" t="n">
        <f aca="false">MONTH(B1712)</f>
        <v>4</v>
      </c>
      <c r="K1712" s="39" t="str">
        <f aca="false">TEXT(B1712,"mmm")</f>
        <v>Apr</v>
      </c>
      <c r="L1712" s="45" t="n">
        <f aca="false">IFERROR(INDEX(medicine_master!$I$2:$I$26,MATCH($C1712,medicine_master!$A$2:$A$26,0)),0)</f>
        <v>28</v>
      </c>
      <c r="M1712" s="45" t="n">
        <f aca="false">IFERROR(INDEX(medicine_master!$G$2:$G$26,MATCH($C1712,medicine_master!$A$2:$A$26,0)),0)</f>
        <v>19</v>
      </c>
      <c r="N1712" s="45" t="n">
        <f aca="false">IF(D1712="Sale",E1712*L1712,0)</f>
        <v>0</v>
      </c>
      <c r="O1712" s="45" t="n">
        <f aca="false">IF(D1712="Sale",E1712*M1712,0)</f>
        <v>0</v>
      </c>
      <c r="P1712" s="45" t="n">
        <f aca="false">N1712-O1712</f>
        <v>0</v>
      </c>
      <c r="Q1712" s="45" t="n">
        <f aca="false">IF(D1712="Purchase",E1712*M1712,0)</f>
        <v>285</v>
      </c>
    </row>
    <row r="1713" customFormat="false" ht="15" hidden="false" customHeight="false" outlineLevel="0" collapsed="false">
      <c r="A1713" s="39" t="s">
        <v>2037</v>
      </c>
      <c r="B1713" s="44" t="n">
        <v>46192</v>
      </c>
      <c r="C1713" s="39" t="s">
        <v>159</v>
      </c>
      <c r="D1713" s="39" t="s">
        <v>138</v>
      </c>
      <c r="E1713" s="39" t="n">
        <v>25</v>
      </c>
      <c r="F1713" s="39" t="str">
        <f aca="false">IF(COUNTIF(medicine_master!$A$2:$A$26,C1713)&gt;0,"Valid","Invalid")</f>
        <v>Valid</v>
      </c>
      <c r="G1713" s="39" t="str">
        <f aca="false">IFERROR(INDEX(medicine_master!$B$2:$B$26,MATCH($C1713,medicine_master!$A$2:$A$26,0)),"Not found")</f>
        <v>Antiseptic Liquid 100ml</v>
      </c>
      <c r="H1713" s="39" t="str">
        <f aca="false">IFERROR(INDEX(medicine_master!$C$2:$C$26,MATCH($C1713,medicine_master!$A$2:$A$26,0)),"Not found")</f>
        <v>First Aid</v>
      </c>
      <c r="I1713" s="39" t="n">
        <f aca="false">YEAR(B1713)</f>
        <v>2026</v>
      </c>
      <c r="J1713" s="39" t="n">
        <f aca="false">MONTH(B1713)</f>
        <v>6</v>
      </c>
      <c r="K1713" s="39" t="str">
        <f aca="false">TEXT(B1713,"mmm")</f>
        <v>Jun</v>
      </c>
      <c r="L1713" s="45" t="n">
        <f aca="false">IFERROR(INDEX(medicine_master!$I$2:$I$26,MATCH($C1713,medicine_master!$A$2:$A$26,0)),0)</f>
        <v>65</v>
      </c>
      <c r="M1713" s="45" t="n">
        <f aca="false">IFERROR(INDEX(medicine_master!$G$2:$G$26,MATCH($C1713,medicine_master!$A$2:$A$26,0)),0)</f>
        <v>48</v>
      </c>
      <c r="N1713" s="45" t="n">
        <f aca="false">IF(D1713="Sale",E1713*L1713,0)</f>
        <v>0</v>
      </c>
      <c r="O1713" s="45" t="n">
        <f aca="false">IF(D1713="Sale",E1713*M1713,0)</f>
        <v>0</v>
      </c>
      <c r="P1713" s="45" t="n">
        <f aca="false">N1713-O1713</f>
        <v>0</v>
      </c>
      <c r="Q1713" s="45" t="n">
        <f aca="false">IF(D1713="Purchase",E1713*M1713,0)</f>
        <v>1200</v>
      </c>
    </row>
    <row r="1714" customFormat="false" ht="15" hidden="false" customHeight="false" outlineLevel="0" collapsed="false">
      <c r="A1714" s="39" t="s">
        <v>2038</v>
      </c>
      <c r="B1714" s="44" t="n">
        <v>46194</v>
      </c>
      <c r="C1714" s="39" t="s">
        <v>180</v>
      </c>
      <c r="D1714" s="39" t="s">
        <v>138</v>
      </c>
      <c r="E1714" s="39" t="n">
        <v>25</v>
      </c>
      <c r="F1714" s="39" t="str">
        <f aca="false">IF(COUNTIF(medicine_master!$A$2:$A$26,C1714)&gt;0,"Valid","Invalid")</f>
        <v>Valid</v>
      </c>
      <c r="G1714" s="39" t="str">
        <f aca="false">IFERROR(INDEX(medicine_master!$B$2:$B$26,MATCH($C1714,medicine_master!$A$2:$A$26,0)),"Not found")</f>
        <v>Vitamin C 500mg</v>
      </c>
      <c r="H1714" s="39" t="str">
        <f aca="false">IFERROR(INDEX(medicine_master!$C$2:$C$26,MATCH($C1714,medicine_master!$A$2:$A$26,0)),"Not found")</f>
        <v>Vitamin</v>
      </c>
      <c r="I1714" s="39" t="n">
        <f aca="false">YEAR(B1714)</f>
        <v>2026</v>
      </c>
      <c r="J1714" s="39" t="n">
        <f aca="false">MONTH(B1714)</f>
        <v>6</v>
      </c>
      <c r="K1714" s="39" t="str">
        <f aca="false">TEXT(B1714,"mmm")</f>
        <v>Jun</v>
      </c>
      <c r="L1714" s="45" t="n">
        <f aca="false">IFERROR(INDEX(medicine_master!$I$2:$I$26,MATCH($C1714,medicine_master!$A$2:$A$26,0)),0)</f>
        <v>22</v>
      </c>
      <c r="M1714" s="45" t="n">
        <f aca="false">IFERROR(INDEX(medicine_master!$G$2:$G$26,MATCH($C1714,medicine_master!$A$2:$A$26,0)),0)</f>
        <v>14</v>
      </c>
      <c r="N1714" s="45" t="n">
        <f aca="false">IF(D1714="Sale",E1714*L1714,0)</f>
        <v>0</v>
      </c>
      <c r="O1714" s="45" t="n">
        <f aca="false">IF(D1714="Sale",E1714*M1714,0)</f>
        <v>0</v>
      </c>
      <c r="P1714" s="45" t="n">
        <f aca="false">N1714-O1714</f>
        <v>0</v>
      </c>
      <c r="Q1714" s="45" t="n">
        <f aca="false">IF(D1714="Purchase",E1714*M1714,0)</f>
        <v>350</v>
      </c>
    </row>
    <row r="1715" customFormat="false" ht="15" hidden="false" customHeight="false" outlineLevel="0" collapsed="false">
      <c r="A1715" s="39" t="s">
        <v>2039</v>
      </c>
      <c r="B1715" s="44" t="n">
        <v>46136</v>
      </c>
      <c r="C1715" s="39" t="s">
        <v>150</v>
      </c>
      <c r="D1715" s="39" t="s">
        <v>138</v>
      </c>
      <c r="E1715" s="39" t="n">
        <v>5</v>
      </c>
      <c r="F1715" s="39" t="str">
        <f aca="false">IF(COUNTIF(medicine_master!$A$2:$A$26,C1715)&gt;0,"Valid","Invalid")</f>
        <v>Valid</v>
      </c>
      <c r="G1715" s="39" t="str">
        <f aca="false">IFERROR(INDEX(medicine_master!$B$2:$B$26,MATCH($C1715,medicine_master!$A$2:$A$26,0)),"Not found")</f>
        <v>Pantoprazole 40mg</v>
      </c>
      <c r="H1715" s="39" t="str">
        <f aca="false">IFERROR(INDEX(medicine_master!$C$2:$C$26,MATCH($C1715,medicine_master!$A$2:$A$26,0)),"Not found")</f>
        <v>Gastric</v>
      </c>
      <c r="I1715" s="39" t="n">
        <f aca="false">YEAR(B1715)</f>
        <v>2026</v>
      </c>
      <c r="J1715" s="39" t="n">
        <f aca="false">MONTH(B1715)</f>
        <v>4</v>
      </c>
      <c r="K1715" s="39" t="str">
        <f aca="false">TEXT(B1715,"mmm")</f>
        <v>Apr</v>
      </c>
      <c r="L1715" s="45" t="n">
        <f aca="false">IFERROR(INDEX(medicine_master!$I$2:$I$26,MATCH($C1715,medicine_master!$A$2:$A$26,0)),0)</f>
        <v>35</v>
      </c>
      <c r="M1715" s="45" t="n">
        <f aca="false">IFERROR(INDEX(medicine_master!$G$2:$G$26,MATCH($C1715,medicine_master!$A$2:$A$26,0)),0)</f>
        <v>24</v>
      </c>
      <c r="N1715" s="45" t="n">
        <f aca="false">IF(D1715="Sale",E1715*L1715,0)</f>
        <v>0</v>
      </c>
      <c r="O1715" s="45" t="n">
        <f aca="false">IF(D1715="Sale",E1715*M1715,0)</f>
        <v>0</v>
      </c>
      <c r="P1715" s="45" t="n">
        <f aca="false">N1715-O1715</f>
        <v>0</v>
      </c>
      <c r="Q1715" s="45" t="n">
        <f aca="false">IF(D1715="Purchase",E1715*M1715,0)</f>
        <v>120</v>
      </c>
    </row>
    <row r="1716" customFormat="false" ht="15" hidden="false" customHeight="false" outlineLevel="0" collapsed="false">
      <c r="A1716" s="39" t="s">
        <v>2040</v>
      </c>
      <c r="B1716" s="44" t="n">
        <v>46232</v>
      </c>
      <c r="C1716" s="39" t="s">
        <v>146</v>
      </c>
      <c r="D1716" s="39" t="s">
        <v>137</v>
      </c>
      <c r="E1716" s="39" t="n">
        <v>50</v>
      </c>
      <c r="F1716" s="39" t="str">
        <f aca="false">IF(COUNTIF(medicine_master!$A$2:$A$26,C1716)&gt;0,"Valid","Invalid")</f>
        <v>Valid</v>
      </c>
      <c r="G1716" s="39" t="str">
        <f aca="false">IFERROR(INDEX(medicine_master!$B$2:$B$26,MATCH($C1716,medicine_master!$A$2:$A$26,0)),"Not found")</f>
        <v>Diclofenac Gel</v>
      </c>
      <c r="H1716" s="39" t="str">
        <f aca="false">IFERROR(INDEX(medicine_master!$C$2:$C$26,MATCH($C1716,medicine_master!$A$2:$A$26,0)),"Not found")</f>
        <v>Pain Relief</v>
      </c>
      <c r="I1716" s="39" t="n">
        <f aca="false">YEAR(B1716)</f>
        <v>2026</v>
      </c>
      <c r="J1716" s="39" t="n">
        <f aca="false">MONTH(B1716)</f>
        <v>7</v>
      </c>
      <c r="K1716" s="39" t="str">
        <f aca="false">TEXT(B1716,"mmm")</f>
        <v>Jul</v>
      </c>
      <c r="L1716" s="45" t="n">
        <f aca="false">IFERROR(INDEX(medicine_master!$I$2:$I$26,MATCH($C1716,medicine_master!$A$2:$A$26,0)),0)</f>
        <v>55</v>
      </c>
      <c r="M1716" s="45" t="n">
        <f aca="false">IFERROR(INDEX(medicine_master!$G$2:$G$26,MATCH($C1716,medicine_master!$A$2:$A$26,0)),0)</f>
        <v>38</v>
      </c>
      <c r="N1716" s="45" t="n">
        <f aca="false">IF(D1716="Sale",E1716*L1716,0)</f>
        <v>2750</v>
      </c>
      <c r="O1716" s="45" t="n">
        <f aca="false">IF(D1716="Sale",E1716*M1716,0)</f>
        <v>1900</v>
      </c>
      <c r="P1716" s="45" t="n">
        <f aca="false">N1716-O1716</f>
        <v>850</v>
      </c>
      <c r="Q1716" s="45" t="n">
        <f aca="false">IF(D1716="Purchase",E1716*M1716,0)</f>
        <v>0</v>
      </c>
    </row>
    <row r="1717" customFormat="false" ht="15" hidden="false" customHeight="false" outlineLevel="0" collapsed="false">
      <c r="A1717" s="39" t="s">
        <v>2041</v>
      </c>
      <c r="B1717" s="44" t="n">
        <v>46218</v>
      </c>
      <c r="C1717" s="39" t="s">
        <v>148</v>
      </c>
      <c r="D1717" s="39" t="s">
        <v>137</v>
      </c>
      <c r="E1717" s="39" t="n">
        <v>50</v>
      </c>
      <c r="F1717" s="39" t="str">
        <f aca="false">IF(COUNTIF(medicine_master!$A$2:$A$26,C1717)&gt;0,"Valid","Invalid")</f>
        <v>Valid</v>
      </c>
      <c r="G1717" s="39" t="str">
        <f aca="false">IFERROR(INDEX(medicine_master!$B$2:$B$26,MATCH($C1717,medicine_master!$A$2:$A$26,0)),"Not found")</f>
        <v>Dextromethorphan Syrup</v>
      </c>
      <c r="H1717" s="39" t="str">
        <f aca="false">IFERROR(INDEX(medicine_master!$C$2:$C$26,MATCH($C1717,medicine_master!$A$2:$A$26,0)),"Not found")</f>
        <v>Cold &amp; Cough</v>
      </c>
      <c r="I1717" s="39" t="n">
        <f aca="false">YEAR(B1717)</f>
        <v>2026</v>
      </c>
      <c r="J1717" s="39" t="n">
        <f aca="false">MONTH(B1717)</f>
        <v>7</v>
      </c>
      <c r="K1717" s="39" t="str">
        <f aca="false">TEXT(B1717,"mmm")</f>
        <v>Jul</v>
      </c>
      <c r="L1717" s="45" t="n">
        <f aca="false">IFERROR(INDEX(medicine_master!$I$2:$I$26,MATCH($C1717,medicine_master!$A$2:$A$26,0)),0)</f>
        <v>80</v>
      </c>
      <c r="M1717" s="45" t="n">
        <f aca="false">IFERROR(INDEX(medicine_master!$G$2:$G$26,MATCH($C1717,medicine_master!$A$2:$A$26,0)),0)</f>
        <v>58</v>
      </c>
      <c r="N1717" s="45" t="n">
        <f aca="false">IF(D1717="Sale",E1717*L1717,0)</f>
        <v>4000</v>
      </c>
      <c r="O1717" s="45" t="n">
        <f aca="false">IF(D1717="Sale",E1717*M1717,0)</f>
        <v>2900</v>
      </c>
      <c r="P1717" s="45" t="n">
        <f aca="false">N1717-O1717</f>
        <v>1100</v>
      </c>
      <c r="Q1717" s="45" t="n">
        <f aca="false">IF(D1717="Purchase",E1717*M1717,0)</f>
        <v>0</v>
      </c>
    </row>
    <row r="1718" customFormat="false" ht="15" hidden="false" customHeight="false" outlineLevel="0" collapsed="false">
      <c r="A1718" s="39" t="s">
        <v>2042</v>
      </c>
      <c r="B1718" s="44" t="n">
        <v>46315</v>
      </c>
      <c r="C1718" s="39" t="s">
        <v>157</v>
      </c>
      <c r="D1718" s="39" t="s">
        <v>137</v>
      </c>
      <c r="E1718" s="39" t="n">
        <v>30</v>
      </c>
      <c r="F1718" s="39" t="str">
        <f aca="false">IF(COUNTIF(medicine_master!$A$2:$A$26,C1718)&gt;0,"Valid","Invalid")</f>
        <v>Valid</v>
      </c>
      <c r="G1718" s="39" t="str">
        <f aca="false">IFERROR(INDEX(medicine_master!$B$2:$B$26,MATCH($C1718,medicine_master!$A$2:$A$26,0)),"Not found")</f>
        <v>Multivitamin Tablets</v>
      </c>
      <c r="H1718" s="39" t="str">
        <f aca="false">IFERROR(INDEX(medicine_master!$C$2:$C$26,MATCH($C1718,medicine_master!$A$2:$A$26,0)),"Not found")</f>
        <v>Vitamin</v>
      </c>
      <c r="I1718" s="39" t="n">
        <f aca="false">YEAR(B1718)</f>
        <v>2026</v>
      </c>
      <c r="J1718" s="39" t="n">
        <f aca="false">MONTH(B1718)</f>
        <v>10</v>
      </c>
      <c r="K1718" s="39" t="str">
        <f aca="false">TEXT(B1718,"mmm")</f>
        <v>Oct</v>
      </c>
      <c r="L1718" s="45" t="n">
        <f aca="false">IFERROR(INDEX(medicine_master!$I$2:$I$26,MATCH($C1718,medicine_master!$A$2:$A$26,0)),0)</f>
        <v>105</v>
      </c>
      <c r="M1718" s="45" t="n">
        <f aca="false">IFERROR(INDEX(medicine_master!$G$2:$G$26,MATCH($C1718,medicine_master!$A$2:$A$26,0)),0)</f>
        <v>72</v>
      </c>
      <c r="N1718" s="45" t="n">
        <f aca="false">IF(D1718="Sale",E1718*L1718,0)</f>
        <v>3150</v>
      </c>
      <c r="O1718" s="45" t="n">
        <f aca="false">IF(D1718="Sale",E1718*M1718,0)</f>
        <v>2160</v>
      </c>
      <c r="P1718" s="45" t="n">
        <f aca="false">N1718-O1718</f>
        <v>990</v>
      </c>
      <c r="Q1718" s="45" t="n">
        <f aca="false">IF(D1718="Purchase",E1718*M1718,0)</f>
        <v>0</v>
      </c>
    </row>
    <row r="1719" customFormat="false" ht="15" hidden="false" customHeight="false" outlineLevel="0" collapsed="false">
      <c r="A1719" s="39" t="s">
        <v>2043</v>
      </c>
      <c r="B1719" s="44" t="n">
        <v>46091</v>
      </c>
      <c r="C1719" s="39" t="s">
        <v>167</v>
      </c>
      <c r="D1719" s="39" t="s">
        <v>137</v>
      </c>
      <c r="E1719" s="39" t="n">
        <v>10</v>
      </c>
      <c r="F1719" s="39" t="str">
        <f aca="false">IF(COUNTIF(medicine_master!$A$2:$A$26,C1719)&gt;0,"Valid","Invalid")</f>
        <v>Valid</v>
      </c>
      <c r="G1719" s="39" t="str">
        <f aca="false">IFERROR(INDEX(medicine_master!$B$2:$B$26,MATCH($C1719,medicine_master!$A$2:$A$26,0)),"Not found")</f>
        <v>Amlodipine 5mg</v>
      </c>
      <c r="H1719" s="39" t="str">
        <f aca="false">IFERROR(INDEX(medicine_master!$C$2:$C$26,MATCH($C1719,medicine_master!$A$2:$A$26,0)),"Not found")</f>
        <v>Cardiac</v>
      </c>
      <c r="I1719" s="39" t="n">
        <f aca="false">YEAR(B1719)</f>
        <v>2026</v>
      </c>
      <c r="J1719" s="39" t="n">
        <f aca="false">MONTH(B1719)</f>
        <v>3</v>
      </c>
      <c r="K1719" s="39" t="str">
        <f aca="false">TEXT(B1719,"mmm")</f>
        <v>Mar</v>
      </c>
      <c r="L1719" s="45" t="n">
        <f aca="false">IFERROR(INDEX(medicine_master!$I$2:$I$26,MATCH($C1719,medicine_master!$A$2:$A$26,0)),0)</f>
        <v>19</v>
      </c>
      <c r="M1719" s="45" t="n">
        <f aca="false">IFERROR(INDEX(medicine_master!$G$2:$G$26,MATCH($C1719,medicine_master!$A$2:$A$26,0)),0)</f>
        <v>13</v>
      </c>
      <c r="N1719" s="45" t="n">
        <f aca="false">IF(D1719="Sale",E1719*L1719,0)</f>
        <v>190</v>
      </c>
      <c r="O1719" s="45" t="n">
        <f aca="false">IF(D1719="Sale",E1719*M1719,0)</f>
        <v>130</v>
      </c>
      <c r="P1719" s="45" t="n">
        <f aca="false">N1719-O1719</f>
        <v>60</v>
      </c>
      <c r="Q1719" s="45" t="n">
        <f aca="false">IF(D1719="Purchase",E1719*M1719,0)</f>
        <v>0</v>
      </c>
    </row>
    <row r="1720" customFormat="false" ht="15" hidden="false" customHeight="false" outlineLevel="0" collapsed="false">
      <c r="A1720" s="39" t="s">
        <v>2044</v>
      </c>
      <c r="B1720" s="44" t="n">
        <v>46148</v>
      </c>
      <c r="C1720" s="39" t="s">
        <v>151</v>
      </c>
      <c r="D1720" s="39" t="s">
        <v>138</v>
      </c>
      <c r="E1720" s="39" t="n">
        <v>15</v>
      </c>
      <c r="F1720" s="39" t="str">
        <f aca="false">IF(COUNTIF(medicine_master!$A$2:$A$26,C1720)&gt;0,"Valid","Invalid")</f>
        <v>Valid</v>
      </c>
      <c r="G1720" s="39" t="str">
        <f aca="false">IFERROR(INDEX(medicine_master!$B$2:$B$26,MATCH($C1720,medicine_master!$A$2:$A$26,0)),"Not found")</f>
        <v>Cetirizine 10mg</v>
      </c>
      <c r="H1720" s="39" t="str">
        <f aca="false">IFERROR(INDEX(medicine_master!$C$2:$C$26,MATCH($C1720,medicine_master!$A$2:$A$26,0)),"Not found")</f>
        <v>Allergy</v>
      </c>
      <c r="I1720" s="39" t="n">
        <f aca="false">YEAR(B1720)</f>
        <v>2026</v>
      </c>
      <c r="J1720" s="39" t="n">
        <f aca="false">MONTH(B1720)</f>
        <v>5</v>
      </c>
      <c r="K1720" s="39" t="str">
        <f aca="false">TEXT(B1720,"mmm")</f>
        <v>May</v>
      </c>
      <c r="L1720" s="45" t="n">
        <f aca="false">IFERROR(INDEX(medicine_master!$I$2:$I$26,MATCH($C1720,medicine_master!$A$2:$A$26,0)),0)</f>
        <v>13</v>
      </c>
      <c r="M1720" s="45" t="n">
        <f aca="false">IFERROR(INDEX(medicine_master!$G$2:$G$26,MATCH($C1720,medicine_master!$A$2:$A$26,0)),0)</f>
        <v>8</v>
      </c>
      <c r="N1720" s="45" t="n">
        <f aca="false">IF(D1720="Sale",E1720*L1720,0)</f>
        <v>0</v>
      </c>
      <c r="O1720" s="45" t="n">
        <f aca="false">IF(D1720="Sale",E1720*M1720,0)</f>
        <v>0</v>
      </c>
      <c r="P1720" s="45" t="n">
        <f aca="false">N1720-O1720</f>
        <v>0</v>
      </c>
      <c r="Q1720" s="45" t="n">
        <f aca="false">IF(D1720="Purchase",E1720*M1720,0)</f>
        <v>120</v>
      </c>
    </row>
    <row r="1721" customFormat="false" ht="15" hidden="false" customHeight="false" outlineLevel="0" collapsed="false">
      <c r="A1721" s="39" t="s">
        <v>2045</v>
      </c>
      <c r="B1721" s="44" t="n">
        <v>46153</v>
      </c>
      <c r="C1721" s="39" t="s">
        <v>178</v>
      </c>
      <c r="D1721" s="39" t="s">
        <v>138</v>
      </c>
      <c r="E1721" s="39" t="n">
        <v>10</v>
      </c>
      <c r="F1721" s="39" t="str">
        <f aca="false">IF(COUNTIF(medicine_master!$A$2:$A$26,C1721)&gt;0,"Valid","Invalid")</f>
        <v>Valid</v>
      </c>
      <c r="G1721" s="39" t="str">
        <f aca="false">IFERROR(INDEX(medicine_master!$B$2:$B$26,MATCH($C1721,medicine_master!$A$2:$A$26,0)),"Not found")</f>
        <v>Aspirin 75mg</v>
      </c>
      <c r="H1721" s="39" t="str">
        <f aca="false">IFERROR(INDEX(medicine_master!$C$2:$C$26,MATCH($C1721,medicine_master!$A$2:$A$26,0)),"Not found")</f>
        <v>Cardiac</v>
      </c>
      <c r="I1721" s="39" t="n">
        <f aca="false">YEAR(B1721)</f>
        <v>2026</v>
      </c>
      <c r="J1721" s="39" t="n">
        <f aca="false">MONTH(B1721)</f>
        <v>5</v>
      </c>
      <c r="K1721" s="39" t="str">
        <f aca="false">TEXT(B1721,"mmm")</f>
        <v>May</v>
      </c>
      <c r="L1721" s="45" t="n">
        <f aca="false">IFERROR(INDEX(medicine_master!$I$2:$I$26,MATCH($C1721,medicine_master!$A$2:$A$26,0)),0)</f>
        <v>15</v>
      </c>
      <c r="M1721" s="45" t="n">
        <f aca="false">IFERROR(INDEX(medicine_master!$G$2:$G$26,MATCH($C1721,medicine_master!$A$2:$A$26,0)),0)</f>
        <v>10</v>
      </c>
      <c r="N1721" s="45" t="n">
        <f aca="false">IF(D1721="Sale",E1721*L1721,0)</f>
        <v>0</v>
      </c>
      <c r="O1721" s="45" t="n">
        <f aca="false">IF(D1721="Sale",E1721*M1721,0)</f>
        <v>0</v>
      </c>
      <c r="P1721" s="45" t="n">
        <f aca="false">N1721-O1721</f>
        <v>0</v>
      </c>
      <c r="Q1721" s="45" t="n">
        <f aca="false">IF(D1721="Purchase",E1721*M1721,0)</f>
        <v>100</v>
      </c>
    </row>
    <row r="1722" customFormat="false" ht="15" hidden="false" customHeight="false" outlineLevel="0" collapsed="false">
      <c r="A1722" s="39" t="s">
        <v>2046</v>
      </c>
      <c r="B1722" s="44" t="n">
        <v>46084</v>
      </c>
      <c r="C1722" s="39" t="s">
        <v>151</v>
      </c>
      <c r="D1722" s="39" t="s">
        <v>137</v>
      </c>
      <c r="E1722" s="39" t="n">
        <v>20</v>
      </c>
      <c r="F1722" s="39" t="str">
        <f aca="false">IF(COUNTIF(medicine_master!$A$2:$A$26,C1722)&gt;0,"Valid","Invalid")</f>
        <v>Valid</v>
      </c>
      <c r="G1722" s="39" t="str">
        <f aca="false">IFERROR(INDEX(medicine_master!$B$2:$B$26,MATCH($C1722,medicine_master!$A$2:$A$26,0)),"Not found")</f>
        <v>Cetirizine 10mg</v>
      </c>
      <c r="H1722" s="39" t="str">
        <f aca="false">IFERROR(INDEX(medicine_master!$C$2:$C$26,MATCH($C1722,medicine_master!$A$2:$A$26,0)),"Not found")</f>
        <v>Allergy</v>
      </c>
      <c r="I1722" s="39" t="n">
        <f aca="false">YEAR(B1722)</f>
        <v>2026</v>
      </c>
      <c r="J1722" s="39" t="n">
        <f aca="false">MONTH(B1722)</f>
        <v>3</v>
      </c>
      <c r="K1722" s="39" t="str">
        <f aca="false">TEXT(B1722,"mmm")</f>
        <v>Mar</v>
      </c>
      <c r="L1722" s="45" t="n">
        <f aca="false">IFERROR(INDEX(medicine_master!$I$2:$I$26,MATCH($C1722,medicine_master!$A$2:$A$26,0)),0)</f>
        <v>13</v>
      </c>
      <c r="M1722" s="45" t="n">
        <f aca="false">IFERROR(INDEX(medicine_master!$G$2:$G$26,MATCH($C1722,medicine_master!$A$2:$A$26,0)),0)</f>
        <v>8</v>
      </c>
      <c r="N1722" s="45" t="n">
        <f aca="false">IF(D1722="Sale",E1722*L1722,0)</f>
        <v>260</v>
      </c>
      <c r="O1722" s="45" t="n">
        <f aca="false">IF(D1722="Sale",E1722*M1722,0)</f>
        <v>160</v>
      </c>
      <c r="P1722" s="45" t="n">
        <f aca="false">N1722-O1722</f>
        <v>100</v>
      </c>
      <c r="Q1722" s="45" t="n">
        <f aca="false">IF(D1722="Purchase",E1722*M1722,0)</f>
        <v>0</v>
      </c>
    </row>
    <row r="1723" customFormat="false" ht="15" hidden="false" customHeight="false" outlineLevel="0" collapsed="false">
      <c r="A1723" s="39" t="s">
        <v>2047</v>
      </c>
      <c r="B1723" s="44" t="n">
        <v>46163</v>
      </c>
      <c r="C1723" s="39" t="s">
        <v>180</v>
      </c>
      <c r="D1723" s="39" t="s">
        <v>137</v>
      </c>
      <c r="E1723" s="39" t="n">
        <v>30</v>
      </c>
      <c r="F1723" s="39" t="str">
        <f aca="false">IF(COUNTIF(medicine_master!$A$2:$A$26,C1723)&gt;0,"Valid","Invalid")</f>
        <v>Valid</v>
      </c>
      <c r="G1723" s="39" t="str">
        <f aca="false">IFERROR(INDEX(medicine_master!$B$2:$B$26,MATCH($C1723,medicine_master!$A$2:$A$26,0)),"Not found")</f>
        <v>Vitamin C 500mg</v>
      </c>
      <c r="H1723" s="39" t="str">
        <f aca="false">IFERROR(INDEX(medicine_master!$C$2:$C$26,MATCH($C1723,medicine_master!$A$2:$A$26,0)),"Not found")</f>
        <v>Vitamin</v>
      </c>
      <c r="I1723" s="39" t="n">
        <f aca="false">YEAR(B1723)</f>
        <v>2026</v>
      </c>
      <c r="J1723" s="39" t="n">
        <f aca="false">MONTH(B1723)</f>
        <v>5</v>
      </c>
      <c r="K1723" s="39" t="str">
        <f aca="false">TEXT(B1723,"mmm")</f>
        <v>May</v>
      </c>
      <c r="L1723" s="45" t="n">
        <f aca="false">IFERROR(INDEX(medicine_master!$I$2:$I$26,MATCH($C1723,medicine_master!$A$2:$A$26,0)),0)</f>
        <v>22</v>
      </c>
      <c r="M1723" s="45" t="n">
        <f aca="false">IFERROR(INDEX(medicine_master!$G$2:$G$26,MATCH($C1723,medicine_master!$A$2:$A$26,0)),0)</f>
        <v>14</v>
      </c>
      <c r="N1723" s="45" t="n">
        <f aca="false">IF(D1723="Sale",E1723*L1723,0)</f>
        <v>660</v>
      </c>
      <c r="O1723" s="45" t="n">
        <f aca="false">IF(D1723="Sale",E1723*M1723,0)</f>
        <v>420</v>
      </c>
      <c r="P1723" s="45" t="n">
        <f aca="false">N1723-O1723</f>
        <v>240</v>
      </c>
      <c r="Q1723" s="45" t="n">
        <f aca="false">IF(D1723="Purchase",E1723*M1723,0)</f>
        <v>0</v>
      </c>
    </row>
    <row r="1724" customFormat="false" ht="15" hidden="false" customHeight="false" outlineLevel="0" collapsed="false">
      <c r="A1724" s="39" t="s">
        <v>2048</v>
      </c>
      <c r="B1724" s="44" t="n">
        <v>46152</v>
      </c>
      <c r="C1724" s="39" t="s">
        <v>321</v>
      </c>
      <c r="D1724" s="39" t="s">
        <v>138</v>
      </c>
      <c r="E1724" s="39" t="n">
        <v>10</v>
      </c>
      <c r="F1724" s="39" t="str">
        <f aca="false">IF(COUNTIF(medicine_master!$A$2:$A$26,C1724)&gt;0,"Valid","Invalid")</f>
        <v>Valid</v>
      </c>
      <c r="G1724" s="39" t="str">
        <f aca="false">IFERROR(INDEX(medicine_master!$B$2:$B$26,MATCH($C1724,medicine_master!$A$2:$A$26,0)),"Not found")</f>
        <v>Levocetirizine 5mg</v>
      </c>
      <c r="H1724" s="39" t="str">
        <f aca="false">IFERROR(INDEX(medicine_master!$C$2:$C$26,MATCH($C1724,medicine_master!$A$2:$A$26,0)),"Not found")</f>
        <v>Allergy</v>
      </c>
      <c r="I1724" s="39" t="n">
        <f aca="false">YEAR(B1724)</f>
        <v>2026</v>
      </c>
      <c r="J1724" s="39" t="n">
        <f aca="false">MONTH(B1724)</f>
        <v>5</v>
      </c>
      <c r="K1724" s="39" t="str">
        <f aca="false">TEXT(B1724,"mmm")</f>
        <v>May</v>
      </c>
      <c r="L1724" s="45" t="n">
        <f aca="false">IFERROR(INDEX(medicine_master!$I$2:$I$26,MATCH($C1724,medicine_master!$A$2:$A$26,0)),0)</f>
        <v>22</v>
      </c>
      <c r="M1724" s="45" t="n">
        <f aca="false">IFERROR(INDEX(medicine_master!$G$2:$G$26,MATCH($C1724,medicine_master!$A$2:$A$26,0)),0)</f>
        <v>14</v>
      </c>
      <c r="N1724" s="45" t="n">
        <f aca="false">IF(D1724="Sale",E1724*L1724,0)</f>
        <v>0</v>
      </c>
      <c r="O1724" s="45" t="n">
        <f aca="false">IF(D1724="Sale",E1724*M1724,0)</f>
        <v>0</v>
      </c>
      <c r="P1724" s="45" t="n">
        <f aca="false">N1724-O1724</f>
        <v>0</v>
      </c>
      <c r="Q1724" s="45" t="n">
        <f aca="false">IF(D1724="Purchase",E1724*M1724,0)</f>
        <v>140</v>
      </c>
    </row>
    <row r="1725" customFormat="false" ht="15" hidden="false" customHeight="false" outlineLevel="0" collapsed="false">
      <c r="A1725" s="39" t="s">
        <v>2049</v>
      </c>
      <c r="B1725" s="44" t="n">
        <v>46069</v>
      </c>
      <c r="C1725" s="39" t="s">
        <v>179</v>
      </c>
      <c r="D1725" s="39" t="s">
        <v>138</v>
      </c>
      <c r="E1725" s="39" t="n">
        <v>15</v>
      </c>
      <c r="F1725" s="39" t="str">
        <f aca="false">IF(COUNTIF(medicine_master!$A$2:$A$26,C1725)&gt;0,"Valid","Invalid")</f>
        <v>Valid</v>
      </c>
      <c r="G1725" s="39" t="str">
        <f aca="false">IFERROR(INDEX(medicine_master!$B$2:$B$26,MATCH($C1725,medicine_master!$A$2:$A$26,0)),"Not found")</f>
        <v>Ibuprofen 400mg</v>
      </c>
      <c r="H1725" s="39" t="str">
        <f aca="false">IFERROR(INDEX(medicine_master!$C$2:$C$26,MATCH($C1725,medicine_master!$A$2:$A$26,0)),"Not found")</f>
        <v>Pain Relief</v>
      </c>
      <c r="I1725" s="39" t="n">
        <f aca="false">YEAR(B1725)</f>
        <v>2026</v>
      </c>
      <c r="J1725" s="39" t="n">
        <f aca="false">MONTH(B1725)</f>
        <v>2</v>
      </c>
      <c r="K1725" s="39" t="str">
        <f aca="false">TEXT(B1725,"mmm")</f>
        <v>Feb</v>
      </c>
      <c r="L1725" s="45" t="n">
        <f aca="false">IFERROR(INDEX(medicine_master!$I$2:$I$26,MATCH($C1725,medicine_master!$A$2:$A$26,0)),0)</f>
        <v>30</v>
      </c>
      <c r="M1725" s="45" t="n">
        <f aca="false">IFERROR(INDEX(medicine_master!$G$2:$G$26,MATCH($C1725,medicine_master!$A$2:$A$26,0)),0)</f>
        <v>22</v>
      </c>
      <c r="N1725" s="45" t="n">
        <f aca="false">IF(D1725="Sale",E1725*L1725,0)</f>
        <v>0</v>
      </c>
      <c r="O1725" s="45" t="n">
        <f aca="false">IF(D1725="Sale",E1725*M1725,0)</f>
        <v>0</v>
      </c>
      <c r="P1725" s="45" t="n">
        <f aca="false">N1725-O1725</f>
        <v>0</v>
      </c>
      <c r="Q1725" s="45" t="n">
        <f aca="false">IF(D1725="Purchase",E1725*M1725,0)</f>
        <v>330</v>
      </c>
    </row>
    <row r="1726" customFormat="false" ht="15" hidden="false" customHeight="false" outlineLevel="0" collapsed="false">
      <c r="A1726" s="39" t="s">
        <v>2050</v>
      </c>
      <c r="B1726" s="44" t="n">
        <v>46091</v>
      </c>
      <c r="C1726" s="39" t="s">
        <v>150</v>
      </c>
      <c r="D1726" s="39" t="s">
        <v>137</v>
      </c>
      <c r="E1726" s="39" t="n">
        <v>30</v>
      </c>
      <c r="F1726" s="39" t="str">
        <f aca="false">IF(COUNTIF(medicine_master!$A$2:$A$26,C1726)&gt;0,"Valid","Invalid")</f>
        <v>Valid</v>
      </c>
      <c r="G1726" s="39" t="str">
        <f aca="false">IFERROR(INDEX(medicine_master!$B$2:$B$26,MATCH($C1726,medicine_master!$A$2:$A$26,0)),"Not found")</f>
        <v>Pantoprazole 40mg</v>
      </c>
      <c r="H1726" s="39" t="str">
        <f aca="false">IFERROR(INDEX(medicine_master!$C$2:$C$26,MATCH($C1726,medicine_master!$A$2:$A$26,0)),"Not found")</f>
        <v>Gastric</v>
      </c>
      <c r="I1726" s="39" t="n">
        <f aca="false">YEAR(B1726)</f>
        <v>2026</v>
      </c>
      <c r="J1726" s="39" t="n">
        <f aca="false">MONTH(B1726)</f>
        <v>3</v>
      </c>
      <c r="K1726" s="39" t="str">
        <f aca="false">TEXT(B1726,"mmm")</f>
        <v>Mar</v>
      </c>
      <c r="L1726" s="45" t="n">
        <f aca="false">IFERROR(INDEX(medicine_master!$I$2:$I$26,MATCH($C1726,medicine_master!$A$2:$A$26,0)),0)</f>
        <v>35</v>
      </c>
      <c r="M1726" s="45" t="n">
        <f aca="false">IFERROR(INDEX(medicine_master!$G$2:$G$26,MATCH($C1726,medicine_master!$A$2:$A$26,0)),0)</f>
        <v>24</v>
      </c>
      <c r="N1726" s="45" t="n">
        <f aca="false">IF(D1726="Sale",E1726*L1726,0)</f>
        <v>1050</v>
      </c>
      <c r="O1726" s="45" t="n">
        <f aca="false">IF(D1726="Sale",E1726*M1726,0)</f>
        <v>720</v>
      </c>
      <c r="P1726" s="45" t="n">
        <f aca="false">N1726-O1726</f>
        <v>330</v>
      </c>
      <c r="Q1726" s="45" t="n">
        <f aca="false">IF(D1726="Purchase",E1726*M1726,0)</f>
        <v>0</v>
      </c>
    </row>
    <row r="1727" customFormat="false" ht="15" hidden="false" customHeight="false" outlineLevel="0" collapsed="false">
      <c r="A1727" s="39" t="s">
        <v>2051</v>
      </c>
      <c r="B1727" s="44" t="n">
        <v>46193</v>
      </c>
      <c r="C1727" s="39" t="s">
        <v>178</v>
      </c>
      <c r="D1727" s="39" t="s">
        <v>137</v>
      </c>
      <c r="E1727" s="39" t="n">
        <v>20</v>
      </c>
      <c r="F1727" s="39" t="str">
        <f aca="false">IF(COUNTIF(medicine_master!$A$2:$A$26,C1727)&gt;0,"Valid","Invalid")</f>
        <v>Valid</v>
      </c>
      <c r="G1727" s="39" t="str">
        <f aca="false">IFERROR(INDEX(medicine_master!$B$2:$B$26,MATCH($C1727,medicine_master!$A$2:$A$26,0)),"Not found")</f>
        <v>Aspirin 75mg</v>
      </c>
      <c r="H1727" s="39" t="str">
        <f aca="false">IFERROR(INDEX(medicine_master!$C$2:$C$26,MATCH($C1727,medicine_master!$A$2:$A$26,0)),"Not found")</f>
        <v>Cardiac</v>
      </c>
      <c r="I1727" s="39" t="n">
        <f aca="false">YEAR(B1727)</f>
        <v>2026</v>
      </c>
      <c r="J1727" s="39" t="n">
        <f aca="false">MONTH(B1727)</f>
        <v>6</v>
      </c>
      <c r="K1727" s="39" t="str">
        <f aca="false">TEXT(B1727,"mmm")</f>
        <v>Jun</v>
      </c>
      <c r="L1727" s="45" t="n">
        <f aca="false">IFERROR(INDEX(medicine_master!$I$2:$I$26,MATCH($C1727,medicine_master!$A$2:$A$26,0)),0)</f>
        <v>15</v>
      </c>
      <c r="M1727" s="45" t="n">
        <f aca="false">IFERROR(INDEX(medicine_master!$G$2:$G$26,MATCH($C1727,medicine_master!$A$2:$A$26,0)),0)</f>
        <v>10</v>
      </c>
      <c r="N1727" s="45" t="n">
        <f aca="false">IF(D1727="Sale",E1727*L1727,0)</f>
        <v>300</v>
      </c>
      <c r="O1727" s="45" t="n">
        <f aca="false">IF(D1727="Sale",E1727*M1727,0)</f>
        <v>200</v>
      </c>
      <c r="P1727" s="45" t="n">
        <f aca="false">N1727-O1727</f>
        <v>100</v>
      </c>
      <c r="Q1727" s="45" t="n">
        <f aca="false">IF(D1727="Purchase",E1727*M1727,0)</f>
        <v>0</v>
      </c>
    </row>
    <row r="1728" customFormat="false" ht="15" hidden="false" customHeight="false" outlineLevel="0" collapsed="false">
      <c r="A1728" s="39" t="s">
        <v>2052</v>
      </c>
      <c r="B1728" s="44" t="n">
        <v>46277</v>
      </c>
      <c r="C1728" s="39" t="s">
        <v>158</v>
      </c>
      <c r="D1728" s="39" t="s">
        <v>137</v>
      </c>
      <c r="E1728" s="39" t="n">
        <v>15</v>
      </c>
      <c r="F1728" s="39" t="str">
        <f aca="false">IF(COUNTIF(medicine_master!$A$2:$A$26,C1728)&gt;0,"Valid","Invalid")</f>
        <v>Valid</v>
      </c>
      <c r="G1728" s="39" t="str">
        <f aca="false">IFERROR(INDEX(medicine_master!$B$2:$B$26,MATCH($C1728,medicine_master!$A$2:$A$26,0)),"Not found")</f>
        <v>Cough Syrup 100ml</v>
      </c>
      <c r="H1728" s="39" t="str">
        <f aca="false">IFERROR(INDEX(medicine_master!$C$2:$C$26,MATCH($C1728,medicine_master!$A$2:$A$26,0)),"Not found")</f>
        <v>Cold &amp; Cough</v>
      </c>
      <c r="I1728" s="39" t="n">
        <f aca="false">YEAR(B1728)</f>
        <v>2026</v>
      </c>
      <c r="J1728" s="39" t="n">
        <f aca="false">MONTH(B1728)</f>
        <v>9</v>
      </c>
      <c r="K1728" s="39" t="str">
        <f aca="false">TEXT(B1728,"mmm")</f>
        <v>Sep</v>
      </c>
      <c r="L1728" s="45" t="n">
        <f aca="false">IFERROR(INDEX(medicine_master!$I$2:$I$26,MATCH($C1728,medicine_master!$A$2:$A$26,0)),0)</f>
        <v>72</v>
      </c>
      <c r="M1728" s="45" t="n">
        <f aca="false">IFERROR(INDEX(medicine_master!$G$2:$G$26,MATCH($C1728,medicine_master!$A$2:$A$26,0)),0)</f>
        <v>52</v>
      </c>
      <c r="N1728" s="45" t="n">
        <f aca="false">IF(D1728="Sale",E1728*L1728,0)</f>
        <v>1080</v>
      </c>
      <c r="O1728" s="45" t="n">
        <f aca="false">IF(D1728="Sale",E1728*M1728,0)</f>
        <v>780</v>
      </c>
      <c r="P1728" s="45" t="n">
        <f aca="false">N1728-O1728</f>
        <v>300</v>
      </c>
      <c r="Q1728" s="45" t="n">
        <f aca="false">IF(D1728="Purchase",E1728*M1728,0)</f>
        <v>0</v>
      </c>
    </row>
    <row r="1729" customFormat="false" ht="15" hidden="false" customHeight="false" outlineLevel="0" collapsed="false">
      <c r="A1729" s="39" t="s">
        <v>2053</v>
      </c>
      <c r="B1729" s="44" t="n">
        <v>46025</v>
      </c>
      <c r="C1729" s="39" t="s">
        <v>178</v>
      </c>
      <c r="D1729" s="39" t="s">
        <v>137</v>
      </c>
      <c r="E1729" s="39" t="n">
        <v>20</v>
      </c>
      <c r="F1729" s="39" t="str">
        <f aca="false">IF(COUNTIF(medicine_master!$A$2:$A$26,C1729)&gt;0,"Valid","Invalid")</f>
        <v>Valid</v>
      </c>
      <c r="G1729" s="39" t="str">
        <f aca="false">IFERROR(INDEX(medicine_master!$B$2:$B$26,MATCH($C1729,medicine_master!$A$2:$A$26,0)),"Not found")</f>
        <v>Aspirin 75mg</v>
      </c>
      <c r="H1729" s="39" t="str">
        <f aca="false">IFERROR(INDEX(medicine_master!$C$2:$C$26,MATCH($C1729,medicine_master!$A$2:$A$26,0)),"Not found")</f>
        <v>Cardiac</v>
      </c>
      <c r="I1729" s="39" t="n">
        <f aca="false">YEAR(B1729)</f>
        <v>2026</v>
      </c>
      <c r="J1729" s="39" t="n">
        <f aca="false">MONTH(B1729)</f>
        <v>1</v>
      </c>
      <c r="K1729" s="39" t="str">
        <f aca="false">TEXT(B1729,"mmm")</f>
        <v>Jan</v>
      </c>
      <c r="L1729" s="45" t="n">
        <f aca="false">IFERROR(INDEX(medicine_master!$I$2:$I$26,MATCH($C1729,medicine_master!$A$2:$A$26,0)),0)</f>
        <v>15</v>
      </c>
      <c r="M1729" s="45" t="n">
        <f aca="false">IFERROR(INDEX(medicine_master!$G$2:$G$26,MATCH($C1729,medicine_master!$A$2:$A$26,0)),0)</f>
        <v>10</v>
      </c>
      <c r="N1729" s="45" t="n">
        <f aca="false">IF(D1729="Sale",E1729*L1729,0)</f>
        <v>300</v>
      </c>
      <c r="O1729" s="45" t="n">
        <f aca="false">IF(D1729="Sale",E1729*M1729,0)</f>
        <v>200</v>
      </c>
      <c r="P1729" s="45" t="n">
        <f aca="false">N1729-O1729</f>
        <v>100</v>
      </c>
      <c r="Q1729" s="45" t="n">
        <f aca="false">IF(D1729="Purchase",E1729*M1729,0)</f>
        <v>0</v>
      </c>
    </row>
    <row r="1730" customFormat="false" ht="15" hidden="false" customHeight="false" outlineLevel="0" collapsed="false">
      <c r="A1730" s="39" t="s">
        <v>2054</v>
      </c>
      <c r="B1730" s="44" t="n">
        <v>46321</v>
      </c>
      <c r="C1730" s="39" t="s">
        <v>145</v>
      </c>
      <c r="D1730" s="39" t="s">
        <v>137</v>
      </c>
      <c r="E1730" s="39" t="n">
        <v>20</v>
      </c>
      <c r="F1730" s="39" t="str">
        <f aca="false">IF(COUNTIF(medicine_master!$A$2:$A$26,C1730)&gt;0,"Valid","Invalid")</f>
        <v>Valid</v>
      </c>
      <c r="G1730" s="39" t="str">
        <f aca="false">IFERROR(INDEX(medicine_master!$B$2:$B$26,MATCH($C1730,medicine_master!$A$2:$A$26,0)),"Not found")</f>
        <v>Clotrimazole Cream</v>
      </c>
      <c r="H1730" s="39" t="str">
        <f aca="false">IFERROR(INDEX(medicine_master!$C$2:$C$26,MATCH($C1730,medicine_master!$A$2:$A$26,0)),"Not found")</f>
        <v>Dermatology</v>
      </c>
      <c r="I1730" s="39" t="n">
        <f aca="false">YEAR(B1730)</f>
        <v>2026</v>
      </c>
      <c r="J1730" s="39" t="n">
        <f aca="false">MONTH(B1730)</f>
        <v>10</v>
      </c>
      <c r="K1730" s="39" t="str">
        <f aca="false">TEXT(B1730,"mmm")</f>
        <v>Oct</v>
      </c>
      <c r="L1730" s="45" t="n">
        <f aca="false">IFERROR(INDEX(medicine_master!$I$2:$I$26,MATCH($C1730,medicine_master!$A$2:$A$26,0)),0)</f>
        <v>48</v>
      </c>
      <c r="M1730" s="45" t="n">
        <f aca="false">IFERROR(INDEX(medicine_master!$G$2:$G$26,MATCH($C1730,medicine_master!$A$2:$A$26,0)),0)</f>
        <v>32</v>
      </c>
      <c r="N1730" s="45" t="n">
        <f aca="false">IF(D1730="Sale",E1730*L1730,0)</f>
        <v>960</v>
      </c>
      <c r="O1730" s="45" t="n">
        <f aca="false">IF(D1730="Sale",E1730*M1730,0)</f>
        <v>640</v>
      </c>
      <c r="P1730" s="45" t="n">
        <f aca="false">N1730-O1730</f>
        <v>320</v>
      </c>
      <c r="Q1730" s="45" t="n">
        <f aca="false">IF(D1730="Purchase",E1730*M1730,0)</f>
        <v>0</v>
      </c>
    </row>
    <row r="1731" customFormat="false" ht="15" hidden="false" customHeight="false" outlineLevel="0" collapsed="false">
      <c r="A1731" s="39" t="s">
        <v>2055</v>
      </c>
      <c r="B1731" s="44" t="n">
        <v>46033</v>
      </c>
      <c r="C1731" s="39" t="s">
        <v>180</v>
      </c>
      <c r="D1731" s="39" t="s">
        <v>137</v>
      </c>
      <c r="E1731" s="39" t="n">
        <v>10</v>
      </c>
      <c r="F1731" s="39" t="str">
        <f aca="false">IF(COUNTIF(medicine_master!$A$2:$A$26,C1731)&gt;0,"Valid","Invalid")</f>
        <v>Valid</v>
      </c>
      <c r="G1731" s="39" t="str">
        <f aca="false">IFERROR(INDEX(medicine_master!$B$2:$B$26,MATCH($C1731,medicine_master!$A$2:$A$26,0)),"Not found")</f>
        <v>Vitamin C 500mg</v>
      </c>
      <c r="H1731" s="39" t="str">
        <f aca="false">IFERROR(INDEX(medicine_master!$C$2:$C$26,MATCH($C1731,medicine_master!$A$2:$A$26,0)),"Not found")</f>
        <v>Vitamin</v>
      </c>
      <c r="I1731" s="39" t="n">
        <f aca="false">YEAR(B1731)</f>
        <v>2026</v>
      </c>
      <c r="J1731" s="39" t="n">
        <f aca="false">MONTH(B1731)</f>
        <v>1</v>
      </c>
      <c r="K1731" s="39" t="str">
        <f aca="false">TEXT(B1731,"mmm")</f>
        <v>Jan</v>
      </c>
      <c r="L1731" s="45" t="n">
        <f aca="false">IFERROR(INDEX(medicine_master!$I$2:$I$26,MATCH($C1731,medicine_master!$A$2:$A$26,0)),0)</f>
        <v>22</v>
      </c>
      <c r="M1731" s="45" t="n">
        <f aca="false">IFERROR(INDEX(medicine_master!$G$2:$G$26,MATCH($C1731,medicine_master!$A$2:$A$26,0)),0)</f>
        <v>14</v>
      </c>
      <c r="N1731" s="45" t="n">
        <f aca="false">IF(D1731="Sale",E1731*L1731,0)</f>
        <v>220</v>
      </c>
      <c r="O1731" s="45" t="n">
        <f aca="false">IF(D1731="Sale",E1731*M1731,0)</f>
        <v>140</v>
      </c>
      <c r="P1731" s="45" t="n">
        <f aca="false">N1731-O1731</f>
        <v>80</v>
      </c>
      <c r="Q1731" s="45" t="n">
        <f aca="false">IF(D1731="Purchase",E1731*M1731,0)</f>
        <v>0</v>
      </c>
    </row>
    <row r="1732" customFormat="false" ht="15" hidden="false" customHeight="false" outlineLevel="0" collapsed="false">
      <c r="A1732" s="39" t="s">
        <v>2056</v>
      </c>
      <c r="B1732" s="44" t="n">
        <v>46122</v>
      </c>
      <c r="C1732" s="39" t="s">
        <v>157</v>
      </c>
      <c r="D1732" s="39" t="s">
        <v>138</v>
      </c>
      <c r="E1732" s="39" t="n">
        <v>25</v>
      </c>
      <c r="F1732" s="39" t="str">
        <f aca="false">IF(COUNTIF(medicine_master!$A$2:$A$26,C1732)&gt;0,"Valid","Invalid")</f>
        <v>Valid</v>
      </c>
      <c r="G1732" s="39" t="str">
        <f aca="false">IFERROR(INDEX(medicine_master!$B$2:$B$26,MATCH($C1732,medicine_master!$A$2:$A$26,0)),"Not found")</f>
        <v>Multivitamin Tablets</v>
      </c>
      <c r="H1732" s="39" t="str">
        <f aca="false">IFERROR(INDEX(medicine_master!$C$2:$C$26,MATCH($C1732,medicine_master!$A$2:$A$26,0)),"Not found")</f>
        <v>Vitamin</v>
      </c>
      <c r="I1732" s="39" t="n">
        <f aca="false">YEAR(B1732)</f>
        <v>2026</v>
      </c>
      <c r="J1732" s="39" t="n">
        <f aca="false">MONTH(B1732)</f>
        <v>4</v>
      </c>
      <c r="K1732" s="39" t="str">
        <f aca="false">TEXT(B1732,"mmm")</f>
        <v>Apr</v>
      </c>
      <c r="L1732" s="45" t="n">
        <f aca="false">IFERROR(INDEX(medicine_master!$I$2:$I$26,MATCH($C1732,medicine_master!$A$2:$A$26,0)),0)</f>
        <v>105</v>
      </c>
      <c r="M1732" s="45" t="n">
        <f aca="false">IFERROR(INDEX(medicine_master!$G$2:$G$26,MATCH($C1732,medicine_master!$A$2:$A$26,0)),0)</f>
        <v>72</v>
      </c>
      <c r="N1732" s="45" t="n">
        <f aca="false">IF(D1732="Sale",E1732*L1732,0)</f>
        <v>0</v>
      </c>
      <c r="O1732" s="45" t="n">
        <f aca="false">IF(D1732="Sale",E1732*M1732,0)</f>
        <v>0</v>
      </c>
      <c r="P1732" s="45" t="n">
        <f aca="false">N1732-O1732</f>
        <v>0</v>
      </c>
      <c r="Q1732" s="45" t="n">
        <f aca="false">IF(D1732="Purchase",E1732*M1732,0)</f>
        <v>1800</v>
      </c>
    </row>
    <row r="1733" customFormat="false" ht="15" hidden="false" customHeight="false" outlineLevel="0" collapsed="false">
      <c r="A1733" s="39" t="s">
        <v>2057</v>
      </c>
      <c r="B1733" s="44" t="n">
        <v>46203</v>
      </c>
      <c r="C1733" s="39" t="s">
        <v>160</v>
      </c>
      <c r="D1733" s="39" t="s">
        <v>138</v>
      </c>
      <c r="E1733" s="39" t="n">
        <v>10</v>
      </c>
      <c r="F1733" s="39" t="str">
        <f aca="false">IF(COUNTIF(medicine_master!$A$2:$A$26,C1733)&gt;0,"Valid","Invalid")</f>
        <v>Valid</v>
      </c>
      <c r="G1733" s="39" t="str">
        <f aca="false">IFERROR(INDEX(medicine_master!$B$2:$B$26,MATCH($C1733,medicine_master!$A$2:$A$26,0)),"Not found")</f>
        <v>Calamine Lotion</v>
      </c>
      <c r="H1733" s="39" t="str">
        <f aca="false">IFERROR(INDEX(medicine_master!$C$2:$C$26,MATCH($C1733,medicine_master!$A$2:$A$26,0)),"Not found")</f>
        <v>Dermatology</v>
      </c>
      <c r="I1733" s="39" t="n">
        <f aca="false">YEAR(B1733)</f>
        <v>2026</v>
      </c>
      <c r="J1733" s="39" t="n">
        <f aca="false">MONTH(B1733)</f>
        <v>6</v>
      </c>
      <c r="K1733" s="39" t="str">
        <f aca="false">TEXT(B1733,"mmm")</f>
        <v>Jun</v>
      </c>
      <c r="L1733" s="45" t="n">
        <f aca="false">IFERROR(INDEX(medicine_master!$I$2:$I$26,MATCH($C1733,medicine_master!$A$2:$A$26,0)),0)</f>
        <v>60</v>
      </c>
      <c r="M1733" s="45" t="n">
        <f aca="false">IFERROR(INDEX(medicine_master!$G$2:$G$26,MATCH($C1733,medicine_master!$A$2:$A$26,0)),0)</f>
        <v>42</v>
      </c>
      <c r="N1733" s="45" t="n">
        <f aca="false">IF(D1733="Sale",E1733*L1733,0)</f>
        <v>0</v>
      </c>
      <c r="O1733" s="45" t="n">
        <f aca="false">IF(D1733="Sale",E1733*M1733,0)</f>
        <v>0</v>
      </c>
      <c r="P1733" s="45" t="n">
        <f aca="false">N1733-O1733</f>
        <v>0</v>
      </c>
      <c r="Q1733" s="45" t="n">
        <f aca="false">IF(D1733="Purchase",E1733*M1733,0)</f>
        <v>420</v>
      </c>
    </row>
    <row r="1734" customFormat="false" ht="15" hidden="false" customHeight="false" outlineLevel="0" collapsed="false">
      <c r="A1734" s="39" t="s">
        <v>2058</v>
      </c>
      <c r="B1734" s="44" t="n">
        <v>46052</v>
      </c>
      <c r="C1734" s="39" t="s">
        <v>157</v>
      </c>
      <c r="D1734" s="39" t="s">
        <v>137</v>
      </c>
      <c r="E1734" s="39" t="n">
        <v>50</v>
      </c>
      <c r="F1734" s="39" t="str">
        <f aca="false">IF(COUNTIF(medicine_master!$A$2:$A$26,C1734)&gt;0,"Valid","Invalid")</f>
        <v>Valid</v>
      </c>
      <c r="G1734" s="39" t="str">
        <f aca="false">IFERROR(INDEX(medicine_master!$B$2:$B$26,MATCH($C1734,medicine_master!$A$2:$A$26,0)),"Not found")</f>
        <v>Multivitamin Tablets</v>
      </c>
      <c r="H1734" s="39" t="str">
        <f aca="false">IFERROR(INDEX(medicine_master!$C$2:$C$26,MATCH($C1734,medicine_master!$A$2:$A$26,0)),"Not found")</f>
        <v>Vitamin</v>
      </c>
      <c r="I1734" s="39" t="n">
        <f aca="false">YEAR(B1734)</f>
        <v>2026</v>
      </c>
      <c r="J1734" s="39" t="n">
        <f aca="false">MONTH(B1734)</f>
        <v>1</v>
      </c>
      <c r="K1734" s="39" t="str">
        <f aca="false">TEXT(B1734,"mmm")</f>
        <v>Jan</v>
      </c>
      <c r="L1734" s="45" t="n">
        <f aca="false">IFERROR(INDEX(medicine_master!$I$2:$I$26,MATCH($C1734,medicine_master!$A$2:$A$26,0)),0)</f>
        <v>105</v>
      </c>
      <c r="M1734" s="45" t="n">
        <f aca="false">IFERROR(INDEX(medicine_master!$G$2:$G$26,MATCH($C1734,medicine_master!$A$2:$A$26,0)),0)</f>
        <v>72</v>
      </c>
      <c r="N1734" s="45" t="n">
        <f aca="false">IF(D1734="Sale",E1734*L1734,0)</f>
        <v>5250</v>
      </c>
      <c r="O1734" s="45" t="n">
        <f aca="false">IF(D1734="Sale",E1734*M1734,0)</f>
        <v>3600</v>
      </c>
      <c r="P1734" s="45" t="n">
        <f aca="false">N1734-O1734</f>
        <v>1650</v>
      </c>
      <c r="Q1734" s="45" t="n">
        <f aca="false">IF(D1734="Purchase",E1734*M1734,0)</f>
        <v>0</v>
      </c>
    </row>
    <row r="1735" customFormat="false" ht="15" hidden="false" customHeight="false" outlineLevel="0" collapsed="false">
      <c r="A1735" s="39" t="s">
        <v>2059</v>
      </c>
      <c r="B1735" s="44" t="n">
        <v>46137</v>
      </c>
      <c r="C1735" s="39" t="s">
        <v>146</v>
      </c>
      <c r="D1735" s="39" t="s">
        <v>137</v>
      </c>
      <c r="E1735" s="39" t="n">
        <v>25</v>
      </c>
      <c r="F1735" s="39" t="str">
        <f aca="false">IF(COUNTIF(medicine_master!$A$2:$A$26,C1735)&gt;0,"Valid","Invalid")</f>
        <v>Valid</v>
      </c>
      <c r="G1735" s="39" t="str">
        <f aca="false">IFERROR(INDEX(medicine_master!$B$2:$B$26,MATCH($C1735,medicine_master!$A$2:$A$26,0)),"Not found")</f>
        <v>Diclofenac Gel</v>
      </c>
      <c r="H1735" s="39" t="str">
        <f aca="false">IFERROR(INDEX(medicine_master!$C$2:$C$26,MATCH($C1735,medicine_master!$A$2:$A$26,0)),"Not found")</f>
        <v>Pain Relief</v>
      </c>
      <c r="I1735" s="39" t="n">
        <f aca="false">YEAR(B1735)</f>
        <v>2026</v>
      </c>
      <c r="J1735" s="39" t="n">
        <f aca="false">MONTH(B1735)</f>
        <v>4</v>
      </c>
      <c r="K1735" s="39" t="str">
        <f aca="false">TEXT(B1735,"mmm")</f>
        <v>Apr</v>
      </c>
      <c r="L1735" s="45" t="n">
        <f aca="false">IFERROR(INDEX(medicine_master!$I$2:$I$26,MATCH($C1735,medicine_master!$A$2:$A$26,0)),0)</f>
        <v>55</v>
      </c>
      <c r="M1735" s="45" t="n">
        <f aca="false">IFERROR(INDEX(medicine_master!$G$2:$G$26,MATCH($C1735,medicine_master!$A$2:$A$26,0)),0)</f>
        <v>38</v>
      </c>
      <c r="N1735" s="45" t="n">
        <f aca="false">IF(D1735="Sale",E1735*L1735,0)</f>
        <v>1375</v>
      </c>
      <c r="O1735" s="45" t="n">
        <f aca="false">IF(D1735="Sale",E1735*M1735,0)</f>
        <v>950</v>
      </c>
      <c r="P1735" s="45" t="n">
        <f aca="false">N1735-O1735</f>
        <v>425</v>
      </c>
      <c r="Q1735" s="45" t="n">
        <f aca="false">IF(D1735="Purchase",E1735*M1735,0)</f>
        <v>0</v>
      </c>
    </row>
    <row r="1736" customFormat="false" ht="15" hidden="false" customHeight="false" outlineLevel="0" collapsed="false">
      <c r="A1736" s="39" t="s">
        <v>2060</v>
      </c>
      <c r="B1736" s="44" t="n">
        <v>46353</v>
      </c>
      <c r="C1736" s="39" t="s">
        <v>159</v>
      </c>
      <c r="D1736" s="39" t="s">
        <v>138</v>
      </c>
      <c r="E1736" s="39" t="n">
        <v>25</v>
      </c>
      <c r="F1736" s="39" t="str">
        <f aca="false">IF(COUNTIF(medicine_master!$A$2:$A$26,C1736)&gt;0,"Valid","Invalid")</f>
        <v>Valid</v>
      </c>
      <c r="G1736" s="39" t="str">
        <f aca="false">IFERROR(INDEX(medicine_master!$B$2:$B$26,MATCH($C1736,medicine_master!$A$2:$A$26,0)),"Not found")</f>
        <v>Antiseptic Liquid 100ml</v>
      </c>
      <c r="H1736" s="39" t="str">
        <f aca="false">IFERROR(INDEX(medicine_master!$C$2:$C$26,MATCH($C1736,medicine_master!$A$2:$A$26,0)),"Not found")</f>
        <v>First Aid</v>
      </c>
      <c r="I1736" s="39" t="n">
        <f aca="false">YEAR(B1736)</f>
        <v>2026</v>
      </c>
      <c r="J1736" s="39" t="n">
        <f aca="false">MONTH(B1736)</f>
        <v>11</v>
      </c>
      <c r="K1736" s="39" t="str">
        <f aca="false">TEXT(B1736,"mmm")</f>
        <v>Nov</v>
      </c>
      <c r="L1736" s="45" t="n">
        <f aca="false">IFERROR(INDEX(medicine_master!$I$2:$I$26,MATCH($C1736,medicine_master!$A$2:$A$26,0)),0)</f>
        <v>65</v>
      </c>
      <c r="M1736" s="45" t="n">
        <f aca="false">IFERROR(INDEX(medicine_master!$G$2:$G$26,MATCH($C1736,medicine_master!$A$2:$A$26,0)),0)</f>
        <v>48</v>
      </c>
      <c r="N1736" s="45" t="n">
        <f aca="false">IF(D1736="Sale",E1736*L1736,0)</f>
        <v>0</v>
      </c>
      <c r="O1736" s="45" t="n">
        <f aca="false">IF(D1736="Sale",E1736*M1736,0)</f>
        <v>0</v>
      </c>
      <c r="P1736" s="45" t="n">
        <f aca="false">N1736-O1736</f>
        <v>0</v>
      </c>
      <c r="Q1736" s="45" t="n">
        <f aca="false">IF(D1736="Purchase",E1736*M1736,0)</f>
        <v>1200</v>
      </c>
    </row>
    <row r="1737" customFormat="false" ht="15" hidden="false" customHeight="false" outlineLevel="0" collapsed="false">
      <c r="A1737" s="39" t="s">
        <v>2061</v>
      </c>
      <c r="B1737" s="44" t="n">
        <v>46062</v>
      </c>
      <c r="C1737" s="39" t="s">
        <v>404</v>
      </c>
      <c r="D1737" s="39" t="s">
        <v>137</v>
      </c>
      <c r="E1737" s="39" t="n">
        <v>5</v>
      </c>
      <c r="F1737" s="39" t="str">
        <f aca="false">IF(COUNTIF(medicine_master!$A$2:$A$26,C1737)&gt;0,"Valid","Invalid")</f>
        <v>Valid</v>
      </c>
      <c r="G1737" s="39" t="str">
        <f aca="false">IFERROR(INDEX(medicine_master!$B$2:$B$26,MATCH($C1737,medicine_master!$A$2:$A$26,0)),"Not found")</f>
        <v>ORS Sachet</v>
      </c>
      <c r="H1737" s="39" t="str">
        <f aca="false">IFERROR(INDEX(medicine_master!$C$2:$C$26,MATCH($C1737,medicine_master!$A$2:$A$26,0)),"Not found")</f>
        <v>First Aid</v>
      </c>
      <c r="I1737" s="39" t="n">
        <f aca="false">YEAR(B1737)</f>
        <v>2026</v>
      </c>
      <c r="J1737" s="39" t="n">
        <f aca="false">MONTH(B1737)</f>
        <v>2</v>
      </c>
      <c r="K1737" s="39" t="str">
        <f aca="false">TEXT(B1737,"mmm")</f>
        <v>Feb</v>
      </c>
      <c r="L1737" s="45" t="n">
        <f aca="false">IFERROR(INDEX(medicine_master!$I$2:$I$26,MATCH($C1737,medicine_master!$A$2:$A$26,0)),0)</f>
        <v>10</v>
      </c>
      <c r="M1737" s="45" t="n">
        <f aca="false">IFERROR(INDEX(medicine_master!$G$2:$G$26,MATCH($C1737,medicine_master!$A$2:$A$26,0)),0)</f>
        <v>6</v>
      </c>
      <c r="N1737" s="45" t="n">
        <f aca="false">IF(D1737="Sale",E1737*L1737,0)</f>
        <v>50</v>
      </c>
      <c r="O1737" s="45" t="n">
        <f aca="false">IF(D1737="Sale",E1737*M1737,0)</f>
        <v>30</v>
      </c>
      <c r="P1737" s="45" t="n">
        <f aca="false">N1737-O1737</f>
        <v>20</v>
      </c>
      <c r="Q1737" s="45" t="n">
        <f aca="false">IF(D1737="Purchase",E1737*M1737,0)</f>
        <v>0</v>
      </c>
    </row>
    <row r="1738" customFormat="false" ht="15" hidden="false" customHeight="false" outlineLevel="0" collapsed="false">
      <c r="A1738" s="39" t="s">
        <v>2062</v>
      </c>
      <c r="B1738" s="44" t="n">
        <v>46189</v>
      </c>
      <c r="C1738" s="39" t="s">
        <v>326</v>
      </c>
      <c r="D1738" s="39" t="s">
        <v>138</v>
      </c>
      <c r="E1738" s="39" t="n">
        <v>40</v>
      </c>
      <c r="F1738" s="39" t="str">
        <f aca="false">IF(COUNTIF(medicine_master!$A$2:$A$26,C1738)&gt;0,"Valid","Invalid")</f>
        <v>Valid</v>
      </c>
      <c r="G1738" s="39" t="str">
        <f aca="false">IFERROR(INDEX(medicine_master!$B$2:$B$26,MATCH($C1738,medicine_master!$A$2:$A$26,0)),"Not found")</f>
        <v>Omeprazole 20mg</v>
      </c>
      <c r="H1738" s="39" t="str">
        <f aca="false">IFERROR(INDEX(medicine_master!$C$2:$C$26,MATCH($C1738,medicine_master!$A$2:$A$26,0)),"Not found")</f>
        <v>Gastric</v>
      </c>
      <c r="I1738" s="39" t="n">
        <f aca="false">YEAR(B1738)</f>
        <v>2026</v>
      </c>
      <c r="J1738" s="39" t="n">
        <f aca="false">MONTH(B1738)</f>
        <v>6</v>
      </c>
      <c r="K1738" s="39" t="str">
        <f aca="false">TEXT(B1738,"mmm")</f>
        <v>Jun</v>
      </c>
      <c r="L1738" s="45" t="n">
        <f aca="false">IFERROR(INDEX(medicine_master!$I$2:$I$26,MATCH($C1738,medicine_master!$A$2:$A$26,0)),0)</f>
        <v>26</v>
      </c>
      <c r="M1738" s="45" t="n">
        <f aca="false">IFERROR(INDEX(medicine_master!$G$2:$G$26,MATCH($C1738,medicine_master!$A$2:$A$26,0)),0)</f>
        <v>18</v>
      </c>
      <c r="N1738" s="45" t="n">
        <f aca="false">IF(D1738="Sale",E1738*L1738,0)</f>
        <v>0</v>
      </c>
      <c r="O1738" s="45" t="n">
        <f aca="false">IF(D1738="Sale",E1738*M1738,0)</f>
        <v>0</v>
      </c>
      <c r="P1738" s="45" t="n">
        <f aca="false">N1738-O1738</f>
        <v>0</v>
      </c>
      <c r="Q1738" s="45" t="n">
        <f aca="false">IF(D1738="Purchase",E1738*M1738,0)</f>
        <v>720</v>
      </c>
    </row>
    <row r="1739" customFormat="false" ht="15" hidden="false" customHeight="false" outlineLevel="0" collapsed="false">
      <c r="A1739" s="39" t="s">
        <v>2063</v>
      </c>
      <c r="B1739" s="44" t="n">
        <v>46119</v>
      </c>
      <c r="C1739" s="39" t="s">
        <v>159</v>
      </c>
      <c r="D1739" s="39" t="s">
        <v>137</v>
      </c>
      <c r="E1739" s="39" t="n">
        <v>20</v>
      </c>
      <c r="F1739" s="39" t="str">
        <f aca="false">IF(COUNTIF(medicine_master!$A$2:$A$26,C1739)&gt;0,"Valid","Invalid")</f>
        <v>Valid</v>
      </c>
      <c r="G1739" s="39" t="str">
        <f aca="false">IFERROR(INDEX(medicine_master!$B$2:$B$26,MATCH($C1739,medicine_master!$A$2:$A$26,0)),"Not found")</f>
        <v>Antiseptic Liquid 100ml</v>
      </c>
      <c r="H1739" s="39" t="str">
        <f aca="false">IFERROR(INDEX(medicine_master!$C$2:$C$26,MATCH($C1739,medicine_master!$A$2:$A$26,0)),"Not found")</f>
        <v>First Aid</v>
      </c>
      <c r="I1739" s="39" t="n">
        <f aca="false">YEAR(B1739)</f>
        <v>2026</v>
      </c>
      <c r="J1739" s="39" t="n">
        <f aca="false">MONTH(B1739)</f>
        <v>4</v>
      </c>
      <c r="K1739" s="39" t="str">
        <f aca="false">TEXT(B1739,"mmm")</f>
        <v>Apr</v>
      </c>
      <c r="L1739" s="45" t="n">
        <f aca="false">IFERROR(INDEX(medicine_master!$I$2:$I$26,MATCH($C1739,medicine_master!$A$2:$A$26,0)),0)</f>
        <v>65</v>
      </c>
      <c r="M1739" s="45" t="n">
        <f aca="false">IFERROR(INDEX(medicine_master!$G$2:$G$26,MATCH($C1739,medicine_master!$A$2:$A$26,0)),0)</f>
        <v>48</v>
      </c>
      <c r="N1739" s="45" t="n">
        <f aca="false">IF(D1739="Sale",E1739*L1739,0)</f>
        <v>1300</v>
      </c>
      <c r="O1739" s="45" t="n">
        <f aca="false">IF(D1739="Sale",E1739*M1739,0)</f>
        <v>960</v>
      </c>
      <c r="P1739" s="45" t="n">
        <f aca="false">N1739-O1739</f>
        <v>340</v>
      </c>
      <c r="Q1739" s="45" t="n">
        <f aca="false">IF(D1739="Purchase",E1739*M1739,0)</f>
        <v>0</v>
      </c>
    </row>
    <row r="1740" customFormat="false" ht="15" hidden="false" customHeight="false" outlineLevel="0" collapsed="false">
      <c r="A1740" s="39" t="s">
        <v>2064</v>
      </c>
      <c r="B1740" s="44" t="n">
        <v>46374</v>
      </c>
      <c r="C1740" s="39" t="s">
        <v>144</v>
      </c>
      <c r="D1740" s="39" t="s">
        <v>138</v>
      </c>
      <c r="E1740" s="39" t="n">
        <v>20</v>
      </c>
      <c r="F1740" s="39" t="str">
        <f aca="false">IF(COUNTIF(medicine_master!$A$2:$A$26,C1740)&gt;0,"Valid","Invalid")</f>
        <v>Valid</v>
      </c>
      <c r="G1740" s="39" t="str">
        <f aca="false">IFERROR(INDEX(medicine_master!$B$2:$B$26,MATCH($C1740,medicine_master!$A$2:$A$26,0)),"Not found")</f>
        <v>Glimepiride 2mg</v>
      </c>
      <c r="H1740" s="39" t="str">
        <f aca="false">IFERROR(INDEX(medicine_master!$C$2:$C$26,MATCH($C1740,medicine_master!$A$2:$A$26,0)),"Not found")</f>
        <v>Diabetes</v>
      </c>
      <c r="I1740" s="39" t="n">
        <f aca="false">YEAR(B1740)</f>
        <v>2026</v>
      </c>
      <c r="J1740" s="39" t="n">
        <f aca="false">MONTH(B1740)</f>
        <v>12</v>
      </c>
      <c r="K1740" s="39" t="str">
        <f aca="false">TEXT(B1740,"mmm")</f>
        <v>Dec</v>
      </c>
      <c r="L1740" s="45" t="n">
        <f aca="false">IFERROR(INDEX(medicine_master!$I$2:$I$26,MATCH($C1740,medicine_master!$A$2:$A$26,0)),0)</f>
        <v>52</v>
      </c>
      <c r="M1740" s="45" t="n">
        <f aca="false">IFERROR(INDEX(medicine_master!$G$2:$G$26,MATCH($C1740,medicine_master!$A$2:$A$26,0)),0)</f>
        <v>38</v>
      </c>
      <c r="N1740" s="45" t="n">
        <f aca="false">IF(D1740="Sale",E1740*L1740,0)</f>
        <v>0</v>
      </c>
      <c r="O1740" s="45" t="n">
        <f aca="false">IF(D1740="Sale",E1740*M1740,0)</f>
        <v>0</v>
      </c>
      <c r="P1740" s="45" t="n">
        <f aca="false">N1740-O1740</f>
        <v>0</v>
      </c>
      <c r="Q1740" s="45" t="n">
        <f aca="false">IF(D1740="Purchase",E1740*M1740,0)</f>
        <v>760</v>
      </c>
    </row>
    <row r="1741" customFormat="false" ht="15" hidden="false" customHeight="false" outlineLevel="0" collapsed="false">
      <c r="A1741" s="39" t="s">
        <v>2065</v>
      </c>
      <c r="B1741" s="44" t="n">
        <v>46199</v>
      </c>
      <c r="C1741" s="39" t="s">
        <v>152</v>
      </c>
      <c r="D1741" s="39" t="s">
        <v>138</v>
      </c>
      <c r="E1741" s="39" t="n">
        <v>40</v>
      </c>
      <c r="F1741" s="39" t="str">
        <f aca="false">IF(COUNTIF(medicine_master!$A$2:$A$26,C1741)&gt;0,"Valid","Invalid")</f>
        <v>Valid</v>
      </c>
      <c r="G1741" s="39" t="str">
        <f aca="false">IFERROR(INDEX(medicine_master!$B$2:$B$26,MATCH($C1741,medicine_master!$A$2:$A$26,0)),"Not found")</f>
        <v>Amoxicillin 500mg</v>
      </c>
      <c r="H1741" s="39" t="str">
        <f aca="false">IFERROR(INDEX(medicine_master!$C$2:$C$26,MATCH($C1741,medicine_master!$A$2:$A$26,0)),"Not found")</f>
        <v>Antibiotic</v>
      </c>
      <c r="I1741" s="39" t="n">
        <f aca="false">YEAR(B1741)</f>
        <v>2026</v>
      </c>
      <c r="J1741" s="39" t="n">
        <f aca="false">MONTH(B1741)</f>
        <v>6</v>
      </c>
      <c r="K1741" s="39" t="str">
        <f aca="false">TEXT(B1741,"mmm")</f>
        <v>Jun</v>
      </c>
      <c r="L1741" s="45" t="n">
        <f aca="false">IFERROR(INDEX(medicine_master!$I$2:$I$26,MATCH($C1741,medicine_master!$A$2:$A$26,0)),0)</f>
        <v>40</v>
      </c>
      <c r="M1741" s="45" t="n">
        <f aca="false">IFERROR(INDEX(medicine_master!$G$2:$G$26,MATCH($C1741,medicine_master!$A$2:$A$26,0)),0)</f>
        <v>28</v>
      </c>
      <c r="N1741" s="45" t="n">
        <f aca="false">IF(D1741="Sale",E1741*L1741,0)</f>
        <v>0</v>
      </c>
      <c r="O1741" s="45" t="n">
        <f aca="false">IF(D1741="Sale",E1741*M1741,0)</f>
        <v>0</v>
      </c>
      <c r="P1741" s="45" t="n">
        <f aca="false">N1741-O1741</f>
        <v>0</v>
      </c>
      <c r="Q1741" s="45" t="n">
        <f aca="false">IF(D1741="Purchase",E1741*M1741,0)</f>
        <v>1120</v>
      </c>
    </row>
    <row r="1742" customFormat="false" ht="15" hidden="false" customHeight="false" outlineLevel="0" collapsed="false">
      <c r="A1742" s="39" t="s">
        <v>2066</v>
      </c>
      <c r="B1742" s="44" t="n">
        <v>46183</v>
      </c>
      <c r="C1742" s="39" t="s">
        <v>495</v>
      </c>
      <c r="D1742" s="39" t="s">
        <v>137</v>
      </c>
      <c r="E1742" s="39" t="n">
        <v>20</v>
      </c>
      <c r="F1742" s="39" t="str">
        <f aca="false">IF(COUNTIF(medicine_master!$A$2:$A$26,C1742)&gt;0,"Valid","Invalid")</f>
        <v>Valid</v>
      </c>
      <c r="G1742" s="39" t="str">
        <f aca="false">IFERROR(INDEX(medicine_master!$B$2:$B$26,MATCH($C1742,medicine_master!$A$2:$A$26,0)),"Not found")</f>
        <v>Metformin 500mg</v>
      </c>
      <c r="H1742" s="39" t="str">
        <f aca="false">IFERROR(INDEX(medicine_master!$C$2:$C$26,MATCH($C1742,medicine_master!$A$2:$A$26,0)),"Not found")</f>
        <v>Diabetes</v>
      </c>
      <c r="I1742" s="39" t="n">
        <f aca="false">YEAR(B1742)</f>
        <v>2026</v>
      </c>
      <c r="J1742" s="39" t="n">
        <f aca="false">MONTH(B1742)</f>
        <v>6</v>
      </c>
      <c r="K1742" s="39" t="str">
        <f aca="false">TEXT(B1742,"mmm")</f>
        <v>Jun</v>
      </c>
      <c r="L1742" s="45" t="n">
        <f aca="false">IFERROR(INDEX(medicine_master!$I$2:$I$26,MATCH($C1742,medicine_master!$A$2:$A$26,0)),0)</f>
        <v>24</v>
      </c>
      <c r="M1742" s="45" t="n">
        <f aca="false">IFERROR(INDEX(medicine_master!$G$2:$G$26,MATCH($C1742,medicine_master!$A$2:$A$26,0)),0)</f>
        <v>16</v>
      </c>
      <c r="N1742" s="45" t="n">
        <f aca="false">IF(D1742="Sale",E1742*L1742,0)</f>
        <v>480</v>
      </c>
      <c r="O1742" s="45" t="n">
        <f aca="false">IF(D1742="Sale",E1742*M1742,0)</f>
        <v>320</v>
      </c>
      <c r="P1742" s="45" t="n">
        <f aca="false">N1742-O1742</f>
        <v>160</v>
      </c>
      <c r="Q1742" s="45" t="n">
        <f aca="false">IF(D1742="Purchase",E1742*M1742,0)</f>
        <v>0</v>
      </c>
    </row>
    <row r="1743" customFormat="false" ht="15" hidden="false" customHeight="false" outlineLevel="0" collapsed="false">
      <c r="A1743" s="39" t="s">
        <v>2067</v>
      </c>
      <c r="B1743" s="44" t="n">
        <v>46264</v>
      </c>
      <c r="C1743" s="39" t="s">
        <v>390</v>
      </c>
      <c r="D1743" s="39" t="s">
        <v>137</v>
      </c>
      <c r="E1743" s="39" t="n">
        <v>15</v>
      </c>
      <c r="F1743" s="39" t="str">
        <f aca="false">IF(COUNTIF(medicine_master!$A$2:$A$26,C1743)&gt;0,"Valid","Invalid")</f>
        <v>Valid</v>
      </c>
      <c r="G1743" s="39" t="str">
        <f aca="false">IFERROR(INDEX(medicine_master!$B$2:$B$26,MATCH($C1743,medicine_master!$A$2:$A$26,0)),"Not found")</f>
        <v>Montelukast 10mg</v>
      </c>
      <c r="H1743" s="39" t="str">
        <f aca="false">IFERROR(INDEX(medicine_master!$C$2:$C$26,MATCH($C1743,medicine_master!$A$2:$A$26,0)),"Not found")</f>
        <v>Allergy</v>
      </c>
      <c r="I1743" s="39" t="n">
        <f aca="false">YEAR(B1743)</f>
        <v>2026</v>
      </c>
      <c r="J1743" s="39" t="n">
        <f aca="false">MONTH(B1743)</f>
        <v>8</v>
      </c>
      <c r="K1743" s="39" t="str">
        <f aca="false">TEXT(B1743,"mmm")</f>
        <v>Aug</v>
      </c>
      <c r="L1743" s="45" t="n">
        <f aca="false">IFERROR(INDEX(medicine_master!$I$2:$I$26,MATCH($C1743,medicine_master!$A$2:$A$26,0)),0)</f>
        <v>39</v>
      </c>
      <c r="M1743" s="45" t="n">
        <f aca="false">IFERROR(INDEX(medicine_master!$G$2:$G$26,MATCH($C1743,medicine_master!$A$2:$A$26,0)),0)</f>
        <v>27</v>
      </c>
      <c r="N1743" s="45" t="n">
        <f aca="false">IF(D1743="Sale",E1743*L1743,0)</f>
        <v>585</v>
      </c>
      <c r="O1743" s="45" t="n">
        <f aca="false">IF(D1743="Sale",E1743*M1743,0)</f>
        <v>405</v>
      </c>
      <c r="P1743" s="45" t="n">
        <f aca="false">N1743-O1743</f>
        <v>180</v>
      </c>
      <c r="Q1743" s="45" t="n">
        <f aca="false">IF(D1743="Purchase",E1743*M1743,0)</f>
        <v>0</v>
      </c>
    </row>
    <row r="1744" customFormat="false" ht="15" hidden="false" customHeight="false" outlineLevel="0" collapsed="false">
      <c r="A1744" s="39" t="s">
        <v>2068</v>
      </c>
      <c r="B1744" s="44" t="n">
        <v>46061</v>
      </c>
      <c r="C1744" s="39" t="s">
        <v>345</v>
      </c>
      <c r="D1744" s="39" t="s">
        <v>137</v>
      </c>
      <c r="E1744" s="39" t="n">
        <v>20</v>
      </c>
      <c r="F1744" s="39" t="str">
        <f aca="false">IF(COUNTIF(medicine_master!$A$2:$A$26,C1744)&gt;0,"Valid","Invalid")</f>
        <v>Valid</v>
      </c>
      <c r="G1744" s="39" t="str">
        <f aca="false">IFERROR(INDEX(medicine_master!$B$2:$B$26,MATCH($C1744,medicine_master!$A$2:$A$26,0)),"Not found")</f>
        <v>Paracetamol 500mg</v>
      </c>
      <c r="H1744" s="39" t="str">
        <f aca="false">IFERROR(INDEX(medicine_master!$C$2:$C$26,MATCH($C1744,medicine_master!$A$2:$A$26,0)),"Not found")</f>
        <v>Pain Relief</v>
      </c>
      <c r="I1744" s="39" t="n">
        <f aca="false">YEAR(B1744)</f>
        <v>2026</v>
      </c>
      <c r="J1744" s="39" t="n">
        <f aca="false">MONTH(B1744)</f>
        <v>2</v>
      </c>
      <c r="K1744" s="39" t="str">
        <f aca="false">TEXT(B1744,"mmm")</f>
        <v>Feb</v>
      </c>
      <c r="L1744" s="45" t="n">
        <f aca="false">IFERROR(INDEX(medicine_master!$I$2:$I$26,MATCH($C1744,medicine_master!$A$2:$A$26,0)),0)</f>
        <v>18</v>
      </c>
      <c r="M1744" s="45" t="n">
        <f aca="false">IFERROR(INDEX(medicine_master!$G$2:$G$26,MATCH($C1744,medicine_master!$A$2:$A$26,0)),0)</f>
        <v>12</v>
      </c>
      <c r="N1744" s="45" t="n">
        <f aca="false">IF(D1744="Sale",E1744*L1744,0)</f>
        <v>360</v>
      </c>
      <c r="O1744" s="45" t="n">
        <f aca="false">IF(D1744="Sale",E1744*M1744,0)</f>
        <v>240</v>
      </c>
      <c r="P1744" s="45" t="n">
        <f aca="false">N1744-O1744</f>
        <v>120</v>
      </c>
      <c r="Q1744" s="45" t="n">
        <f aca="false">IF(D1744="Purchase",E1744*M1744,0)</f>
        <v>0</v>
      </c>
    </row>
    <row r="1745" customFormat="false" ht="15" hidden="false" customHeight="false" outlineLevel="0" collapsed="false">
      <c r="A1745" s="39" t="s">
        <v>2069</v>
      </c>
      <c r="B1745" s="44" t="n">
        <v>46156</v>
      </c>
      <c r="C1745" s="39" t="s">
        <v>153</v>
      </c>
      <c r="D1745" s="39" t="s">
        <v>137</v>
      </c>
      <c r="E1745" s="39" t="n">
        <v>5</v>
      </c>
      <c r="F1745" s="39" t="str">
        <f aca="false">IF(COUNTIF(medicine_master!$A$2:$A$26,C1745)&gt;0,"Valid","Invalid")</f>
        <v>Valid</v>
      </c>
      <c r="G1745" s="39" t="str">
        <f aca="false">IFERROR(INDEX(medicine_master!$B$2:$B$26,MATCH($C1745,medicine_master!$A$2:$A$26,0)),"Not found")</f>
        <v>Atorvastatin 10mg</v>
      </c>
      <c r="H1745" s="39" t="str">
        <f aca="false">IFERROR(INDEX(medicine_master!$C$2:$C$26,MATCH($C1745,medicine_master!$A$2:$A$26,0)),"Not found")</f>
        <v>Cardiac</v>
      </c>
      <c r="I1745" s="39" t="n">
        <f aca="false">YEAR(B1745)</f>
        <v>2026</v>
      </c>
      <c r="J1745" s="39" t="n">
        <f aca="false">MONTH(B1745)</f>
        <v>5</v>
      </c>
      <c r="K1745" s="39" t="str">
        <f aca="false">TEXT(B1745,"mmm")</f>
        <v>May</v>
      </c>
      <c r="L1745" s="45" t="n">
        <f aca="false">IFERROR(INDEX(medicine_master!$I$2:$I$26,MATCH($C1745,medicine_master!$A$2:$A$26,0)),0)</f>
        <v>28</v>
      </c>
      <c r="M1745" s="45" t="n">
        <f aca="false">IFERROR(INDEX(medicine_master!$G$2:$G$26,MATCH($C1745,medicine_master!$A$2:$A$26,0)),0)</f>
        <v>19</v>
      </c>
      <c r="N1745" s="45" t="n">
        <f aca="false">IF(D1745="Sale",E1745*L1745,0)</f>
        <v>140</v>
      </c>
      <c r="O1745" s="45" t="n">
        <f aca="false">IF(D1745="Sale",E1745*M1745,0)</f>
        <v>95</v>
      </c>
      <c r="P1745" s="45" t="n">
        <f aca="false">N1745-O1745</f>
        <v>45</v>
      </c>
      <c r="Q1745" s="45" t="n">
        <f aca="false">IF(D1745="Purchase",E1745*M1745,0)</f>
        <v>0</v>
      </c>
    </row>
    <row r="1746" customFormat="false" ht="15" hidden="false" customHeight="false" outlineLevel="0" collapsed="false">
      <c r="A1746" s="39" t="s">
        <v>2070</v>
      </c>
      <c r="B1746" s="44" t="n">
        <v>46168</v>
      </c>
      <c r="C1746" s="39" t="s">
        <v>326</v>
      </c>
      <c r="D1746" s="39" t="s">
        <v>137</v>
      </c>
      <c r="E1746" s="39" t="n">
        <v>10</v>
      </c>
      <c r="F1746" s="39" t="str">
        <f aca="false">IF(COUNTIF(medicine_master!$A$2:$A$26,C1746)&gt;0,"Valid","Invalid")</f>
        <v>Valid</v>
      </c>
      <c r="G1746" s="39" t="str">
        <f aca="false">IFERROR(INDEX(medicine_master!$B$2:$B$26,MATCH($C1746,medicine_master!$A$2:$A$26,0)),"Not found")</f>
        <v>Omeprazole 20mg</v>
      </c>
      <c r="H1746" s="39" t="str">
        <f aca="false">IFERROR(INDEX(medicine_master!$C$2:$C$26,MATCH($C1746,medicine_master!$A$2:$A$26,0)),"Not found")</f>
        <v>Gastric</v>
      </c>
      <c r="I1746" s="39" t="n">
        <f aca="false">YEAR(B1746)</f>
        <v>2026</v>
      </c>
      <c r="J1746" s="39" t="n">
        <f aca="false">MONTH(B1746)</f>
        <v>5</v>
      </c>
      <c r="K1746" s="39" t="str">
        <f aca="false">TEXT(B1746,"mmm")</f>
        <v>May</v>
      </c>
      <c r="L1746" s="45" t="n">
        <f aca="false">IFERROR(INDEX(medicine_master!$I$2:$I$26,MATCH($C1746,medicine_master!$A$2:$A$26,0)),0)</f>
        <v>26</v>
      </c>
      <c r="M1746" s="45" t="n">
        <f aca="false">IFERROR(INDEX(medicine_master!$G$2:$G$26,MATCH($C1746,medicine_master!$A$2:$A$26,0)),0)</f>
        <v>18</v>
      </c>
      <c r="N1746" s="45" t="n">
        <f aca="false">IF(D1746="Sale",E1746*L1746,0)</f>
        <v>260</v>
      </c>
      <c r="O1746" s="45" t="n">
        <f aca="false">IF(D1746="Sale",E1746*M1746,0)</f>
        <v>180</v>
      </c>
      <c r="P1746" s="45" t="n">
        <f aca="false">N1746-O1746</f>
        <v>80</v>
      </c>
      <c r="Q1746" s="45" t="n">
        <f aca="false">IF(D1746="Purchase",E1746*M1746,0)</f>
        <v>0</v>
      </c>
    </row>
    <row r="1747" customFormat="false" ht="15" hidden="false" customHeight="false" outlineLevel="0" collapsed="false">
      <c r="A1747" s="39" t="s">
        <v>2071</v>
      </c>
      <c r="B1747" s="44" t="n">
        <v>46269</v>
      </c>
      <c r="C1747" s="39" t="s">
        <v>158</v>
      </c>
      <c r="D1747" s="39" t="s">
        <v>137</v>
      </c>
      <c r="E1747" s="39" t="n">
        <v>20</v>
      </c>
      <c r="F1747" s="39" t="str">
        <f aca="false">IF(COUNTIF(medicine_master!$A$2:$A$26,C1747)&gt;0,"Valid","Invalid")</f>
        <v>Valid</v>
      </c>
      <c r="G1747" s="39" t="str">
        <f aca="false">IFERROR(INDEX(medicine_master!$B$2:$B$26,MATCH($C1747,medicine_master!$A$2:$A$26,0)),"Not found")</f>
        <v>Cough Syrup 100ml</v>
      </c>
      <c r="H1747" s="39" t="str">
        <f aca="false">IFERROR(INDEX(medicine_master!$C$2:$C$26,MATCH($C1747,medicine_master!$A$2:$A$26,0)),"Not found")</f>
        <v>Cold &amp; Cough</v>
      </c>
      <c r="I1747" s="39" t="n">
        <f aca="false">YEAR(B1747)</f>
        <v>2026</v>
      </c>
      <c r="J1747" s="39" t="n">
        <f aca="false">MONTH(B1747)</f>
        <v>9</v>
      </c>
      <c r="K1747" s="39" t="str">
        <f aca="false">TEXT(B1747,"mmm")</f>
        <v>Sep</v>
      </c>
      <c r="L1747" s="45" t="n">
        <f aca="false">IFERROR(INDEX(medicine_master!$I$2:$I$26,MATCH($C1747,medicine_master!$A$2:$A$26,0)),0)</f>
        <v>72</v>
      </c>
      <c r="M1747" s="45" t="n">
        <f aca="false">IFERROR(INDEX(medicine_master!$G$2:$G$26,MATCH($C1747,medicine_master!$A$2:$A$26,0)),0)</f>
        <v>52</v>
      </c>
      <c r="N1747" s="45" t="n">
        <f aca="false">IF(D1747="Sale",E1747*L1747,0)</f>
        <v>1440</v>
      </c>
      <c r="O1747" s="45" t="n">
        <f aca="false">IF(D1747="Sale",E1747*M1747,0)</f>
        <v>1040</v>
      </c>
      <c r="P1747" s="45" t="n">
        <f aca="false">N1747-O1747</f>
        <v>400</v>
      </c>
      <c r="Q1747" s="45" t="n">
        <f aca="false">IF(D1747="Purchase",E1747*M1747,0)</f>
        <v>0</v>
      </c>
    </row>
    <row r="1748" customFormat="false" ht="15" hidden="false" customHeight="false" outlineLevel="0" collapsed="false">
      <c r="A1748" s="39" t="s">
        <v>2072</v>
      </c>
      <c r="B1748" s="44" t="n">
        <v>46048</v>
      </c>
      <c r="C1748" s="39" t="s">
        <v>180</v>
      </c>
      <c r="D1748" s="39" t="s">
        <v>137</v>
      </c>
      <c r="E1748" s="39" t="n">
        <v>25</v>
      </c>
      <c r="F1748" s="39" t="str">
        <f aca="false">IF(COUNTIF(medicine_master!$A$2:$A$26,C1748)&gt;0,"Valid","Invalid")</f>
        <v>Valid</v>
      </c>
      <c r="G1748" s="39" t="str">
        <f aca="false">IFERROR(INDEX(medicine_master!$B$2:$B$26,MATCH($C1748,medicine_master!$A$2:$A$26,0)),"Not found")</f>
        <v>Vitamin C 500mg</v>
      </c>
      <c r="H1748" s="39" t="str">
        <f aca="false">IFERROR(INDEX(medicine_master!$C$2:$C$26,MATCH($C1748,medicine_master!$A$2:$A$26,0)),"Not found")</f>
        <v>Vitamin</v>
      </c>
      <c r="I1748" s="39" t="n">
        <f aca="false">YEAR(B1748)</f>
        <v>2026</v>
      </c>
      <c r="J1748" s="39" t="n">
        <f aca="false">MONTH(B1748)</f>
        <v>1</v>
      </c>
      <c r="K1748" s="39" t="str">
        <f aca="false">TEXT(B1748,"mmm")</f>
        <v>Jan</v>
      </c>
      <c r="L1748" s="45" t="n">
        <f aca="false">IFERROR(INDEX(medicine_master!$I$2:$I$26,MATCH($C1748,medicine_master!$A$2:$A$26,0)),0)</f>
        <v>22</v>
      </c>
      <c r="M1748" s="45" t="n">
        <f aca="false">IFERROR(INDEX(medicine_master!$G$2:$G$26,MATCH($C1748,medicine_master!$A$2:$A$26,0)),0)</f>
        <v>14</v>
      </c>
      <c r="N1748" s="45" t="n">
        <f aca="false">IF(D1748="Sale",E1748*L1748,0)</f>
        <v>550</v>
      </c>
      <c r="O1748" s="45" t="n">
        <f aca="false">IF(D1748="Sale",E1748*M1748,0)</f>
        <v>350</v>
      </c>
      <c r="P1748" s="45" t="n">
        <f aca="false">N1748-O1748</f>
        <v>200</v>
      </c>
      <c r="Q1748" s="45" t="n">
        <f aca="false">IF(D1748="Purchase",E1748*M1748,0)</f>
        <v>0</v>
      </c>
    </row>
    <row r="1749" customFormat="false" ht="15" hidden="false" customHeight="false" outlineLevel="0" collapsed="false">
      <c r="A1749" s="39" t="s">
        <v>2073</v>
      </c>
      <c r="B1749" s="44" t="n">
        <v>46073</v>
      </c>
      <c r="C1749" s="39" t="s">
        <v>148</v>
      </c>
      <c r="D1749" s="39" t="s">
        <v>137</v>
      </c>
      <c r="E1749" s="39" t="n">
        <v>10</v>
      </c>
      <c r="F1749" s="39" t="str">
        <f aca="false">IF(COUNTIF(medicine_master!$A$2:$A$26,C1749)&gt;0,"Valid","Invalid")</f>
        <v>Valid</v>
      </c>
      <c r="G1749" s="39" t="str">
        <f aca="false">IFERROR(INDEX(medicine_master!$B$2:$B$26,MATCH($C1749,medicine_master!$A$2:$A$26,0)),"Not found")</f>
        <v>Dextromethorphan Syrup</v>
      </c>
      <c r="H1749" s="39" t="str">
        <f aca="false">IFERROR(INDEX(medicine_master!$C$2:$C$26,MATCH($C1749,medicine_master!$A$2:$A$26,0)),"Not found")</f>
        <v>Cold &amp; Cough</v>
      </c>
      <c r="I1749" s="39" t="n">
        <f aca="false">YEAR(B1749)</f>
        <v>2026</v>
      </c>
      <c r="J1749" s="39" t="n">
        <f aca="false">MONTH(B1749)</f>
        <v>2</v>
      </c>
      <c r="K1749" s="39" t="str">
        <f aca="false">TEXT(B1749,"mmm")</f>
        <v>Feb</v>
      </c>
      <c r="L1749" s="45" t="n">
        <f aca="false">IFERROR(INDEX(medicine_master!$I$2:$I$26,MATCH($C1749,medicine_master!$A$2:$A$26,0)),0)</f>
        <v>80</v>
      </c>
      <c r="M1749" s="45" t="n">
        <f aca="false">IFERROR(INDEX(medicine_master!$G$2:$G$26,MATCH($C1749,medicine_master!$A$2:$A$26,0)),0)</f>
        <v>58</v>
      </c>
      <c r="N1749" s="45" t="n">
        <f aca="false">IF(D1749="Sale",E1749*L1749,0)</f>
        <v>800</v>
      </c>
      <c r="O1749" s="45" t="n">
        <f aca="false">IF(D1749="Sale",E1749*M1749,0)</f>
        <v>580</v>
      </c>
      <c r="P1749" s="45" t="n">
        <f aca="false">N1749-O1749</f>
        <v>220</v>
      </c>
      <c r="Q1749" s="45" t="n">
        <f aca="false">IF(D1749="Purchase",E1749*M1749,0)</f>
        <v>0</v>
      </c>
    </row>
    <row r="1750" customFormat="false" ht="15" hidden="false" customHeight="false" outlineLevel="0" collapsed="false">
      <c r="A1750" s="39" t="s">
        <v>2074</v>
      </c>
      <c r="B1750" s="44" t="n">
        <v>46111</v>
      </c>
      <c r="C1750" s="39" t="s">
        <v>167</v>
      </c>
      <c r="D1750" s="39" t="s">
        <v>137</v>
      </c>
      <c r="E1750" s="39" t="n">
        <v>10</v>
      </c>
      <c r="F1750" s="39" t="str">
        <f aca="false">IF(COUNTIF(medicine_master!$A$2:$A$26,C1750)&gt;0,"Valid","Invalid")</f>
        <v>Valid</v>
      </c>
      <c r="G1750" s="39" t="str">
        <f aca="false">IFERROR(INDEX(medicine_master!$B$2:$B$26,MATCH($C1750,medicine_master!$A$2:$A$26,0)),"Not found")</f>
        <v>Amlodipine 5mg</v>
      </c>
      <c r="H1750" s="39" t="str">
        <f aca="false">IFERROR(INDEX(medicine_master!$C$2:$C$26,MATCH($C1750,medicine_master!$A$2:$A$26,0)),"Not found")</f>
        <v>Cardiac</v>
      </c>
      <c r="I1750" s="39" t="n">
        <f aca="false">YEAR(B1750)</f>
        <v>2026</v>
      </c>
      <c r="J1750" s="39" t="n">
        <f aca="false">MONTH(B1750)</f>
        <v>3</v>
      </c>
      <c r="K1750" s="39" t="str">
        <f aca="false">TEXT(B1750,"mmm")</f>
        <v>Mar</v>
      </c>
      <c r="L1750" s="45" t="n">
        <f aca="false">IFERROR(INDEX(medicine_master!$I$2:$I$26,MATCH($C1750,medicine_master!$A$2:$A$26,0)),0)</f>
        <v>19</v>
      </c>
      <c r="M1750" s="45" t="n">
        <f aca="false">IFERROR(INDEX(medicine_master!$G$2:$G$26,MATCH($C1750,medicine_master!$A$2:$A$26,0)),0)</f>
        <v>13</v>
      </c>
      <c r="N1750" s="45" t="n">
        <f aca="false">IF(D1750="Sale",E1750*L1750,0)</f>
        <v>190</v>
      </c>
      <c r="O1750" s="45" t="n">
        <f aca="false">IF(D1750="Sale",E1750*M1750,0)</f>
        <v>130</v>
      </c>
      <c r="P1750" s="45" t="n">
        <f aca="false">N1750-O1750</f>
        <v>60</v>
      </c>
      <c r="Q1750" s="45" t="n">
        <f aca="false">IF(D1750="Purchase",E1750*M1750,0)</f>
        <v>0</v>
      </c>
    </row>
    <row r="1751" customFormat="false" ht="15" hidden="false" customHeight="false" outlineLevel="0" collapsed="false">
      <c r="A1751" s="39" t="s">
        <v>2075</v>
      </c>
      <c r="B1751" s="44" t="n">
        <v>46205</v>
      </c>
      <c r="C1751" s="39" t="s">
        <v>326</v>
      </c>
      <c r="D1751" s="39" t="s">
        <v>138</v>
      </c>
      <c r="E1751" s="39" t="n">
        <v>20</v>
      </c>
      <c r="F1751" s="39" t="str">
        <f aca="false">IF(COUNTIF(medicine_master!$A$2:$A$26,C1751)&gt;0,"Valid","Invalid")</f>
        <v>Valid</v>
      </c>
      <c r="G1751" s="39" t="str">
        <f aca="false">IFERROR(INDEX(medicine_master!$B$2:$B$26,MATCH($C1751,medicine_master!$A$2:$A$26,0)),"Not found")</f>
        <v>Omeprazole 20mg</v>
      </c>
      <c r="H1751" s="39" t="str">
        <f aca="false">IFERROR(INDEX(medicine_master!$C$2:$C$26,MATCH($C1751,medicine_master!$A$2:$A$26,0)),"Not found")</f>
        <v>Gastric</v>
      </c>
      <c r="I1751" s="39" t="n">
        <f aca="false">YEAR(B1751)</f>
        <v>2026</v>
      </c>
      <c r="J1751" s="39" t="n">
        <f aca="false">MONTH(B1751)</f>
        <v>7</v>
      </c>
      <c r="K1751" s="39" t="str">
        <f aca="false">TEXT(B1751,"mmm")</f>
        <v>Jul</v>
      </c>
      <c r="L1751" s="45" t="n">
        <f aca="false">IFERROR(INDEX(medicine_master!$I$2:$I$26,MATCH($C1751,medicine_master!$A$2:$A$26,0)),0)</f>
        <v>26</v>
      </c>
      <c r="M1751" s="45" t="n">
        <f aca="false">IFERROR(INDEX(medicine_master!$G$2:$G$26,MATCH($C1751,medicine_master!$A$2:$A$26,0)),0)</f>
        <v>18</v>
      </c>
      <c r="N1751" s="45" t="n">
        <f aca="false">IF(D1751="Sale",E1751*L1751,0)</f>
        <v>0</v>
      </c>
      <c r="O1751" s="45" t="n">
        <f aca="false">IF(D1751="Sale",E1751*M1751,0)</f>
        <v>0</v>
      </c>
      <c r="P1751" s="45" t="n">
        <f aca="false">N1751-O1751</f>
        <v>0</v>
      </c>
      <c r="Q1751" s="45" t="n">
        <f aca="false">IF(D1751="Purchase",E1751*M1751,0)</f>
        <v>360</v>
      </c>
    </row>
    <row r="1752" customFormat="false" ht="15" hidden="false" customHeight="false" outlineLevel="0" collapsed="false">
      <c r="A1752" s="39" t="s">
        <v>2076</v>
      </c>
      <c r="B1752" s="44" t="n">
        <v>46291</v>
      </c>
      <c r="C1752" s="39" t="s">
        <v>179</v>
      </c>
      <c r="D1752" s="39" t="s">
        <v>137</v>
      </c>
      <c r="E1752" s="39" t="n">
        <v>20</v>
      </c>
      <c r="F1752" s="39" t="str">
        <f aca="false">IF(COUNTIF(medicine_master!$A$2:$A$26,C1752)&gt;0,"Valid","Invalid")</f>
        <v>Valid</v>
      </c>
      <c r="G1752" s="39" t="str">
        <f aca="false">IFERROR(INDEX(medicine_master!$B$2:$B$26,MATCH($C1752,medicine_master!$A$2:$A$26,0)),"Not found")</f>
        <v>Ibuprofen 400mg</v>
      </c>
      <c r="H1752" s="39" t="str">
        <f aca="false">IFERROR(INDEX(medicine_master!$C$2:$C$26,MATCH($C1752,medicine_master!$A$2:$A$26,0)),"Not found")</f>
        <v>Pain Relief</v>
      </c>
      <c r="I1752" s="39" t="n">
        <f aca="false">YEAR(B1752)</f>
        <v>2026</v>
      </c>
      <c r="J1752" s="39" t="n">
        <f aca="false">MONTH(B1752)</f>
        <v>9</v>
      </c>
      <c r="K1752" s="39" t="str">
        <f aca="false">TEXT(B1752,"mmm")</f>
        <v>Sep</v>
      </c>
      <c r="L1752" s="45" t="n">
        <f aca="false">IFERROR(INDEX(medicine_master!$I$2:$I$26,MATCH($C1752,medicine_master!$A$2:$A$26,0)),0)</f>
        <v>30</v>
      </c>
      <c r="M1752" s="45" t="n">
        <f aca="false">IFERROR(INDEX(medicine_master!$G$2:$G$26,MATCH($C1752,medicine_master!$A$2:$A$26,0)),0)</f>
        <v>22</v>
      </c>
      <c r="N1752" s="45" t="n">
        <f aca="false">IF(D1752="Sale",E1752*L1752,0)</f>
        <v>600</v>
      </c>
      <c r="O1752" s="45" t="n">
        <f aca="false">IF(D1752="Sale",E1752*M1752,0)</f>
        <v>440</v>
      </c>
      <c r="P1752" s="45" t="n">
        <f aca="false">N1752-O1752</f>
        <v>160</v>
      </c>
      <c r="Q1752" s="45" t="n">
        <f aca="false">IF(D1752="Purchase",E1752*M1752,0)</f>
        <v>0</v>
      </c>
    </row>
    <row r="1753" customFormat="false" ht="15" hidden="false" customHeight="false" outlineLevel="0" collapsed="false">
      <c r="A1753" s="39" t="s">
        <v>2077</v>
      </c>
      <c r="B1753" s="44" t="n">
        <v>46252</v>
      </c>
      <c r="C1753" s="39" t="s">
        <v>151</v>
      </c>
      <c r="D1753" s="39" t="s">
        <v>138</v>
      </c>
      <c r="E1753" s="39" t="n">
        <v>50</v>
      </c>
      <c r="F1753" s="39" t="str">
        <f aca="false">IF(COUNTIF(medicine_master!$A$2:$A$26,C1753)&gt;0,"Valid","Invalid")</f>
        <v>Valid</v>
      </c>
      <c r="G1753" s="39" t="str">
        <f aca="false">IFERROR(INDEX(medicine_master!$B$2:$B$26,MATCH($C1753,medicine_master!$A$2:$A$26,0)),"Not found")</f>
        <v>Cetirizine 10mg</v>
      </c>
      <c r="H1753" s="39" t="str">
        <f aca="false">IFERROR(INDEX(medicine_master!$C$2:$C$26,MATCH($C1753,medicine_master!$A$2:$A$26,0)),"Not found")</f>
        <v>Allergy</v>
      </c>
      <c r="I1753" s="39" t="n">
        <f aca="false">YEAR(B1753)</f>
        <v>2026</v>
      </c>
      <c r="J1753" s="39" t="n">
        <f aca="false">MONTH(B1753)</f>
        <v>8</v>
      </c>
      <c r="K1753" s="39" t="str">
        <f aca="false">TEXT(B1753,"mmm")</f>
        <v>Aug</v>
      </c>
      <c r="L1753" s="45" t="n">
        <f aca="false">IFERROR(INDEX(medicine_master!$I$2:$I$26,MATCH($C1753,medicine_master!$A$2:$A$26,0)),0)</f>
        <v>13</v>
      </c>
      <c r="M1753" s="45" t="n">
        <f aca="false">IFERROR(INDEX(medicine_master!$G$2:$G$26,MATCH($C1753,medicine_master!$A$2:$A$26,0)),0)</f>
        <v>8</v>
      </c>
      <c r="N1753" s="45" t="n">
        <f aca="false">IF(D1753="Sale",E1753*L1753,0)</f>
        <v>0</v>
      </c>
      <c r="O1753" s="45" t="n">
        <f aca="false">IF(D1753="Sale",E1753*M1753,0)</f>
        <v>0</v>
      </c>
      <c r="P1753" s="45" t="n">
        <f aca="false">N1753-O1753</f>
        <v>0</v>
      </c>
      <c r="Q1753" s="45" t="n">
        <f aca="false">IF(D1753="Purchase",E1753*M1753,0)</f>
        <v>400</v>
      </c>
    </row>
    <row r="1754" customFormat="false" ht="15" hidden="false" customHeight="false" outlineLevel="0" collapsed="false">
      <c r="A1754" s="39" t="s">
        <v>2078</v>
      </c>
      <c r="B1754" s="44" t="n">
        <v>46348</v>
      </c>
      <c r="C1754" s="39" t="s">
        <v>148</v>
      </c>
      <c r="D1754" s="39" t="s">
        <v>138</v>
      </c>
      <c r="E1754" s="39" t="n">
        <v>25</v>
      </c>
      <c r="F1754" s="39" t="str">
        <f aca="false">IF(COUNTIF(medicine_master!$A$2:$A$26,C1754)&gt;0,"Valid","Invalid")</f>
        <v>Valid</v>
      </c>
      <c r="G1754" s="39" t="str">
        <f aca="false">IFERROR(INDEX(medicine_master!$B$2:$B$26,MATCH($C1754,medicine_master!$A$2:$A$26,0)),"Not found")</f>
        <v>Dextromethorphan Syrup</v>
      </c>
      <c r="H1754" s="39" t="str">
        <f aca="false">IFERROR(INDEX(medicine_master!$C$2:$C$26,MATCH($C1754,medicine_master!$A$2:$A$26,0)),"Not found")</f>
        <v>Cold &amp; Cough</v>
      </c>
      <c r="I1754" s="39" t="n">
        <f aca="false">YEAR(B1754)</f>
        <v>2026</v>
      </c>
      <c r="J1754" s="39" t="n">
        <f aca="false">MONTH(B1754)</f>
        <v>11</v>
      </c>
      <c r="K1754" s="39" t="str">
        <f aca="false">TEXT(B1754,"mmm")</f>
        <v>Nov</v>
      </c>
      <c r="L1754" s="45" t="n">
        <f aca="false">IFERROR(INDEX(medicine_master!$I$2:$I$26,MATCH($C1754,medicine_master!$A$2:$A$26,0)),0)</f>
        <v>80</v>
      </c>
      <c r="M1754" s="45" t="n">
        <f aca="false">IFERROR(INDEX(medicine_master!$G$2:$G$26,MATCH($C1754,medicine_master!$A$2:$A$26,0)),0)</f>
        <v>58</v>
      </c>
      <c r="N1754" s="45" t="n">
        <f aca="false">IF(D1754="Sale",E1754*L1754,0)</f>
        <v>0</v>
      </c>
      <c r="O1754" s="45" t="n">
        <f aca="false">IF(D1754="Sale",E1754*M1754,0)</f>
        <v>0</v>
      </c>
      <c r="P1754" s="45" t="n">
        <f aca="false">N1754-O1754</f>
        <v>0</v>
      </c>
      <c r="Q1754" s="45" t="n">
        <f aca="false">IF(D1754="Purchase",E1754*M1754,0)</f>
        <v>1450</v>
      </c>
    </row>
    <row r="1755" customFormat="false" ht="15" hidden="false" customHeight="false" outlineLevel="0" collapsed="false">
      <c r="A1755" s="39" t="s">
        <v>2079</v>
      </c>
      <c r="B1755" s="44" t="n">
        <v>46345</v>
      </c>
      <c r="C1755" s="39" t="s">
        <v>160</v>
      </c>
      <c r="D1755" s="39" t="s">
        <v>137</v>
      </c>
      <c r="E1755" s="39" t="n">
        <v>10</v>
      </c>
      <c r="F1755" s="39" t="str">
        <f aca="false">IF(COUNTIF(medicine_master!$A$2:$A$26,C1755)&gt;0,"Valid","Invalid")</f>
        <v>Valid</v>
      </c>
      <c r="G1755" s="39" t="str">
        <f aca="false">IFERROR(INDEX(medicine_master!$B$2:$B$26,MATCH($C1755,medicine_master!$A$2:$A$26,0)),"Not found")</f>
        <v>Calamine Lotion</v>
      </c>
      <c r="H1755" s="39" t="str">
        <f aca="false">IFERROR(INDEX(medicine_master!$C$2:$C$26,MATCH($C1755,medicine_master!$A$2:$A$26,0)),"Not found")</f>
        <v>Dermatology</v>
      </c>
      <c r="I1755" s="39" t="n">
        <f aca="false">YEAR(B1755)</f>
        <v>2026</v>
      </c>
      <c r="J1755" s="39" t="n">
        <f aca="false">MONTH(B1755)</f>
        <v>11</v>
      </c>
      <c r="K1755" s="39" t="str">
        <f aca="false">TEXT(B1755,"mmm")</f>
        <v>Nov</v>
      </c>
      <c r="L1755" s="45" t="n">
        <f aca="false">IFERROR(INDEX(medicine_master!$I$2:$I$26,MATCH($C1755,medicine_master!$A$2:$A$26,0)),0)</f>
        <v>60</v>
      </c>
      <c r="M1755" s="45" t="n">
        <f aca="false">IFERROR(INDEX(medicine_master!$G$2:$G$26,MATCH($C1755,medicine_master!$A$2:$A$26,0)),0)</f>
        <v>42</v>
      </c>
      <c r="N1755" s="45" t="n">
        <f aca="false">IF(D1755="Sale",E1755*L1755,0)</f>
        <v>600</v>
      </c>
      <c r="O1755" s="45" t="n">
        <f aca="false">IF(D1755="Sale",E1755*M1755,0)</f>
        <v>420</v>
      </c>
      <c r="P1755" s="45" t="n">
        <f aca="false">N1755-O1755</f>
        <v>180</v>
      </c>
      <c r="Q1755" s="45" t="n">
        <f aca="false">IF(D1755="Purchase",E1755*M1755,0)</f>
        <v>0</v>
      </c>
    </row>
    <row r="1756" customFormat="false" ht="15" hidden="false" customHeight="false" outlineLevel="0" collapsed="false">
      <c r="A1756" s="39" t="s">
        <v>2080</v>
      </c>
      <c r="B1756" s="44" t="n">
        <v>46155</v>
      </c>
      <c r="C1756" s="39" t="s">
        <v>151</v>
      </c>
      <c r="D1756" s="39" t="s">
        <v>138</v>
      </c>
      <c r="E1756" s="39" t="n">
        <v>30</v>
      </c>
      <c r="F1756" s="39" t="str">
        <f aca="false">IF(COUNTIF(medicine_master!$A$2:$A$26,C1756)&gt;0,"Valid","Invalid")</f>
        <v>Valid</v>
      </c>
      <c r="G1756" s="39" t="str">
        <f aca="false">IFERROR(INDEX(medicine_master!$B$2:$B$26,MATCH($C1756,medicine_master!$A$2:$A$26,0)),"Not found")</f>
        <v>Cetirizine 10mg</v>
      </c>
      <c r="H1756" s="39" t="str">
        <f aca="false">IFERROR(INDEX(medicine_master!$C$2:$C$26,MATCH($C1756,medicine_master!$A$2:$A$26,0)),"Not found")</f>
        <v>Allergy</v>
      </c>
      <c r="I1756" s="39" t="n">
        <f aca="false">YEAR(B1756)</f>
        <v>2026</v>
      </c>
      <c r="J1756" s="39" t="n">
        <f aca="false">MONTH(B1756)</f>
        <v>5</v>
      </c>
      <c r="K1756" s="39" t="str">
        <f aca="false">TEXT(B1756,"mmm")</f>
        <v>May</v>
      </c>
      <c r="L1756" s="45" t="n">
        <f aca="false">IFERROR(INDEX(medicine_master!$I$2:$I$26,MATCH($C1756,medicine_master!$A$2:$A$26,0)),0)</f>
        <v>13</v>
      </c>
      <c r="M1756" s="45" t="n">
        <f aca="false">IFERROR(INDEX(medicine_master!$G$2:$G$26,MATCH($C1756,medicine_master!$A$2:$A$26,0)),0)</f>
        <v>8</v>
      </c>
      <c r="N1756" s="45" t="n">
        <f aca="false">IF(D1756="Sale",E1756*L1756,0)</f>
        <v>0</v>
      </c>
      <c r="O1756" s="45" t="n">
        <f aca="false">IF(D1756="Sale",E1756*M1756,0)</f>
        <v>0</v>
      </c>
      <c r="P1756" s="45" t="n">
        <f aca="false">N1756-O1756</f>
        <v>0</v>
      </c>
      <c r="Q1756" s="45" t="n">
        <f aca="false">IF(D1756="Purchase",E1756*M1756,0)</f>
        <v>240</v>
      </c>
    </row>
    <row r="1757" customFormat="false" ht="15" hidden="false" customHeight="false" outlineLevel="0" collapsed="false">
      <c r="A1757" s="39" t="s">
        <v>2081</v>
      </c>
      <c r="B1757" s="44" t="n">
        <v>46151</v>
      </c>
      <c r="C1757" s="39" t="s">
        <v>160</v>
      </c>
      <c r="D1757" s="39" t="s">
        <v>138</v>
      </c>
      <c r="E1757" s="39" t="n">
        <v>20</v>
      </c>
      <c r="F1757" s="39" t="str">
        <f aca="false">IF(COUNTIF(medicine_master!$A$2:$A$26,C1757)&gt;0,"Valid","Invalid")</f>
        <v>Valid</v>
      </c>
      <c r="G1757" s="39" t="str">
        <f aca="false">IFERROR(INDEX(medicine_master!$B$2:$B$26,MATCH($C1757,medicine_master!$A$2:$A$26,0)),"Not found")</f>
        <v>Calamine Lotion</v>
      </c>
      <c r="H1757" s="39" t="str">
        <f aca="false">IFERROR(INDEX(medicine_master!$C$2:$C$26,MATCH($C1757,medicine_master!$A$2:$A$26,0)),"Not found")</f>
        <v>Dermatology</v>
      </c>
      <c r="I1757" s="39" t="n">
        <f aca="false">YEAR(B1757)</f>
        <v>2026</v>
      </c>
      <c r="J1757" s="39" t="n">
        <f aca="false">MONTH(B1757)</f>
        <v>5</v>
      </c>
      <c r="K1757" s="39" t="str">
        <f aca="false">TEXT(B1757,"mmm")</f>
        <v>May</v>
      </c>
      <c r="L1757" s="45" t="n">
        <f aca="false">IFERROR(INDEX(medicine_master!$I$2:$I$26,MATCH($C1757,medicine_master!$A$2:$A$26,0)),0)</f>
        <v>60</v>
      </c>
      <c r="M1757" s="45" t="n">
        <f aca="false">IFERROR(INDEX(medicine_master!$G$2:$G$26,MATCH($C1757,medicine_master!$A$2:$A$26,0)),0)</f>
        <v>42</v>
      </c>
      <c r="N1757" s="45" t="n">
        <f aca="false">IF(D1757="Sale",E1757*L1757,0)</f>
        <v>0</v>
      </c>
      <c r="O1757" s="45" t="n">
        <f aca="false">IF(D1757="Sale",E1757*M1757,0)</f>
        <v>0</v>
      </c>
      <c r="P1757" s="45" t="n">
        <f aca="false">N1757-O1757</f>
        <v>0</v>
      </c>
      <c r="Q1757" s="45" t="n">
        <f aca="false">IF(D1757="Purchase",E1757*M1757,0)</f>
        <v>840</v>
      </c>
    </row>
    <row r="1758" customFormat="false" ht="15" hidden="false" customHeight="false" outlineLevel="0" collapsed="false">
      <c r="A1758" s="39" t="s">
        <v>2082</v>
      </c>
      <c r="B1758" s="44" t="n">
        <v>46315</v>
      </c>
      <c r="C1758" s="39" t="s">
        <v>167</v>
      </c>
      <c r="D1758" s="39" t="s">
        <v>137</v>
      </c>
      <c r="E1758" s="39" t="n">
        <v>15</v>
      </c>
      <c r="F1758" s="39" t="str">
        <f aca="false">IF(COUNTIF(medicine_master!$A$2:$A$26,C1758)&gt;0,"Valid","Invalid")</f>
        <v>Valid</v>
      </c>
      <c r="G1758" s="39" t="str">
        <f aca="false">IFERROR(INDEX(medicine_master!$B$2:$B$26,MATCH($C1758,medicine_master!$A$2:$A$26,0)),"Not found")</f>
        <v>Amlodipine 5mg</v>
      </c>
      <c r="H1758" s="39" t="str">
        <f aca="false">IFERROR(INDEX(medicine_master!$C$2:$C$26,MATCH($C1758,medicine_master!$A$2:$A$26,0)),"Not found")</f>
        <v>Cardiac</v>
      </c>
      <c r="I1758" s="39" t="n">
        <f aca="false">YEAR(B1758)</f>
        <v>2026</v>
      </c>
      <c r="J1758" s="39" t="n">
        <f aca="false">MONTH(B1758)</f>
        <v>10</v>
      </c>
      <c r="K1758" s="39" t="str">
        <f aca="false">TEXT(B1758,"mmm")</f>
        <v>Oct</v>
      </c>
      <c r="L1758" s="45" t="n">
        <f aca="false">IFERROR(INDEX(medicine_master!$I$2:$I$26,MATCH($C1758,medicine_master!$A$2:$A$26,0)),0)</f>
        <v>19</v>
      </c>
      <c r="M1758" s="45" t="n">
        <f aca="false">IFERROR(INDEX(medicine_master!$G$2:$G$26,MATCH($C1758,medicine_master!$A$2:$A$26,0)),0)</f>
        <v>13</v>
      </c>
      <c r="N1758" s="45" t="n">
        <f aca="false">IF(D1758="Sale",E1758*L1758,0)</f>
        <v>285</v>
      </c>
      <c r="O1758" s="45" t="n">
        <f aca="false">IF(D1758="Sale",E1758*M1758,0)</f>
        <v>195</v>
      </c>
      <c r="P1758" s="45" t="n">
        <f aca="false">N1758-O1758</f>
        <v>90</v>
      </c>
      <c r="Q1758" s="45" t="n">
        <f aca="false">IF(D1758="Purchase",E1758*M1758,0)</f>
        <v>0</v>
      </c>
    </row>
    <row r="1759" customFormat="false" ht="15" hidden="false" customHeight="false" outlineLevel="0" collapsed="false">
      <c r="A1759" s="39" t="s">
        <v>2083</v>
      </c>
      <c r="B1759" s="44" t="n">
        <v>46378</v>
      </c>
      <c r="C1759" s="39" t="s">
        <v>495</v>
      </c>
      <c r="D1759" s="39" t="s">
        <v>137</v>
      </c>
      <c r="E1759" s="39" t="n">
        <v>15</v>
      </c>
      <c r="F1759" s="39" t="str">
        <f aca="false">IF(COUNTIF(medicine_master!$A$2:$A$26,C1759)&gt;0,"Valid","Invalid")</f>
        <v>Valid</v>
      </c>
      <c r="G1759" s="39" t="str">
        <f aca="false">IFERROR(INDEX(medicine_master!$B$2:$B$26,MATCH($C1759,medicine_master!$A$2:$A$26,0)),"Not found")</f>
        <v>Metformin 500mg</v>
      </c>
      <c r="H1759" s="39" t="str">
        <f aca="false">IFERROR(INDEX(medicine_master!$C$2:$C$26,MATCH($C1759,medicine_master!$A$2:$A$26,0)),"Not found")</f>
        <v>Diabetes</v>
      </c>
      <c r="I1759" s="39" t="n">
        <f aca="false">YEAR(B1759)</f>
        <v>2026</v>
      </c>
      <c r="J1759" s="39" t="n">
        <f aca="false">MONTH(B1759)</f>
        <v>12</v>
      </c>
      <c r="K1759" s="39" t="str">
        <f aca="false">TEXT(B1759,"mmm")</f>
        <v>Dec</v>
      </c>
      <c r="L1759" s="45" t="n">
        <f aca="false">IFERROR(INDEX(medicine_master!$I$2:$I$26,MATCH($C1759,medicine_master!$A$2:$A$26,0)),0)</f>
        <v>24</v>
      </c>
      <c r="M1759" s="45" t="n">
        <f aca="false">IFERROR(INDEX(medicine_master!$G$2:$G$26,MATCH($C1759,medicine_master!$A$2:$A$26,0)),0)</f>
        <v>16</v>
      </c>
      <c r="N1759" s="45" t="n">
        <f aca="false">IF(D1759="Sale",E1759*L1759,0)</f>
        <v>360</v>
      </c>
      <c r="O1759" s="45" t="n">
        <f aca="false">IF(D1759="Sale",E1759*M1759,0)</f>
        <v>240</v>
      </c>
      <c r="P1759" s="45" t="n">
        <f aca="false">N1759-O1759</f>
        <v>120</v>
      </c>
      <c r="Q1759" s="45" t="n">
        <f aca="false">IF(D1759="Purchase",E1759*M1759,0)</f>
        <v>0</v>
      </c>
    </row>
    <row r="1760" customFormat="false" ht="15" hidden="false" customHeight="false" outlineLevel="0" collapsed="false">
      <c r="A1760" s="39" t="s">
        <v>2084</v>
      </c>
      <c r="B1760" s="44" t="n">
        <v>46165</v>
      </c>
      <c r="C1760" s="39" t="s">
        <v>150</v>
      </c>
      <c r="D1760" s="39" t="s">
        <v>137</v>
      </c>
      <c r="E1760" s="39" t="n">
        <v>20</v>
      </c>
      <c r="F1760" s="39" t="str">
        <f aca="false">IF(COUNTIF(medicine_master!$A$2:$A$26,C1760)&gt;0,"Valid","Invalid")</f>
        <v>Valid</v>
      </c>
      <c r="G1760" s="39" t="str">
        <f aca="false">IFERROR(INDEX(medicine_master!$B$2:$B$26,MATCH($C1760,medicine_master!$A$2:$A$26,0)),"Not found")</f>
        <v>Pantoprazole 40mg</v>
      </c>
      <c r="H1760" s="39" t="str">
        <f aca="false">IFERROR(INDEX(medicine_master!$C$2:$C$26,MATCH($C1760,medicine_master!$A$2:$A$26,0)),"Not found")</f>
        <v>Gastric</v>
      </c>
      <c r="I1760" s="39" t="n">
        <f aca="false">YEAR(B1760)</f>
        <v>2026</v>
      </c>
      <c r="J1760" s="39" t="n">
        <f aca="false">MONTH(B1760)</f>
        <v>5</v>
      </c>
      <c r="K1760" s="39" t="str">
        <f aca="false">TEXT(B1760,"mmm")</f>
        <v>May</v>
      </c>
      <c r="L1760" s="45" t="n">
        <f aca="false">IFERROR(INDEX(medicine_master!$I$2:$I$26,MATCH($C1760,medicine_master!$A$2:$A$26,0)),0)</f>
        <v>35</v>
      </c>
      <c r="M1760" s="45" t="n">
        <f aca="false">IFERROR(INDEX(medicine_master!$G$2:$G$26,MATCH($C1760,medicine_master!$A$2:$A$26,0)),0)</f>
        <v>24</v>
      </c>
      <c r="N1760" s="45" t="n">
        <f aca="false">IF(D1760="Sale",E1760*L1760,0)</f>
        <v>700</v>
      </c>
      <c r="O1760" s="45" t="n">
        <f aca="false">IF(D1760="Sale",E1760*M1760,0)</f>
        <v>480</v>
      </c>
      <c r="P1760" s="45" t="n">
        <f aca="false">N1760-O1760</f>
        <v>220</v>
      </c>
      <c r="Q1760" s="45" t="n">
        <f aca="false">IF(D1760="Purchase",E1760*M1760,0)</f>
        <v>0</v>
      </c>
    </row>
    <row r="1761" customFormat="false" ht="15" hidden="false" customHeight="false" outlineLevel="0" collapsed="false">
      <c r="A1761" s="39" t="s">
        <v>2085</v>
      </c>
      <c r="B1761" s="44" t="n">
        <v>46214</v>
      </c>
      <c r="C1761" s="39" t="s">
        <v>404</v>
      </c>
      <c r="D1761" s="39" t="s">
        <v>138</v>
      </c>
      <c r="E1761" s="39" t="n">
        <v>5</v>
      </c>
      <c r="F1761" s="39" t="str">
        <f aca="false">IF(COUNTIF(medicine_master!$A$2:$A$26,C1761)&gt;0,"Valid","Invalid")</f>
        <v>Valid</v>
      </c>
      <c r="G1761" s="39" t="str">
        <f aca="false">IFERROR(INDEX(medicine_master!$B$2:$B$26,MATCH($C1761,medicine_master!$A$2:$A$26,0)),"Not found")</f>
        <v>ORS Sachet</v>
      </c>
      <c r="H1761" s="39" t="str">
        <f aca="false">IFERROR(INDEX(medicine_master!$C$2:$C$26,MATCH($C1761,medicine_master!$A$2:$A$26,0)),"Not found")</f>
        <v>First Aid</v>
      </c>
      <c r="I1761" s="39" t="n">
        <f aca="false">YEAR(B1761)</f>
        <v>2026</v>
      </c>
      <c r="J1761" s="39" t="n">
        <f aca="false">MONTH(B1761)</f>
        <v>7</v>
      </c>
      <c r="K1761" s="39" t="str">
        <f aca="false">TEXT(B1761,"mmm")</f>
        <v>Jul</v>
      </c>
      <c r="L1761" s="45" t="n">
        <f aca="false">IFERROR(INDEX(medicine_master!$I$2:$I$26,MATCH($C1761,medicine_master!$A$2:$A$26,0)),0)</f>
        <v>10</v>
      </c>
      <c r="M1761" s="45" t="n">
        <f aca="false">IFERROR(INDEX(medicine_master!$G$2:$G$26,MATCH($C1761,medicine_master!$A$2:$A$26,0)),0)</f>
        <v>6</v>
      </c>
      <c r="N1761" s="45" t="n">
        <f aca="false">IF(D1761="Sale",E1761*L1761,0)</f>
        <v>0</v>
      </c>
      <c r="O1761" s="45" t="n">
        <f aca="false">IF(D1761="Sale",E1761*M1761,0)</f>
        <v>0</v>
      </c>
      <c r="P1761" s="45" t="n">
        <f aca="false">N1761-O1761</f>
        <v>0</v>
      </c>
      <c r="Q1761" s="45" t="n">
        <f aca="false">IF(D1761="Purchase",E1761*M1761,0)</f>
        <v>30</v>
      </c>
    </row>
    <row r="1762" customFormat="false" ht="15" hidden="false" customHeight="false" outlineLevel="0" collapsed="false">
      <c r="A1762" s="39" t="s">
        <v>2086</v>
      </c>
      <c r="B1762" s="44" t="n">
        <v>46188</v>
      </c>
      <c r="C1762" s="39" t="s">
        <v>404</v>
      </c>
      <c r="D1762" s="39" t="s">
        <v>137</v>
      </c>
      <c r="E1762" s="39" t="n">
        <v>50</v>
      </c>
      <c r="F1762" s="39" t="str">
        <f aca="false">IF(COUNTIF(medicine_master!$A$2:$A$26,C1762)&gt;0,"Valid","Invalid")</f>
        <v>Valid</v>
      </c>
      <c r="G1762" s="39" t="str">
        <f aca="false">IFERROR(INDEX(medicine_master!$B$2:$B$26,MATCH($C1762,medicine_master!$A$2:$A$26,0)),"Not found")</f>
        <v>ORS Sachet</v>
      </c>
      <c r="H1762" s="39" t="str">
        <f aca="false">IFERROR(INDEX(medicine_master!$C$2:$C$26,MATCH($C1762,medicine_master!$A$2:$A$26,0)),"Not found")</f>
        <v>First Aid</v>
      </c>
      <c r="I1762" s="39" t="n">
        <f aca="false">YEAR(B1762)</f>
        <v>2026</v>
      </c>
      <c r="J1762" s="39" t="n">
        <f aca="false">MONTH(B1762)</f>
        <v>6</v>
      </c>
      <c r="K1762" s="39" t="str">
        <f aca="false">TEXT(B1762,"mmm")</f>
        <v>Jun</v>
      </c>
      <c r="L1762" s="45" t="n">
        <f aca="false">IFERROR(INDEX(medicine_master!$I$2:$I$26,MATCH($C1762,medicine_master!$A$2:$A$26,0)),0)</f>
        <v>10</v>
      </c>
      <c r="M1762" s="45" t="n">
        <f aca="false">IFERROR(INDEX(medicine_master!$G$2:$G$26,MATCH($C1762,medicine_master!$A$2:$A$26,0)),0)</f>
        <v>6</v>
      </c>
      <c r="N1762" s="45" t="n">
        <f aca="false">IF(D1762="Sale",E1762*L1762,0)</f>
        <v>500</v>
      </c>
      <c r="O1762" s="45" t="n">
        <f aca="false">IF(D1762="Sale",E1762*M1762,0)</f>
        <v>300</v>
      </c>
      <c r="P1762" s="45" t="n">
        <f aca="false">N1762-O1762</f>
        <v>200</v>
      </c>
      <c r="Q1762" s="45" t="n">
        <f aca="false">IF(D1762="Purchase",E1762*M1762,0)</f>
        <v>0</v>
      </c>
    </row>
    <row r="1763" customFormat="false" ht="15" hidden="false" customHeight="false" outlineLevel="0" collapsed="false">
      <c r="A1763" s="39" t="s">
        <v>2087</v>
      </c>
      <c r="B1763" s="44" t="n">
        <v>46356</v>
      </c>
      <c r="C1763" s="39" t="s">
        <v>178</v>
      </c>
      <c r="D1763" s="39" t="s">
        <v>138</v>
      </c>
      <c r="E1763" s="39" t="n">
        <v>10</v>
      </c>
      <c r="F1763" s="39" t="str">
        <f aca="false">IF(COUNTIF(medicine_master!$A$2:$A$26,C1763)&gt;0,"Valid","Invalid")</f>
        <v>Valid</v>
      </c>
      <c r="G1763" s="39" t="str">
        <f aca="false">IFERROR(INDEX(medicine_master!$B$2:$B$26,MATCH($C1763,medicine_master!$A$2:$A$26,0)),"Not found")</f>
        <v>Aspirin 75mg</v>
      </c>
      <c r="H1763" s="39" t="str">
        <f aca="false">IFERROR(INDEX(medicine_master!$C$2:$C$26,MATCH($C1763,medicine_master!$A$2:$A$26,0)),"Not found")</f>
        <v>Cardiac</v>
      </c>
      <c r="I1763" s="39" t="n">
        <f aca="false">YEAR(B1763)</f>
        <v>2026</v>
      </c>
      <c r="J1763" s="39" t="n">
        <f aca="false">MONTH(B1763)</f>
        <v>11</v>
      </c>
      <c r="K1763" s="39" t="str">
        <f aca="false">TEXT(B1763,"mmm")</f>
        <v>Nov</v>
      </c>
      <c r="L1763" s="45" t="n">
        <f aca="false">IFERROR(INDEX(medicine_master!$I$2:$I$26,MATCH($C1763,medicine_master!$A$2:$A$26,0)),0)</f>
        <v>15</v>
      </c>
      <c r="M1763" s="45" t="n">
        <f aca="false">IFERROR(INDEX(medicine_master!$G$2:$G$26,MATCH($C1763,medicine_master!$A$2:$A$26,0)),0)</f>
        <v>10</v>
      </c>
      <c r="N1763" s="45" t="n">
        <f aca="false">IF(D1763="Sale",E1763*L1763,0)</f>
        <v>0</v>
      </c>
      <c r="O1763" s="45" t="n">
        <f aca="false">IF(D1763="Sale",E1763*M1763,0)</f>
        <v>0</v>
      </c>
      <c r="P1763" s="45" t="n">
        <f aca="false">N1763-O1763</f>
        <v>0</v>
      </c>
      <c r="Q1763" s="45" t="n">
        <f aca="false">IF(D1763="Purchase",E1763*M1763,0)</f>
        <v>100</v>
      </c>
    </row>
    <row r="1764" customFormat="false" ht="15" hidden="false" customHeight="false" outlineLevel="0" collapsed="false">
      <c r="A1764" s="39" t="s">
        <v>2088</v>
      </c>
      <c r="B1764" s="44" t="n">
        <v>46368</v>
      </c>
      <c r="C1764" s="39" t="s">
        <v>160</v>
      </c>
      <c r="D1764" s="39" t="s">
        <v>138</v>
      </c>
      <c r="E1764" s="39" t="n">
        <v>30</v>
      </c>
      <c r="F1764" s="39" t="str">
        <f aca="false">IF(COUNTIF(medicine_master!$A$2:$A$26,C1764)&gt;0,"Valid","Invalid")</f>
        <v>Valid</v>
      </c>
      <c r="G1764" s="39" t="str">
        <f aca="false">IFERROR(INDEX(medicine_master!$B$2:$B$26,MATCH($C1764,medicine_master!$A$2:$A$26,0)),"Not found")</f>
        <v>Calamine Lotion</v>
      </c>
      <c r="H1764" s="39" t="str">
        <f aca="false">IFERROR(INDEX(medicine_master!$C$2:$C$26,MATCH($C1764,medicine_master!$A$2:$A$26,0)),"Not found")</f>
        <v>Dermatology</v>
      </c>
      <c r="I1764" s="39" t="n">
        <f aca="false">YEAR(B1764)</f>
        <v>2026</v>
      </c>
      <c r="J1764" s="39" t="n">
        <f aca="false">MONTH(B1764)</f>
        <v>12</v>
      </c>
      <c r="K1764" s="39" t="str">
        <f aca="false">TEXT(B1764,"mmm")</f>
        <v>Dec</v>
      </c>
      <c r="L1764" s="45" t="n">
        <f aca="false">IFERROR(INDEX(medicine_master!$I$2:$I$26,MATCH($C1764,medicine_master!$A$2:$A$26,0)),0)</f>
        <v>60</v>
      </c>
      <c r="M1764" s="45" t="n">
        <f aca="false">IFERROR(INDEX(medicine_master!$G$2:$G$26,MATCH($C1764,medicine_master!$A$2:$A$26,0)),0)</f>
        <v>42</v>
      </c>
      <c r="N1764" s="45" t="n">
        <f aca="false">IF(D1764="Sale",E1764*L1764,0)</f>
        <v>0</v>
      </c>
      <c r="O1764" s="45" t="n">
        <f aca="false">IF(D1764="Sale",E1764*M1764,0)</f>
        <v>0</v>
      </c>
      <c r="P1764" s="45" t="n">
        <f aca="false">N1764-O1764</f>
        <v>0</v>
      </c>
      <c r="Q1764" s="45" t="n">
        <f aca="false">IF(D1764="Purchase",E1764*M1764,0)</f>
        <v>1260</v>
      </c>
    </row>
    <row r="1765" customFormat="false" ht="15" hidden="false" customHeight="false" outlineLevel="0" collapsed="false">
      <c r="A1765" s="39" t="s">
        <v>2089</v>
      </c>
      <c r="B1765" s="44" t="n">
        <v>46271</v>
      </c>
      <c r="C1765" s="39" t="s">
        <v>345</v>
      </c>
      <c r="D1765" s="39" t="s">
        <v>137</v>
      </c>
      <c r="E1765" s="39" t="n">
        <v>50</v>
      </c>
      <c r="F1765" s="39" t="str">
        <f aca="false">IF(COUNTIF(medicine_master!$A$2:$A$26,C1765)&gt;0,"Valid","Invalid")</f>
        <v>Valid</v>
      </c>
      <c r="G1765" s="39" t="str">
        <f aca="false">IFERROR(INDEX(medicine_master!$B$2:$B$26,MATCH($C1765,medicine_master!$A$2:$A$26,0)),"Not found")</f>
        <v>Paracetamol 500mg</v>
      </c>
      <c r="H1765" s="39" t="str">
        <f aca="false">IFERROR(INDEX(medicine_master!$C$2:$C$26,MATCH($C1765,medicine_master!$A$2:$A$26,0)),"Not found")</f>
        <v>Pain Relief</v>
      </c>
      <c r="I1765" s="39" t="n">
        <f aca="false">YEAR(B1765)</f>
        <v>2026</v>
      </c>
      <c r="J1765" s="39" t="n">
        <f aca="false">MONTH(B1765)</f>
        <v>9</v>
      </c>
      <c r="K1765" s="39" t="str">
        <f aca="false">TEXT(B1765,"mmm")</f>
        <v>Sep</v>
      </c>
      <c r="L1765" s="45" t="n">
        <f aca="false">IFERROR(INDEX(medicine_master!$I$2:$I$26,MATCH($C1765,medicine_master!$A$2:$A$26,0)),0)</f>
        <v>18</v>
      </c>
      <c r="M1765" s="45" t="n">
        <f aca="false">IFERROR(INDEX(medicine_master!$G$2:$G$26,MATCH($C1765,medicine_master!$A$2:$A$26,0)),0)</f>
        <v>12</v>
      </c>
      <c r="N1765" s="45" t="n">
        <f aca="false">IF(D1765="Sale",E1765*L1765,0)</f>
        <v>900</v>
      </c>
      <c r="O1765" s="45" t="n">
        <f aca="false">IF(D1765="Sale",E1765*M1765,0)</f>
        <v>600</v>
      </c>
      <c r="P1765" s="45" t="n">
        <f aca="false">N1765-O1765</f>
        <v>300</v>
      </c>
      <c r="Q1765" s="45" t="n">
        <f aca="false">IF(D1765="Purchase",E1765*M1765,0)</f>
        <v>0</v>
      </c>
    </row>
    <row r="1766" customFormat="false" ht="15" hidden="false" customHeight="false" outlineLevel="0" collapsed="false">
      <c r="A1766" s="39" t="s">
        <v>2090</v>
      </c>
      <c r="B1766" s="44" t="n">
        <v>46220</v>
      </c>
      <c r="C1766" s="39" t="s">
        <v>148</v>
      </c>
      <c r="D1766" s="39" t="s">
        <v>137</v>
      </c>
      <c r="E1766" s="39" t="n">
        <v>20</v>
      </c>
      <c r="F1766" s="39" t="str">
        <f aca="false">IF(COUNTIF(medicine_master!$A$2:$A$26,C1766)&gt;0,"Valid","Invalid")</f>
        <v>Valid</v>
      </c>
      <c r="G1766" s="39" t="str">
        <f aca="false">IFERROR(INDEX(medicine_master!$B$2:$B$26,MATCH($C1766,medicine_master!$A$2:$A$26,0)),"Not found")</f>
        <v>Dextromethorphan Syrup</v>
      </c>
      <c r="H1766" s="39" t="str">
        <f aca="false">IFERROR(INDEX(medicine_master!$C$2:$C$26,MATCH($C1766,medicine_master!$A$2:$A$26,0)),"Not found")</f>
        <v>Cold &amp; Cough</v>
      </c>
      <c r="I1766" s="39" t="n">
        <f aca="false">YEAR(B1766)</f>
        <v>2026</v>
      </c>
      <c r="J1766" s="39" t="n">
        <f aca="false">MONTH(B1766)</f>
        <v>7</v>
      </c>
      <c r="K1766" s="39" t="str">
        <f aca="false">TEXT(B1766,"mmm")</f>
        <v>Jul</v>
      </c>
      <c r="L1766" s="45" t="n">
        <f aca="false">IFERROR(INDEX(medicine_master!$I$2:$I$26,MATCH($C1766,medicine_master!$A$2:$A$26,0)),0)</f>
        <v>80</v>
      </c>
      <c r="M1766" s="45" t="n">
        <f aca="false">IFERROR(INDEX(medicine_master!$G$2:$G$26,MATCH($C1766,medicine_master!$A$2:$A$26,0)),0)</f>
        <v>58</v>
      </c>
      <c r="N1766" s="45" t="n">
        <f aca="false">IF(D1766="Sale",E1766*L1766,0)</f>
        <v>1600</v>
      </c>
      <c r="O1766" s="45" t="n">
        <f aca="false">IF(D1766="Sale",E1766*M1766,0)</f>
        <v>1160</v>
      </c>
      <c r="P1766" s="45" t="n">
        <f aca="false">N1766-O1766</f>
        <v>440</v>
      </c>
      <c r="Q1766" s="45" t="n">
        <f aca="false">IF(D1766="Purchase",E1766*M1766,0)</f>
        <v>0</v>
      </c>
    </row>
    <row r="1767" customFormat="false" ht="15" hidden="false" customHeight="false" outlineLevel="0" collapsed="false">
      <c r="A1767" s="39" t="s">
        <v>2091</v>
      </c>
      <c r="B1767" s="44" t="n">
        <v>46039</v>
      </c>
      <c r="C1767" s="39" t="s">
        <v>157</v>
      </c>
      <c r="D1767" s="39" t="s">
        <v>138</v>
      </c>
      <c r="E1767" s="39" t="n">
        <v>15</v>
      </c>
      <c r="F1767" s="39" t="str">
        <f aca="false">IF(COUNTIF(medicine_master!$A$2:$A$26,C1767)&gt;0,"Valid","Invalid")</f>
        <v>Valid</v>
      </c>
      <c r="G1767" s="39" t="str">
        <f aca="false">IFERROR(INDEX(medicine_master!$B$2:$B$26,MATCH($C1767,medicine_master!$A$2:$A$26,0)),"Not found")</f>
        <v>Multivitamin Tablets</v>
      </c>
      <c r="H1767" s="39" t="str">
        <f aca="false">IFERROR(INDEX(medicine_master!$C$2:$C$26,MATCH($C1767,medicine_master!$A$2:$A$26,0)),"Not found")</f>
        <v>Vitamin</v>
      </c>
      <c r="I1767" s="39" t="n">
        <f aca="false">YEAR(B1767)</f>
        <v>2026</v>
      </c>
      <c r="J1767" s="39" t="n">
        <f aca="false">MONTH(B1767)</f>
        <v>1</v>
      </c>
      <c r="K1767" s="39" t="str">
        <f aca="false">TEXT(B1767,"mmm")</f>
        <v>Jan</v>
      </c>
      <c r="L1767" s="45" t="n">
        <f aca="false">IFERROR(INDEX(medicine_master!$I$2:$I$26,MATCH($C1767,medicine_master!$A$2:$A$26,0)),0)</f>
        <v>105</v>
      </c>
      <c r="M1767" s="45" t="n">
        <f aca="false">IFERROR(INDEX(medicine_master!$G$2:$G$26,MATCH($C1767,medicine_master!$A$2:$A$26,0)),0)</f>
        <v>72</v>
      </c>
      <c r="N1767" s="45" t="n">
        <f aca="false">IF(D1767="Sale",E1767*L1767,0)</f>
        <v>0</v>
      </c>
      <c r="O1767" s="45" t="n">
        <f aca="false">IF(D1767="Sale",E1767*M1767,0)</f>
        <v>0</v>
      </c>
      <c r="P1767" s="45" t="n">
        <f aca="false">N1767-O1767</f>
        <v>0</v>
      </c>
      <c r="Q1767" s="45" t="n">
        <f aca="false">IF(D1767="Purchase",E1767*M1767,0)</f>
        <v>1080</v>
      </c>
    </row>
    <row r="1768" customFormat="false" ht="15" hidden="false" customHeight="false" outlineLevel="0" collapsed="false">
      <c r="A1768" s="39" t="s">
        <v>2092</v>
      </c>
      <c r="B1768" s="44" t="n">
        <v>46253</v>
      </c>
      <c r="C1768" s="39" t="s">
        <v>144</v>
      </c>
      <c r="D1768" s="39" t="s">
        <v>138</v>
      </c>
      <c r="E1768" s="39" t="n">
        <v>25</v>
      </c>
      <c r="F1768" s="39" t="str">
        <f aca="false">IF(COUNTIF(medicine_master!$A$2:$A$26,C1768)&gt;0,"Valid","Invalid")</f>
        <v>Valid</v>
      </c>
      <c r="G1768" s="39" t="str">
        <f aca="false">IFERROR(INDEX(medicine_master!$B$2:$B$26,MATCH($C1768,medicine_master!$A$2:$A$26,0)),"Not found")</f>
        <v>Glimepiride 2mg</v>
      </c>
      <c r="H1768" s="39" t="str">
        <f aca="false">IFERROR(INDEX(medicine_master!$C$2:$C$26,MATCH($C1768,medicine_master!$A$2:$A$26,0)),"Not found")</f>
        <v>Diabetes</v>
      </c>
      <c r="I1768" s="39" t="n">
        <f aca="false">YEAR(B1768)</f>
        <v>2026</v>
      </c>
      <c r="J1768" s="39" t="n">
        <f aca="false">MONTH(B1768)</f>
        <v>8</v>
      </c>
      <c r="K1768" s="39" t="str">
        <f aca="false">TEXT(B1768,"mmm")</f>
        <v>Aug</v>
      </c>
      <c r="L1768" s="45" t="n">
        <f aca="false">IFERROR(INDEX(medicine_master!$I$2:$I$26,MATCH($C1768,medicine_master!$A$2:$A$26,0)),0)</f>
        <v>52</v>
      </c>
      <c r="M1768" s="45" t="n">
        <f aca="false">IFERROR(INDEX(medicine_master!$G$2:$G$26,MATCH($C1768,medicine_master!$A$2:$A$26,0)),0)</f>
        <v>38</v>
      </c>
      <c r="N1768" s="45" t="n">
        <f aca="false">IF(D1768="Sale",E1768*L1768,0)</f>
        <v>0</v>
      </c>
      <c r="O1768" s="45" t="n">
        <f aca="false">IF(D1768="Sale",E1768*M1768,0)</f>
        <v>0</v>
      </c>
      <c r="P1768" s="45" t="n">
        <f aca="false">N1768-O1768</f>
        <v>0</v>
      </c>
      <c r="Q1768" s="45" t="n">
        <f aca="false">IF(D1768="Purchase",E1768*M1768,0)</f>
        <v>950</v>
      </c>
    </row>
    <row r="1769" customFormat="false" ht="15" hidden="false" customHeight="false" outlineLevel="0" collapsed="false">
      <c r="A1769" s="39" t="s">
        <v>2093</v>
      </c>
      <c r="B1769" s="44" t="n">
        <v>46237</v>
      </c>
      <c r="C1769" s="39" t="s">
        <v>152</v>
      </c>
      <c r="D1769" s="39" t="s">
        <v>138</v>
      </c>
      <c r="E1769" s="39" t="n">
        <v>50</v>
      </c>
      <c r="F1769" s="39" t="str">
        <f aca="false">IF(COUNTIF(medicine_master!$A$2:$A$26,C1769)&gt;0,"Valid","Invalid")</f>
        <v>Valid</v>
      </c>
      <c r="G1769" s="39" t="str">
        <f aca="false">IFERROR(INDEX(medicine_master!$B$2:$B$26,MATCH($C1769,medicine_master!$A$2:$A$26,0)),"Not found")</f>
        <v>Amoxicillin 500mg</v>
      </c>
      <c r="H1769" s="39" t="str">
        <f aca="false">IFERROR(INDEX(medicine_master!$C$2:$C$26,MATCH($C1769,medicine_master!$A$2:$A$26,0)),"Not found")</f>
        <v>Antibiotic</v>
      </c>
      <c r="I1769" s="39" t="n">
        <f aca="false">YEAR(B1769)</f>
        <v>2026</v>
      </c>
      <c r="J1769" s="39" t="n">
        <f aca="false">MONTH(B1769)</f>
        <v>8</v>
      </c>
      <c r="K1769" s="39" t="str">
        <f aca="false">TEXT(B1769,"mmm")</f>
        <v>Aug</v>
      </c>
      <c r="L1769" s="45" t="n">
        <f aca="false">IFERROR(INDEX(medicine_master!$I$2:$I$26,MATCH($C1769,medicine_master!$A$2:$A$26,0)),0)</f>
        <v>40</v>
      </c>
      <c r="M1769" s="45" t="n">
        <f aca="false">IFERROR(INDEX(medicine_master!$G$2:$G$26,MATCH($C1769,medicine_master!$A$2:$A$26,0)),0)</f>
        <v>28</v>
      </c>
      <c r="N1769" s="45" t="n">
        <f aca="false">IF(D1769="Sale",E1769*L1769,0)</f>
        <v>0</v>
      </c>
      <c r="O1769" s="45" t="n">
        <f aca="false">IF(D1769="Sale",E1769*M1769,0)</f>
        <v>0</v>
      </c>
      <c r="P1769" s="45" t="n">
        <f aca="false">N1769-O1769</f>
        <v>0</v>
      </c>
      <c r="Q1769" s="45" t="n">
        <f aca="false">IF(D1769="Purchase",E1769*M1769,0)</f>
        <v>1400</v>
      </c>
    </row>
    <row r="1770" customFormat="false" ht="15" hidden="false" customHeight="false" outlineLevel="0" collapsed="false">
      <c r="A1770" s="39" t="s">
        <v>2094</v>
      </c>
      <c r="B1770" s="44" t="n">
        <v>46121</v>
      </c>
      <c r="C1770" s="39" t="s">
        <v>145</v>
      </c>
      <c r="D1770" s="39" t="s">
        <v>138</v>
      </c>
      <c r="E1770" s="39" t="n">
        <v>50</v>
      </c>
      <c r="F1770" s="39" t="str">
        <f aca="false">IF(COUNTIF(medicine_master!$A$2:$A$26,C1770)&gt;0,"Valid","Invalid")</f>
        <v>Valid</v>
      </c>
      <c r="G1770" s="39" t="str">
        <f aca="false">IFERROR(INDEX(medicine_master!$B$2:$B$26,MATCH($C1770,medicine_master!$A$2:$A$26,0)),"Not found")</f>
        <v>Clotrimazole Cream</v>
      </c>
      <c r="H1770" s="39" t="str">
        <f aca="false">IFERROR(INDEX(medicine_master!$C$2:$C$26,MATCH($C1770,medicine_master!$A$2:$A$26,0)),"Not found")</f>
        <v>Dermatology</v>
      </c>
      <c r="I1770" s="39" t="n">
        <f aca="false">YEAR(B1770)</f>
        <v>2026</v>
      </c>
      <c r="J1770" s="39" t="n">
        <f aca="false">MONTH(B1770)</f>
        <v>4</v>
      </c>
      <c r="K1770" s="39" t="str">
        <f aca="false">TEXT(B1770,"mmm")</f>
        <v>Apr</v>
      </c>
      <c r="L1770" s="45" t="n">
        <f aca="false">IFERROR(INDEX(medicine_master!$I$2:$I$26,MATCH($C1770,medicine_master!$A$2:$A$26,0)),0)</f>
        <v>48</v>
      </c>
      <c r="M1770" s="45" t="n">
        <f aca="false">IFERROR(INDEX(medicine_master!$G$2:$G$26,MATCH($C1770,medicine_master!$A$2:$A$26,0)),0)</f>
        <v>32</v>
      </c>
      <c r="N1770" s="45" t="n">
        <f aca="false">IF(D1770="Sale",E1770*L1770,0)</f>
        <v>0</v>
      </c>
      <c r="O1770" s="45" t="n">
        <f aca="false">IF(D1770="Sale",E1770*M1770,0)</f>
        <v>0</v>
      </c>
      <c r="P1770" s="45" t="n">
        <f aca="false">N1770-O1770</f>
        <v>0</v>
      </c>
      <c r="Q1770" s="45" t="n">
        <f aca="false">IF(D1770="Purchase",E1770*M1770,0)</f>
        <v>1600</v>
      </c>
    </row>
    <row r="1771" customFormat="false" ht="15" hidden="false" customHeight="false" outlineLevel="0" collapsed="false">
      <c r="A1771" s="39" t="s">
        <v>2095</v>
      </c>
      <c r="B1771" s="44" t="n">
        <v>46116</v>
      </c>
      <c r="C1771" s="39" t="s">
        <v>153</v>
      </c>
      <c r="D1771" s="39" t="s">
        <v>138</v>
      </c>
      <c r="E1771" s="39" t="n">
        <v>50</v>
      </c>
      <c r="F1771" s="39" t="str">
        <f aca="false">IF(COUNTIF(medicine_master!$A$2:$A$26,C1771)&gt;0,"Valid","Invalid")</f>
        <v>Valid</v>
      </c>
      <c r="G1771" s="39" t="str">
        <f aca="false">IFERROR(INDEX(medicine_master!$B$2:$B$26,MATCH($C1771,medicine_master!$A$2:$A$26,0)),"Not found")</f>
        <v>Atorvastatin 10mg</v>
      </c>
      <c r="H1771" s="39" t="str">
        <f aca="false">IFERROR(INDEX(medicine_master!$C$2:$C$26,MATCH($C1771,medicine_master!$A$2:$A$26,0)),"Not found")</f>
        <v>Cardiac</v>
      </c>
      <c r="I1771" s="39" t="n">
        <f aca="false">YEAR(B1771)</f>
        <v>2026</v>
      </c>
      <c r="J1771" s="39" t="n">
        <f aca="false">MONTH(B1771)</f>
        <v>4</v>
      </c>
      <c r="K1771" s="39" t="str">
        <f aca="false">TEXT(B1771,"mmm")</f>
        <v>Apr</v>
      </c>
      <c r="L1771" s="45" t="n">
        <f aca="false">IFERROR(INDEX(medicine_master!$I$2:$I$26,MATCH($C1771,medicine_master!$A$2:$A$26,0)),0)</f>
        <v>28</v>
      </c>
      <c r="M1771" s="45" t="n">
        <f aca="false">IFERROR(INDEX(medicine_master!$G$2:$G$26,MATCH($C1771,medicine_master!$A$2:$A$26,0)),0)</f>
        <v>19</v>
      </c>
      <c r="N1771" s="45" t="n">
        <f aca="false">IF(D1771="Sale",E1771*L1771,0)</f>
        <v>0</v>
      </c>
      <c r="O1771" s="45" t="n">
        <f aca="false">IF(D1771="Sale",E1771*M1771,0)</f>
        <v>0</v>
      </c>
      <c r="P1771" s="45" t="n">
        <f aca="false">N1771-O1771</f>
        <v>0</v>
      </c>
      <c r="Q1771" s="45" t="n">
        <f aca="false">IF(D1771="Purchase",E1771*M1771,0)</f>
        <v>950</v>
      </c>
    </row>
    <row r="1772" customFormat="false" ht="15" hidden="false" customHeight="false" outlineLevel="0" collapsed="false">
      <c r="A1772" s="39" t="s">
        <v>2096</v>
      </c>
      <c r="B1772" s="44" t="n">
        <v>46053</v>
      </c>
      <c r="C1772" s="39" t="s">
        <v>495</v>
      </c>
      <c r="D1772" s="39" t="s">
        <v>138</v>
      </c>
      <c r="E1772" s="39" t="n">
        <v>5</v>
      </c>
      <c r="F1772" s="39" t="str">
        <f aca="false">IF(COUNTIF(medicine_master!$A$2:$A$26,C1772)&gt;0,"Valid","Invalid")</f>
        <v>Valid</v>
      </c>
      <c r="G1772" s="39" t="str">
        <f aca="false">IFERROR(INDEX(medicine_master!$B$2:$B$26,MATCH($C1772,medicine_master!$A$2:$A$26,0)),"Not found")</f>
        <v>Metformin 500mg</v>
      </c>
      <c r="H1772" s="39" t="str">
        <f aca="false">IFERROR(INDEX(medicine_master!$C$2:$C$26,MATCH($C1772,medicine_master!$A$2:$A$26,0)),"Not found")</f>
        <v>Diabetes</v>
      </c>
      <c r="I1772" s="39" t="n">
        <f aca="false">YEAR(B1772)</f>
        <v>2026</v>
      </c>
      <c r="J1772" s="39" t="n">
        <f aca="false">MONTH(B1772)</f>
        <v>1</v>
      </c>
      <c r="K1772" s="39" t="str">
        <f aca="false">TEXT(B1772,"mmm")</f>
        <v>Jan</v>
      </c>
      <c r="L1772" s="45" t="n">
        <f aca="false">IFERROR(INDEX(medicine_master!$I$2:$I$26,MATCH($C1772,medicine_master!$A$2:$A$26,0)),0)</f>
        <v>24</v>
      </c>
      <c r="M1772" s="45" t="n">
        <f aca="false">IFERROR(INDEX(medicine_master!$G$2:$G$26,MATCH($C1772,medicine_master!$A$2:$A$26,0)),0)</f>
        <v>16</v>
      </c>
      <c r="N1772" s="45" t="n">
        <f aca="false">IF(D1772="Sale",E1772*L1772,0)</f>
        <v>0</v>
      </c>
      <c r="O1772" s="45" t="n">
        <f aca="false">IF(D1772="Sale",E1772*M1772,0)</f>
        <v>0</v>
      </c>
      <c r="P1772" s="45" t="n">
        <f aca="false">N1772-O1772</f>
        <v>0</v>
      </c>
      <c r="Q1772" s="45" t="n">
        <f aca="false">IF(D1772="Purchase",E1772*M1772,0)</f>
        <v>80</v>
      </c>
    </row>
    <row r="1773" customFormat="false" ht="15" hidden="false" customHeight="false" outlineLevel="0" collapsed="false">
      <c r="A1773" s="39" t="s">
        <v>2097</v>
      </c>
      <c r="B1773" s="44" t="n">
        <v>46127</v>
      </c>
      <c r="C1773" s="39" t="s">
        <v>151</v>
      </c>
      <c r="D1773" s="39" t="s">
        <v>138</v>
      </c>
      <c r="E1773" s="39" t="n">
        <v>25</v>
      </c>
      <c r="F1773" s="39" t="str">
        <f aca="false">IF(COUNTIF(medicine_master!$A$2:$A$26,C1773)&gt;0,"Valid","Invalid")</f>
        <v>Valid</v>
      </c>
      <c r="G1773" s="39" t="str">
        <f aca="false">IFERROR(INDEX(medicine_master!$B$2:$B$26,MATCH($C1773,medicine_master!$A$2:$A$26,0)),"Not found")</f>
        <v>Cetirizine 10mg</v>
      </c>
      <c r="H1773" s="39" t="str">
        <f aca="false">IFERROR(INDEX(medicine_master!$C$2:$C$26,MATCH($C1773,medicine_master!$A$2:$A$26,0)),"Not found")</f>
        <v>Allergy</v>
      </c>
      <c r="I1773" s="39" t="n">
        <f aca="false">YEAR(B1773)</f>
        <v>2026</v>
      </c>
      <c r="J1773" s="39" t="n">
        <f aca="false">MONTH(B1773)</f>
        <v>4</v>
      </c>
      <c r="K1773" s="39" t="str">
        <f aca="false">TEXT(B1773,"mmm")</f>
        <v>Apr</v>
      </c>
      <c r="L1773" s="45" t="n">
        <f aca="false">IFERROR(INDEX(medicine_master!$I$2:$I$26,MATCH($C1773,medicine_master!$A$2:$A$26,0)),0)</f>
        <v>13</v>
      </c>
      <c r="M1773" s="45" t="n">
        <f aca="false">IFERROR(INDEX(medicine_master!$G$2:$G$26,MATCH($C1773,medicine_master!$A$2:$A$26,0)),0)</f>
        <v>8</v>
      </c>
      <c r="N1773" s="45" t="n">
        <f aca="false">IF(D1773="Sale",E1773*L1773,0)</f>
        <v>0</v>
      </c>
      <c r="O1773" s="45" t="n">
        <f aca="false">IF(D1773="Sale",E1773*M1773,0)</f>
        <v>0</v>
      </c>
      <c r="P1773" s="45" t="n">
        <f aca="false">N1773-O1773</f>
        <v>0</v>
      </c>
      <c r="Q1773" s="45" t="n">
        <f aca="false">IF(D1773="Purchase",E1773*M1773,0)</f>
        <v>200</v>
      </c>
    </row>
    <row r="1774" customFormat="false" ht="15" hidden="false" customHeight="false" outlineLevel="0" collapsed="false">
      <c r="A1774" s="39" t="s">
        <v>2098</v>
      </c>
      <c r="B1774" s="44" t="n">
        <v>46080</v>
      </c>
      <c r="C1774" s="39" t="s">
        <v>152</v>
      </c>
      <c r="D1774" s="39" t="s">
        <v>137</v>
      </c>
      <c r="E1774" s="39" t="n">
        <v>40</v>
      </c>
      <c r="F1774" s="39" t="str">
        <f aca="false">IF(COUNTIF(medicine_master!$A$2:$A$26,C1774)&gt;0,"Valid","Invalid")</f>
        <v>Valid</v>
      </c>
      <c r="G1774" s="39" t="str">
        <f aca="false">IFERROR(INDEX(medicine_master!$B$2:$B$26,MATCH($C1774,medicine_master!$A$2:$A$26,0)),"Not found")</f>
        <v>Amoxicillin 500mg</v>
      </c>
      <c r="H1774" s="39" t="str">
        <f aca="false">IFERROR(INDEX(medicine_master!$C$2:$C$26,MATCH($C1774,medicine_master!$A$2:$A$26,0)),"Not found")</f>
        <v>Antibiotic</v>
      </c>
      <c r="I1774" s="39" t="n">
        <f aca="false">YEAR(B1774)</f>
        <v>2026</v>
      </c>
      <c r="J1774" s="39" t="n">
        <f aca="false">MONTH(B1774)</f>
        <v>2</v>
      </c>
      <c r="K1774" s="39" t="str">
        <f aca="false">TEXT(B1774,"mmm")</f>
        <v>Feb</v>
      </c>
      <c r="L1774" s="45" t="n">
        <f aca="false">IFERROR(INDEX(medicine_master!$I$2:$I$26,MATCH($C1774,medicine_master!$A$2:$A$26,0)),0)</f>
        <v>40</v>
      </c>
      <c r="M1774" s="45" t="n">
        <f aca="false">IFERROR(INDEX(medicine_master!$G$2:$G$26,MATCH($C1774,medicine_master!$A$2:$A$26,0)),0)</f>
        <v>28</v>
      </c>
      <c r="N1774" s="45" t="n">
        <f aca="false">IF(D1774="Sale",E1774*L1774,0)</f>
        <v>1600</v>
      </c>
      <c r="O1774" s="45" t="n">
        <f aca="false">IF(D1774="Sale",E1774*M1774,0)</f>
        <v>1120</v>
      </c>
      <c r="P1774" s="45" t="n">
        <f aca="false">N1774-O1774</f>
        <v>480</v>
      </c>
      <c r="Q1774" s="45" t="n">
        <f aca="false">IF(D1774="Purchase",E1774*M1774,0)</f>
        <v>0</v>
      </c>
    </row>
    <row r="1775" customFormat="false" ht="15" hidden="false" customHeight="false" outlineLevel="0" collapsed="false">
      <c r="A1775" s="39" t="s">
        <v>2099</v>
      </c>
      <c r="B1775" s="44" t="n">
        <v>46042</v>
      </c>
      <c r="C1775" s="39" t="s">
        <v>158</v>
      </c>
      <c r="D1775" s="39" t="s">
        <v>137</v>
      </c>
      <c r="E1775" s="39" t="n">
        <v>10</v>
      </c>
      <c r="F1775" s="39" t="str">
        <f aca="false">IF(COUNTIF(medicine_master!$A$2:$A$26,C1775)&gt;0,"Valid","Invalid")</f>
        <v>Valid</v>
      </c>
      <c r="G1775" s="39" t="str">
        <f aca="false">IFERROR(INDEX(medicine_master!$B$2:$B$26,MATCH($C1775,medicine_master!$A$2:$A$26,0)),"Not found")</f>
        <v>Cough Syrup 100ml</v>
      </c>
      <c r="H1775" s="39" t="str">
        <f aca="false">IFERROR(INDEX(medicine_master!$C$2:$C$26,MATCH($C1775,medicine_master!$A$2:$A$26,0)),"Not found")</f>
        <v>Cold &amp; Cough</v>
      </c>
      <c r="I1775" s="39" t="n">
        <f aca="false">YEAR(B1775)</f>
        <v>2026</v>
      </c>
      <c r="J1775" s="39" t="n">
        <f aca="false">MONTH(B1775)</f>
        <v>1</v>
      </c>
      <c r="K1775" s="39" t="str">
        <f aca="false">TEXT(B1775,"mmm")</f>
        <v>Jan</v>
      </c>
      <c r="L1775" s="45" t="n">
        <f aca="false">IFERROR(INDEX(medicine_master!$I$2:$I$26,MATCH($C1775,medicine_master!$A$2:$A$26,0)),0)</f>
        <v>72</v>
      </c>
      <c r="M1775" s="45" t="n">
        <f aca="false">IFERROR(INDEX(medicine_master!$G$2:$G$26,MATCH($C1775,medicine_master!$A$2:$A$26,0)),0)</f>
        <v>52</v>
      </c>
      <c r="N1775" s="45" t="n">
        <f aca="false">IF(D1775="Sale",E1775*L1775,0)</f>
        <v>720</v>
      </c>
      <c r="O1775" s="45" t="n">
        <f aca="false">IF(D1775="Sale",E1775*M1775,0)</f>
        <v>520</v>
      </c>
      <c r="P1775" s="45" t="n">
        <f aca="false">N1775-O1775</f>
        <v>200</v>
      </c>
      <c r="Q1775" s="45" t="n">
        <f aca="false">IF(D1775="Purchase",E1775*M1775,0)</f>
        <v>0</v>
      </c>
    </row>
    <row r="1776" customFormat="false" ht="15" hidden="false" customHeight="false" outlineLevel="0" collapsed="false">
      <c r="A1776" s="39" t="s">
        <v>2100</v>
      </c>
      <c r="B1776" s="44" t="n">
        <v>46143</v>
      </c>
      <c r="C1776" s="39" t="s">
        <v>158</v>
      </c>
      <c r="D1776" s="39" t="s">
        <v>138</v>
      </c>
      <c r="E1776" s="39" t="n">
        <v>30</v>
      </c>
      <c r="F1776" s="39" t="str">
        <f aca="false">IF(COUNTIF(medicine_master!$A$2:$A$26,C1776)&gt;0,"Valid","Invalid")</f>
        <v>Valid</v>
      </c>
      <c r="G1776" s="39" t="str">
        <f aca="false">IFERROR(INDEX(medicine_master!$B$2:$B$26,MATCH($C1776,medicine_master!$A$2:$A$26,0)),"Not found")</f>
        <v>Cough Syrup 100ml</v>
      </c>
      <c r="H1776" s="39" t="str">
        <f aca="false">IFERROR(INDEX(medicine_master!$C$2:$C$26,MATCH($C1776,medicine_master!$A$2:$A$26,0)),"Not found")</f>
        <v>Cold &amp; Cough</v>
      </c>
      <c r="I1776" s="39" t="n">
        <f aca="false">YEAR(B1776)</f>
        <v>2026</v>
      </c>
      <c r="J1776" s="39" t="n">
        <f aca="false">MONTH(B1776)</f>
        <v>5</v>
      </c>
      <c r="K1776" s="39" t="str">
        <f aca="false">TEXT(B1776,"mmm")</f>
        <v>May</v>
      </c>
      <c r="L1776" s="45" t="n">
        <f aca="false">IFERROR(INDEX(medicine_master!$I$2:$I$26,MATCH($C1776,medicine_master!$A$2:$A$26,0)),0)</f>
        <v>72</v>
      </c>
      <c r="M1776" s="45" t="n">
        <f aca="false">IFERROR(INDEX(medicine_master!$G$2:$G$26,MATCH($C1776,medicine_master!$A$2:$A$26,0)),0)</f>
        <v>52</v>
      </c>
      <c r="N1776" s="45" t="n">
        <f aca="false">IF(D1776="Sale",E1776*L1776,0)</f>
        <v>0</v>
      </c>
      <c r="O1776" s="45" t="n">
        <f aca="false">IF(D1776="Sale",E1776*M1776,0)</f>
        <v>0</v>
      </c>
      <c r="P1776" s="45" t="n">
        <f aca="false">N1776-O1776</f>
        <v>0</v>
      </c>
      <c r="Q1776" s="45" t="n">
        <f aca="false">IF(D1776="Purchase",E1776*M1776,0)</f>
        <v>1560</v>
      </c>
    </row>
    <row r="1777" customFormat="false" ht="15" hidden="false" customHeight="false" outlineLevel="0" collapsed="false">
      <c r="A1777" s="39" t="s">
        <v>2101</v>
      </c>
      <c r="B1777" s="44" t="n">
        <v>46023</v>
      </c>
      <c r="C1777" s="39" t="s">
        <v>404</v>
      </c>
      <c r="D1777" s="39" t="s">
        <v>137</v>
      </c>
      <c r="E1777" s="39" t="n">
        <v>15</v>
      </c>
      <c r="F1777" s="39" t="str">
        <f aca="false">IF(COUNTIF(medicine_master!$A$2:$A$26,C1777)&gt;0,"Valid","Invalid")</f>
        <v>Valid</v>
      </c>
      <c r="G1777" s="39" t="str">
        <f aca="false">IFERROR(INDEX(medicine_master!$B$2:$B$26,MATCH($C1777,medicine_master!$A$2:$A$26,0)),"Not found")</f>
        <v>ORS Sachet</v>
      </c>
      <c r="H1777" s="39" t="str">
        <f aca="false">IFERROR(INDEX(medicine_master!$C$2:$C$26,MATCH($C1777,medicine_master!$A$2:$A$26,0)),"Not found")</f>
        <v>First Aid</v>
      </c>
      <c r="I1777" s="39" t="n">
        <f aca="false">YEAR(B1777)</f>
        <v>2026</v>
      </c>
      <c r="J1777" s="39" t="n">
        <f aca="false">MONTH(B1777)</f>
        <v>1</v>
      </c>
      <c r="K1777" s="39" t="str">
        <f aca="false">TEXT(B1777,"mmm")</f>
        <v>Jan</v>
      </c>
      <c r="L1777" s="45" t="n">
        <f aca="false">IFERROR(INDEX(medicine_master!$I$2:$I$26,MATCH($C1777,medicine_master!$A$2:$A$26,0)),0)</f>
        <v>10</v>
      </c>
      <c r="M1777" s="45" t="n">
        <f aca="false">IFERROR(INDEX(medicine_master!$G$2:$G$26,MATCH($C1777,medicine_master!$A$2:$A$26,0)),0)</f>
        <v>6</v>
      </c>
      <c r="N1777" s="45" t="n">
        <f aca="false">IF(D1777="Sale",E1777*L1777,0)</f>
        <v>150</v>
      </c>
      <c r="O1777" s="45" t="n">
        <f aca="false">IF(D1777="Sale",E1777*M1777,0)</f>
        <v>90</v>
      </c>
      <c r="P1777" s="45" t="n">
        <f aca="false">N1777-O1777</f>
        <v>60</v>
      </c>
      <c r="Q1777" s="45" t="n">
        <f aca="false">IF(D1777="Purchase",E1777*M1777,0)</f>
        <v>0</v>
      </c>
    </row>
    <row r="1778" customFormat="false" ht="15" hidden="false" customHeight="false" outlineLevel="0" collapsed="false">
      <c r="A1778" s="39" t="s">
        <v>2102</v>
      </c>
      <c r="B1778" s="44" t="n">
        <v>46070</v>
      </c>
      <c r="C1778" s="39" t="s">
        <v>178</v>
      </c>
      <c r="D1778" s="39" t="s">
        <v>138</v>
      </c>
      <c r="E1778" s="39" t="n">
        <v>25</v>
      </c>
      <c r="F1778" s="39" t="str">
        <f aca="false">IF(COUNTIF(medicine_master!$A$2:$A$26,C1778)&gt;0,"Valid","Invalid")</f>
        <v>Valid</v>
      </c>
      <c r="G1778" s="39" t="str">
        <f aca="false">IFERROR(INDEX(medicine_master!$B$2:$B$26,MATCH($C1778,medicine_master!$A$2:$A$26,0)),"Not found")</f>
        <v>Aspirin 75mg</v>
      </c>
      <c r="H1778" s="39" t="str">
        <f aca="false">IFERROR(INDEX(medicine_master!$C$2:$C$26,MATCH($C1778,medicine_master!$A$2:$A$26,0)),"Not found")</f>
        <v>Cardiac</v>
      </c>
      <c r="I1778" s="39" t="n">
        <f aca="false">YEAR(B1778)</f>
        <v>2026</v>
      </c>
      <c r="J1778" s="39" t="n">
        <f aca="false">MONTH(B1778)</f>
        <v>2</v>
      </c>
      <c r="K1778" s="39" t="str">
        <f aca="false">TEXT(B1778,"mmm")</f>
        <v>Feb</v>
      </c>
      <c r="L1778" s="45" t="n">
        <f aca="false">IFERROR(INDEX(medicine_master!$I$2:$I$26,MATCH($C1778,medicine_master!$A$2:$A$26,0)),0)</f>
        <v>15</v>
      </c>
      <c r="M1778" s="45" t="n">
        <f aca="false">IFERROR(INDEX(medicine_master!$G$2:$G$26,MATCH($C1778,medicine_master!$A$2:$A$26,0)),0)</f>
        <v>10</v>
      </c>
      <c r="N1778" s="45" t="n">
        <f aca="false">IF(D1778="Sale",E1778*L1778,0)</f>
        <v>0</v>
      </c>
      <c r="O1778" s="45" t="n">
        <f aca="false">IF(D1778="Sale",E1778*M1778,0)</f>
        <v>0</v>
      </c>
      <c r="P1778" s="45" t="n">
        <f aca="false">N1778-O1778</f>
        <v>0</v>
      </c>
      <c r="Q1778" s="45" t="n">
        <f aca="false">IF(D1778="Purchase",E1778*M1778,0)</f>
        <v>250</v>
      </c>
    </row>
    <row r="1779" customFormat="false" ht="15" hidden="false" customHeight="false" outlineLevel="0" collapsed="false">
      <c r="A1779" s="39" t="s">
        <v>2103</v>
      </c>
      <c r="B1779" s="44" t="n">
        <v>46116</v>
      </c>
      <c r="C1779" s="39" t="s">
        <v>152</v>
      </c>
      <c r="D1779" s="39" t="s">
        <v>137</v>
      </c>
      <c r="E1779" s="39" t="n">
        <v>15</v>
      </c>
      <c r="F1779" s="39" t="str">
        <f aca="false">IF(COUNTIF(medicine_master!$A$2:$A$26,C1779)&gt;0,"Valid","Invalid")</f>
        <v>Valid</v>
      </c>
      <c r="G1779" s="39" t="str">
        <f aca="false">IFERROR(INDEX(medicine_master!$B$2:$B$26,MATCH($C1779,medicine_master!$A$2:$A$26,0)),"Not found")</f>
        <v>Amoxicillin 500mg</v>
      </c>
      <c r="H1779" s="39" t="str">
        <f aca="false">IFERROR(INDEX(medicine_master!$C$2:$C$26,MATCH($C1779,medicine_master!$A$2:$A$26,0)),"Not found")</f>
        <v>Antibiotic</v>
      </c>
      <c r="I1779" s="39" t="n">
        <f aca="false">YEAR(B1779)</f>
        <v>2026</v>
      </c>
      <c r="J1779" s="39" t="n">
        <f aca="false">MONTH(B1779)</f>
        <v>4</v>
      </c>
      <c r="K1779" s="39" t="str">
        <f aca="false">TEXT(B1779,"mmm")</f>
        <v>Apr</v>
      </c>
      <c r="L1779" s="45" t="n">
        <f aca="false">IFERROR(INDEX(medicine_master!$I$2:$I$26,MATCH($C1779,medicine_master!$A$2:$A$26,0)),0)</f>
        <v>40</v>
      </c>
      <c r="M1779" s="45" t="n">
        <f aca="false">IFERROR(INDEX(medicine_master!$G$2:$G$26,MATCH($C1779,medicine_master!$A$2:$A$26,0)),0)</f>
        <v>28</v>
      </c>
      <c r="N1779" s="45" t="n">
        <f aca="false">IF(D1779="Sale",E1779*L1779,0)</f>
        <v>600</v>
      </c>
      <c r="O1779" s="45" t="n">
        <f aca="false">IF(D1779="Sale",E1779*M1779,0)</f>
        <v>420</v>
      </c>
      <c r="P1779" s="45" t="n">
        <f aca="false">N1779-O1779</f>
        <v>180</v>
      </c>
      <c r="Q1779" s="45" t="n">
        <f aca="false">IF(D1779="Purchase",E1779*M1779,0)</f>
        <v>0</v>
      </c>
    </row>
    <row r="1780" customFormat="false" ht="15" hidden="false" customHeight="false" outlineLevel="0" collapsed="false">
      <c r="A1780" s="39" t="s">
        <v>2104</v>
      </c>
      <c r="B1780" s="44" t="n">
        <v>46207</v>
      </c>
      <c r="C1780" s="39" t="s">
        <v>159</v>
      </c>
      <c r="D1780" s="39" t="s">
        <v>138</v>
      </c>
      <c r="E1780" s="39" t="n">
        <v>25</v>
      </c>
      <c r="F1780" s="39" t="str">
        <f aca="false">IF(COUNTIF(medicine_master!$A$2:$A$26,C1780)&gt;0,"Valid","Invalid")</f>
        <v>Valid</v>
      </c>
      <c r="G1780" s="39" t="str">
        <f aca="false">IFERROR(INDEX(medicine_master!$B$2:$B$26,MATCH($C1780,medicine_master!$A$2:$A$26,0)),"Not found")</f>
        <v>Antiseptic Liquid 100ml</v>
      </c>
      <c r="H1780" s="39" t="str">
        <f aca="false">IFERROR(INDEX(medicine_master!$C$2:$C$26,MATCH($C1780,medicine_master!$A$2:$A$26,0)),"Not found")</f>
        <v>First Aid</v>
      </c>
      <c r="I1780" s="39" t="n">
        <f aca="false">YEAR(B1780)</f>
        <v>2026</v>
      </c>
      <c r="J1780" s="39" t="n">
        <f aca="false">MONTH(B1780)</f>
        <v>7</v>
      </c>
      <c r="K1780" s="39" t="str">
        <f aca="false">TEXT(B1780,"mmm")</f>
        <v>Jul</v>
      </c>
      <c r="L1780" s="45" t="n">
        <f aca="false">IFERROR(INDEX(medicine_master!$I$2:$I$26,MATCH($C1780,medicine_master!$A$2:$A$26,0)),0)</f>
        <v>65</v>
      </c>
      <c r="M1780" s="45" t="n">
        <f aca="false">IFERROR(INDEX(medicine_master!$G$2:$G$26,MATCH($C1780,medicine_master!$A$2:$A$26,0)),0)</f>
        <v>48</v>
      </c>
      <c r="N1780" s="45" t="n">
        <f aca="false">IF(D1780="Sale",E1780*L1780,0)</f>
        <v>0</v>
      </c>
      <c r="O1780" s="45" t="n">
        <f aca="false">IF(D1780="Sale",E1780*M1780,0)</f>
        <v>0</v>
      </c>
      <c r="P1780" s="45" t="n">
        <f aca="false">N1780-O1780</f>
        <v>0</v>
      </c>
      <c r="Q1780" s="45" t="n">
        <f aca="false">IF(D1780="Purchase",E1780*M1780,0)</f>
        <v>1200</v>
      </c>
    </row>
    <row r="1781" customFormat="false" ht="15" hidden="false" customHeight="false" outlineLevel="0" collapsed="false">
      <c r="A1781" s="39" t="s">
        <v>2105</v>
      </c>
      <c r="B1781" s="44" t="n">
        <v>46091</v>
      </c>
      <c r="C1781" s="39" t="s">
        <v>147</v>
      </c>
      <c r="D1781" s="39" t="s">
        <v>137</v>
      </c>
      <c r="E1781" s="39" t="n">
        <v>40</v>
      </c>
      <c r="F1781" s="39" t="str">
        <f aca="false">IF(COUNTIF(medicine_master!$A$2:$A$26,C1781)&gt;0,"Valid","Invalid")</f>
        <v>Valid</v>
      </c>
      <c r="G1781" s="39" t="str">
        <f aca="false">IFERROR(INDEX(medicine_master!$B$2:$B$26,MATCH($C1781,medicine_master!$A$2:$A$26,0)),"Not found")</f>
        <v>Insulin Injection</v>
      </c>
      <c r="H1781" s="39" t="str">
        <f aca="false">IFERROR(INDEX(medicine_master!$C$2:$C$26,MATCH($C1781,medicine_master!$A$2:$A$26,0)),"Not found")</f>
        <v>Diabetes</v>
      </c>
      <c r="I1781" s="39" t="n">
        <f aca="false">YEAR(B1781)</f>
        <v>2026</v>
      </c>
      <c r="J1781" s="39" t="n">
        <f aca="false">MONTH(B1781)</f>
        <v>3</v>
      </c>
      <c r="K1781" s="39" t="str">
        <f aca="false">TEXT(B1781,"mmm")</f>
        <v>Mar</v>
      </c>
      <c r="L1781" s="45" t="n">
        <f aca="false">IFERROR(INDEX(medicine_master!$I$2:$I$26,MATCH($C1781,medicine_master!$A$2:$A$26,0)),0)</f>
        <v>225</v>
      </c>
      <c r="M1781" s="45" t="n">
        <f aca="false">IFERROR(INDEX(medicine_master!$G$2:$G$26,MATCH($C1781,medicine_master!$A$2:$A$26,0)),0)</f>
        <v>165</v>
      </c>
      <c r="N1781" s="45" t="n">
        <f aca="false">IF(D1781="Sale",E1781*L1781,0)</f>
        <v>9000</v>
      </c>
      <c r="O1781" s="45" t="n">
        <f aca="false">IF(D1781="Sale",E1781*M1781,0)</f>
        <v>6600</v>
      </c>
      <c r="P1781" s="45" t="n">
        <f aca="false">N1781-O1781</f>
        <v>2400</v>
      </c>
      <c r="Q1781" s="45" t="n">
        <f aca="false">IF(D1781="Purchase",E1781*M1781,0)</f>
        <v>0</v>
      </c>
    </row>
    <row r="1782" customFormat="false" ht="15" hidden="false" customHeight="false" outlineLevel="0" collapsed="false">
      <c r="A1782" s="39" t="s">
        <v>2106</v>
      </c>
      <c r="B1782" s="44" t="n">
        <v>46238</v>
      </c>
      <c r="C1782" s="39" t="s">
        <v>160</v>
      </c>
      <c r="D1782" s="39" t="s">
        <v>137</v>
      </c>
      <c r="E1782" s="39" t="n">
        <v>30</v>
      </c>
      <c r="F1782" s="39" t="str">
        <f aca="false">IF(COUNTIF(medicine_master!$A$2:$A$26,C1782)&gt;0,"Valid","Invalid")</f>
        <v>Valid</v>
      </c>
      <c r="G1782" s="39" t="str">
        <f aca="false">IFERROR(INDEX(medicine_master!$B$2:$B$26,MATCH($C1782,medicine_master!$A$2:$A$26,0)),"Not found")</f>
        <v>Calamine Lotion</v>
      </c>
      <c r="H1782" s="39" t="str">
        <f aca="false">IFERROR(INDEX(medicine_master!$C$2:$C$26,MATCH($C1782,medicine_master!$A$2:$A$26,0)),"Not found")</f>
        <v>Dermatology</v>
      </c>
      <c r="I1782" s="39" t="n">
        <f aca="false">YEAR(B1782)</f>
        <v>2026</v>
      </c>
      <c r="J1782" s="39" t="n">
        <f aca="false">MONTH(B1782)</f>
        <v>8</v>
      </c>
      <c r="K1782" s="39" t="str">
        <f aca="false">TEXT(B1782,"mmm")</f>
        <v>Aug</v>
      </c>
      <c r="L1782" s="45" t="n">
        <f aca="false">IFERROR(INDEX(medicine_master!$I$2:$I$26,MATCH($C1782,medicine_master!$A$2:$A$26,0)),0)</f>
        <v>60</v>
      </c>
      <c r="M1782" s="45" t="n">
        <f aca="false">IFERROR(INDEX(medicine_master!$G$2:$G$26,MATCH($C1782,medicine_master!$A$2:$A$26,0)),0)</f>
        <v>42</v>
      </c>
      <c r="N1782" s="45" t="n">
        <f aca="false">IF(D1782="Sale",E1782*L1782,0)</f>
        <v>1800</v>
      </c>
      <c r="O1782" s="45" t="n">
        <f aca="false">IF(D1782="Sale",E1782*M1782,0)</f>
        <v>1260</v>
      </c>
      <c r="P1782" s="45" t="n">
        <f aca="false">N1782-O1782</f>
        <v>540</v>
      </c>
      <c r="Q1782" s="45" t="n">
        <f aca="false">IF(D1782="Purchase",E1782*M1782,0)</f>
        <v>0</v>
      </c>
    </row>
    <row r="1783" customFormat="false" ht="15" hidden="false" customHeight="false" outlineLevel="0" collapsed="false">
      <c r="A1783" s="39" t="s">
        <v>2107</v>
      </c>
      <c r="B1783" s="44" t="n">
        <v>46354</v>
      </c>
      <c r="C1783" s="39" t="s">
        <v>167</v>
      </c>
      <c r="D1783" s="39" t="s">
        <v>137</v>
      </c>
      <c r="E1783" s="39" t="n">
        <v>40</v>
      </c>
      <c r="F1783" s="39" t="str">
        <f aca="false">IF(COUNTIF(medicine_master!$A$2:$A$26,C1783)&gt;0,"Valid","Invalid")</f>
        <v>Valid</v>
      </c>
      <c r="G1783" s="39" t="str">
        <f aca="false">IFERROR(INDEX(medicine_master!$B$2:$B$26,MATCH($C1783,medicine_master!$A$2:$A$26,0)),"Not found")</f>
        <v>Amlodipine 5mg</v>
      </c>
      <c r="H1783" s="39" t="str">
        <f aca="false">IFERROR(INDEX(medicine_master!$C$2:$C$26,MATCH($C1783,medicine_master!$A$2:$A$26,0)),"Not found")</f>
        <v>Cardiac</v>
      </c>
      <c r="I1783" s="39" t="n">
        <f aca="false">YEAR(B1783)</f>
        <v>2026</v>
      </c>
      <c r="J1783" s="39" t="n">
        <f aca="false">MONTH(B1783)</f>
        <v>11</v>
      </c>
      <c r="K1783" s="39" t="str">
        <f aca="false">TEXT(B1783,"mmm")</f>
        <v>Nov</v>
      </c>
      <c r="L1783" s="45" t="n">
        <f aca="false">IFERROR(INDEX(medicine_master!$I$2:$I$26,MATCH($C1783,medicine_master!$A$2:$A$26,0)),0)</f>
        <v>19</v>
      </c>
      <c r="M1783" s="45" t="n">
        <f aca="false">IFERROR(INDEX(medicine_master!$G$2:$G$26,MATCH($C1783,medicine_master!$A$2:$A$26,0)),0)</f>
        <v>13</v>
      </c>
      <c r="N1783" s="45" t="n">
        <f aca="false">IF(D1783="Sale",E1783*L1783,0)</f>
        <v>760</v>
      </c>
      <c r="O1783" s="45" t="n">
        <f aca="false">IF(D1783="Sale",E1783*M1783,0)</f>
        <v>520</v>
      </c>
      <c r="P1783" s="45" t="n">
        <f aca="false">N1783-O1783</f>
        <v>240</v>
      </c>
      <c r="Q1783" s="45" t="n">
        <f aca="false">IF(D1783="Purchase",E1783*M1783,0)</f>
        <v>0</v>
      </c>
    </row>
    <row r="1784" customFormat="false" ht="15" hidden="false" customHeight="false" outlineLevel="0" collapsed="false">
      <c r="A1784" s="39" t="s">
        <v>2108</v>
      </c>
      <c r="B1784" s="44" t="n">
        <v>46278</v>
      </c>
      <c r="C1784" s="39" t="s">
        <v>147</v>
      </c>
      <c r="D1784" s="39" t="s">
        <v>138</v>
      </c>
      <c r="E1784" s="39" t="n">
        <v>20</v>
      </c>
      <c r="F1784" s="39" t="str">
        <f aca="false">IF(COUNTIF(medicine_master!$A$2:$A$26,C1784)&gt;0,"Valid","Invalid")</f>
        <v>Valid</v>
      </c>
      <c r="G1784" s="39" t="str">
        <f aca="false">IFERROR(INDEX(medicine_master!$B$2:$B$26,MATCH($C1784,medicine_master!$A$2:$A$26,0)),"Not found")</f>
        <v>Insulin Injection</v>
      </c>
      <c r="H1784" s="39" t="str">
        <f aca="false">IFERROR(INDEX(medicine_master!$C$2:$C$26,MATCH($C1784,medicine_master!$A$2:$A$26,0)),"Not found")</f>
        <v>Diabetes</v>
      </c>
      <c r="I1784" s="39" t="n">
        <f aca="false">YEAR(B1784)</f>
        <v>2026</v>
      </c>
      <c r="J1784" s="39" t="n">
        <f aca="false">MONTH(B1784)</f>
        <v>9</v>
      </c>
      <c r="K1784" s="39" t="str">
        <f aca="false">TEXT(B1784,"mmm")</f>
        <v>Sep</v>
      </c>
      <c r="L1784" s="45" t="n">
        <f aca="false">IFERROR(INDEX(medicine_master!$I$2:$I$26,MATCH($C1784,medicine_master!$A$2:$A$26,0)),0)</f>
        <v>225</v>
      </c>
      <c r="M1784" s="45" t="n">
        <f aca="false">IFERROR(INDEX(medicine_master!$G$2:$G$26,MATCH($C1784,medicine_master!$A$2:$A$26,0)),0)</f>
        <v>165</v>
      </c>
      <c r="N1784" s="45" t="n">
        <f aca="false">IF(D1784="Sale",E1784*L1784,0)</f>
        <v>0</v>
      </c>
      <c r="O1784" s="45" t="n">
        <f aca="false">IF(D1784="Sale",E1784*M1784,0)</f>
        <v>0</v>
      </c>
      <c r="P1784" s="45" t="n">
        <f aca="false">N1784-O1784</f>
        <v>0</v>
      </c>
      <c r="Q1784" s="45" t="n">
        <f aca="false">IF(D1784="Purchase",E1784*M1784,0)</f>
        <v>3300</v>
      </c>
    </row>
    <row r="1785" customFormat="false" ht="15" hidden="false" customHeight="false" outlineLevel="0" collapsed="false">
      <c r="A1785" s="39" t="s">
        <v>2109</v>
      </c>
      <c r="B1785" s="44" t="n">
        <v>46200</v>
      </c>
      <c r="C1785" s="39" t="s">
        <v>167</v>
      </c>
      <c r="D1785" s="39" t="s">
        <v>137</v>
      </c>
      <c r="E1785" s="39" t="n">
        <v>40</v>
      </c>
      <c r="F1785" s="39" t="str">
        <f aca="false">IF(COUNTIF(medicine_master!$A$2:$A$26,C1785)&gt;0,"Valid","Invalid")</f>
        <v>Valid</v>
      </c>
      <c r="G1785" s="39" t="str">
        <f aca="false">IFERROR(INDEX(medicine_master!$B$2:$B$26,MATCH($C1785,medicine_master!$A$2:$A$26,0)),"Not found")</f>
        <v>Amlodipine 5mg</v>
      </c>
      <c r="H1785" s="39" t="str">
        <f aca="false">IFERROR(INDEX(medicine_master!$C$2:$C$26,MATCH($C1785,medicine_master!$A$2:$A$26,0)),"Not found")</f>
        <v>Cardiac</v>
      </c>
      <c r="I1785" s="39" t="n">
        <f aca="false">YEAR(B1785)</f>
        <v>2026</v>
      </c>
      <c r="J1785" s="39" t="n">
        <f aca="false">MONTH(B1785)</f>
        <v>6</v>
      </c>
      <c r="K1785" s="39" t="str">
        <f aca="false">TEXT(B1785,"mmm")</f>
        <v>Jun</v>
      </c>
      <c r="L1785" s="45" t="n">
        <f aca="false">IFERROR(INDEX(medicine_master!$I$2:$I$26,MATCH($C1785,medicine_master!$A$2:$A$26,0)),0)</f>
        <v>19</v>
      </c>
      <c r="M1785" s="45" t="n">
        <f aca="false">IFERROR(INDEX(medicine_master!$G$2:$G$26,MATCH($C1785,medicine_master!$A$2:$A$26,0)),0)</f>
        <v>13</v>
      </c>
      <c r="N1785" s="45" t="n">
        <f aca="false">IF(D1785="Sale",E1785*L1785,0)</f>
        <v>760</v>
      </c>
      <c r="O1785" s="45" t="n">
        <f aca="false">IF(D1785="Sale",E1785*M1785,0)</f>
        <v>520</v>
      </c>
      <c r="P1785" s="45" t="n">
        <f aca="false">N1785-O1785</f>
        <v>240</v>
      </c>
      <c r="Q1785" s="45" t="n">
        <f aca="false">IF(D1785="Purchase",E1785*M1785,0)</f>
        <v>0</v>
      </c>
    </row>
    <row r="1786" customFormat="false" ht="15" hidden="false" customHeight="false" outlineLevel="0" collapsed="false">
      <c r="A1786" s="39" t="s">
        <v>2110</v>
      </c>
      <c r="B1786" s="44" t="n">
        <v>46037</v>
      </c>
      <c r="C1786" s="39" t="s">
        <v>149</v>
      </c>
      <c r="D1786" s="39" t="s">
        <v>138</v>
      </c>
      <c r="E1786" s="39" t="n">
        <v>15</v>
      </c>
      <c r="F1786" s="39" t="str">
        <f aca="false">IF(COUNTIF(medicine_master!$A$2:$A$26,C1786)&gt;0,"Valid","Invalid")</f>
        <v>Valid</v>
      </c>
      <c r="G1786" s="39" t="str">
        <f aca="false">IFERROR(INDEX(medicine_master!$B$2:$B$26,MATCH($C1786,medicine_master!$A$2:$A$26,0)),"Not found")</f>
        <v>Azithromycin 500mg</v>
      </c>
      <c r="H1786" s="39" t="str">
        <f aca="false">IFERROR(INDEX(medicine_master!$C$2:$C$26,MATCH($C1786,medicine_master!$A$2:$A$26,0)),"Not found")</f>
        <v>Antibiotic</v>
      </c>
      <c r="I1786" s="39" t="n">
        <f aca="false">YEAR(B1786)</f>
        <v>2026</v>
      </c>
      <c r="J1786" s="39" t="n">
        <f aca="false">MONTH(B1786)</f>
        <v>1</v>
      </c>
      <c r="K1786" s="39" t="str">
        <f aca="false">TEXT(B1786,"mmm")</f>
        <v>Jan</v>
      </c>
      <c r="L1786" s="45" t="n">
        <f aca="false">IFERROR(INDEX(medicine_master!$I$2:$I$26,MATCH($C1786,medicine_master!$A$2:$A$26,0)),0)</f>
        <v>50</v>
      </c>
      <c r="M1786" s="45" t="n">
        <f aca="false">IFERROR(INDEX(medicine_master!$G$2:$G$26,MATCH($C1786,medicine_master!$A$2:$A$26,0)),0)</f>
        <v>35</v>
      </c>
      <c r="N1786" s="45" t="n">
        <f aca="false">IF(D1786="Sale",E1786*L1786,0)</f>
        <v>0</v>
      </c>
      <c r="O1786" s="45" t="n">
        <f aca="false">IF(D1786="Sale",E1786*M1786,0)</f>
        <v>0</v>
      </c>
      <c r="P1786" s="45" t="n">
        <f aca="false">N1786-O1786</f>
        <v>0</v>
      </c>
      <c r="Q1786" s="45" t="n">
        <f aca="false">IF(D1786="Purchase",E1786*M1786,0)</f>
        <v>525</v>
      </c>
    </row>
    <row r="1787" customFormat="false" ht="15" hidden="false" customHeight="false" outlineLevel="0" collapsed="false">
      <c r="A1787" s="39" t="s">
        <v>2111</v>
      </c>
      <c r="B1787" s="44" t="n">
        <v>46230</v>
      </c>
      <c r="C1787" s="39" t="s">
        <v>326</v>
      </c>
      <c r="D1787" s="39" t="s">
        <v>137</v>
      </c>
      <c r="E1787" s="39" t="n">
        <v>30</v>
      </c>
      <c r="F1787" s="39" t="str">
        <f aca="false">IF(COUNTIF(medicine_master!$A$2:$A$26,C1787)&gt;0,"Valid","Invalid")</f>
        <v>Valid</v>
      </c>
      <c r="G1787" s="39" t="str">
        <f aca="false">IFERROR(INDEX(medicine_master!$B$2:$B$26,MATCH($C1787,medicine_master!$A$2:$A$26,0)),"Not found")</f>
        <v>Omeprazole 20mg</v>
      </c>
      <c r="H1787" s="39" t="str">
        <f aca="false">IFERROR(INDEX(medicine_master!$C$2:$C$26,MATCH($C1787,medicine_master!$A$2:$A$26,0)),"Not found")</f>
        <v>Gastric</v>
      </c>
      <c r="I1787" s="39" t="n">
        <f aca="false">YEAR(B1787)</f>
        <v>2026</v>
      </c>
      <c r="J1787" s="39" t="n">
        <f aca="false">MONTH(B1787)</f>
        <v>7</v>
      </c>
      <c r="K1787" s="39" t="str">
        <f aca="false">TEXT(B1787,"mmm")</f>
        <v>Jul</v>
      </c>
      <c r="L1787" s="45" t="n">
        <f aca="false">IFERROR(INDEX(medicine_master!$I$2:$I$26,MATCH($C1787,medicine_master!$A$2:$A$26,0)),0)</f>
        <v>26</v>
      </c>
      <c r="M1787" s="45" t="n">
        <f aca="false">IFERROR(INDEX(medicine_master!$G$2:$G$26,MATCH($C1787,medicine_master!$A$2:$A$26,0)),0)</f>
        <v>18</v>
      </c>
      <c r="N1787" s="45" t="n">
        <f aca="false">IF(D1787="Sale",E1787*L1787,0)</f>
        <v>780</v>
      </c>
      <c r="O1787" s="45" t="n">
        <f aca="false">IF(D1787="Sale",E1787*M1787,0)</f>
        <v>540</v>
      </c>
      <c r="P1787" s="45" t="n">
        <f aca="false">N1787-O1787</f>
        <v>240</v>
      </c>
      <c r="Q1787" s="45" t="n">
        <f aca="false">IF(D1787="Purchase",E1787*M1787,0)</f>
        <v>0</v>
      </c>
    </row>
    <row r="1788" customFormat="false" ht="15" hidden="false" customHeight="false" outlineLevel="0" collapsed="false">
      <c r="A1788" s="39" t="s">
        <v>2112</v>
      </c>
      <c r="B1788" s="44" t="n">
        <v>46168</v>
      </c>
      <c r="C1788" s="39" t="s">
        <v>180</v>
      </c>
      <c r="D1788" s="39" t="s">
        <v>137</v>
      </c>
      <c r="E1788" s="39" t="n">
        <v>5</v>
      </c>
      <c r="F1788" s="39" t="str">
        <f aca="false">IF(COUNTIF(medicine_master!$A$2:$A$26,C1788)&gt;0,"Valid","Invalid")</f>
        <v>Valid</v>
      </c>
      <c r="G1788" s="39" t="str">
        <f aca="false">IFERROR(INDEX(medicine_master!$B$2:$B$26,MATCH($C1788,medicine_master!$A$2:$A$26,0)),"Not found")</f>
        <v>Vitamin C 500mg</v>
      </c>
      <c r="H1788" s="39" t="str">
        <f aca="false">IFERROR(INDEX(medicine_master!$C$2:$C$26,MATCH($C1788,medicine_master!$A$2:$A$26,0)),"Not found")</f>
        <v>Vitamin</v>
      </c>
      <c r="I1788" s="39" t="n">
        <f aca="false">YEAR(B1788)</f>
        <v>2026</v>
      </c>
      <c r="J1788" s="39" t="n">
        <f aca="false">MONTH(B1788)</f>
        <v>5</v>
      </c>
      <c r="K1788" s="39" t="str">
        <f aca="false">TEXT(B1788,"mmm")</f>
        <v>May</v>
      </c>
      <c r="L1788" s="45" t="n">
        <f aca="false">IFERROR(INDEX(medicine_master!$I$2:$I$26,MATCH($C1788,medicine_master!$A$2:$A$26,0)),0)</f>
        <v>22</v>
      </c>
      <c r="M1788" s="45" t="n">
        <f aca="false">IFERROR(INDEX(medicine_master!$G$2:$G$26,MATCH($C1788,medicine_master!$A$2:$A$26,0)),0)</f>
        <v>14</v>
      </c>
      <c r="N1788" s="45" t="n">
        <f aca="false">IF(D1788="Sale",E1788*L1788,0)</f>
        <v>110</v>
      </c>
      <c r="O1788" s="45" t="n">
        <f aca="false">IF(D1788="Sale",E1788*M1788,0)</f>
        <v>70</v>
      </c>
      <c r="P1788" s="45" t="n">
        <f aca="false">N1788-O1788</f>
        <v>40</v>
      </c>
      <c r="Q1788" s="45" t="n">
        <f aca="false">IF(D1788="Purchase",E1788*M1788,0)</f>
        <v>0</v>
      </c>
    </row>
    <row r="1789" customFormat="false" ht="15" hidden="false" customHeight="false" outlineLevel="0" collapsed="false">
      <c r="A1789" s="39" t="s">
        <v>2113</v>
      </c>
      <c r="B1789" s="44" t="n">
        <v>46333</v>
      </c>
      <c r="C1789" s="39" t="s">
        <v>177</v>
      </c>
      <c r="D1789" s="39" t="s">
        <v>137</v>
      </c>
      <c r="E1789" s="39" t="n">
        <v>10</v>
      </c>
      <c r="F1789" s="39" t="str">
        <f aca="false">IF(COUNTIF(medicine_master!$A$2:$A$26,C1789)&gt;0,"Valid","Invalid")</f>
        <v>Valid</v>
      </c>
      <c r="G1789" s="39" t="str">
        <f aca="false">IFERROR(INDEX(medicine_master!$B$2:$B$26,MATCH($C1789,medicine_master!$A$2:$A$26,0)),"Not found")</f>
        <v>Bandage Roll</v>
      </c>
      <c r="H1789" s="39" t="str">
        <f aca="false">IFERROR(INDEX(medicine_master!$C$2:$C$26,MATCH($C1789,medicine_master!$A$2:$A$26,0)),"Not found")</f>
        <v>First Aid</v>
      </c>
      <c r="I1789" s="39" t="n">
        <f aca="false">YEAR(B1789)</f>
        <v>2026</v>
      </c>
      <c r="J1789" s="39" t="n">
        <f aca="false">MONTH(B1789)</f>
        <v>11</v>
      </c>
      <c r="K1789" s="39" t="str">
        <f aca="false">TEXT(B1789,"mmm")</f>
        <v>Nov</v>
      </c>
      <c r="L1789" s="45" t="n">
        <f aca="false">IFERROR(INDEX(medicine_master!$I$2:$I$26,MATCH($C1789,medicine_master!$A$2:$A$26,0)),0)</f>
        <v>25</v>
      </c>
      <c r="M1789" s="45" t="n">
        <f aca="false">IFERROR(INDEX(medicine_master!$G$2:$G$26,MATCH($C1789,medicine_master!$A$2:$A$26,0)),0)</f>
        <v>15</v>
      </c>
      <c r="N1789" s="45" t="n">
        <f aca="false">IF(D1789="Sale",E1789*L1789,0)</f>
        <v>250</v>
      </c>
      <c r="O1789" s="45" t="n">
        <f aca="false">IF(D1789="Sale",E1789*M1789,0)</f>
        <v>150</v>
      </c>
      <c r="P1789" s="45" t="n">
        <f aca="false">N1789-O1789</f>
        <v>100</v>
      </c>
      <c r="Q1789" s="45" t="n">
        <f aca="false">IF(D1789="Purchase",E1789*M1789,0)</f>
        <v>0</v>
      </c>
    </row>
    <row r="1790" customFormat="false" ht="15" hidden="false" customHeight="false" outlineLevel="0" collapsed="false">
      <c r="A1790" s="39" t="s">
        <v>2114</v>
      </c>
      <c r="B1790" s="44" t="n">
        <v>46051</v>
      </c>
      <c r="C1790" s="39" t="s">
        <v>148</v>
      </c>
      <c r="D1790" s="39" t="s">
        <v>137</v>
      </c>
      <c r="E1790" s="39" t="n">
        <v>25</v>
      </c>
      <c r="F1790" s="39" t="str">
        <f aca="false">IF(COUNTIF(medicine_master!$A$2:$A$26,C1790)&gt;0,"Valid","Invalid")</f>
        <v>Valid</v>
      </c>
      <c r="G1790" s="39" t="str">
        <f aca="false">IFERROR(INDEX(medicine_master!$B$2:$B$26,MATCH($C1790,medicine_master!$A$2:$A$26,0)),"Not found")</f>
        <v>Dextromethorphan Syrup</v>
      </c>
      <c r="H1790" s="39" t="str">
        <f aca="false">IFERROR(INDEX(medicine_master!$C$2:$C$26,MATCH($C1790,medicine_master!$A$2:$A$26,0)),"Not found")</f>
        <v>Cold &amp; Cough</v>
      </c>
      <c r="I1790" s="39" t="n">
        <f aca="false">YEAR(B1790)</f>
        <v>2026</v>
      </c>
      <c r="J1790" s="39" t="n">
        <f aca="false">MONTH(B1790)</f>
        <v>1</v>
      </c>
      <c r="K1790" s="39" t="str">
        <f aca="false">TEXT(B1790,"mmm")</f>
        <v>Jan</v>
      </c>
      <c r="L1790" s="45" t="n">
        <f aca="false">IFERROR(INDEX(medicine_master!$I$2:$I$26,MATCH($C1790,medicine_master!$A$2:$A$26,0)),0)</f>
        <v>80</v>
      </c>
      <c r="M1790" s="45" t="n">
        <f aca="false">IFERROR(INDEX(medicine_master!$G$2:$G$26,MATCH($C1790,medicine_master!$A$2:$A$26,0)),0)</f>
        <v>58</v>
      </c>
      <c r="N1790" s="45" t="n">
        <f aca="false">IF(D1790="Sale",E1790*L1790,0)</f>
        <v>2000</v>
      </c>
      <c r="O1790" s="45" t="n">
        <f aca="false">IF(D1790="Sale",E1790*M1790,0)</f>
        <v>1450</v>
      </c>
      <c r="P1790" s="45" t="n">
        <f aca="false">N1790-O1790</f>
        <v>550</v>
      </c>
      <c r="Q1790" s="45" t="n">
        <f aca="false">IF(D1790="Purchase",E1790*M1790,0)</f>
        <v>0</v>
      </c>
    </row>
    <row r="1791" customFormat="false" ht="15" hidden="false" customHeight="false" outlineLevel="0" collapsed="false">
      <c r="A1791" s="39" t="s">
        <v>2115</v>
      </c>
      <c r="B1791" s="44" t="n">
        <v>46311</v>
      </c>
      <c r="C1791" s="39" t="s">
        <v>178</v>
      </c>
      <c r="D1791" s="39" t="s">
        <v>138</v>
      </c>
      <c r="E1791" s="39" t="n">
        <v>20</v>
      </c>
      <c r="F1791" s="39" t="str">
        <f aca="false">IF(COUNTIF(medicine_master!$A$2:$A$26,C1791)&gt;0,"Valid","Invalid")</f>
        <v>Valid</v>
      </c>
      <c r="G1791" s="39" t="str">
        <f aca="false">IFERROR(INDEX(medicine_master!$B$2:$B$26,MATCH($C1791,medicine_master!$A$2:$A$26,0)),"Not found")</f>
        <v>Aspirin 75mg</v>
      </c>
      <c r="H1791" s="39" t="str">
        <f aca="false">IFERROR(INDEX(medicine_master!$C$2:$C$26,MATCH($C1791,medicine_master!$A$2:$A$26,0)),"Not found")</f>
        <v>Cardiac</v>
      </c>
      <c r="I1791" s="39" t="n">
        <f aca="false">YEAR(B1791)</f>
        <v>2026</v>
      </c>
      <c r="J1791" s="39" t="n">
        <f aca="false">MONTH(B1791)</f>
        <v>10</v>
      </c>
      <c r="K1791" s="39" t="str">
        <f aca="false">TEXT(B1791,"mmm")</f>
        <v>Oct</v>
      </c>
      <c r="L1791" s="45" t="n">
        <f aca="false">IFERROR(INDEX(medicine_master!$I$2:$I$26,MATCH($C1791,medicine_master!$A$2:$A$26,0)),0)</f>
        <v>15</v>
      </c>
      <c r="M1791" s="45" t="n">
        <f aca="false">IFERROR(INDEX(medicine_master!$G$2:$G$26,MATCH($C1791,medicine_master!$A$2:$A$26,0)),0)</f>
        <v>10</v>
      </c>
      <c r="N1791" s="45" t="n">
        <f aca="false">IF(D1791="Sale",E1791*L1791,0)</f>
        <v>0</v>
      </c>
      <c r="O1791" s="45" t="n">
        <f aca="false">IF(D1791="Sale",E1791*M1791,0)</f>
        <v>0</v>
      </c>
      <c r="P1791" s="45" t="n">
        <f aca="false">N1791-O1791</f>
        <v>0</v>
      </c>
      <c r="Q1791" s="45" t="n">
        <f aca="false">IF(D1791="Purchase",E1791*M1791,0)</f>
        <v>200</v>
      </c>
    </row>
    <row r="1792" customFormat="false" ht="15" hidden="false" customHeight="false" outlineLevel="0" collapsed="false">
      <c r="A1792" s="39" t="s">
        <v>2116</v>
      </c>
      <c r="B1792" s="44" t="n">
        <v>46208</v>
      </c>
      <c r="C1792" s="39" t="s">
        <v>153</v>
      </c>
      <c r="D1792" s="39" t="s">
        <v>137</v>
      </c>
      <c r="E1792" s="39" t="n">
        <v>25</v>
      </c>
      <c r="F1792" s="39" t="str">
        <f aca="false">IF(COUNTIF(medicine_master!$A$2:$A$26,C1792)&gt;0,"Valid","Invalid")</f>
        <v>Valid</v>
      </c>
      <c r="G1792" s="39" t="str">
        <f aca="false">IFERROR(INDEX(medicine_master!$B$2:$B$26,MATCH($C1792,medicine_master!$A$2:$A$26,0)),"Not found")</f>
        <v>Atorvastatin 10mg</v>
      </c>
      <c r="H1792" s="39" t="str">
        <f aca="false">IFERROR(INDEX(medicine_master!$C$2:$C$26,MATCH($C1792,medicine_master!$A$2:$A$26,0)),"Not found")</f>
        <v>Cardiac</v>
      </c>
      <c r="I1792" s="39" t="n">
        <f aca="false">YEAR(B1792)</f>
        <v>2026</v>
      </c>
      <c r="J1792" s="39" t="n">
        <f aca="false">MONTH(B1792)</f>
        <v>7</v>
      </c>
      <c r="K1792" s="39" t="str">
        <f aca="false">TEXT(B1792,"mmm")</f>
        <v>Jul</v>
      </c>
      <c r="L1792" s="45" t="n">
        <f aca="false">IFERROR(INDEX(medicine_master!$I$2:$I$26,MATCH($C1792,medicine_master!$A$2:$A$26,0)),0)</f>
        <v>28</v>
      </c>
      <c r="M1792" s="45" t="n">
        <f aca="false">IFERROR(INDEX(medicine_master!$G$2:$G$26,MATCH($C1792,medicine_master!$A$2:$A$26,0)),0)</f>
        <v>19</v>
      </c>
      <c r="N1792" s="45" t="n">
        <f aca="false">IF(D1792="Sale",E1792*L1792,0)</f>
        <v>700</v>
      </c>
      <c r="O1792" s="45" t="n">
        <f aca="false">IF(D1792="Sale",E1792*M1792,0)</f>
        <v>475</v>
      </c>
      <c r="P1792" s="45" t="n">
        <f aca="false">N1792-O1792</f>
        <v>225</v>
      </c>
      <c r="Q1792" s="45" t="n">
        <f aca="false">IF(D1792="Purchase",E1792*M1792,0)</f>
        <v>0</v>
      </c>
    </row>
    <row r="1793" customFormat="false" ht="15" hidden="false" customHeight="false" outlineLevel="0" collapsed="false">
      <c r="A1793" s="39" t="s">
        <v>2117</v>
      </c>
      <c r="B1793" s="44" t="n">
        <v>46203</v>
      </c>
      <c r="C1793" s="39" t="s">
        <v>180</v>
      </c>
      <c r="D1793" s="39" t="s">
        <v>138</v>
      </c>
      <c r="E1793" s="39" t="n">
        <v>30</v>
      </c>
      <c r="F1793" s="39" t="str">
        <f aca="false">IF(COUNTIF(medicine_master!$A$2:$A$26,C1793)&gt;0,"Valid","Invalid")</f>
        <v>Valid</v>
      </c>
      <c r="G1793" s="39" t="str">
        <f aca="false">IFERROR(INDEX(medicine_master!$B$2:$B$26,MATCH($C1793,medicine_master!$A$2:$A$26,0)),"Not found")</f>
        <v>Vitamin C 500mg</v>
      </c>
      <c r="H1793" s="39" t="str">
        <f aca="false">IFERROR(INDEX(medicine_master!$C$2:$C$26,MATCH($C1793,medicine_master!$A$2:$A$26,0)),"Not found")</f>
        <v>Vitamin</v>
      </c>
      <c r="I1793" s="39" t="n">
        <f aca="false">YEAR(B1793)</f>
        <v>2026</v>
      </c>
      <c r="J1793" s="39" t="n">
        <f aca="false">MONTH(B1793)</f>
        <v>6</v>
      </c>
      <c r="K1793" s="39" t="str">
        <f aca="false">TEXT(B1793,"mmm")</f>
        <v>Jun</v>
      </c>
      <c r="L1793" s="45" t="n">
        <f aca="false">IFERROR(INDEX(medicine_master!$I$2:$I$26,MATCH($C1793,medicine_master!$A$2:$A$26,0)),0)</f>
        <v>22</v>
      </c>
      <c r="M1793" s="45" t="n">
        <f aca="false">IFERROR(INDEX(medicine_master!$G$2:$G$26,MATCH($C1793,medicine_master!$A$2:$A$26,0)),0)</f>
        <v>14</v>
      </c>
      <c r="N1793" s="45" t="n">
        <f aca="false">IF(D1793="Sale",E1793*L1793,0)</f>
        <v>0</v>
      </c>
      <c r="O1793" s="45" t="n">
        <f aca="false">IF(D1793="Sale",E1793*M1793,0)</f>
        <v>0</v>
      </c>
      <c r="P1793" s="45" t="n">
        <f aca="false">N1793-O1793</f>
        <v>0</v>
      </c>
      <c r="Q1793" s="45" t="n">
        <f aca="false">IF(D1793="Purchase",E1793*M1793,0)</f>
        <v>420</v>
      </c>
    </row>
    <row r="1794" customFormat="false" ht="15" hidden="false" customHeight="false" outlineLevel="0" collapsed="false">
      <c r="A1794" s="39" t="s">
        <v>2118</v>
      </c>
      <c r="B1794" s="44" t="n">
        <v>46260</v>
      </c>
      <c r="C1794" s="39" t="s">
        <v>345</v>
      </c>
      <c r="D1794" s="39" t="s">
        <v>137</v>
      </c>
      <c r="E1794" s="39" t="n">
        <v>20</v>
      </c>
      <c r="F1794" s="39" t="str">
        <f aca="false">IF(COUNTIF(medicine_master!$A$2:$A$26,C1794)&gt;0,"Valid","Invalid")</f>
        <v>Valid</v>
      </c>
      <c r="G1794" s="39" t="str">
        <f aca="false">IFERROR(INDEX(medicine_master!$B$2:$B$26,MATCH($C1794,medicine_master!$A$2:$A$26,0)),"Not found")</f>
        <v>Paracetamol 500mg</v>
      </c>
      <c r="H1794" s="39" t="str">
        <f aca="false">IFERROR(INDEX(medicine_master!$C$2:$C$26,MATCH($C1794,medicine_master!$A$2:$A$26,0)),"Not found")</f>
        <v>Pain Relief</v>
      </c>
      <c r="I1794" s="39" t="n">
        <f aca="false">YEAR(B1794)</f>
        <v>2026</v>
      </c>
      <c r="J1794" s="39" t="n">
        <f aca="false">MONTH(B1794)</f>
        <v>8</v>
      </c>
      <c r="K1794" s="39" t="str">
        <f aca="false">TEXT(B1794,"mmm")</f>
        <v>Aug</v>
      </c>
      <c r="L1794" s="45" t="n">
        <f aca="false">IFERROR(INDEX(medicine_master!$I$2:$I$26,MATCH($C1794,medicine_master!$A$2:$A$26,0)),0)</f>
        <v>18</v>
      </c>
      <c r="M1794" s="45" t="n">
        <f aca="false">IFERROR(INDEX(medicine_master!$G$2:$G$26,MATCH($C1794,medicine_master!$A$2:$A$26,0)),0)</f>
        <v>12</v>
      </c>
      <c r="N1794" s="45" t="n">
        <f aca="false">IF(D1794="Sale",E1794*L1794,0)</f>
        <v>360</v>
      </c>
      <c r="O1794" s="45" t="n">
        <f aca="false">IF(D1794="Sale",E1794*M1794,0)</f>
        <v>240</v>
      </c>
      <c r="P1794" s="45" t="n">
        <f aca="false">N1794-O1794</f>
        <v>120</v>
      </c>
      <c r="Q1794" s="45" t="n">
        <f aca="false">IF(D1794="Purchase",E1794*M1794,0)</f>
        <v>0</v>
      </c>
    </row>
    <row r="1795" customFormat="false" ht="15" hidden="false" customHeight="false" outlineLevel="0" collapsed="false">
      <c r="A1795" s="39" t="s">
        <v>2119</v>
      </c>
      <c r="B1795" s="44" t="n">
        <v>46211</v>
      </c>
      <c r="C1795" s="39" t="s">
        <v>321</v>
      </c>
      <c r="D1795" s="39" t="s">
        <v>137</v>
      </c>
      <c r="E1795" s="39" t="n">
        <v>15</v>
      </c>
      <c r="F1795" s="39" t="str">
        <f aca="false">IF(COUNTIF(medicine_master!$A$2:$A$26,C1795)&gt;0,"Valid","Invalid")</f>
        <v>Valid</v>
      </c>
      <c r="G1795" s="39" t="str">
        <f aca="false">IFERROR(INDEX(medicine_master!$B$2:$B$26,MATCH($C1795,medicine_master!$A$2:$A$26,0)),"Not found")</f>
        <v>Levocetirizine 5mg</v>
      </c>
      <c r="H1795" s="39" t="str">
        <f aca="false">IFERROR(INDEX(medicine_master!$C$2:$C$26,MATCH($C1795,medicine_master!$A$2:$A$26,0)),"Not found")</f>
        <v>Allergy</v>
      </c>
      <c r="I1795" s="39" t="n">
        <f aca="false">YEAR(B1795)</f>
        <v>2026</v>
      </c>
      <c r="J1795" s="39" t="n">
        <f aca="false">MONTH(B1795)</f>
        <v>7</v>
      </c>
      <c r="K1795" s="39" t="str">
        <f aca="false">TEXT(B1795,"mmm")</f>
        <v>Jul</v>
      </c>
      <c r="L1795" s="45" t="n">
        <f aca="false">IFERROR(INDEX(medicine_master!$I$2:$I$26,MATCH($C1795,medicine_master!$A$2:$A$26,0)),0)</f>
        <v>22</v>
      </c>
      <c r="M1795" s="45" t="n">
        <f aca="false">IFERROR(INDEX(medicine_master!$G$2:$G$26,MATCH($C1795,medicine_master!$A$2:$A$26,0)),0)</f>
        <v>14</v>
      </c>
      <c r="N1795" s="45" t="n">
        <f aca="false">IF(D1795="Sale",E1795*L1795,0)</f>
        <v>330</v>
      </c>
      <c r="O1795" s="45" t="n">
        <f aca="false">IF(D1795="Sale",E1795*M1795,0)</f>
        <v>210</v>
      </c>
      <c r="P1795" s="45" t="n">
        <f aca="false">N1795-O1795</f>
        <v>120</v>
      </c>
      <c r="Q1795" s="45" t="n">
        <f aca="false">IF(D1795="Purchase",E1795*M1795,0)</f>
        <v>0</v>
      </c>
    </row>
    <row r="1796" customFormat="false" ht="15" hidden="false" customHeight="false" outlineLevel="0" collapsed="false">
      <c r="A1796" s="39" t="s">
        <v>2120</v>
      </c>
      <c r="B1796" s="44" t="n">
        <v>46142</v>
      </c>
      <c r="C1796" s="39" t="s">
        <v>152</v>
      </c>
      <c r="D1796" s="39" t="s">
        <v>137</v>
      </c>
      <c r="E1796" s="39" t="n">
        <v>25</v>
      </c>
      <c r="F1796" s="39" t="str">
        <f aca="false">IF(COUNTIF(medicine_master!$A$2:$A$26,C1796)&gt;0,"Valid","Invalid")</f>
        <v>Valid</v>
      </c>
      <c r="G1796" s="39" t="str">
        <f aca="false">IFERROR(INDEX(medicine_master!$B$2:$B$26,MATCH($C1796,medicine_master!$A$2:$A$26,0)),"Not found")</f>
        <v>Amoxicillin 500mg</v>
      </c>
      <c r="H1796" s="39" t="str">
        <f aca="false">IFERROR(INDEX(medicine_master!$C$2:$C$26,MATCH($C1796,medicine_master!$A$2:$A$26,0)),"Not found")</f>
        <v>Antibiotic</v>
      </c>
      <c r="I1796" s="39" t="n">
        <f aca="false">YEAR(B1796)</f>
        <v>2026</v>
      </c>
      <c r="J1796" s="39" t="n">
        <f aca="false">MONTH(B1796)</f>
        <v>4</v>
      </c>
      <c r="K1796" s="39" t="str">
        <f aca="false">TEXT(B1796,"mmm")</f>
        <v>Apr</v>
      </c>
      <c r="L1796" s="45" t="n">
        <f aca="false">IFERROR(INDEX(medicine_master!$I$2:$I$26,MATCH($C1796,medicine_master!$A$2:$A$26,0)),0)</f>
        <v>40</v>
      </c>
      <c r="M1796" s="45" t="n">
        <f aca="false">IFERROR(INDEX(medicine_master!$G$2:$G$26,MATCH($C1796,medicine_master!$A$2:$A$26,0)),0)</f>
        <v>28</v>
      </c>
      <c r="N1796" s="45" t="n">
        <f aca="false">IF(D1796="Sale",E1796*L1796,0)</f>
        <v>1000</v>
      </c>
      <c r="O1796" s="45" t="n">
        <f aca="false">IF(D1796="Sale",E1796*M1796,0)</f>
        <v>700</v>
      </c>
      <c r="P1796" s="45" t="n">
        <f aca="false">N1796-O1796</f>
        <v>300</v>
      </c>
      <c r="Q1796" s="45" t="n">
        <f aca="false">IF(D1796="Purchase",E1796*M1796,0)</f>
        <v>0</v>
      </c>
    </row>
    <row r="1797" customFormat="false" ht="15" hidden="false" customHeight="false" outlineLevel="0" collapsed="false">
      <c r="A1797" s="39" t="s">
        <v>2121</v>
      </c>
      <c r="B1797" s="44" t="n">
        <v>46352</v>
      </c>
      <c r="C1797" s="39" t="s">
        <v>150</v>
      </c>
      <c r="D1797" s="39" t="s">
        <v>137</v>
      </c>
      <c r="E1797" s="39" t="n">
        <v>10</v>
      </c>
      <c r="F1797" s="39" t="str">
        <f aca="false">IF(COUNTIF(medicine_master!$A$2:$A$26,C1797)&gt;0,"Valid","Invalid")</f>
        <v>Valid</v>
      </c>
      <c r="G1797" s="39" t="str">
        <f aca="false">IFERROR(INDEX(medicine_master!$B$2:$B$26,MATCH($C1797,medicine_master!$A$2:$A$26,0)),"Not found")</f>
        <v>Pantoprazole 40mg</v>
      </c>
      <c r="H1797" s="39" t="str">
        <f aca="false">IFERROR(INDEX(medicine_master!$C$2:$C$26,MATCH($C1797,medicine_master!$A$2:$A$26,0)),"Not found")</f>
        <v>Gastric</v>
      </c>
      <c r="I1797" s="39" t="n">
        <f aca="false">YEAR(B1797)</f>
        <v>2026</v>
      </c>
      <c r="J1797" s="39" t="n">
        <f aca="false">MONTH(B1797)</f>
        <v>11</v>
      </c>
      <c r="K1797" s="39" t="str">
        <f aca="false">TEXT(B1797,"mmm")</f>
        <v>Nov</v>
      </c>
      <c r="L1797" s="45" t="n">
        <f aca="false">IFERROR(INDEX(medicine_master!$I$2:$I$26,MATCH($C1797,medicine_master!$A$2:$A$26,0)),0)</f>
        <v>35</v>
      </c>
      <c r="M1797" s="45" t="n">
        <f aca="false">IFERROR(INDEX(medicine_master!$G$2:$G$26,MATCH($C1797,medicine_master!$A$2:$A$26,0)),0)</f>
        <v>24</v>
      </c>
      <c r="N1797" s="45" t="n">
        <f aca="false">IF(D1797="Sale",E1797*L1797,0)</f>
        <v>350</v>
      </c>
      <c r="O1797" s="45" t="n">
        <f aca="false">IF(D1797="Sale",E1797*M1797,0)</f>
        <v>240</v>
      </c>
      <c r="P1797" s="45" t="n">
        <f aca="false">N1797-O1797</f>
        <v>110</v>
      </c>
      <c r="Q1797" s="45" t="n">
        <f aca="false">IF(D1797="Purchase",E1797*M1797,0)</f>
        <v>0</v>
      </c>
    </row>
    <row r="1798" customFormat="false" ht="15" hidden="false" customHeight="false" outlineLevel="0" collapsed="false">
      <c r="A1798" s="39" t="s">
        <v>2122</v>
      </c>
      <c r="B1798" s="44" t="n">
        <v>46240</v>
      </c>
      <c r="C1798" s="39" t="s">
        <v>145</v>
      </c>
      <c r="D1798" s="39" t="s">
        <v>138</v>
      </c>
      <c r="E1798" s="39" t="n">
        <v>15</v>
      </c>
      <c r="F1798" s="39" t="str">
        <f aca="false">IF(COUNTIF(medicine_master!$A$2:$A$26,C1798)&gt;0,"Valid","Invalid")</f>
        <v>Valid</v>
      </c>
      <c r="G1798" s="39" t="str">
        <f aca="false">IFERROR(INDEX(medicine_master!$B$2:$B$26,MATCH($C1798,medicine_master!$A$2:$A$26,0)),"Not found")</f>
        <v>Clotrimazole Cream</v>
      </c>
      <c r="H1798" s="39" t="str">
        <f aca="false">IFERROR(INDEX(medicine_master!$C$2:$C$26,MATCH($C1798,medicine_master!$A$2:$A$26,0)),"Not found")</f>
        <v>Dermatology</v>
      </c>
      <c r="I1798" s="39" t="n">
        <f aca="false">YEAR(B1798)</f>
        <v>2026</v>
      </c>
      <c r="J1798" s="39" t="n">
        <f aca="false">MONTH(B1798)</f>
        <v>8</v>
      </c>
      <c r="K1798" s="39" t="str">
        <f aca="false">TEXT(B1798,"mmm")</f>
        <v>Aug</v>
      </c>
      <c r="L1798" s="45" t="n">
        <f aca="false">IFERROR(INDEX(medicine_master!$I$2:$I$26,MATCH($C1798,medicine_master!$A$2:$A$26,0)),0)</f>
        <v>48</v>
      </c>
      <c r="M1798" s="45" t="n">
        <f aca="false">IFERROR(INDEX(medicine_master!$G$2:$G$26,MATCH($C1798,medicine_master!$A$2:$A$26,0)),0)</f>
        <v>32</v>
      </c>
      <c r="N1798" s="45" t="n">
        <f aca="false">IF(D1798="Sale",E1798*L1798,0)</f>
        <v>0</v>
      </c>
      <c r="O1798" s="45" t="n">
        <f aca="false">IF(D1798="Sale",E1798*M1798,0)</f>
        <v>0</v>
      </c>
      <c r="P1798" s="45" t="n">
        <f aca="false">N1798-O1798</f>
        <v>0</v>
      </c>
      <c r="Q1798" s="45" t="n">
        <f aca="false">IF(D1798="Purchase",E1798*M1798,0)</f>
        <v>480</v>
      </c>
    </row>
    <row r="1799" customFormat="false" ht="15" hidden="false" customHeight="false" outlineLevel="0" collapsed="false">
      <c r="A1799" s="39" t="s">
        <v>2123</v>
      </c>
      <c r="B1799" s="44" t="n">
        <v>46038</v>
      </c>
      <c r="C1799" s="39" t="s">
        <v>157</v>
      </c>
      <c r="D1799" s="39" t="s">
        <v>138</v>
      </c>
      <c r="E1799" s="39" t="n">
        <v>15</v>
      </c>
      <c r="F1799" s="39" t="str">
        <f aca="false">IF(COUNTIF(medicine_master!$A$2:$A$26,C1799)&gt;0,"Valid","Invalid")</f>
        <v>Valid</v>
      </c>
      <c r="G1799" s="39" t="str">
        <f aca="false">IFERROR(INDEX(medicine_master!$B$2:$B$26,MATCH($C1799,medicine_master!$A$2:$A$26,0)),"Not found")</f>
        <v>Multivitamin Tablets</v>
      </c>
      <c r="H1799" s="39" t="str">
        <f aca="false">IFERROR(INDEX(medicine_master!$C$2:$C$26,MATCH($C1799,medicine_master!$A$2:$A$26,0)),"Not found")</f>
        <v>Vitamin</v>
      </c>
      <c r="I1799" s="39" t="n">
        <f aca="false">YEAR(B1799)</f>
        <v>2026</v>
      </c>
      <c r="J1799" s="39" t="n">
        <f aca="false">MONTH(B1799)</f>
        <v>1</v>
      </c>
      <c r="K1799" s="39" t="str">
        <f aca="false">TEXT(B1799,"mmm")</f>
        <v>Jan</v>
      </c>
      <c r="L1799" s="45" t="n">
        <f aca="false">IFERROR(INDEX(medicine_master!$I$2:$I$26,MATCH($C1799,medicine_master!$A$2:$A$26,0)),0)</f>
        <v>105</v>
      </c>
      <c r="M1799" s="45" t="n">
        <f aca="false">IFERROR(INDEX(medicine_master!$G$2:$G$26,MATCH($C1799,medicine_master!$A$2:$A$26,0)),0)</f>
        <v>72</v>
      </c>
      <c r="N1799" s="45" t="n">
        <f aca="false">IF(D1799="Sale",E1799*L1799,0)</f>
        <v>0</v>
      </c>
      <c r="O1799" s="45" t="n">
        <f aca="false">IF(D1799="Sale",E1799*M1799,0)</f>
        <v>0</v>
      </c>
      <c r="P1799" s="45" t="n">
        <f aca="false">N1799-O1799</f>
        <v>0</v>
      </c>
      <c r="Q1799" s="45" t="n">
        <f aca="false">IF(D1799="Purchase",E1799*M1799,0)</f>
        <v>1080</v>
      </c>
    </row>
    <row r="1800" customFormat="false" ht="15" hidden="false" customHeight="false" outlineLevel="0" collapsed="false">
      <c r="A1800" s="39" t="s">
        <v>2124</v>
      </c>
      <c r="B1800" s="44" t="n">
        <v>46043</v>
      </c>
      <c r="C1800" s="39" t="s">
        <v>160</v>
      </c>
      <c r="D1800" s="39" t="s">
        <v>138</v>
      </c>
      <c r="E1800" s="39" t="n">
        <v>15</v>
      </c>
      <c r="F1800" s="39" t="str">
        <f aca="false">IF(COUNTIF(medicine_master!$A$2:$A$26,C1800)&gt;0,"Valid","Invalid")</f>
        <v>Valid</v>
      </c>
      <c r="G1800" s="39" t="str">
        <f aca="false">IFERROR(INDEX(medicine_master!$B$2:$B$26,MATCH($C1800,medicine_master!$A$2:$A$26,0)),"Not found")</f>
        <v>Calamine Lotion</v>
      </c>
      <c r="H1800" s="39" t="str">
        <f aca="false">IFERROR(INDEX(medicine_master!$C$2:$C$26,MATCH($C1800,medicine_master!$A$2:$A$26,0)),"Not found")</f>
        <v>Dermatology</v>
      </c>
      <c r="I1800" s="39" t="n">
        <f aca="false">YEAR(B1800)</f>
        <v>2026</v>
      </c>
      <c r="J1800" s="39" t="n">
        <f aca="false">MONTH(B1800)</f>
        <v>1</v>
      </c>
      <c r="K1800" s="39" t="str">
        <f aca="false">TEXT(B1800,"mmm")</f>
        <v>Jan</v>
      </c>
      <c r="L1800" s="45" t="n">
        <f aca="false">IFERROR(INDEX(medicine_master!$I$2:$I$26,MATCH($C1800,medicine_master!$A$2:$A$26,0)),0)</f>
        <v>60</v>
      </c>
      <c r="M1800" s="45" t="n">
        <f aca="false">IFERROR(INDEX(medicine_master!$G$2:$G$26,MATCH($C1800,medicine_master!$A$2:$A$26,0)),0)</f>
        <v>42</v>
      </c>
      <c r="N1800" s="45" t="n">
        <f aca="false">IF(D1800="Sale",E1800*L1800,0)</f>
        <v>0</v>
      </c>
      <c r="O1800" s="45" t="n">
        <f aca="false">IF(D1800="Sale",E1800*M1800,0)</f>
        <v>0</v>
      </c>
      <c r="P1800" s="45" t="n">
        <f aca="false">N1800-O1800</f>
        <v>0</v>
      </c>
      <c r="Q1800" s="45" t="n">
        <f aca="false">IF(D1800="Purchase",E1800*M1800,0)</f>
        <v>630</v>
      </c>
    </row>
    <row r="1801" customFormat="false" ht="15" hidden="false" customHeight="false" outlineLevel="0" collapsed="false">
      <c r="A1801" s="39" t="s">
        <v>2125</v>
      </c>
      <c r="B1801" s="44" t="n">
        <v>46310</v>
      </c>
      <c r="C1801" s="39" t="s">
        <v>326</v>
      </c>
      <c r="D1801" s="39" t="s">
        <v>137</v>
      </c>
      <c r="E1801" s="39" t="n">
        <v>15</v>
      </c>
      <c r="F1801" s="39" t="str">
        <f aca="false">IF(COUNTIF(medicine_master!$A$2:$A$26,C1801)&gt;0,"Valid","Invalid")</f>
        <v>Valid</v>
      </c>
      <c r="G1801" s="39" t="str">
        <f aca="false">IFERROR(INDEX(medicine_master!$B$2:$B$26,MATCH($C1801,medicine_master!$A$2:$A$26,0)),"Not found")</f>
        <v>Omeprazole 20mg</v>
      </c>
      <c r="H1801" s="39" t="str">
        <f aca="false">IFERROR(INDEX(medicine_master!$C$2:$C$26,MATCH($C1801,medicine_master!$A$2:$A$26,0)),"Not found")</f>
        <v>Gastric</v>
      </c>
      <c r="I1801" s="39" t="n">
        <f aca="false">YEAR(B1801)</f>
        <v>2026</v>
      </c>
      <c r="J1801" s="39" t="n">
        <f aca="false">MONTH(B1801)</f>
        <v>10</v>
      </c>
      <c r="K1801" s="39" t="str">
        <f aca="false">TEXT(B1801,"mmm")</f>
        <v>Oct</v>
      </c>
      <c r="L1801" s="45" t="n">
        <f aca="false">IFERROR(INDEX(medicine_master!$I$2:$I$26,MATCH($C1801,medicine_master!$A$2:$A$26,0)),0)</f>
        <v>26</v>
      </c>
      <c r="M1801" s="45" t="n">
        <f aca="false">IFERROR(INDEX(medicine_master!$G$2:$G$26,MATCH($C1801,medicine_master!$A$2:$A$26,0)),0)</f>
        <v>18</v>
      </c>
      <c r="N1801" s="45" t="n">
        <f aca="false">IF(D1801="Sale",E1801*L1801,0)</f>
        <v>390</v>
      </c>
      <c r="O1801" s="45" t="n">
        <f aca="false">IF(D1801="Sale",E1801*M1801,0)</f>
        <v>270</v>
      </c>
      <c r="P1801" s="45" t="n">
        <f aca="false">N1801-O1801</f>
        <v>120</v>
      </c>
      <c r="Q1801" s="45" t="n">
        <f aca="false">IF(D1801="Purchase",E1801*M1801,0)</f>
        <v>0</v>
      </c>
    </row>
    <row r="1802" customFormat="false" ht="15" hidden="false" customHeight="false" outlineLevel="0" collapsed="false">
      <c r="A1802" s="39" t="s">
        <v>2126</v>
      </c>
      <c r="B1802" s="44" t="n">
        <v>46175</v>
      </c>
      <c r="C1802" s="39" t="s">
        <v>179</v>
      </c>
      <c r="D1802" s="39" t="s">
        <v>138</v>
      </c>
      <c r="E1802" s="39" t="n">
        <v>25</v>
      </c>
      <c r="F1802" s="39" t="str">
        <f aca="false">IF(COUNTIF(medicine_master!$A$2:$A$26,C1802)&gt;0,"Valid","Invalid")</f>
        <v>Valid</v>
      </c>
      <c r="G1802" s="39" t="str">
        <f aca="false">IFERROR(INDEX(medicine_master!$B$2:$B$26,MATCH($C1802,medicine_master!$A$2:$A$26,0)),"Not found")</f>
        <v>Ibuprofen 400mg</v>
      </c>
      <c r="H1802" s="39" t="str">
        <f aca="false">IFERROR(INDEX(medicine_master!$C$2:$C$26,MATCH($C1802,medicine_master!$A$2:$A$26,0)),"Not found")</f>
        <v>Pain Relief</v>
      </c>
      <c r="I1802" s="39" t="n">
        <f aca="false">YEAR(B1802)</f>
        <v>2026</v>
      </c>
      <c r="J1802" s="39" t="n">
        <f aca="false">MONTH(B1802)</f>
        <v>6</v>
      </c>
      <c r="K1802" s="39" t="str">
        <f aca="false">TEXT(B1802,"mmm")</f>
        <v>Jun</v>
      </c>
      <c r="L1802" s="45" t="n">
        <f aca="false">IFERROR(INDEX(medicine_master!$I$2:$I$26,MATCH($C1802,medicine_master!$A$2:$A$26,0)),0)</f>
        <v>30</v>
      </c>
      <c r="M1802" s="45" t="n">
        <f aca="false">IFERROR(INDEX(medicine_master!$G$2:$G$26,MATCH($C1802,medicine_master!$A$2:$A$26,0)),0)</f>
        <v>22</v>
      </c>
      <c r="N1802" s="45" t="n">
        <f aca="false">IF(D1802="Sale",E1802*L1802,0)</f>
        <v>0</v>
      </c>
      <c r="O1802" s="45" t="n">
        <f aca="false">IF(D1802="Sale",E1802*M1802,0)</f>
        <v>0</v>
      </c>
      <c r="P1802" s="45" t="n">
        <f aca="false">N1802-O1802</f>
        <v>0</v>
      </c>
      <c r="Q1802" s="45" t="n">
        <f aca="false">IF(D1802="Purchase",E1802*M1802,0)</f>
        <v>550</v>
      </c>
    </row>
    <row r="1803" customFormat="false" ht="15" hidden="false" customHeight="false" outlineLevel="0" collapsed="false">
      <c r="A1803" s="39" t="s">
        <v>2127</v>
      </c>
      <c r="B1803" s="44" t="n">
        <v>46281</v>
      </c>
      <c r="C1803" s="39" t="s">
        <v>146</v>
      </c>
      <c r="D1803" s="39" t="s">
        <v>137</v>
      </c>
      <c r="E1803" s="39" t="n">
        <v>15</v>
      </c>
      <c r="F1803" s="39" t="str">
        <f aca="false">IF(COUNTIF(medicine_master!$A$2:$A$26,C1803)&gt;0,"Valid","Invalid")</f>
        <v>Valid</v>
      </c>
      <c r="G1803" s="39" t="str">
        <f aca="false">IFERROR(INDEX(medicine_master!$B$2:$B$26,MATCH($C1803,medicine_master!$A$2:$A$26,0)),"Not found")</f>
        <v>Diclofenac Gel</v>
      </c>
      <c r="H1803" s="39" t="str">
        <f aca="false">IFERROR(INDEX(medicine_master!$C$2:$C$26,MATCH($C1803,medicine_master!$A$2:$A$26,0)),"Not found")</f>
        <v>Pain Relief</v>
      </c>
      <c r="I1803" s="39" t="n">
        <f aca="false">YEAR(B1803)</f>
        <v>2026</v>
      </c>
      <c r="J1803" s="39" t="n">
        <f aca="false">MONTH(B1803)</f>
        <v>9</v>
      </c>
      <c r="K1803" s="39" t="str">
        <f aca="false">TEXT(B1803,"mmm")</f>
        <v>Sep</v>
      </c>
      <c r="L1803" s="45" t="n">
        <f aca="false">IFERROR(INDEX(medicine_master!$I$2:$I$26,MATCH($C1803,medicine_master!$A$2:$A$26,0)),0)</f>
        <v>55</v>
      </c>
      <c r="M1803" s="45" t="n">
        <f aca="false">IFERROR(INDEX(medicine_master!$G$2:$G$26,MATCH($C1803,medicine_master!$A$2:$A$26,0)),0)</f>
        <v>38</v>
      </c>
      <c r="N1803" s="45" t="n">
        <f aca="false">IF(D1803="Sale",E1803*L1803,0)</f>
        <v>825</v>
      </c>
      <c r="O1803" s="45" t="n">
        <f aca="false">IF(D1803="Sale",E1803*M1803,0)</f>
        <v>570</v>
      </c>
      <c r="P1803" s="45" t="n">
        <f aca="false">N1803-O1803</f>
        <v>255</v>
      </c>
      <c r="Q1803" s="45" t="n">
        <f aca="false">IF(D1803="Purchase",E1803*M1803,0)</f>
        <v>0</v>
      </c>
    </row>
    <row r="1804" customFormat="false" ht="15" hidden="false" customHeight="false" outlineLevel="0" collapsed="false">
      <c r="A1804" s="39" t="s">
        <v>2128</v>
      </c>
      <c r="B1804" s="44" t="n">
        <v>46279</v>
      </c>
      <c r="C1804" s="39" t="s">
        <v>152</v>
      </c>
      <c r="D1804" s="39" t="s">
        <v>138</v>
      </c>
      <c r="E1804" s="39" t="n">
        <v>30</v>
      </c>
      <c r="F1804" s="39" t="str">
        <f aca="false">IF(COUNTIF(medicine_master!$A$2:$A$26,C1804)&gt;0,"Valid","Invalid")</f>
        <v>Valid</v>
      </c>
      <c r="G1804" s="39" t="str">
        <f aca="false">IFERROR(INDEX(medicine_master!$B$2:$B$26,MATCH($C1804,medicine_master!$A$2:$A$26,0)),"Not found")</f>
        <v>Amoxicillin 500mg</v>
      </c>
      <c r="H1804" s="39" t="str">
        <f aca="false">IFERROR(INDEX(medicine_master!$C$2:$C$26,MATCH($C1804,medicine_master!$A$2:$A$26,0)),"Not found")</f>
        <v>Antibiotic</v>
      </c>
      <c r="I1804" s="39" t="n">
        <f aca="false">YEAR(B1804)</f>
        <v>2026</v>
      </c>
      <c r="J1804" s="39" t="n">
        <f aca="false">MONTH(B1804)</f>
        <v>9</v>
      </c>
      <c r="K1804" s="39" t="str">
        <f aca="false">TEXT(B1804,"mmm")</f>
        <v>Sep</v>
      </c>
      <c r="L1804" s="45" t="n">
        <f aca="false">IFERROR(INDEX(medicine_master!$I$2:$I$26,MATCH($C1804,medicine_master!$A$2:$A$26,0)),0)</f>
        <v>40</v>
      </c>
      <c r="M1804" s="45" t="n">
        <f aca="false">IFERROR(INDEX(medicine_master!$G$2:$G$26,MATCH($C1804,medicine_master!$A$2:$A$26,0)),0)</f>
        <v>28</v>
      </c>
      <c r="N1804" s="45" t="n">
        <f aca="false">IF(D1804="Sale",E1804*L1804,0)</f>
        <v>0</v>
      </c>
      <c r="O1804" s="45" t="n">
        <f aca="false">IF(D1804="Sale",E1804*M1804,0)</f>
        <v>0</v>
      </c>
      <c r="P1804" s="45" t="n">
        <f aca="false">N1804-O1804</f>
        <v>0</v>
      </c>
      <c r="Q1804" s="45" t="n">
        <f aca="false">IF(D1804="Purchase",E1804*M1804,0)</f>
        <v>840</v>
      </c>
    </row>
    <row r="1805" customFormat="false" ht="15" hidden="false" customHeight="false" outlineLevel="0" collapsed="false">
      <c r="A1805" s="39" t="s">
        <v>2129</v>
      </c>
      <c r="B1805" s="44" t="n">
        <v>46259</v>
      </c>
      <c r="C1805" s="39" t="s">
        <v>178</v>
      </c>
      <c r="D1805" s="39" t="s">
        <v>138</v>
      </c>
      <c r="E1805" s="39" t="n">
        <v>40</v>
      </c>
      <c r="F1805" s="39" t="str">
        <f aca="false">IF(COUNTIF(medicine_master!$A$2:$A$26,C1805)&gt;0,"Valid","Invalid")</f>
        <v>Valid</v>
      </c>
      <c r="G1805" s="39" t="str">
        <f aca="false">IFERROR(INDEX(medicine_master!$B$2:$B$26,MATCH($C1805,medicine_master!$A$2:$A$26,0)),"Not found")</f>
        <v>Aspirin 75mg</v>
      </c>
      <c r="H1805" s="39" t="str">
        <f aca="false">IFERROR(INDEX(medicine_master!$C$2:$C$26,MATCH($C1805,medicine_master!$A$2:$A$26,0)),"Not found")</f>
        <v>Cardiac</v>
      </c>
      <c r="I1805" s="39" t="n">
        <f aca="false">YEAR(B1805)</f>
        <v>2026</v>
      </c>
      <c r="J1805" s="39" t="n">
        <f aca="false">MONTH(B1805)</f>
        <v>8</v>
      </c>
      <c r="K1805" s="39" t="str">
        <f aca="false">TEXT(B1805,"mmm")</f>
        <v>Aug</v>
      </c>
      <c r="L1805" s="45" t="n">
        <f aca="false">IFERROR(INDEX(medicine_master!$I$2:$I$26,MATCH($C1805,medicine_master!$A$2:$A$26,0)),0)</f>
        <v>15</v>
      </c>
      <c r="M1805" s="45" t="n">
        <f aca="false">IFERROR(INDEX(medicine_master!$G$2:$G$26,MATCH($C1805,medicine_master!$A$2:$A$26,0)),0)</f>
        <v>10</v>
      </c>
      <c r="N1805" s="45" t="n">
        <f aca="false">IF(D1805="Sale",E1805*L1805,0)</f>
        <v>0</v>
      </c>
      <c r="O1805" s="45" t="n">
        <f aca="false">IF(D1805="Sale",E1805*M1805,0)</f>
        <v>0</v>
      </c>
      <c r="P1805" s="45" t="n">
        <f aca="false">N1805-O1805</f>
        <v>0</v>
      </c>
      <c r="Q1805" s="45" t="n">
        <f aca="false">IF(D1805="Purchase",E1805*M1805,0)</f>
        <v>400</v>
      </c>
    </row>
    <row r="1806" customFormat="false" ht="15" hidden="false" customHeight="false" outlineLevel="0" collapsed="false">
      <c r="A1806" s="39" t="s">
        <v>2130</v>
      </c>
      <c r="B1806" s="44" t="n">
        <v>46324</v>
      </c>
      <c r="C1806" s="39" t="s">
        <v>147</v>
      </c>
      <c r="D1806" s="39" t="s">
        <v>138</v>
      </c>
      <c r="E1806" s="39" t="n">
        <v>15</v>
      </c>
      <c r="F1806" s="39" t="str">
        <f aca="false">IF(COUNTIF(medicine_master!$A$2:$A$26,C1806)&gt;0,"Valid","Invalid")</f>
        <v>Valid</v>
      </c>
      <c r="G1806" s="39" t="str">
        <f aca="false">IFERROR(INDEX(medicine_master!$B$2:$B$26,MATCH($C1806,medicine_master!$A$2:$A$26,0)),"Not found")</f>
        <v>Insulin Injection</v>
      </c>
      <c r="H1806" s="39" t="str">
        <f aca="false">IFERROR(INDEX(medicine_master!$C$2:$C$26,MATCH($C1806,medicine_master!$A$2:$A$26,0)),"Not found")</f>
        <v>Diabetes</v>
      </c>
      <c r="I1806" s="39" t="n">
        <f aca="false">YEAR(B1806)</f>
        <v>2026</v>
      </c>
      <c r="J1806" s="39" t="n">
        <f aca="false">MONTH(B1806)</f>
        <v>10</v>
      </c>
      <c r="K1806" s="39" t="str">
        <f aca="false">TEXT(B1806,"mmm")</f>
        <v>Oct</v>
      </c>
      <c r="L1806" s="45" t="n">
        <f aca="false">IFERROR(INDEX(medicine_master!$I$2:$I$26,MATCH($C1806,medicine_master!$A$2:$A$26,0)),0)</f>
        <v>225</v>
      </c>
      <c r="M1806" s="45" t="n">
        <f aca="false">IFERROR(INDEX(medicine_master!$G$2:$G$26,MATCH($C1806,medicine_master!$A$2:$A$26,0)),0)</f>
        <v>165</v>
      </c>
      <c r="N1806" s="45" t="n">
        <f aca="false">IF(D1806="Sale",E1806*L1806,0)</f>
        <v>0</v>
      </c>
      <c r="O1806" s="45" t="n">
        <f aca="false">IF(D1806="Sale",E1806*M1806,0)</f>
        <v>0</v>
      </c>
      <c r="P1806" s="45" t="n">
        <f aca="false">N1806-O1806</f>
        <v>0</v>
      </c>
      <c r="Q1806" s="45" t="n">
        <f aca="false">IF(D1806="Purchase",E1806*M1806,0)</f>
        <v>2475</v>
      </c>
    </row>
    <row r="1807" customFormat="false" ht="15" hidden="false" customHeight="false" outlineLevel="0" collapsed="false">
      <c r="A1807" s="39" t="s">
        <v>2131</v>
      </c>
      <c r="B1807" s="44" t="n">
        <v>46246</v>
      </c>
      <c r="C1807" s="39" t="s">
        <v>145</v>
      </c>
      <c r="D1807" s="39" t="s">
        <v>137</v>
      </c>
      <c r="E1807" s="39" t="n">
        <v>15</v>
      </c>
      <c r="F1807" s="39" t="str">
        <f aca="false">IF(COUNTIF(medicine_master!$A$2:$A$26,C1807)&gt;0,"Valid","Invalid")</f>
        <v>Valid</v>
      </c>
      <c r="G1807" s="39" t="str">
        <f aca="false">IFERROR(INDEX(medicine_master!$B$2:$B$26,MATCH($C1807,medicine_master!$A$2:$A$26,0)),"Not found")</f>
        <v>Clotrimazole Cream</v>
      </c>
      <c r="H1807" s="39" t="str">
        <f aca="false">IFERROR(INDEX(medicine_master!$C$2:$C$26,MATCH($C1807,medicine_master!$A$2:$A$26,0)),"Not found")</f>
        <v>Dermatology</v>
      </c>
      <c r="I1807" s="39" t="n">
        <f aca="false">YEAR(B1807)</f>
        <v>2026</v>
      </c>
      <c r="J1807" s="39" t="n">
        <f aca="false">MONTH(B1807)</f>
        <v>8</v>
      </c>
      <c r="K1807" s="39" t="str">
        <f aca="false">TEXT(B1807,"mmm")</f>
        <v>Aug</v>
      </c>
      <c r="L1807" s="45" t="n">
        <f aca="false">IFERROR(INDEX(medicine_master!$I$2:$I$26,MATCH($C1807,medicine_master!$A$2:$A$26,0)),0)</f>
        <v>48</v>
      </c>
      <c r="M1807" s="45" t="n">
        <f aca="false">IFERROR(INDEX(medicine_master!$G$2:$G$26,MATCH($C1807,medicine_master!$A$2:$A$26,0)),0)</f>
        <v>32</v>
      </c>
      <c r="N1807" s="45" t="n">
        <f aca="false">IF(D1807="Sale",E1807*L1807,0)</f>
        <v>720</v>
      </c>
      <c r="O1807" s="45" t="n">
        <f aca="false">IF(D1807="Sale",E1807*M1807,0)</f>
        <v>480</v>
      </c>
      <c r="P1807" s="45" t="n">
        <f aca="false">N1807-O1807</f>
        <v>240</v>
      </c>
      <c r="Q1807" s="45" t="n">
        <f aca="false">IF(D1807="Purchase",E1807*M1807,0)</f>
        <v>0</v>
      </c>
    </row>
    <row r="1808" customFormat="false" ht="15" hidden="false" customHeight="false" outlineLevel="0" collapsed="false">
      <c r="A1808" s="39" t="s">
        <v>2132</v>
      </c>
      <c r="B1808" s="44" t="n">
        <v>46046</v>
      </c>
      <c r="C1808" s="39" t="s">
        <v>167</v>
      </c>
      <c r="D1808" s="39" t="s">
        <v>137</v>
      </c>
      <c r="E1808" s="39" t="n">
        <v>30</v>
      </c>
      <c r="F1808" s="39" t="str">
        <f aca="false">IF(COUNTIF(medicine_master!$A$2:$A$26,C1808)&gt;0,"Valid","Invalid")</f>
        <v>Valid</v>
      </c>
      <c r="G1808" s="39" t="str">
        <f aca="false">IFERROR(INDEX(medicine_master!$B$2:$B$26,MATCH($C1808,medicine_master!$A$2:$A$26,0)),"Not found")</f>
        <v>Amlodipine 5mg</v>
      </c>
      <c r="H1808" s="39" t="str">
        <f aca="false">IFERROR(INDEX(medicine_master!$C$2:$C$26,MATCH($C1808,medicine_master!$A$2:$A$26,0)),"Not found")</f>
        <v>Cardiac</v>
      </c>
      <c r="I1808" s="39" t="n">
        <f aca="false">YEAR(B1808)</f>
        <v>2026</v>
      </c>
      <c r="J1808" s="39" t="n">
        <f aca="false">MONTH(B1808)</f>
        <v>1</v>
      </c>
      <c r="K1808" s="39" t="str">
        <f aca="false">TEXT(B1808,"mmm")</f>
        <v>Jan</v>
      </c>
      <c r="L1808" s="45" t="n">
        <f aca="false">IFERROR(INDEX(medicine_master!$I$2:$I$26,MATCH($C1808,medicine_master!$A$2:$A$26,0)),0)</f>
        <v>19</v>
      </c>
      <c r="M1808" s="45" t="n">
        <f aca="false">IFERROR(INDEX(medicine_master!$G$2:$G$26,MATCH($C1808,medicine_master!$A$2:$A$26,0)),0)</f>
        <v>13</v>
      </c>
      <c r="N1808" s="45" t="n">
        <f aca="false">IF(D1808="Sale",E1808*L1808,0)</f>
        <v>570</v>
      </c>
      <c r="O1808" s="45" t="n">
        <f aca="false">IF(D1808="Sale",E1808*M1808,0)</f>
        <v>390</v>
      </c>
      <c r="P1808" s="45" t="n">
        <f aca="false">N1808-O1808</f>
        <v>180</v>
      </c>
      <c r="Q1808" s="45" t="n">
        <f aca="false">IF(D1808="Purchase",E1808*M1808,0)</f>
        <v>0</v>
      </c>
    </row>
    <row r="1809" customFormat="false" ht="15" hidden="false" customHeight="false" outlineLevel="0" collapsed="false">
      <c r="A1809" s="39" t="s">
        <v>2133</v>
      </c>
      <c r="B1809" s="44" t="n">
        <v>46209</v>
      </c>
      <c r="C1809" s="39" t="s">
        <v>146</v>
      </c>
      <c r="D1809" s="39" t="s">
        <v>137</v>
      </c>
      <c r="E1809" s="39" t="n">
        <v>15</v>
      </c>
      <c r="F1809" s="39" t="str">
        <f aca="false">IF(COUNTIF(medicine_master!$A$2:$A$26,C1809)&gt;0,"Valid","Invalid")</f>
        <v>Valid</v>
      </c>
      <c r="G1809" s="39" t="str">
        <f aca="false">IFERROR(INDEX(medicine_master!$B$2:$B$26,MATCH($C1809,medicine_master!$A$2:$A$26,0)),"Not found")</f>
        <v>Diclofenac Gel</v>
      </c>
      <c r="H1809" s="39" t="str">
        <f aca="false">IFERROR(INDEX(medicine_master!$C$2:$C$26,MATCH($C1809,medicine_master!$A$2:$A$26,0)),"Not found")</f>
        <v>Pain Relief</v>
      </c>
      <c r="I1809" s="39" t="n">
        <f aca="false">YEAR(B1809)</f>
        <v>2026</v>
      </c>
      <c r="J1809" s="39" t="n">
        <f aca="false">MONTH(B1809)</f>
        <v>7</v>
      </c>
      <c r="K1809" s="39" t="str">
        <f aca="false">TEXT(B1809,"mmm")</f>
        <v>Jul</v>
      </c>
      <c r="L1809" s="45" t="n">
        <f aca="false">IFERROR(INDEX(medicine_master!$I$2:$I$26,MATCH($C1809,medicine_master!$A$2:$A$26,0)),0)</f>
        <v>55</v>
      </c>
      <c r="M1809" s="45" t="n">
        <f aca="false">IFERROR(INDEX(medicine_master!$G$2:$G$26,MATCH($C1809,medicine_master!$A$2:$A$26,0)),0)</f>
        <v>38</v>
      </c>
      <c r="N1809" s="45" t="n">
        <f aca="false">IF(D1809="Sale",E1809*L1809,0)</f>
        <v>825</v>
      </c>
      <c r="O1809" s="45" t="n">
        <f aca="false">IF(D1809="Sale",E1809*M1809,0)</f>
        <v>570</v>
      </c>
      <c r="P1809" s="45" t="n">
        <f aca="false">N1809-O1809</f>
        <v>255</v>
      </c>
      <c r="Q1809" s="45" t="n">
        <f aca="false">IF(D1809="Purchase",E1809*M1809,0)</f>
        <v>0</v>
      </c>
    </row>
    <row r="1810" customFormat="false" ht="15" hidden="false" customHeight="false" outlineLevel="0" collapsed="false">
      <c r="A1810" s="39" t="s">
        <v>2134</v>
      </c>
      <c r="B1810" s="44" t="n">
        <v>46304</v>
      </c>
      <c r="C1810" s="39" t="s">
        <v>326</v>
      </c>
      <c r="D1810" s="39" t="s">
        <v>137</v>
      </c>
      <c r="E1810" s="39" t="n">
        <v>50</v>
      </c>
      <c r="F1810" s="39" t="str">
        <f aca="false">IF(COUNTIF(medicine_master!$A$2:$A$26,C1810)&gt;0,"Valid","Invalid")</f>
        <v>Valid</v>
      </c>
      <c r="G1810" s="39" t="str">
        <f aca="false">IFERROR(INDEX(medicine_master!$B$2:$B$26,MATCH($C1810,medicine_master!$A$2:$A$26,0)),"Not found")</f>
        <v>Omeprazole 20mg</v>
      </c>
      <c r="H1810" s="39" t="str">
        <f aca="false">IFERROR(INDEX(medicine_master!$C$2:$C$26,MATCH($C1810,medicine_master!$A$2:$A$26,0)),"Not found")</f>
        <v>Gastric</v>
      </c>
      <c r="I1810" s="39" t="n">
        <f aca="false">YEAR(B1810)</f>
        <v>2026</v>
      </c>
      <c r="J1810" s="39" t="n">
        <f aca="false">MONTH(B1810)</f>
        <v>10</v>
      </c>
      <c r="K1810" s="39" t="str">
        <f aca="false">TEXT(B1810,"mmm")</f>
        <v>Oct</v>
      </c>
      <c r="L1810" s="45" t="n">
        <f aca="false">IFERROR(INDEX(medicine_master!$I$2:$I$26,MATCH($C1810,medicine_master!$A$2:$A$26,0)),0)</f>
        <v>26</v>
      </c>
      <c r="M1810" s="45" t="n">
        <f aca="false">IFERROR(INDEX(medicine_master!$G$2:$G$26,MATCH($C1810,medicine_master!$A$2:$A$26,0)),0)</f>
        <v>18</v>
      </c>
      <c r="N1810" s="45" t="n">
        <f aca="false">IF(D1810="Sale",E1810*L1810,0)</f>
        <v>1300</v>
      </c>
      <c r="O1810" s="45" t="n">
        <f aca="false">IF(D1810="Sale",E1810*M1810,0)</f>
        <v>900</v>
      </c>
      <c r="P1810" s="45" t="n">
        <f aca="false">N1810-O1810</f>
        <v>400</v>
      </c>
      <c r="Q1810" s="45" t="n">
        <f aca="false">IF(D1810="Purchase",E1810*M1810,0)</f>
        <v>0</v>
      </c>
    </row>
    <row r="1811" customFormat="false" ht="15" hidden="false" customHeight="false" outlineLevel="0" collapsed="false">
      <c r="A1811" s="39" t="s">
        <v>2135</v>
      </c>
      <c r="B1811" s="44" t="n">
        <v>46204</v>
      </c>
      <c r="C1811" s="39" t="s">
        <v>150</v>
      </c>
      <c r="D1811" s="39" t="s">
        <v>137</v>
      </c>
      <c r="E1811" s="39" t="n">
        <v>15</v>
      </c>
      <c r="F1811" s="39" t="str">
        <f aca="false">IF(COUNTIF(medicine_master!$A$2:$A$26,C1811)&gt;0,"Valid","Invalid")</f>
        <v>Valid</v>
      </c>
      <c r="G1811" s="39" t="str">
        <f aca="false">IFERROR(INDEX(medicine_master!$B$2:$B$26,MATCH($C1811,medicine_master!$A$2:$A$26,0)),"Not found")</f>
        <v>Pantoprazole 40mg</v>
      </c>
      <c r="H1811" s="39" t="str">
        <f aca="false">IFERROR(INDEX(medicine_master!$C$2:$C$26,MATCH($C1811,medicine_master!$A$2:$A$26,0)),"Not found")</f>
        <v>Gastric</v>
      </c>
      <c r="I1811" s="39" t="n">
        <f aca="false">YEAR(B1811)</f>
        <v>2026</v>
      </c>
      <c r="J1811" s="39" t="n">
        <f aca="false">MONTH(B1811)</f>
        <v>7</v>
      </c>
      <c r="K1811" s="39" t="str">
        <f aca="false">TEXT(B1811,"mmm")</f>
        <v>Jul</v>
      </c>
      <c r="L1811" s="45" t="n">
        <f aca="false">IFERROR(INDEX(medicine_master!$I$2:$I$26,MATCH($C1811,medicine_master!$A$2:$A$26,0)),0)</f>
        <v>35</v>
      </c>
      <c r="M1811" s="45" t="n">
        <f aca="false">IFERROR(INDEX(medicine_master!$G$2:$G$26,MATCH($C1811,medicine_master!$A$2:$A$26,0)),0)</f>
        <v>24</v>
      </c>
      <c r="N1811" s="45" t="n">
        <f aca="false">IF(D1811="Sale",E1811*L1811,0)</f>
        <v>525</v>
      </c>
      <c r="O1811" s="45" t="n">
        <f aca="false">IF(D1811="Sale",E1811*M1811,0)</f>
        <v>360</v>
      </c>
      <c r="P1811" s="45" t="n">
        <f aca="false">N1811-O1811</f>
        <v>165</v>
      </c>
      <c r="Q1811" s="45" t="n">
        <f aca="false">IF(D1811="Purchase",E1811*M1811,0)</f>
        <v>0</v>
      </c>
    </row>
    <row r="1812" customFormat="false" ht="15" hidden="false" customHeight="false" outlineLevel="0" collapsed="false">
      <c r="A1812" s="39" t="s">
        <v>2136</v>
      </c>
      <c r="B1812" s="44" t="n">
        <v>46370</v>
      </c>
      <c r="C1812" s="39" t="s">
        <v>151</v>
      </c>
      <c r="D1812" s="39" t="s">
        <v>137</v>
      </c>
      <c r="E1812" s="39" t="n">
        <v>30</v>
      </c>
      <c r="F1812" s="39" t="str">
        <f aca="false">IF(COUNTIF(medicine_master!$A$2:$A$26,C1812)&gt;0,"Valid","Invalid")</f>
        <v>Valid</v>
      </c>
      <c r="G1812" s="39" t="str">
        <f aca="false">IFERROR(INDEX(medicine_master!$B$2:$B$26,MATCH($C1812,medicine_master!$A$2:$A$26,0)),"Not found")</f>
        <v>Cetirizine 10mg</v>
      </c>
      <c r="H1812" s="39" t="str">
        <f aca="false">IFERROR(INDEX(medicine_master!$C$2:$C$26,MATCH($C1812,medicine_master!$A$2:$A$26,0)),"Not found")</f>
        <v>Allergy</v>
      </c>
      <c r="I1812" s="39" t="n">
        <f aca="false">YEAR(B1812)</f>
        <v>2026</v>
      </c>
      <c r="J1812" s="39" t="n">
        <f aca="false">MONTH(B1812)</f>
        <v>12</v>
      </c>
      <c r="K1812" s="39" t="str">
        <f aca="false">TEXT(B1812,"mmm")</f>
        <v>Dec</v>
      </c>
      <c r="L1812" s="45" t="n">
        <f aca="false">IFERROR(INDEX(medicine_master!$I$2:$I$26,MATCH($C1812,medicine_master!$A$2:$A$26,0)),0)</f>
        <v>13</v>
      </c>
      <c r="M1812" s="45" t="n">
        <f aca="false">IFERROR(INDEX(medicine_master!$G$2:$G$26,MATCH($C1812,medicine_master!$A$2:$A$26,0)),0)</f>
        <v>8</v>
      </c>
      <c r="N1812" s="45" t="n">
        <f aca="false">IF(D1812="Sale",E1812*L1812,0)</f>
        <v>390</v>
      </c>
      <c r="O1812" s="45" t="n">
        <f aca="false">IF(D1812="Sale",E1812*M1812,0)</f>
        <v>240</v>
      </c>
      <c r="P1812" s="45" t="n">
        <f aca="false">N1812-O1812</f>
        <v>150</v>
      </c>
      <c r="Q1812" s="45" t="n">
        <f aca="false">IF(D1812="Purchase",E1812*M1812,0)</f>
        <v>0</v>
      </c>
    </row>
    <row r="1813" customFormat="false" ht="15" hidden="false" customHeight="false" outlineLevel="0" collapsed="false">
      <c r="A1813" s="39" t="s">
        <v>2137</v>
      </c>
      <c r="B1813" s="44" t="n">
        <v>46122</v>
      </c>
      <c r="C1813" s="39" t="s">
        <v>148</v>
      </c>
      <c r="D1813" s="39" t="s">
        <v>138</v>
      </c>
      <c r="E1813" s="39" t="n">
        <v>25</v>
      </c>
      <c r="F1813" s="39" t="str">
        <f aca="false">IF(COUNTIF(medicine_master!$A$2:$A$26,C1813)&gt;0,"Valid","Invalid")</f>
        <v>Valid</v>
      </c>
      <c r="G1813" s="39" t="str">
        <f aca="false">IFERROR(INDEX(medicine_master!$B$2:$B$26,MATCH($C1813,medicine_master!$A$2:$A$26,0)),"Not found")</f>
        <v>Dextromethorphan Syrup</v>
      </c>
      <c r="H1813" s="39" t="str">
        <f aca="false">IFERROR(INDEX(medicine_master!$C$2:$C$26,MATCH($C1813,medicine_master!$A$2:$A$26,0)),"Not found")</f>
        <v>Cold &amp; Cough</v>
      </c>
      <c r="I1813" s="39" t="n">
        <f aca="false">YEAR(B1813)</f>
        <v>2026</v>
      </c>
      <c r="J1813" s="39" t="n">
        <f aca="false">MONTH(B1813)</f>
        <v>4</v>
      </c>
      <c r="K1813" s="39" t="str">
        <f aca="false">TEXT(B1813,"mmm")</f>
        <v>Apr</v>
      </c>
      <c r="L1813" s="45" t="n">
        <f aca="false">IFERROR(INDEX(medicine_master!$I$2:$I$26,MATCH($C1813,medicine_master!$A$2:$A$26,0)),0)</f>
        <v>80</v>
      </c>
      <c r="M1813" s="45" t="n">
        <f aca="false">IFERROR(INDEX(medicine_master!$G$2:$G$26,MATCH($C1813,medicine_master!$A$2:$A$26,0)),0)</f>
        <v>58</v>
      </c>
      <c r="N1813" s="45" t="n">
        <f aca="false">IF(D1813="Sale",E1813*L1813,0)</f>
        <v>0</v>
      </c>
      <c r="O1813" s="45" t="n">
        <f aca="false">IF(D1813="Sale",E1813*M1813,0)</f>
        <v>0</v>
      </c>
      <c r="P1813" s="45" t="n">
        <f aca="false">N1813-O1813</f>
        <v>0</v>
      </c>
      <c r="Q1813" s="45" t="n">
        <f aca="false">IF(D1813="Purchase",E1813*M1813,0)</f>
        <v>1450</v>
      </c>
    </row>
    <row r="1814" customFormat="false" ht="15" hidden="false" customHeight="false" outlineLevel="0" collapsed="false">
      <c r="A1814" s="39" t="s">
        <v>2138</v>
      </c>
      <c r="B1814" s="44" t="n">
        <v>46123</v>
      </c>
      <c r="C1814" s="39" t="s">
        <v>152</v>
      </c>
      <c r="D1814" s="39" t="s">
        <v>137</v>
      </c>
      <c r="E1814" s="39" t="n">
        <v>20</v>
      </c>
      <c r="F1814" s="39" t="str">
        <f aca="false">IF(COUNTIF(medicine_master!$A$2:$A$26,C1814)&gt;0,"Valid","Invalid")</f>
        <v>Valid</v>
      </c>
      <c r="G1814" s="39" t="str">
        <f aca="false">IFERROR(INDEX(medicine_master!$B$2:$B$26,MATCH($C1814,medicine_master!$A$2:$A$26,0)),"Not found")</f>
        <v>Amoxicillin 500mg</v>
      </c>
      <c r="H1814" s="39" t="str">
        <f aca="false">IFERROR(INDEX(medicine_master!$C$2:$C$26,MATCH($C1814,medicine_master!$A$2:$A$26,0)),"Not found")</f>
        <v>Antibiotic</v>
      </c>
      <c r="I1814" s="39" t="n">
        <f aca="false">YEAR(B1814)</f>
        <v>2026</v>
      </c>
      <c r="J1814" s="39" t="n">
        <f aca="false">MONTH(B1814)</f>
        <v>4</v>
      </c>
      <c r="K1814" s="39" t="str">
        <f aca="false">TEXT(B1814,"mmm")</f>
        <v>Apr</v>
      </c>
      <c r="L1814" s="45" t="n">
        <f aca="false">IFERROR(INDEX(medicine_master!$I$2:$I$26,MATCH($C1814,medicine_master!$A$2:$A$26,0)),0)</f>
        <v>40</v>
      </c>
      <c r="M1814" s="45" t="n">
        <f aca="false">IFERROR(INDEX(medicine_master!$G$2:$G$26,MATCH($C1814,medicine_master!$A$2:$A$26,0)),0)</f>
        <v>28</v>
      </c>
      <c r="N1814" s="45" t="n">
        <f aca="false">IF(D1814="Sale",E1814*L1814,0)</f>
        <v>800</v>
      </c>
      <c r="O1814" s="45" t="n">
        <f aca="false">IF(D1814="Sale",E1814*M1814,0)</f>
        <v>560</v>
      </c>
      <c r="P1814" s="45" t="n">
        <f aca="false">N1814-O1814</f>
        <v>240</v>
      </c>
      <c r="Q1814" s="45" t="n">
        <f aca="false">IF(D1814="Purchase",E1814*M1814,0)</f>
        <v>0</v>
      </c>
    </row>
    <row r="1815" customFormat="false" ht="15" hidden="false" customHeight="false" outlineLevel="0" collapsed="false">
      <c r="A1815" s="39" t="s">
        <v>2139</v>
      </c>
      <c r="B1815" s="44" t="n">
        <v>46386</v>
      </c>
      <c r="C1815" s="39" t="s">
        <v>179</v>
      </c>
      <c r="D1815" s="39" t="s">
        <v>137</v>
      </c>
      <c r="E1815" s="39" t="n">
        <v>25</v>
      </c>
      <c r="F1815" s="39" t="str">
        <f aca="false">IF(COUNTIF(medicine_master!$A$2:$A$26,C1815)&gt;0,"Valid","Invalid")</f>
        <v>Valid</v>
      </c>
      <c r="G1815" s="39" t="str">
        <f aca="false">IFERROR(INDEX(medicine_master!$B$2:$B$26,MATCH($C1815,medicine_master!$A$2:$A$26,0)),"Not found")</f>
        <v>Ibuprofen 400mg</v>
      </c>
      <c r="H1815" s="39" t="str">
        <f aca="false">IFERROR(INDEX(medicine_master!$C$2:$C$26,MATCH($C1815,medicine_master!$A$2:$A$26,0)),"Not found")</f>
        <v>Pain Relief</v>
      </c>
      <c r="I1815" s="39" t="n">
        <f aca="false">YEAR(B1815)</f>
        <v>2026</v>
      </c>
      <c r="J1815" s="39" t="n">
        <f aca="false">MONTH(B1815)</f>
        <v>12</v>
      </c>
      <c r="K1815" s="39" t="str">
        <f aca="false">TEXT(B1815,"mmm")</f>
        <v>Dec</v>
      </c>
      <c r="L1815" s="45" t="n">
        <f aca="false">IFERROR(INDEX(medicine_master!$I$2:$I$26,MATCH($C1815,medicine_master!$A$2:$A$26,0)),0)</f>
        <v>30</v>
      </c>
      <c r="M1815" s="45" t="n">
        <f aca="false">IFERROR(INDEX(medicine_master!$G$2:$G$26,MATCH($C1815,medicine_master!$A$2:$A$26,0)),0)</f>
        <v>22</v>
      </c>
      <c r="N1815" s="45" t="n">
        <f aca="false">IF(D1815="Sale",E1815*L1815,0)</f>
        <v>750</v>
      </c>
      <c r="O1815" s="45" t="n">
        <f aca="false">IF(D1815="Sale",E1815*M1815,0)</f>
        <v>550</v>
      </c>
      <c r="P1815" s="45" t="n">
        <f aca="false">N1815-O1815</f>
        <v>200</v>
      </c>
      <c r="Q1815" s="45" t="n">
        <f aca="false">IF(D1815="Purchase",E1815*M1815,0)</f>
        <v>0</v>
      </c>
    </row>
    <row r="1816" customFormat="false" ht="15" hidden="false" customHeight="false" outlineLevel="0" collapsed="false">
      <c r="A1816" s="39" t="s">
        <v>2140</v>
      </c>
      <c r="B1816" s="44" t="n">
        <v>46236</v>
      </c>
      <c r="C1816" s="39" t="s">
        <v>160</v>
      </c>
      <c r="D1816" s="39" t="s">
        <v>138</v>
      </c>
      <c r="E1816" s="39" t="n">
        <v>40</v>
      </c>
      <c r="F1816" s="39" t="str">
        <f aca="false">IF(COUNTIF(medicine_master!$A$2:$A$26,C1816)&gt;0,"Valid","Invalid")</f>
        <v>Valid</v>
      </c>
      <c r="G1816" s="39" t="str">
        <f aca="false">IFERROR(INDEX(medicine_master!$B$2:$B$26,MATCH($C1816,medicine_master!$A$2:$A$26,0)),"Not found")</f>
        <v>Calamine Lotion</v>
      </c>
      <c r="H1816" s="39" t="str">
        <f aca="false">IFERROR(INDEX(medicine_master!$C$2:$C$26,MATCH($C1816,medicine_master!$A$2:$A$26,0)),"Not found")</f>
        <v>Dermatology</v>
      </c>
      <c r="I1816" s="39" t="n">
        <f aca="false">YEAR(B1816)</f>
        <v>2026</v>
      </c>
      <c r="J1816" s="39" t="n">
        <f aca="false">MONTH(B1816)</f>
        <v>8</v>
      </c>
      <c r="K1816" s="39" t="str">
        <f aca="false">TEXT(B1816,"mmm")</f>
        <v>Aug</v>
      </c>
      <c r="L1816" s="45" t="n">
        <f aca="false">IFERROR(INDEX(medicine_master!$I$2:$I$26,MATCH($C1816,medicine_master!$A$2:$A$26,0)),0)</f>
        <v>60</v>
      </c>
      <c r="M1816" s="45" t="n">
        <f aca="false">IFERROR(INDEX(medicine_master!$G$2:$G$26,MATCH($C1816,medicine_master!$A$2:$A$26,0)),0)</f>
        <v>42</v>
      </c>
      <c r="N1816" s="45" t="n">
        <f aca="false">IF(D1816="Sale",E1816*L1816,0)</f>
        <v>0</v>
      </c>
      <c r="O1816" s="45" t="n">
        <f aca="false">IF(D1816="Sale",E1816*M1816,0)</f>
        <v>0</v>
      </c>
      <c r="P1816" s="45" t="n">
        <f aca="false">N1816-O1816</f>
        <v>0</v>
      </c>
      <c r="Q1816" s="45" t="n">
        <f aca="false">IF(D1816="Purchase",E1816*M1816,0)</f>
        <v>1680</v>
      </c>
    </row>
    <row r="1817" customFormat="false" ht="15" hidden="false" customHeight="false" outlineLevel="0" collapsed="false">
      <c r="A1817" s="39" t="s">
        <v>2141</v>
      </c>
      <c r="B1817" s="44" t="n">
        <v>46353</v>
      </c>
      <c r="C1817" s="39" t="s">
        <v>147</v>
      </c>
      <c r="D1817" s="39" t="s">
        <v>137</v>
      </c>
      <c r="E1817" s="39" t="n">
        <v>30</v>
      </c>
      <c r="F1817" s="39" t="str">
        <f aca="false">IF(COUNTIF(medicine_master!$A$2:$A$26,C1817)&gt;0,"Valid","Invalid")</f>
        <v>Valid</v>
      </c>
      <c r="G1817" s="39" t="str">
        <f aca="false">IFERROR(INDEX(medicine_master!$B$2:$B$26,MATCH($C1817,medicine_master!$A$2:$A$26,0)),"Not found")</f>
        <v>Insulin Injection</v>
      </c>
      <c r="H1817" s="39" t="str">
        <f aca="false">IFERROR(INDEX(medicine_master!$C$2:$C$26,MATCH($C1817,medicine_master!$A$2:$A$26,0)),"Not found")</f>
        <v>Diabetes</v>
      </c>
      <c r="I1817" s="39" t="n">
        <f aca="false">YEAR(B1817)</f>
        <v>2026</v>
      </c>
      <c r="J1817" s="39" t="n">
        <f aca="false">MONTH(B1817)</f>
        <v>11</v>
      </c>
      <c r="K1817" s="39" t="str">
        <f aca="false">TEXT(B1817,"mmm")</f>
        <v>Nov</v>
      </c>
      <c r="L1817" s="45" t="n">
        <f aca="false">IFERROR(INDEX(medicine_master!$I$2:$I$26,MATCH($C1817,medicine_master!$A$2:$A$26,0)),0)</f>
        <v>225</v>
      </c>
      <c r="M1817" s="45" t="n">
        <f aca="false">IFERROR(INDEX(medicine_master!$G$2:$G$26,MATCH($C1817,medicine_master!$A$2:$A$26,0)),0)</f>
        <v>165</v>
      </c>
      <c r="N1817" s="45" t="n">
        <f aca="false">IF(D1817="Sale",E1817*L1817,0)</f>
        <v>6750</v>
      </c>
      <c r="O1817" s="45" t="n">
        <f aca="false">IF(D1817="Sale",E1817*M1817,0)</f>
        <v>4950</v>
      </c>
      <c r="P1817" s="45" t="n">
        <f aca="false">N1817-O1817</f>
        <v>1800</v>
      </c>
      <c r="Q1817" s="45" t="n">
        <f aca="false">IF(D1817="Purchase",E1817*M1817,0)</f>
        <v>0</v>
      </c>
    </row>
    <row r="1818" customFormat="false" ht="15" hidden="false" customHeight="false" outlineLevel="0" collapsed="false">
      <c r="A1818" s="39" t="s">
        <v>2142</v>
      </c>
      <c r="B1818" s="44" t="n">
        <v>46161</v>
      </c>
      <c r="C1818" s="39" t="s">
        <v>152</v>
      </c>
      <c r="D1818" s="39" t="s">
        <v>137</v>
      </c>
      <c r="E1818" s="39" t="n">
        <v>10</v>
      </c>
      <c r="F1818" s="39" t="str">
        <f aca="false">IF(COUNTIF(medicine_master!$A$2:$A$26,C1818)&gt;0,"Valid","Invalid")</f>
        <v>Valid</v>
      </c>
      <c r="G1818" s="39" t="str">
        <f aca="false">IFERROR(INDEX(medicine_master!$B$2:$B$26,MATCH($C1818,medicine_master!$A$2:$A$26,0)),"Not found")</f>
        <v>Amoxicillin 500mg</v>
      </c>
      <c r="H1818" s="39" t="str">
        <f aca="false">IFERROR(INDEX(medicine_master!$C$2:$C$26,MATCH($C1818,medicine_master!$A$2:$A$26,0)),"Not found")</f>
        <v>Antibiotic</v>
      </c>
      <c r="I1818" s="39" t="n">
        <f aca="false">YEAR(B1818)</f>
        <v>2026</v>
      </c>
      <c r="J1818" s="39" t="n">
        <f aca="false">MONTH(B1818)</f>
        <v>5</v>
      </c>
      <c r="K1818" s="39" t="str">
        <f aca="false">TEXT(B1818,"mmm")</f>
        <v>May</v>
      </c>
      <c r="L1818" s="45" t="n">
        <f aca="false">IFERROR(INDEX(medicine_master!$I$2:$I$26,MATCH($C1818,medicine_master!$A$2:$A$26,0)),0)</f>
        <v>40</v>
      </c>
      <c r="M1818" s="45" t="n">
        <f aca="false">IFERROR(INDEX(medicine_master!$G$2:$G$26,MATCH($C1818,medicine_master!$A$2:$A$26,0)),0)</f>
        <v>28</v>
      </c>
      <c r="N1818" s="45" t="n">
        <f aca="false">IF(D1818="Sale",E1818*L1818,0)</f>
        <v>400</v>
      </c>
      <c r="O1818" s="45" t="n">
        <f aca="false">IF(D1818="Sale",E1818*M1818,0)</f>
        <v>280</v>
      </c>
      <c r="P1818" s="45" t="n">
        <f aca="false">N1818-O1818</f>
        <v>120</v>
      </c>
      <c r="Q1818" s="45" t="n">
        <f aca="false">IF(D1818="Purchase",E1818*M1818,0)</f>
        <v>0</v>
      </c>
    </row>
    <row r="1819" customFormat="false" ht="15" hidden="false" customHeight="false" outlineLevel="0" collapsed="false">
      <c r="A1819" s="39" t="s">
        <v>2143</v>
      </c>
      <c r="B1819" s="44" t="n">
        <v>46140</v>
      </c>
      <c r="C1819" s="39" t="s">
        <v>150</v>
      </c>
      <c r="D1819" s="39" t="s">
        <v>137</v>
      </c>
      <c r="E1819" s="39" t="n">
        <v>50</v>
      </c>
      <c r="F1819" s="39" t="str">
        <f aca="false">IF(COUNTIF(medicine_master!$A$2:$A$26,C1819)&gt;0,"Valid","Invalid")</f>
        <v>Valid</v>
      </c>
      <c r="G1819" s="39" t="str">
        <f aca="false">IFERROR(INDEX(medicine_master!$B$2:$B$26,MATCH($C1819,medicine_master!$A$2:$A$26,0)),"Not found")</f>
        <v>Pantoprazole 40mg</v>
      </c>
      <c r="H1819" s="39" t="str">
        <f aca="false">IFERROR(INDEX(medicine_master!$C$2:$C$26,MATCH($C1819,medicine_master!$A$2:$A$26,0)),"Not found")</f>
        <v>Gastric</v>
      </c>
      <c r="I1819" s="39" t="n">
        <f aca="false">YEAR(B1819)</f>
        <v>2026</v>
      </c>
      <c r="J1819" s="39" t="n">
        <f aca="false">MONTH(B1819)</f>
        <v>4</v>
      </c>
      <c r="K1819" s="39" t="str">
        <f aca="false">TEXT(B1819,"mmm")</f>
        <v>Apr</v>
      </c>
      <c r="L1819" s="45" t="n">
        <f aca="false">IFERROR(INDEX(medicine_master!$I$2:$I$26,MATCH($C1819,medicine_master!$A$2:$A$26,0)),0)</f>
        <v>35</v>
      </c>
      <c r="M1819" s="45" t="n">
        <f aca="false">IFERROR(INDEX(medicine_master!$G$2:$G$26,MATCH($C1819,medicine_master!$A$2:$A$26,0)),0)</f>
        <v>24</v>
      </c>
      <c r="N1819" s="45" t="n">
        <f aca="false">IF(D1819="Sale",E1819*L1819,0)</f>
        <v>1750</v>
      </c>
      <c r="O1819" s="45" t="n">
        <f aca="false">IF(D1819="Sale",E1819*M1819,0)</f>
        <v>1200</v>
      </c>
      <c r="P1819" s="45" t="n">
        <f aca="false">N1819-O1819</f>
        <v>550</v>
      </c>
      <c r="Q1819" s="45" t="n">
        <f aca="false">IF(D1819="Purchase",E1819*M1819,0)</f>
        <v>0</v>
      </c>
    </row>
    <row r="1820" customFormat="false" ht="15" hidden="false" customHeight="false" outlineLevel="0" collapsed="false">
      <c r="A1820" s="39" t="s">
        <v>2144</v>
      </c>
      <c r="B1820" s="44" t="n">
        <v>46213</v>
      </c>
      <c r="C1820" s="39" t="s">
        <v>144</v>
      </c>
      <c r="D1820" s="39" t="s">
        <v>137</v>
      </c>
      <c r="E1820" s="39" t="n">
        <v>5</v>
      </c>
      <c r="F1820" s="39" t="str">
        <f aca="false">IF(COUNTIF(medicine_master!$A$2:$A$26,C1820)&gt;0,"Valid","Invalid")</f>
        <v>Valid</v>
      </c>
      <c r="G1820" s="39" t="str">
        <f aca="false">IFERROR(INDEX(medicine_master!$B$2:$B$26,MATCH($C1820,medicine_master!$A$2:$A$26,0)),"Not found")</f>
        <v>Glimepiride 2mg</v>
      </c>
      <c r="H1820" s="39" t="str">
        <f aca="false">IFERROR(INDEX(medicine_master!$C$2:$C$26,MATCH($C1820,medicine_master!$A$2:$A$26,0)),"Not found")</f>
        <v>Diabetes</v>
      </c>
      <c r="I1820" s="39" t="n">
        <f aca="false">YEAR(B1820)</f>
        <v>2026</v>
      </c>
      <c r="J1820" s="39" t="n">
        <f aca="false">MONTH(B1820)</f>
        <v>7</v>
      </c>
      <c r="K1820" s="39" t="str">
        <f aca="false">TEXT(B1820,"mmm")</f>
        <v>Jul</v>
      </c>
      <c r="L1820" s="45" t="n">
        <f aca="false">IFERROR(INDEX(medicine_master!$I$2:$I$26,MATCH($C1820,medicine_master!$A$2:$A$26,0)),0)</f>
        <v>52</v>
      </c>
      <c r="M1820" s="45" t="n">
        <f aca="false">IFERROR(INDEX(medicine_master!$G$2:$G$26,MATCH($C1820,medicine_master!$A$2:$A$26,0)),0)</f>
        <v>38</v>
      </c>
      <c r="N1820" s="45" t="n">
        <f aca="false">IF(D1820="Sale",E1820*L1820,0)</f>
        <v>260</v>
      </c>
      <c r="O1820" s="45" t="n">
        <f aca="false">IF(D1820="Sale",E1820*M1820,0)</f>
        <v>190</v>
      </c>
      <c r="P1820" s="45" t="n">
        <f aca="false">N1820-O1820</f>
        <v>70</v>
      </c>
      <c r="Q1820" s="45" t="n">
        <f aca="false">IF(D1820="Purchase",E1820*M1820,0)</f>
        <v>0</v>
      </c>
    </row>
    <row r="1821" customFormat="false" ht="15" hidden="false" customHeight="false" outlineLevel="0" collapsed="false">
      <c r="A1821" s="39" t="s">
        <v>2145</v>
      </c>
      <c r="B1821" s="44" t="n">
        <v>46100</v>
      </c>
      <c r="C1821" s="39" t="s">
        <v>147</v>
      </c>
      <c r="D1821" s="39" t="s">
        <v>138</v>
      </c>
      <c r="E1821" s="39" t="n">
        <v>5</v>
      </c>
      <c r="F1821" s="39" t="str">
        <f aca="false">IF(COUNTIF(medicine_master!$A$2:$A$26,C1821)&gt;0,"Valid","Invalid")</f>
        <v>Valid</v>
      </c>
      <c r="G1821" s="39" t="str">
        <f aca="false">IFERROR(INDEX(medicine_master!$B$2:$B$26,MATCH($C1821,medicine_master!$A$2:$A$26,0)),"Not found")</f>
        <v>Insulin Injection</v>
      </c>
      <c r="H1821" s="39" t="str">
        <f aca="false">IFERROR(INDEX(medicine_master!$C$2:$C$26,MATCH($C1821,medicine_master!$A$2:$A$26,0)),"Not found")</f>
        <v>Diabetes</v>
      </c>
      <c r="I1821" s="39" t="n">
        <f aca="false">YEAR(B1821)</f>
        <v>2026</v>
      </c>
      <c r="J1821" s="39" t="n">
        <f aca="false">MONTH(B1821)</f>
        <v>3</v>
      </c>
      <c r="K1821" s="39" t="str">
        <f aca="false">TEXT(B1821,"mmm")</f>
        <v>Mar</v>
      </c>
      <c r="L1821" s="45" t="n">
        <f aca="false">IFERROR(INDEX(medicine_master!$I$2:$I$26,MATCH($C1821,medicine_master!$A$2:$A$26,0)),0)</f>
        <v>225</v>
      </c>
      <c r="M1821" s="45" t="n">
        <f aca="false">IFERROR(INDEX(medicine_master!$G$2:$G$26,MATCH($C1821,medicine_master!$A$2:$A$26,0)),0)</f>
        <v>165</v>
      </c>
      <c r="N1821" s="45" t="n">
        <f aca="false">IF(D1821="Sale",E1821*L1821,0)</f>
        <v>0</v>
      </c>
      <c r="O1821" s="45" t="n">
        <f aca="false">IF(D1821="Sale",E1821*M1821,0)</f>
        <v>0</v>
      </c>
      <c r="P1821" s="45" t="n">
        <f aca="false">N1821-O1821</f>
        <v>0</v>
      </c>
      <c r="Q1821" s="45" t="n">
        <f aca="false">IF(D1821="Purchase",E1821*M1821,0)</f>
        <v>825</v>
      </c>
    </row>
    <row r="1822" customFormat="false" ht="15" hidden="false" customHeight="false" outlineLevel="0" collapsed="false">
      <c r="A1822" s="39" t="s">
        <v>2146</v>
      </c>
      <c r="B1822" s="44" t="n">
        <v>46043</v>
      </c>
      <c r="C1822" s="39" t="s">
        <v>150</v>
      </c>
      <c r="D1822" s="39" t="s">
        <v>137</v>
      </c>
      <c r="E1822" s="39" t="n">
        <v>10</v>
      </c>
      <c r="F1822" s="39" t="str">
        <f aca="false">IF(COUNTIF(medicine_master!$A$2:$A$26,C1822)&gt;0,"Valid","Invalid")</f>
        <v>Valid</v>
      </c>
      <c r="G1822" s="39" t="str">
        <f aca="false">IFERROR(INDEX(medicine_master!$B$2:$B$26,MATCH($C1822,medicine_master!$A$2:$A$26,0)),"Not found")</f>
        <v>Pantoprazole 40mg</v>
      </c>
      <c r="H1822" s="39" t="str">
        <f aca="false">IFERROR(INDEX(medicine_master!$C$2:$C$26,MATCH($C1822,medicine_master!$A$2:$A$26,0)),"Not found")</f>
        <v>Gastric</v>
      </c>
      <c r="I1822" s="39" t="n">
        <f aca="false">YEAR(B1822)</f>
        <v>2026</v>
      </c>
      <c r="J1822" s="39" t="n">
        <f aca="false">MONTH(B1822)</f>
        <v>1</v>
      </c>
      <c r="K1822" s="39" t="str">
        <f aca="false">TEXT(B1822,"mmm")</f>
        <v>Jan</v>
      </c>
      <c r="L1822" s="45" t="n">
        <f aca="false">IFERROR(INDEX(medicine_master!$I$2:$I$26,MATCH($C1822,medicine_master!$A$2:$A$26,0)),0)</f>
        <v>35</v>
      </c>
      <c r="M1822" s="45" t="n">
        <f aca="false">IFERROR(INDEX(medicine_master!$G$2:$G$26,MATCH($C1822,medicine_master!$A$2:$A$26,0)),0)</f>
        <v>24</v>
      </c>
      <c r="N1822" s="45" t="n">
        <f aca="false">IF(D1822="Sale",E1822*L1822,0)</f>
        <v>350</v>
      </c>
      <c r="O1822" s="45" t="n">
        <f aca="false">IF(D1822="Sale",E1822*M1822,0)</f>
        <v>240</v>
      </c>
      <c r="P1822" s="45" t="n">
        <f aca="false">N1822-O1822</f>
        <v>110</v>
      </c>
      <c r="Q1822" s="45" t="n">
        <f aca="false">IF(D1822="Purchase",E1822*M1822,0)</f>
        <v>0</v>
      </c>
    </row>
    <row r="1823" customFormat="false" ht="15" hidden="false" customHeight="false" outlineLevel="0" collapsed="false">
      <c r="A1823" s="39" t="s">
        <v>2147</v>
      </c>
      <c r="B1823" s="44" t="n">
        <v>46108</v>
      </c>
      <c r="C1823" s="39" t="s">
        <v>390</v>
      </c>
      <c r="D1823" s="39" t="s">
        <v>138</v>
      </c>
      <c r="E1823" s="39" t="n">
        <v>15</v>
      </c>
      <c r="F1823" s="39" t="str">
        <f aca="false">IF(COUNTIF(medicine_master!$A$2:$A$26,C1823)&gt;0,"Valid","Invalid")</f>
        <v>Valid</v>
      </c>
      <c r="G1823" s="39" t="str">
        <f aca="false">IFERROR(INDEX(medicine_master!$B$2:$B$26,MATCH($C1823,medicine_master!$A$2:$A$26,0)),"Not found")</f>
        <v>Montelukast 10mg</v>
      </c>
      <c r="H1823" s="39" t="str">
        <f aca="false">IFERROR(INDEX(medicine_master!$C$2:$C$26,MATCH($C1823,medicine_master!$A$2:$A$26,0)),"Not found")</f>
        <v>Allergy</v>
      </c>
      <c r="I1823" s="39" t="n">
        <f aca="false">YEAR(B1823)</f>
        <v>2026</v>
      </c>
      <c r="J1823" s="39" t="n">
        <f aca="false">MONTH(B1823)</f>
        <v>3</v>
      </c>
      <c r="K1823" s="39" t="str">
        <f aca="false">TEXT(B1823,"mmm")</f>
        <v>Mar</v>
      </c>
      <c r="L1823" s="45" t="n">
        <f aca="false">IFERROR(INDEX(medicine_master!$I$2:$I$26,MATCH($C1823,medicine_master!$A$2:$A$26,0)),0)</f>
        <v>39</v>
      </c>
      <c r="M1823" s="45" t="n">
        <f aca="false">IFERROR(INDEX(medicine_master!$G$2:$G$26,MATCH($C1823,medicine_master!$A$2:$A$26,0)),0)</f>
        <v>27</v>
      </c>
      <c r="N1823" s="45" t="n">
        <f aca="false">IF(D1823="Sale",E1823*L1823,0)</f>
        <v>0</v>
      </c>
      <c r="O1823" s="45" t="n">
        <f aca="false">IF(D1823="Sale",E1823*M1823,0)</f>
        <v>0</v>
      </c>
      <c r="P1823" s="45" t="n">
        <f aca="false">N1823-O1823</f>
        <v>0</v>
      </c>
      <c r="Q1823" s="45" t="n">
        <f aca="false">IF(D1823="Purchase",E1823*M1823,0)</f>
        <v>405</v>
      </c>
    </row>
    <row r="1824" customFormat="false" ht="15" hidden="false" customHeight="false" outlineLevel="0" collapsed="false">
      <c r="A1824" s="39" t="s">
        <v>2148</v>
      </c>
      <c r="B1824" s="44" t="n">
        <v>46328</v>
      </c>
      <c r="C1824" s="39" t="s">
        <v>148</v>
      </c>
      <c r="D1824" s="39" t="s">
        <v>138</v>
      </c>
      <c r="E1824" s="39" t="n">
        <v>15</v>
      </c>
      <c r="F1824" s="39" t="str">
        <f aca="false">IF(COUNTIF(medicine_master!$A$2:$A$26,C1824)&gt;0,"Valid","Invalid")</f>
        <v>Valid</v>
      </c>
      <c r="G1824" s="39" t="str">
        <f aca="false">IFERROR(INDEX(medicine_master!$B$2:$B$26,MATCH($C1824,medicine_master!$A$2:$A$26,0)),"Not found")</f>
        <v>Dextromethorphan Syrup</v>
      </c>
      <c r="H1824" s="39" t="str">
        <f aca="false">IFERROR(INDEX(medicine_master!$C$2:$C$26,MATCH($C1824,medicine_master!$A$2:$A$26,0)),"Not found")</f>
        <v>Cold &amp; Cough</v>
      </c>
      <c r="I1824" s="39" t="n">
        <f aca="false">YEAR(B1824)</f>
        <v>2026</v>
      </c>
      <c r="J1824" s="39" t="n">
        <f aca="false">MONTH(B1824)</f>
        <v>11</v>
      </c>
      <c r="K1824" s="39" t="str">
        <f aca="false">TEXT(B1824,"mmm")</f>
        <v>Nov</v>
      </c>
      <c r="L1824" s="45" t="n">
        <f aca="false">IFERROR(INDEX(medicine_master!$I$2:$I$26,MATCH($C1824,medicine_master!$A$2:$A$26,0)),0)</f>
        <v>80</v>
      </c>
      <c r="M1824" s="45" t="n">
        <f aca="false">IFERROR(INDEX(medicine_master!$G$2:$G$26,MATCH($C1824,medicine_master!$A$2:$A$26,0)),0)</f>
        <v>58</v>
      </c>
      <c r="N1824" s="45" t="n">
        <f aca="false">IF(D1824="Sale",E1824*L1824,0)</f>
        <v>0</v>
      </c>
      <c r="O1824" s="45" t="n">
        <f aca="false">IF(D1824="Sale",E1824*M1824,0)</f>
        <v>0</v>
      </c>
      <c r="P1824" s="45" t="n">
        <f aca="false">N1824-O1824</f>
        <v>0</v>
      </c>
      <c r="Q1824" s="45" t="n">
        <f aca="false">IF(D1824="Purchase",E1824*M1824,0)</f>
        <v>870</v>
      </c>
    </row>
    <row r="1825" customFormat="false" ht="15" hidden="false" customHeight="false" outlineLevel="0" collapsed="false">
      <c r="A1825" s="39" t="s">
        <v>2149</v>
      </c>
      <c r="B1825" s="44" t="n">
        <v>46356</v>
      </c>
      <c r="C1825" s="39" t="s">
        <v>157</v>
      </c>
      <c r="D1825" s="39" t="s">
        <v>137</v>
      </c>
      <c r="E1825" s="39" t="n">
        <v>50</v>
      </c>
      <c r="F1825" s="39" t="str">
        <f aca="false">IF(COUNTIF(medicine_master!$A$2:$A$26,C1825)&gt;0,"Valid","Invalid")</f>
        <v>Valid</v>
      </c>
      <c r="G1825" s="39" t="str">
        <f aca="false">IFERROR(INDEX(medicine_master!$B$2:$B$26,MATCH($C1825,medicine_master!$A$2:$A$26,0)),"Not found")</f>
        <v>Multivitamin Tablets</v>
      </c>
      <c r="H1825" s="39" t="str">
        <f aca="false">IFERROR(INDEX(medicine_master!$C$2:$C$26,MATCH($C1825,medicine_master!$A$2:$A$26,0)),"Not found")</f>
        <v>Vitamin</v>
      </c>
      <c r="I1825" s="39" t="n">
        <f aca="false">YEAR(B1825)</f>
        <v>2026</v>
      </c>
      <c r="J1825" s="39" t="n">
        <f aca="false">MONTH(B1825)</f>
        <v>11</v>
      </c>
      <c r="K1825" s="39" t="str">
        <f aca="false">TEXT(B1825,"mmm")</f>
        <v>Nov</v>
      </c>
      <c r="L1825" s="45" t="n">
        <f aca="false">IFERROR(INDEX(medicine_master!$I$2:$I$26,MATCH($C1825,medicine_master!$A$2:$A$26,0)),0)</f>
        <v>105</v>
      </c>
      <c r="M1825" s="45" t="n">
        <f aca="false">IFERROR(INDEX(medicine_master!$G$2:$G$26,MATCH($C1825,medicine_master!$A$2:$A$26,0)),0)</f>
        <v>72</v>
      </c>
      <c r="N1825" s="45" t="n">
        <f aca="false">IF(D1825="Sale",E1825*L1825,0)</f>
        <v>5250</v>
      </c>
      <c r="O1825" s="45" t="n">
        <f aca="false">IF(D1825="Sale",E1825*M1825,0)</f>
        <v>3600</v>
      </c>
      <c r="P1825" s="45" t="n">
        <f aca="false">N1825-O1825</f>
        <v>1650</v>
      </c>
      <c r="Q1825" s="45" t="n">
        <f aca="false">IF(D1825="Purchase",E1825*M1825,0)</f>
        <v>0</v>
      </c>
    </row>
    <row r="1826" customFormat="false" ht="15" hidden="false" customHeight="false" outlineLevel="0" collapsed="false">
      <c r="A1826" s="39" t="s">
        <v>2150</v>
      </c>
      <c r="B1826" s="44" t="n">
        <v>46123</v>
      </c>
      <c r="C1826" s="39" t="s">
        <v>390</v>
      </c>
      <c r="D1826" s="39" t="s">
        <v>138</v>
      </c>
      <c r="E1826" s="39" t="n">
        <v>5</v>
      </c>
      <c r="F1826" s="39" t="str">
        <f aca="false">IF(COUNTIF(medicine_master!$A$2:$A$26,C1826)&gt;0,"Valid","Invalid")</f>
        <v>Valid</v>
      </c>
      <c r="G1826" s="39" t="str">
        <f aca="false">IFERROR(INDEX(medicine_master!$B$2:$B$26,MATCH($C1826,medicine_master!$A$2:$A$26,0)),"Not found")</f>
        <v>Montelukast 10mg</v>
      </c>
      <c r="H1826" s="39" t="str">
        <f aca="false">IFERROR(INDEX(medicine_master!$C$2:$C$26,MATCH($C1826,medicine_master!$A$2:$A$26,0)),"Not found")</f>
        <v>Allergy</v>
      </c>
      <c r="I1826" s="39" t="n">
        <f aca="false">YEAR(B1826)</f>
        <v>2026</v>
      </c>
      <c r="J1826" s="39" t="n">
        <f aca="false">MONTH(B1826)</f>
        <v>4</v>
      </c>
      <c r="K1826" s="39" t="str">
        <f aca="false">TEXT(B1826,"mmm")</f>
        <v>Apr</v>
      </c>
      <c r="L1826" s="45" t="n">
        <f aca="false">IFERROR(INDEX(medicine_master!$I$2:$I$26,MATCH($C1826,medicine_master!$A$2:$A$26,0)),0)</f>
        <v>39</v>
      </c>
      <c r="M1826" s="45" t="n">
        <f aca="false">IFERROR(INDEX(medicine_master!$G$2:$G$26,MATCH($C1826,medicine_master!$A$2:$A$26,0)),0)</f>
        <v>27</v>
      </c>
      <c r="N1826" s="45" t="n">
        <f aca="false">IF(D1826="Sale",E1826*L1826,0)</f>
        <v>0</v>
      </c>
      <c r="O1826" s="45" t="n">
        <f aca="false">IF(D1826="Sale",E1826*M1826,0)</f>
        <v>0</v>
      </c>
      <c r="P1826" s="45" t="n">
        <f aca="false">N1826-O1826</f>
        <v>0</v>
      </c>
      <c r="Q1826" s="45" t="n">
        <f aca="false">IF(D1826="Purchase",E1826*M1826,0)</f>
        <v>135</v>
      </c>
    </row>
    <row r="1827" customFormat="false" ht="15" hidden="false" customHeight="false" outlineLevel="0" collapsed="false">
      <c r="A1827" s="39" t="s">
        <v>2151</v>
      </c>
      <c r="B1827" s="44" t="n">
        <v>46265</v>
      </c>
      <c r="C1827" s="39" t="s">
        <v>145</v>
      </c>
      <c r="D1827" s="39" t="s">
        <v>138</v>
      </c>
      <c r="E1827" s="39" t="n">
        <v>30</v>
      </c>
      <c r="F1827" s="39" t="str">
        <f aca="false">IF(COUNTIF(medicine_master!$A$2:$A$26,C1827)&gt;0,"Valid","Invalid")</f>
        <v>Valid</v>
      </c>
      <c r="G1827" s="39" t="str">
        <f aca="false">IFERROR(INDEX(medicine_master!$B$2:$B$26,MATCH($C1827,medicine_master!$A$2:$A$26,0)),"Not found")</f>
        <v>Clotrimazole Cream</v>
      </c>
      <c r="H1827" s="39" t="str">
        <f aca="false">IFERROR(INDEX(medicine_master!$C$2:$C$26,MATCH($C1827,medicine_master!$A$2:$A$26,0)),"Not found")</f>
        <v>Dermatology</v>
      </c>
      <c r="I1827" s="39" t="n">
        <f aca="false">YEAR(B1827)</f>
        <v>2026</v>
      </c>
      <c r="J1827" s="39" t="n">
        <f aca="false">MONTH(B1827)</f>
        <v>8</v>
      </c>
      <c r="K1827" s="39" t="str">
        <f aca="false">TEXT(B1827,"mmm")</f>
        <v>Aug</v>
      </c>
      <c r="L1827" s="45" t="n">
        <f aca="false">IFERROR(INDEX(medicine_master!$I$2:$I$26,MATCH($C1827,medicine_master!$A$2:$A$26,0)),0)</f>
        <v>48</v>
      </c>
      <c r="M1827" s="45" t="n">
        <f aca="false">IFERROR(INDEX(medicine_master!$G$2:$G$26,MATCH($C1827,medicine_master!$A$2:$A$26,0)),0)</f>
        <v>32</v>
      </c>
      <c r="N1827" s="45" t="n">
        <f aca="false">IF(D1827="Sale",E1827*L1827,0)</f>
        <v>0</v>
      </c>
      <c r="O1827" s="45" t="n">
        <f aca="false">IF(D1827="Sale",E1827*M1827,0)</f>
        <v>0</v>
      </c>
      <c r="P1827" s="45" t="n">
        <f aca="false">N1827-O1827</f>
        <v>0</v>
      </c>
      <c r="Q1827" s="45" t="n">
        <f aca="false">IF(D1827="Purchase",E1827*M1827,0)</f>
        <v>960</v>
      </c>
    </row>
    <row r="1828" customFormat="false" ht="15" hidden="false" customHeight="false" outlineLevel="0" collapsed="false">
      <c r="A1828" s="39" t="s">
        <v>2152</v>
      </c>
      <c r="B1828" s="44" t="n">
        <v>46248</v>
      </c>
      <c r="C1828" s="39" t="s">
        <v>158</v>
      </c>
      <c r="D1828" s="39" t="s">
        <v>137</v>
      </c>
      <c r="E1828" s="39" t="n">
        <v>25</v>
      </c>
      <c r="F1828" s="39" t="str">
        <f aca="false">IF(COUNTIF(medicine_master!$A$2:$A$26,C1828)&gt;0,"Valid","Invalid")</f>
        <v>Valid</v>
      </c>
      <c r="G1828" s="39" t="str">
        <f aca="false">IFERROR(INDEX(medicine_master!$B$2:$B$26,MATCH($C1828,medicine_master!$A$2:$A$26,0)),"Not found")</f>
        <v>Cough Syrup 100ml</v>
      </c>
      <c r="H1828" s="39" t="str">
        <f aca="false">IFERROR(INDEX(medicine_master!$C$2:$C$26,MATCH($C1828,medicine_master!$A$2:$A$26,0)),"Not found")</f>
        <v>Cold &amp; Cough</v>
      </c>
      <c r="I1828" s="39" t="n">
        <f aca="false">YEAR(B1828)</f>
        <v>2026</v>
      </c>
      <c r="J1828" s="39" t="n">
        <f aca="false">MONTH(B1828)</f>
        <v>8</v>
      </c>
      <c r="K1828" s="39" t="str">
        <f aca="false">TEXT(B1828,"mmm")</f>
        <v>Aug</v>
      </c>
      <c r="L1828" s="45" t="n">
        <f aca="false">IFERROR(INDEX(medicine_master!$I$2:$I$26,MATCH($C1828,medicine_master!$A$2:$A$26,0)),0)</f>
        <v>72</v>
      </c>
      <c r="M1828" s="45" t="n">
        <f aca="false">IFERROR(INDEX(medicine_master!$G$2:$G$26,MATCH($C1828,medicine_master!$A$2:$A$26,0)),0)</f>
        <v>52</v>
      </c>
      <c r="N1828" s="45" t="n">
        <f aca="false">IF(D1828="Sale",E1828*L1828,0)</f>
        <v>1800</v>
      </c>
      <c r="O1828" s="45" t="n">
        <f aca="false">IF(D1828="Sale",E1828*M1828,0)</f>
        <v>1300</v>
      </c>
      <c r="P1828" s="45" t="n">
        <f aca="false">N1828-O1828</f>
        <v>500</v>
      </c>
      <c r="Q1828" s="45" t="n">
        <f aca="false">IF(D1828="Purchase",E1828*M1828,0)</f>
        <v>0</v>
      </c>
    </row>
    <row r="1829" customFormat="false" ht="15" hidden="false" customHeight="false" outlineLevel="0" collapsed="false">
      <c r="A1829" s="39" t="s">
        <v>2153</v>
      </c>
      <c r="B1829" s="44" t="n">
        <v>46122</v>
      </c>
      <c r="C1829" s="39" t="s">
        <v>144</v>
      </c>
      <c r="D1829" s="39" t="s">
        <v>138</v>
      </c>
      <c r="E1829" s="39" t="n">
        <v>15</v>
      </c>
      <c r="F1829" s="39" t="str">
        <f aca="false">IF(COUNTIF(medicine_master!$A$2:$A$26,C1829)&gt;0,"Valid","Invalid")</f>
        <v>Valid</v>
      </c>
      <c r="G1829" s="39" t="str">
        <f aca="false">IFERROR(INDEX(medicine_master!$B$2:$B$26,MATCH($C1829,medicine_master!$A$2:$A$26,0)),"Not found")</f>
        <v>Glimepiride 2mg</v>
      </c>
      <c r="H1829" s="39" t="str">
        <f aca="false">IFERROR(INDEX(medicine_master!$C$2:$C$26,MATCH($C1829,medicine_master!$A$2:$A$26,0)),"Not found")</f>
        <v>Diabetes</v>
      </c>
      <c r="I1829" s="39" t="n">
        <f aca="false">YEAR(B1829)</f>
        <v>2026</v>
      </c>
      <c r="J1829" s="39" t="n">
        <f aca="false">MONTH(B1829)</f>
        <v>4</v>
      </c>
      <c r="K1829" s="39" t="str">
        <f aca="false">TEXT(B1829,"mmm")</f>
        <v>Apr</v>
      </c>
      <c r="L1829" s="45" t="n">
        <f aca="false">IFERROR(INDEX(medicine_master!$I$2:$I$26,MATCH($C1829,medicine_master!$A$2:$A$26,0)),0)</f>
        <v>52</v>
      </c>
      <c r="M1829" s="45" t="n">
        <f aca="false">IFERROR(INDEX(medicine_master!$G$2:$G$26,MATCH($C1829,medicine_master!$A$2:$A$26,0)),0)</f>
        <v>38</v>
      </c>
      <c r="N1829" s="45" t="n">
        <f aca="false">IF(D1829="Sale",E1829*L1829,0)</f>
        <v>0</v>
      </c>
      <c r="O1829" s="45" t="n">
        <f aca="false">IF(D1829="Sale",E1829*M1829,0)</f>
        <v>0</v>
      </c>
      <c r="P1829" s="45" t="n">
        <f aca="false">N1829-O1829</f>
        <v>0</v>
      </c>
      <c r="Q1829" s="45" t="n">
        <f aca="false">IF(D1829="Purchase",E1829*M1829,0)</f>
        <v>570</v>
      </c>
    </row>
    <row r="1830" customFormat="false" ht="15" hidden="false" customHeight="false" outlineLevel="0" collapsed="false">
      <c r="A1830" s="39" t="s">
        <v>2154</v>
      </c>
      <c r="B1830" s="44" t="n">
        <v>46359</v>
      </c>
      <c r="C1830" s="39" t="s">
        <v>180</v>
      </c>
      <c r="D1830" s="39" t="s">
        <v>138</v>
      </c>
      <c r="E1830" s="39" t="n">
        <v>20</v>
      </c>
      <c r="F1830" s="39" t="str">
        <f aca="false">IF(COUNTIF(medicine_master!$A$2:$A$26,C1830)&gt;0,"Valid","Invalid")</f>
        <v>Valid</v>
      </c>
      <c r="G1830" s="39" t="str">
        <f aca="false">IFERROR(INDEX(medicine_master!$B$2:$B$26,MATCH($C1830,medicine_master!$A$2:$A$26,0)),"Not found")</f>
        <v>Vitamin C 500mg</v>
      </c>
      <c r="H1830" s="39" t="str">
        <f aca="false">IFERROR(INDEX(medicine_master!$C$2:$C$26,MATCH($C1830,medicine_master!$A$2:$A$26,0)),"Not found")</f>
        <v>Vitamin</v>
      </c>
      <c r="I1830" s="39" t="n">
        <f aca="false">YEAR(B1830)</f>
        <v>2026</v>
      </c>
      <c r="J1830" s="39" t="n">
        <f aca="false">MONTH(B1830)</f>
        <v>12</v>
      </c>
      <c r="K1830" s="39" t="str">
        <f aca="false">TEXT(B1830,"mmm")</f>
        <v>Dec</v>
      </c>
      <c r="L1830" s="45" t="n">
        <f aca="false">IFERROR(INDEX(medicine_master!$I$2:$I$26,MATCH($C1830,medicine_master!$A$2:$A$26,0)),0)</f>
        <v>22</v>
      </c>
      <c r="M1830" s="45" t="n">
        <f aca="false">IFERROR(INDEX(medicine_master!$G$2:$G$26,MATCH($C1830,medicine_master!$A$2:$A$26,0)),0)</f>
        <v>14</v>
      </c>
      <c r="N1830" s="45" t="n">
        <f aca="false">IF(D1830="Sale",E1830*L1830,0)</f>
        <v>0</v>
      </c>
      <c r="O1830" s="45" t="n">
        <f aca="false">IF(D1830="Sale",E1830*M1830,0)</f>
        <v>0</v>
      </c>
      <c r="P1830" s="45" t="n">
        <f aca="false">N1830-O1830</f>
        <v>0</v>
      </c>
      <c r="Q1830" s="45" t="n">
        <f aca="false">IF(D1830="Purchase",E1830*M1830,0)</f>
        <v>280</v>
      </c>
    </row>
    <row r="1831" customFormat="false" ht="15" hidden="false" customHeight="false" outlineLevel="0" collapsed="false">
      <c r="A1831" s="39" t="s">
        <v>2155</v>
      </c>
      <c r="B1831" s="44" t="n">
        <v>46180</v>
      </c>
      <c r="C1831" s="39" t="s">
        <v>145</v>
      </c>
      <c r="D1831" s="39" t="s">
        <v>138</v>
      </c>
      <c r="E1831" s="39" t="n">
        <v>20</v>
      </c>
      <c r="F1831" s="39" t="str">
        <f aca="false">IF(COUNTIF(medicine_master!$A$2:$A$26,C1831)&gt;0,"Valid","Invalid")</f>
        <v>Valid</v>
      </c>
      <c r="G1831" s="39" t="str">
        <f aca="false">IFERROR(INDEX(medicine_master!$B$2:$B$26,MATCH($C1831,medicine_master!$A$2:$A$26,0)),"Not found")</f>
        <v>Clotrimazole Cream</v>
      </c>
      <c r="H1831" s="39" t="str">
        <f aca="false">IFERROR(INDEX(medicine_master!$C$2:$C$26,MATCH($C1831,medicine_master!$A$2:$A$26,0)),"Not found")</f>
        <v>Dermatology</v>
      </c>
      <c r="I1831" s="39" t="n">
        <f aca="false">YEAR(B1831)</f>
        <v>2026</v>
      </c>
      <c r="J1831" s="39" t="n">
        <f aca="false">MONTH(B1831)</f>
        <v>6</v>
      </c>
      <c r="K1831" s="39" t="str">
        <f aca="false">TEXT(B1831,"mmm")</f>
        <v>Jun</v>
      </c>
      <c r="L1831" s="45" t="n">
        <f aca="false">IFERROR(INDEX(medicine_master!$I$2:$I$26,MATCH($C1831,medicine_master!$A$2:$A$26,0)),0)</f>
        <v>48</v>
      </c>
      <c r="M1831" s="45" t="n">
        <f aca="false">IFERROR(INDEX(medicine_master!$G$2:$G$26,MATCH($C1831,medicine_master!$A$2:$A$26,0)),0)</f>
        <v>32</v>
      </c>
      <c r="N1831" s="45" t="n">
        <f aca="false">IF(D1831="Sale",E1831*L1831,0)</f>
        <v>0</v>
      </c>
      <c r="O1831" s="45" t="n">
        <f aca="false">IF(D1831="Sale",E1831*M1831,0)</f>
        <v>0</v>
      </c>
      <c r="P1831" s="45" t="n">
        <f aca="false">N1831-O1831</f>
        <v>0</v>
      </c>
      <c r="Q1831" s="45" t="n">
        <f aca="false">IF(D1831="Purchase",E1831*M1831,0)</f>
        <v>640</v>
      </c>
    </row>
    <row r="1832" customFormat="false" ht="15" hidden="false" customHeight="false" outlineLevel="0" collapsed="false">
      <c r="A1832" s="39" t="s">
        <v>2156</v>
      </c>
      <c r="B1832" s="44" t="n">
        <v>46366</v>
      </c>
      <c r="C1832" s="39" t="s">
        <v>158</v>
      </c>
      <c r="D1832" s="39" t="s">
        <v>138</v>
      </c>
      <c r="E1832" s="39" t="n">
        <v>10</v>
      </c>
      <c r="F1832" s="39" t="str">
        <f aca="false">IF(COUNTIF(medicine_master!$A$2:$A$26,C1832)&gt;0,"Valid","Invalid")</f>
        <v>Valid</v>
      </c>
      <c r="G1832" s="39" t="str">
        <f aca="false">IFERROR(INDEX(medicine_master!$B$2:$B$26,MATCH($C1832,medicine_master!$A$2:$A$26,0)),"Not found")</f>
        <v>Cough Syrup 100ml</v>
      </c>
      <c r="H1832" s="39" t="str">
        <f aca="false">IFERROR(INDEX(medicine_master!$C$2:$C$26,MATCH($C1832,medicine_master!$A$2:$A$26,0)),"Not found")</f>
        <v>Cold &amp; Cough</v>
      </c>
      <c r="I1832" s="39" t="n">
        <f aca="false">YEAR(B1832)</f>
        <v>2026</v>
      </c>
      <c r="J1832" s="39" t="n">
        <f aca="false">MONTH(B1832)</f>
        <v>12</v>
      </c>
      <c r="K1832" s="39" t="str">
        <f aca="false">TEXT(B1832,"mmm")</f>
        <v>Dec</v>
      </c>
      <c r="L1832" s="45" t="n">
        <f aca="false">IFERROR(INDEX(medicine_master!$I$2:$I$26,MATCH($C1832,medicine_master!$A$2:$A$26,0)),0)</f>
        <v>72</v>
      </c>
      <c r="M1832" s="45" t="n">
        <f aca="false">IFERROR(INDEX(medicine_master!$G$2:$G$26,MATCH($C1832,medicine_master!$A$2:$A$26,0)),0)</f>
        <v>52</v>
      </c>
      <c r="N1832" s="45" t="n">
        <f aca="false">IF(D1832="Sale",E1832*L1832,0)</f>
        <v>0</v>
      </c>
      <c r="O1832" s="45" t="n">
        <f aca="false">IF(D1832="Sale",E1832*M1832,0)</f>
        <v>0</v>
      </c>
      <c r="P1832" s="45" t="n">
        <f aca="false">N1832-O1832</f>
        <v>0</v>
      </c>
      <c r="Q1832" s="45" t="n">
        <f aca="false">IF(D1832="Purchase",E1832*M1832,0)</f>
        <v>520</v>
      </c>
    </row>
    <row r="1833" customFormat="false" ht="15" hidden="false" customHeight="false" outlineLevel="0" collapsed="false">
      <c r="A1833" s="39" t="s">
        <v>2157</v>
      </c>
      <c r="B1833" s="44" t="n">
        <v>46302</v>
      </c>
      <c r="C1833" s="39" t="s">
        <v>158</v>
      </c>
      <c r="D1833" s="39" t="s">
        <v>137</v>
      </c>
      <c r="E1833" s="39" t="n">
        <v>40</v>
      </c>
      <c r="F1833" s="39" t="str">
        <f aca="false">IF(COUNTIF(medicine_master!$A$2:$A$26,C1833)&gt;0,"Valid","Invalid")</f>
        <v>Valid</v>
      </c>
      <c r="G1833" s="39" t="str">
        <f aca="false">IFERROR(INDEX(medicine_master!$B$2:$B$26,MATCH($C1833,medicine_master!$A$2:$A$26,0)),"Not found")</f>
        <v>Cough Syrup 100ml</v>
      </c>
      <c r="H1833" s="39" t="str">
        <f aca="false">IFERROR(INDEX(medicine_master!$C$2:$C$26,MATCH($C1833,medicine_master!$A$2:$A$26,0)),"Not found")</f>
        <v>Cold &amp; Cough</v>
      </c>
      <c r="I1833" s="39" t="n">
        <f aca="false">YEAR(B1833)</f>
        <v>2026</v>
      </c>
      <c r="J1833" s="39" t="n">
        <f aca="false">MONTH(B1833)</f>
        <v>10</v>
      </c>
      <c r="K1833" s="39" t="str">
        <f aca="false">TEXT(B1833,"mmm")</f>
        <v>Oct</v>
      </c>
      <c r="L1833" s="45" t="n">
        <f aca="false">IFERROR(INDEX(medicine_master!$I$2:$I$26,MATCH($C1833,medicine_master!$A$2:$A$26,0)),0)</f>
        <v>72</v>
      </c>
      <c r="M1833" s="45" t="n">
        <f aca="false">IFERROR(INDEX(medicine_master!$G$2:$G$26,MATCH($C1833,medicine_master!$A$2:$A$26,0)),0)</f>
        <v>52</v>
      </c>
      <c r="N1833" s="45" t="n">
        <f aca="false">IF(D1833="Sale",E1833*L1833,0)</f>
        <v>2880</v>
      </c>
      <c r="O1833" s="45" t="n">
        <f aca="false">IF(D1833="Sale",E1833*M1833,0)</f>
        <v>2080</v>
      </c>
      <c r="P1833" s="45" t="n">
        <f aca="false">N1833-O1833</f>
        <v>800</v>
      </c>
      <c r="Q1833" s="45" t="n">
        <f aca="false">IF(D1833="Purchase",E1833*M1833,0)</f>
        <v>0</v>
      </c>
    </row>
    <row r="1834" customFormat="false" ht="15" hidden="false" customHeight="false" outlineLevel="0" collapsed="false">
      <c r="A1834" s="39" t="s">
        <v>2158</v>
      </c>
      <c r="B1834" s="44" t="n">
        <v>46225</v>
      </c>
      <c r="C1834" s="39" t="s">
        <v>321</v>
      </c>
      <c r="D1834" s="39" t="s">
        <v>138</v>
      </c>
      <c r="E1834" s="39" t="n">
        <v>15</v>
      </c>
      <c r="F1834" s="39" t="str">
        <f aca="false">IF(COUNTIF(medicine_master!$A$2:$A$26,C1834)&gt;0,"Valid","Invalid")</f>
        <v>Valid</v>
      </c>
      <c r="G1834" s="39" t="str">
        <f aca="false">IFERROR(INDEX(medicine_master!$B$2:$B$26,MATCH($C1834,medicine_master!$A$2:$A$26,0)),"Not found")</f>
        <v>Levocetirizine 5mg</v>
      </c>
      <c r="H1834" s="39" t="str">
        <f aca="false">IFERROR(INDEX(medicine_master!$C$2:$C$26,MATCH($C1834,medicine_master!$A$2:$A$26,0)),"Not found")</f>
        <v>Allergy</v>
      </c>
      <c r="I1834" s="39" t="n">
        <f aca="false">YEAR(B1834)</f>
        <v>2026</v>
      </c>
      <c r="J1834" s="39" t="n">
        <f aca="false">MONTH(B1834)</f>
        <v>7</v>
      </c>
      <c r="K1834" s="39" t="str">
        <f aca="false">TEXT(B1834,"mmm")</f>
        <v>Jul</v>
      </c>
      <c r="L1834" s="45" t="n">
        <f aca="false">IFERROR(INDEX(medicine_master!$I$2:$I$26,MATCH($C1834,medicine_master!$A$2:$A$26,0)),0)</f>
        <v>22</v>
      </c>
      <c r="M1834" s="45" t="n">
        <f aca="false">IFERROR(INDEX(medicine_master!$G$2:$G$26,MATCH($C1834,medicine_master!$A$2:$A$26,0)),0)</f>
        <v>14</v>
      </c>
      <c r="N1834" s="45" t="n">
        <f aca="false">IF(D1834="Sale",E1834*L1834,0)</f>
        <v>0</v>
      </c>
      <c r="O1834" s="45" t="n">
        <f aca="false">IF(D1834="Sale",E1834*M1834,0)</f>
        <v>0</v>
      </c>
      <c r="P1834" s="45" t="n">
        <f aca="false">N1834-O1834</f>
        <v>0</v>
      </c>
      <c r="Q1834" s="45" t="n">
        <f aca="false">IF(D1834="Purchase",E1834*M1834,0)</f>
        <v>210</v>
      </c>
    </row>
    <row r="1835" customFormat="false" ht="15" hidden="false" customHeight="false" outlineLevel="0" collapsed="false">
      <c r="A1835" s="39" t="s">
        <v>2159</v>
      </c>
      <c r="B1835" s="44" t="n">
        <v>46066</v>
      </c>
      <c r="C1835" s="39" t="s">
        <v>144</v>
      </c>
      <c r="D1835" s="39" t="s">
        <v>138</v>
      </c>
      <c r="E1835" s="39" t="n">
        <v>5</v>
      </c>
      <c r="F1835" s="39" t="str">
        <f aca="false">IF(COUNTIF(medicine_master!$A$2:$A$26,C1835)&gt;0,"Valid","Invalid")</f>
        <v>Valid</v>
      </c>
      <c r="G1835" s="39" t="str">
        <f aca="false">IFERROR(INDEX(medicine_master!$B$2:$B$26,MATCH($C1835,medicine_master!$A$2:$A$26,0)),"Not found")</f>
        <v>Glimepiride 2mg</v>
      </c>
      <c r="H1835" s="39" t="str">
        <f aca="false">IFERROR(INDEX(medicine_master!$C$2:$C$26,MATCH($C1835,medicine_master!$A$2:$A$26,0)),"Not found")</f>
        <v>Diabetes</v>
      </c>
      <c r="I1835" s="39" t="n">
        <f aca="false">YEAR(B1835)</f>
        <v>2026</v>
      </c>
      <c r="J1835" s="39" t="n">
        <f aca="false">MONTH(B1835)</f>
        <v>2</v>
      </c>
      <c r="K1835" s="39" t="str">
        <f aca="false">TEXT(B1835,"mmm")</f>
        <v>Feb</v>
      </c>
      <c r="L1835" s="45" t="n">
        <f aca="false">IFERROR(INDEX(medicine_master!$I$2:$I$26,MATCH($C1835,medicine_master!$A$2:$A$26,0)),0)</f>
        <v>52</v>
      </c>
      <c r="M1835" s="45" t="n">
        <f aca="false">IFERROR(INDEX(medicine_master!$G$2:$G$26,MATCH($C1835,medicine_master!$A$2:$A$26,0)),0)</f>
        <v>38</v>
      </c>
      <c r="N1835" s="45" t="n">
        <f aca="false">IF(D1835="Sale",E1835*L1835,0)</f>
        <v>0</v>
      </c>
      <c r="O1835" s="45" t="n">
        <f aca="false">IF(D1835="Sale",E1835*M1835,0)</f>
        <v>0</v>
      </c>
      <c r="P1835" s="45" t="n">
        <f aca="false">N1835-O1835</f>
        <v>0</v>
      </c>
      <c r="Q1835" s="45" t="n">
        <f aca="false">IF(D1835="Purchase",E1835*M1835,0)</f>
        <v>190</v>
      </c>
    </row>
    <row r="1836" customFormat="false" ht="15" hidden="false" customHeight="false" outlineLevel="0" collapsed="false">
      <c r="A1836" s="39" t="s">
        <v>2160</v>
      </c>
      <c r="B1836" s="44" t="n">
        <v>46221</v>
      </c>
      <c r="C1836" s="39" t="s">
        <v>148</v>
      </c>
      <c r="D1836" s="39" t="s">
        <v>137</v>
      </c>
      <c r="E1836" s="39" t="n">
        <v>20</v>
      </c>
      <c r="F1836" s="39" t="str">
        <f aca="false">IF(COUNTIF(medicine_master!$A$2:$A$26,C1836)&gt;0,"Valid","Invalid")</f>
        <v>Valid</v>
      </c>
      <c r="G1836" s="39" t="str">
        <f aca="false">IFERROR(INDEX(medicine_master!$B$2:$B$26,MATCH($C1836,medicine_master!$A$2:$A$26,0)),"Not found")</f>
        <v>Dextromethorphan Syrup</v>
      </c>
      <c r="H1836" s="39" t="str">
        <f aca="false">IFERROR(INDEX(medicine_master!$C$2:$C$26,MATCH($C1836,medicine_master!$A$2:$A$26,0)),"Not found")</f>
        <v>Cold &amp; Cough</v>
      </c>
      <c r="I1836" s="39" t="n">
        <f aca="false">YEAR(B1836)</f>
        <v>2026</v>
      </c>
      <c r="J1836" s="39" t="n">
        <f aca="false">MONTH(B1836)</f>
        <v>7</v>
      </c>
      <c r="K1836" s="39" t="str">
        <f aca="false">TEXT(B1836,"mmm")</f>
        <v>Jul</v>
      </c>
      <c r="L1836" s="45" t="n">
        <f aca="false">IFERROR(INDEX(medicine_master!$I$2:$I$26,MATCH($C1836,medicine_master!$A$2:$A$26,0)),0)</f>
        <v>80</v>
      </c>
      <c r="M1836" s="45" t="n">
        <f aca="false">IFERROR(INDEX(medicine_master!$G$2:$G$26,MATCH($C1836,medicine_master!$A$2:$A$26,0)),0)</f>
        <v>58</v>
      </c>
      <c r="N1836" s="45" t="n">
        <f aca="false">IF(D1836="Sale",E1836*L1836,0)</f>
        <v>1600</v>
      </c>
      <c r="O1836" s="45" t="n">
        <f aca="false">IF(D1836="Sale",E1836*M1836,0)</f>
        <v>1160</v>
      </c>
      <c r="P1836" s="45" t="n">
        <f aca="false">N1836-O1836</f>
        <v>440</v>
      </c>
      <c r="Q1836" s="45" t="n">
        <f aca="false">IF(D1836="Purchase",E1836*M1836,0)</f>
        <v>0</v>
      </c>
    </row>
    <row r="1837" customFormat="false" ht="15" hidden="false" customHeight="false" outlineLevel="0" collapsed="false">
      <c r="A1837" s="39" t="s">
        <v>2161</v>
      </c>
      <c r="B1837" s="44" t="n">
        <v>46256</v>
      </c>
      <c r="C1837" s="39" t="s">
        <v>151</v>
      </c>
      <c r="D1837" s="39" t="s">
        <v>137</v>
      </c>
      <c r="E1837" s="39" t="n">
        <v>40</v>
      </c>
      <c r="F1837" s="39" t="str">
        <f aca="false">IF(COUNTIF(medicine_master!$A$2:$A$26,C1837)&gt;0,"Valid","Invalid")</f>
        <v>Valid</v>
      </c>
      <c r="G1837" s="39" t="str">
        <f aca="false">IFERROR(INDEX(medicine_master!$B$2:$B$26,MATCH($C1837,medicine_master!$A$2:$A$26,0)),"Not found")</f>
        <v>Cetirizine 10mg</v>
      </c>
      <c r="H1837" s="39" t="str">
        <f aca="false">IFERROR(INDEX(medicine_master!$C$2:$C$26,MATCH($C1837,medicine_master!$A$2:$A$26,0)),"Not found")</f>
        <v>Allergy</v>
      </c>
      <c r="I1837" s="39" t="n">
        <f aca="false">YEAR(B1837)</f>
        <v>2026</v>
      </c>
      <c r="J1837" s="39" t="n">
        <f aca="false">MONTH(B1837)</f>
        <v>8</v>
      </c>
      <c r="K1837" s="39" t="str">
        <f aca="false">TEXT(B1837,"mmm")</f>
        <v>Aug</v>
      </c>
      <c r="L1837" s="45" t="n">
        <f aca="false">IFERROR(INDEX(medicine_master!$I$2:$I$26,MATCH($C1837,medicine_master!$A$2:$A$26,0)),0)</f>
        <v>13</v>
      </c>
      <c r="M1837" s="45" t="n">
        <f aca="false">IFERROR(INDEX(medicine_master!$G$2:$G$26,MATCH($C1837,medicine_master!$A$2:$A$26,0)),0)</f>
        <v>8</v>
      </c>
      <c r="N1837" s="45" t="n">
        <f aca="false">IF(D1837="Sale",E1837*L1837,0)</f>
        <v>520</v>
      </c>
      <c r="O1837" s="45" t="n">
        <f aca="false">IF(D1837="Sale",E1837*M1837,0)</f>
        <v>320</v>
      </c>
      <c r="P1837" s="45" t="n">
        <f aca="false">N1837-O1837</f>
        <v>200</v>
      </c>
      <c r="Q1837" s="45" t="n">
        <f aca="false">IF(D1837="Purchase",E1837*M1837,0)</f>
        <v>0</v>
      </c>
    </row>
    <row r="1838" customFormat="false" ht="15" hidden="false" customHeight="false" outlineLevel="0" collapsed="false">
      <c r="A1838" s="39" t="s">
        <v>2162</v>
      </c>
      <c r="B1838" s="44" t="n">
        <v>46232</v>
      </c>
      <c r="C1838" s="39" t="s">
        <v>153</v>
      </c>
      <c r="D1838" s="39" t="s">
        <v>137</v>
      </c>
      <c r="E1838" s="39" t="n">
        <v>5</v>
      </c>
      <c r="F1838" s="39" t="str">
        <f aca="false">IF(COUNTIF(medicine_master!$A$2:$A$26,C1838)&gt;0,"Valid","Invalid")</f>
        <v>Valid</v>
      </c>
      <c r="G1838" s="39" t="str">
        <f aca="false">IFERROR(INDEX(medicine_master!$B$2:$B$26,MATCH($C1838,medicine_master!$A$2:$A$26,0)),"Not found")</f>
        <v>Atorvastatin 10mg</v>
      </c>
      <c r="H1838" s="39" t="str">
        <f aca="false">IFERROR(INDEX(medicine_master!$C$2:$C$26,MATCH($C1838,medicine_master!$A$2:$A$26,0)),"Not found")</f>
        <v>Cardiac</v>
      </c>
      <c r="I1838" s="39" t="n">
        <f aca="false">YEAR(B1838)</f>
        <v>2026</v>
      </c>
      <c r="J1838" s="39" t="n">
        <f aca="false">MONTH(B1838)</f>
        <v>7</v>
      </c>
      <c r="K1838" s="39" t="str">
        <f aca="false">TEXT(B1838,"mmm")</f>
        <v>Jul</v>
      </c>
      <c r="L1838" s="45" t="n">
        <f aca="false">IFERROR(INDEX(medicine_master!$I$2:$I$26,MATCH($C1838,medicine_master!$A$2:$A$26,0)),0)</f>
        <v>28</v>
      </c>
      <c r="M1838" s="45" t="n">
        <f aca="false">IFERROR(INDEX(medicine_master!$G$2:$G$26,MATCH($C1838,medicine_master!$A$2:$A$26,0)),0)</f>
        <v>19</v>
      </c>
      <c r="N1838" s="45" t="n">
        <f aca="false">IF(D1838="Sale",E1838*L1838,0)</f>
        <v>140</v>
      </c>
      <c r="O1838" s="45" t="n">
        <f aca="false">IF(D1838="Sale",E1838*M1838,0)</f>
        <v>95</v>
      </c>
      <c r="P1838" s="45" t="n">
        <f aca="false">N1838-O1838</f>
        <v>45</v>
      </c>
      <c r="Q1838" s="45" t="n">
        <f aca="false">IF(D1838="Purchase",E1838*M1838,0)</f>
        <v>0</v>
      </c>
    </row>
    <row r="1839" customFormat="false" ht="15" hidden="false" customHeight="false" outlineLevel="0" collapsed="false">
      <c r="A1839" s="39" t="s">
        <v>2163</v>
      </c>
      <c r="B1839" s="44" t="n">
        <v>46128</v>
      </c>
      <c r="C1839" s="39" t="s">
        <v>321</v>
      </c>
      <c r="D1839" s="39" t="s">
        <v>138</v>
      </c>
      <c r="E1839" s="39" t="n">
        <v>20</v>
      </c>
      <c r="F1839" s="39" t="str">
        <f aca="false">IF(COUNTIF(medicine_master!$A$2:$A$26,C1839)&gt;0,"Valid","Invalid")</f>
        <v>Valid</v>
      </c>
      <c r="G1839" s="39" t="str">
        <f aca="false">IFERROR(INDEX(medicine_master!$B$2:$B$26,MATCH($C1839,medicine_master!$A$2:$A$26,0)),"Not found")</f>
        <v>Levocetirizine 5mg</v>
      </c>
      <c r="H1839" s="39" t="str">
        <f aca="false">IFERROR(INDEX(medicine_master!$C$2:$C$26,MATCH($C1839,medicine_master!$A$2:$A$26,0)),"Not found")</f>
        <v>Allergy</v>
      </c>
      <c r="I1839" s="39" t="n">
        <f aca="false">YEAR(B1839)</f>
        <v>2026</v>
      </c>
      <c r="J1839" s="39" t="n">
        <f aca="false">MONTH(B1839)</f>
        <v>4</v>
      </c>
      <c r="K1839" s="39" t="str">
        <f aca="false">TEXT(B1839,"mmm")</f>
        <v>Apr</v>
      </c>
      <c r="L1839" s="45" t="n">
        <f aca="false">IFERROR(INDEX(medicine_master!$I$2:$I$26,MATCH($C1839,medicine_master!$A$2:$A$26,0)),0)</f>
        <v>22</v>
      </c>
      <c r="M1839" s="45" t="n">
        <f aca="false">IFERROR(INDEX(medicine_master!$G$2:$G$26,MATCH($C1839,medicine_master!$A$2:$A$26,0)),0)</f>
        <v>14</v>
      </c>
      <c r="N1839" s="45" t="n">
        <f aca="false">IF(D1839="Sale",E1839*L1839,0)</f>
        <v>0</v>
      </c>
      <c r="O1839" s="45" t="n">
        <f aca="false">IF(D1839="Sale",E1839*M1839,0)</f>
        <v>0</v>
      </c>
      <c r="P1839" s="45" t="n">
        <f aca="false">N1839-O1839</f>
        <v>0</v>
      </c>
      <c r="Q1839" s="45" t="n">
        <f aca="false">IF(D1839="Purchase",E1839*M1839,0)</f>
        <v>280</v>
      </c>
    </row>
    <row r="1840" customFormat="false" ht="15" hidden="false" customHeight="false" outlineLevel="0" collapsed="false">
      <c r="A1840" s="39" t="s">
        <v>2164</v>
      </c>
      <c r="B1840" s="44" t="n">
        <v>46122</v>
      </c>
      <c r="C1840" s="39" t="s">
        <v>152</v>
      </c>
      <c r="D1840" s="39" t="s">
        <v>138</v>
      </c>
      <c r="E1840" s="39" t="n">
        <v>15</v>
      </c>
      <c r="F1840" s="39" t="str">
        <f aca="false">IF(COUNTIF(medicine_master!$A$2:$A$26,C1840)&gt;0,"Valid","Invalid")</f>
        <v>Valid</v>
      </c>
      <c r="G1840" s="39" t="str">
        <f aca="false">IFERROR(INDEX(medicine_master!$B$2:$B$26,MATCH($C1840,medicine_master!$A$2:$A$26,0)),"Not found")</f>
        <v>Amoxicillin 500mg</v>
      </c>
      <c r="H1840" s="39" t="str">
        <f aca="false">IFERROR(INDEX(medicine_master!$C$2:$C$26,MATCH($C1840,medicine_master!$A$2:$A$26,0)),"Not found")</f>
        <v>Antibiotic</v>
      </c>
      <c r="I1840" s="39" t="n">
        <f aca="false">YEAR(B1840)</f>
        <v>2026</v>
      </c>
      <c r="J1840" s="39" t="n">
        <f aca="false">MONTH(B1840)</f>
        <v>4</v>
      </c>
      <c r="K1840" s="39" t="str">
        <f aca="false">TEXT(B1840,"mmm")</f>
        <v>Apr</v>
      </c>
      <c r="L1840" s="45" t="n">
        <f aca="false">IFERROR(INDEX(medicine_master!$I$2:$I$26,MATCH($C1840,medicine_master!$A$2:$A$26,0)),0)</f>
        <v>40</v>
      </c>
      <c r="M1840" s="45" t="n">
        <f aca="false">IFERROR(INDEX(medicine_master!$G$2:$G$26,MATCH($C1840,medicine_master!$A$2:$A$26,0)),0)</f>
        <v>28</v>
      </c>
      <c r="N1840" s="45" t="n">
        <f aca="false">IF(D1840="Sale",E1840*L1840,0)</f>
        <v>0</v>
      </c>
      <c r="O1840" s="45" t="n">
        <f aca="false">IF(D1840="Sale",E1840*M1840,0)</f>
        <v>0</v>
      </c>
      <c r="P1840" s="45" t="n">
        <f aca="false">N1840-O1840</f>
        <v>0</v>
      </c>
      <c r="Q1840" s="45" t="n">
        <f aca="false">IF(D1840="Purchase",E1840*M1840,0)</f>
        <v>420</v>
      </c>
    </row>
    <row r="1841" customFormat="false" ht="15" hidden="false" customHeight="false" outlineLevel="0" collapsed="false">
      <c r="A1841" s="39" t="s">
        <v>2165</v>
      </c>
      <c r="B1841" s="44" t="n">
        <v>46350</v>
      </c>
      <c r="C1841" s="39" t="s">
        <v>180</v>
      </c>
      <c r="D1841" s="39" t="s">
        <v>137</v>
      </c>
      <c r="E1841" s="39" t="n">
        <v>5</v>
      </c>
      <c r="F1841" s="39" t="str">
        <f aca="false">IF(COUNTIF(medicine_master!$A$2:$A$26,C1841)&gt;0,"Valid","Invalid")</f>
        <v>Valid</v>
      </c>
      <c r="G1841" s="39" t="str">
        <f aca="false">IFERROR(INDEX(medicine_master!$B$2:$B$26,MATCH($C1841,medicine_master!$A$2:$A$26,0)),"Not found")</f>
        <v>Vitamin C 500mg</v>
      </c>
      <c r="H1841" s="39" t="str">
        <f aca="false">IFERROR(INDEX(medicine_master!$C$2:$C$26,MATCH($C1841,medicine_master!$A$2:$A$26,0)),"Not found")</f>
        <v>Vitamin</v>
      </c>
      <c r="I1841" s="39" t="n">
        <f aca="false">YEAR(B1841)</f>
        <v>2026</v>
      </c>
      <c r="J1841" s="39" t="n">
        <f aca="false">MONTH(B1841)</f>
        <v>11</v>
      </c>
      <c r="K1841" s="39" t="str">
        <f aca="false">TEXT(B1841,"mmm")</f>
        <v>Nov</v>
      </c>
      <c r="L1841" s="45" t="n">
        <f aca="false">IFERROR(INDEX(medicine_master!$I$2:$I$26,MATCH($C1841,medicine_master!$A$2:$A$26,0)),0)</f>
        <v>22</v>
      </c>
      <c r="M1841" s="45" t="n">
        <f aca="false">IFERROR(INDEX(medicine_master!$G$2:$G$26,MATCH($C1841,medicine_master!$A$2:$A$26,0)),0)</f>
        <v>14</v>
      </c>
      <c r="N1841" s="45" t="n">
        <f aca="false">IF(D1841="Sale",E1841*L1841,0)</f>
        <v>110</v>
      </c>
      <c r="O1841" s="45" t="n">
        <f aca="false">IF(D1841="Sale",E1841*M1841,0)</f>
        <v>70</v>
      </c>
      <c r="P1841" s="45" t="n">
        <f aca="false">N1841-O1841</f>
        <v>40</v>
      </c>
      <c r="Q1841" s="45" t="n">
        <f aca="false">IF(D1841="Purchase",E1841*M1841,0)</f>
        <v>0</v>
      </c>
    </row>
    <row r="1842" customFormat="false" ht="15" hidden="false" customHeight="false" outlineLevel="0" collapsed="false">
      <c r="A1842" s="39" t="s">
        <v>2166</v>
      </c>
      <c r="B1842" s="44" t="n">
        <v>46315</v>
      </c>
      <c r="C1842" s="39" t="s">
        <v>179</v>
      </c>
      <c r="D1842" s="39" t="s">
        <v>138</v>
      </c>
      <c r="E1842" s="39" t="n">
        <v>20</v>
      </c>
      <c r="F1842" s="39" t="str">
        <f aca="false">IF(COUNTIF(medicine_master!$A$2:$A$26,C1842)&gt;0,"Valid","Invalid")</f>
        <v>Valid</v>
      </c>
      <c r="G1842" s="39" t="str">
        <f aca="false">IFERROR(INDEX(medicine_master!$B$2:$B$26,MATCH($C1842,medicine_master!$A$2:$A$26,0)),"Not found")</f>
        <v>Ibuprofen 400mg</v>
      </c>
      <c r="H1842" s="39" t="str">
        <f aca="false">IFERROR(INDEX(medicine_master!$C$2:$C$26,MATCH($C1842,medicine_master!$A$2:$A$26,0)),"Not found")</f>
        <v>Pain Relief</v>
      </c>
      <c r="I1842" s="39" t="n">
        <f aca="false">YEAR(B1842)</f>
        <v>2026</v>
      </c>
      <c r="J1842" s="39" t="n">
        <f aca="false">MONTH(B1842)</f>
        <v>10</v>
      </c>
      <c r="K1842" s="39" t="str">
        <f aca="false">TEXT(B1842,"mmm")</f>
        <v>Oct</v>
      </c>
      <c r="L1842" s="45" t="n">
        <f aca="false">IFERROR(INDEX(medicine_master!$I$2:$I$26,MATCH($C1842,medicine_master!$A$2:$A$26,0)),0)</f>
        <v>30</v>
      </c>
      <c r="M1842" s="45" t="n">
        <f aca="false">IFERROR(INDEX(medicine_master!$G$2:$G$26,MATCH($C1842,medicine_master!$A$2:$A$26,0)),0)</f>
        <v>22</v>
      </c>
      <c r="N1842" s="45" t="n">
        <f aca="false">IF(D1842="Sale",E1842*L1842,0)</f>
        <v>0</v>
      </c>
      <c r="O1842" s="45" t="n">
        <f aca="false">IF(D1842="Sale",E1842*M1842,0)</f>
        <v>0</v>
      </c>
      <c r="P1842" s="45" t="n">
        <f aca="false">N1842-O1842</f>
        <v>0</v>
      </c>
      <c r="Q1842" s="45" t="n">
        <f aca="false">IF(D1842="Purchase",E1842*M1842,0)</f>
        <v>440</v>
      </c>
    </row>
    <row r="1843" customFormat="false" ht="15" hidden="false" customHeight="false" outlineLevel="0" collapsed="false">
      <c r="A1843" s="39" t="s">
        <v>2167</v>
      </c>
      <c r="B1843" s="44" t="n">
        <v>46212</v>
      </c>
      <c r="C1843" s="39" t="s">
        <v>180</v>
      </c>
      <c r="D1843" s="39" t="s">
        <v>138</v>
      </c>
      <c r="E1843" s="39" t="n">
        <v>25</v>
      </c>
      <c r="F1843" s="39" t="str">
        <f aca="false">IF(COUNTIF(medicine_master!$A$2:$A$26,C1843)&gt;0,"Valid","Invalid")</f>
        <v>Valid</v>
      </c>
      <c r="G1843" s="39" t="str">
        <f aca="false">IFERROR(INDEX(medicine_master!$B$2:$B$26,MATCH($C1843,medicine_master!$A$2:$A$26,0)),"Not found")</f>
        <v>Vitamin C 500mg</v>
      </c>
      <c r="H1843" s="39" t="str">
        <f aca="false">IFERROR(INDEX(medicine_master!$C$2:$C$26,MATCH($C1843,medicine_master!$A$2:$A$26,0)),"Not found")</f>
        <v>Vitamin</v>
      </c>
      <c r="I1843" s="39" t="n">
        <f aca="false">YEAR(B1843)</f>
        <v>2026</v>
      </c>
      <c r="J1843" s="39" t="n">
        <f aca="false">MONTH(B1843)</f>
        <v>7</v>
      </c>
      <c r="K1843" s="39" t="str">
        <f aca="false">TEXT(B1843,"mmm")</f>
        <v>Jul</v>
      </c>
      <c r="L1843" s="45" t="n">
        <f aca="false">IFERROR(INDEX(medicine_master!$I$2:$I$26,MATCH($C1843,medicine_master!$A$2:$A$26,0)),0)</f>
        <v>22</v>
      </c>
      <c r="M1843" s="45" t="n">
        <f aca="false">IFERROR(INDEX(medicine_master!$G$2:$G$26,MATCH($C1843,medicine_master!$A$2:$A$26,0)),0)</f>
        <v>14</v>
      </c>
      <c r="N1843" s="45" t="n">
        <f aca="false">IF(D1843="Sale",E1843*L1843,0)</f>
        <v>0</v>
      </c>
      <c r="O1843" s="45" t="n">
        <f aca="false">IF(D1843="Sale",E1843*M1843,0)</f>
        <v>0</v>
      </c>
      <c r="P1843" s="45" t="n">
        <f aca="false">N1843-O1843</f>
        <v>0</v>
      </c>
      <c r="Q1843" s="45" t="n">
        <f aca="false">IF(D1843="Purchase",E1843*M1843,0)</f>
        <v>350</v>
      </c>
    </row>
    <row r="1844" customFormat="false" ht="15" hidden="false" customHeight="false" outlineLevel="0" collapsed="false">
      <c r="A1844" s="39" t="s">
        <v>2168</v>
      </c>
      <c r="B1844" s="44" t="n">
        <v>46264</v>
      </c>
      <c r="C1844" s="39" t="s">
        <v>158</v>
      </c>
      <c r="D1844" s="39" t="s">
        <v>137</v>
      </c>
      <c r="E1844" s="39" t="n">
        <v>30</v>
      </c>
      <c r="F1844" s="39" t="str">
        <f aca="false">IF(COUNTIF(medicine_master!$A$2:$A$26,C1844)&gt;0,"Valid","Invalid")</f>
        <v>Valid</v>
      </c>
      <c r="G1844" s="39" t="str">
        <f aca="false">IFERROR(INDEX(medicine_master!$B$2:$B$26,MATCH($C1844,medicine_master!$A$2:$A$26,0)),"Not found")</f>
        <v>Cough Syrup 100ml</v>
      </c>
      <c r="H1844" s="39" t="str">
        <f aca="false">IFERROR(INDEX(medicine_master!$C$2:$C$26,MATCH($C1844,medicine_master!$A$2:$A$26,0)),"Not found")</f>
        <v>Cold &amp; Cough</v>
      </c>
      <c r="I1844" s="39" t="n">
        <f aca="false">YEAR(B1844)</f>
        <v>2026</v>
      </c>
      <c r="J1844" s="39" t="n">
        <f aca="false">MONTH(B1844)</f>
        <v>8</v>
      </c>
      <c r="K1844" s="39" t="str">
        <f aca="false">TEXT(B1844,"mmm")</f>
        <v>Aug</v>
      </c>
      <c r="L1844" s="45" t="n">
        <f aca="false">IFERROR(INDEX(medicine_master!$I$2:$I$26,MATCH($C1844,medicine_master!$A$2:$A$26,0)),0)</f>
        <v>72</v>
      </c>
      <c r="M1844" s="45" t="n">
        <f aca="false">IFERROR(INDEX(medicine_master!$G$2:$G$26,MATCH($C1844,medicine_master!$A$2:$A$26,0)),0)</f>
        <v>52</v>
      </c>
      <c r="N1844" s="45" t="n">
        <f aca="false">IF(D1844="Sale",E1844*L1844,0)</f>
        <v>2160</v>
      </c>
      <c r="O1844" s="45" t="n">
        <f aca="false">IF(D1844="Sale",E1844*M1844,0)</f>
        <v>1560</v>
      </c>
      <c r="P1844" s="45" t="n">
        <f aca="false">N1844-O1844</f>
        <v>600</v>
      </c>
      <c r="Q1844" s="45" t="n">
        <f aca="false">IF(D1844="Purchase",E1844*M1844,0)</f>
        <v>0</v>
      </c>
    </row>
    <row r="1845" customFormat="false" ht="15" hidden="false" customHeight="false" outlineLevel="0" collapsed="false">
      <c r="A1845" s="39" t="s">
        <v>2169</v>
      </c>
      <c r="B1845" s="44" t="n">
        <v>46134</v>
      </c>
      <c r="C1845" s="39" t="s">
        <v>178</v>
      </c>
      <c r="D1845" s="39" t="s">
        <v>137</v>
      </c>
      <c r="E1845" s="39" t="n">
        <v>40</v>
      </c>
      <c r="F1845" s="39" t="str">
        <f aca="false">IF(COUNTIF(medicine_master!$A$2:$A$26,C1845)&gt;0,"Valid","Invalid")</f>
        <v>Valid</v>
      </c>
      <c r="G1845" s="39" t="str">
        <f aca="false">IFERROR(INDEX(medicine_master!$B$2:$B$26,MATCH($C1845,medicine_master!$A$2:$A$26,0)),"Not found")</f>
        <v>Aspirin 75mg</v>
      </c>
      <c r="H1845" s="39" t="str">
        <f aca="false">IFERROR(INDEX(medicine_master!$C$2:$C$26,MATCH($C1845,medicine_master!$A$2:$A$26,0)),"Not found")</f>
        <v>Cardiac</v>
      </c>
      <c r="I1845" s="39" t="n">
        <f aca="false">YEAR(B1845)</f>
        <v>2026</v>
      </c>
      <c r="J1845" s="39" t="n">
        <f aca="false">MONTH(B1845)</f>
        <v>4</v>
      </c>
      <c r="K1845" s="39" t="str">
        <f aca="false">TEXT(B1845,"mmm")</f>
        <v>Apr</v>
      </c>
      <c r="L1845" s="45" t="n">
        <f aca="false">IFERROR(INDEX(medicine_master!$I$2:$I$26,MATCH($C1845,medicine_master!$A$2:$A$26,0)),0)</f>
        <v>15</v>
      </c>
      <c r="M1845" s="45" t="n">
        <f aca="false">IFERROR(INDEX(medicine_master!$G$2:$G$26,MATCH($C1845,medicine_master!$A$2:$A$26,0)),0)</f>
        <v>10</v>
      </c>
      <c r="N1845" s="45" t="n">
        <f aca="false">IF(D1845="Sale",E1845*L1845,0)</f>
        <v>600</v>
      </c>
      <c r="O1845" s="45" t="n">
        <f aca="false">IF(D1845="Sale",E1845*M1845,0)</f>
        <v>400</v>
      </c>
      <c r="P1845" s="45" t="n">
        <f aca="false">N1845-O1845</f>
        <v>200</v>
      </c>
      <c r="Q1845" s="45" t="n">
        <f aca="false">IF(D1845="Purchase",E1845*M1845,0)</f>
        <v>0</v>
      </c>
    </row>
    <row r="1846" customFormat="false" ht="15" hidden="false" customHeight="false" outlineLevel="0" collapsed="false">
      <c r="A1846" s="39" t="s">
        <v>2170</v>
      </c>
      <c r="B1846" s="44" t="n">
        <v>46345</v>
      </c>
      <c r="C1846" s="39" t="s">
        <v>144</v>
      </c>
      <c r="D1846" s="39" t="s">
        <v>138</v>
      </c>
      <c r="E1846" s="39" t="n">
        <v>20</v>
      </c>
      <c r="F1846" s="39" t="str">
        <f aca="false">IF(COUNTIF(medicine_master!$A$2:$A$26,C1846)&gt;0,"Valid","Invalid")</f>
        <v>Valid</v>
      </c>
      <c r="G1846" s="39" t="str">
        <f aca="false">IFERROR(INDEX(medicine_master!$B$2:$B$26,MATCH($C1846,medicine_master!$A$2:$A$26,0)),"Not found")</f>
        <v>Glimepiride 2mg</v>
      </c>
      <c r="H1846" s="39" t="str">
        <f aca="false">IFERROR(INDEX(medicine_master!$C$2:$C$26,MATCH($C1846,medicine_master!$A$2:$A$26,0)),"Not found")</f>
        <v>Diabetes</v>
      </c>
      <c r="I1846" s="39" t="n">
        <f aca="false">YEAR(B1846)</f>
        <v>2026</v>
      </c>
      <c r="J1846" s="39" t="n">
        <f aca="false">MONTH(B1846)</f>
        <v>11</v>
      </c>
      <c r="K1846" s="39" t="str">
        <f aca="false">TEXT(B1846,"mmm")</f>
        <v>Nov</v>
      </c>
      <c r="L1846" s="45" t="n">
        <f aca="false">IFERROR(INDEX(medicine_master!$I$2:$I$26,MATCH($C1846,medicine_master!$A$2:$A$26,0)),0)</f>
        <v>52</v>
      </c>
      <c r="M1846" s="45" t="n">
        <f aca="false">IFERROR(INDEX(medicine_master!$G$2:$G$26,MATCH($C1846,medicine_master!$A$2:$A$26,0)),0)</f>
        <v>38</v>
      </c>
      <c r="N1846" s="45" t="n">
        <f aca="false">IF(D1846="Sale",E1846*L1846,0)</f>
        <v>0</v>
      </c>
      <c r="O1846" s="45" t="n">
        <f aca="false">IF(D1846="Sale",E1846*M1846,0)</f>
        <v>0</v>
      </c>
      <c r="P1846" s="45" t="n">
        <f aca="false">N1846-O1846</f>
        <v>0</v>
      </c>
      <c r="Q1846" s="45" t="n">
        <f aca="false">IF(D1846="Purchase",E1846*M1846,0)</f>
        <v>760</v>
      </c>
    </row>
    <row r="1847" customFormat="false" ht="15" hidden="false" customHeight="false" outlineLevel="0" collapsed="false">
      <c r="A1847" s="39" t="s">
        <v>2171</v>
      </c>
      <c r="B1847" s="44" t="n">
        <v>46105</v>
      </c>
      <c r="C1847" s="39" t="s">
        <v>177</v>
      </c>
      <c r="D1847" s="39" t="s">
        <v>138</v>
      </c>
      <c r="E1847" s="39" t="n">
        <v>20</v>
      </c>
      <c r="F1847" s="39" t="str">
        <f aca="false">IF(COUNTIF(medicine_master!$A$2:$A$26,C1847)&gt;0,"Valid","Invalid")</f>
        <v>Valid</v>
      </c>
      <c r="G1847" s="39" t="str">
        <f aca="false">IFERROR(INDEX(medicine_master!$B$2:$B$26,MATCH($C1847,medicine_master!$A$2:$A$26,0)),"Not found")</f>
        <v>Bandage Roll</v>
      </c>
      <c r="H1847" s="39" t="str">
        <f aca="false">IFERROR(INDEX(medicine_master!$C$2:$C$26,MATCH($C1847,medicine_master!$A$2:$A$26,0)),"Not found")</f>
        <v>First Aid</v>
      </c>
      <c r="I1847" s="39" t="n">
        <f aca="false">YEAR(B1847)</f>
        <v>2026</v>
      </c>
      <c r="J1847" s="39" t="n">
        <f aca="false">MONTH(B1847)</f>
        <v>3</v>
      </c>
      <c r="K1847" s="39" t="str">
        <f aca="false">TEXT(B1847,"mmm")</f>
        <v>Mar</v>
      </c>
      <c r="L1847" s="45" t="n">
        <f aca="false">IFERROR(INDEX(medicine_master!$I$2:$I$26,MATCH($C1847,medicine_master!$A$2:$A$26,0)),0)</f>
        <v>25</v>
      </c>
      <c r="M1847" s="45" t="n">
        <f aca="false">IFERROR(INDEX(medicine_master!$G$2:$G$26,MATCH($C1847,medicine_master!$A$2:$A$26,0)),0)</f>
        <v>15</v>
      </c>
      <c r="N1847" s="45" t="n">
        <f aca="false">IF(D1847="Sale",E1847*L1847,0)</f>
        <v>0</v>
      </c>
      <c r="O1847" s="45" t="n">
        <f aca="false">IF(D1847="Sale",E1847*M1847,0)</f>
        <v>0</v>
      </c>
      <c r="P1847" s="45" t="n">
        <f aca="false">N1847-O1847</f>
        <v>0</v>
      </c>
      <c r="Q1847" s="45" t="n">
        <f aca="false">IF(D1847="Purchase",E1847*M1847,0)</f>
        <v>300</v>
      </c>
    </row>
    <row r="1848" customFormat="false" ht="15" hidden="false" customHeight="false" outlineLevel="0" collapsed="false">
      <c r="A1848" s="39" t="s">
        <v>2172</v>
      </c>
      <c r="B1848" s="44" t="n">
        <v>46285</v>
      </c>
      <c r="C1848" s="39" t="s">
        <v>148</v>
      </c>
      <c r="D1848" s="39" t="s">
        <v>137</v>
      </c>
      <c r="E1848" s="39" t="n">
        <v>10</v>
      </c>
      <c r="F1848" s="39" t="str">
        <f aca="false">IF(COUNTIF(medicine_master!$A$2:$A$26,C1848)&gt;0,"Valid","Invalid")</f>
        <v>Valid</v>
      </c>
      <c r="G1848" s="39" t="str">
        <f aca="false">IFERROR(INDEX(medicine_master!$B$2:$B$26,MATCH($C1848,medicine_master!$A$2:$A$26,0)),"Not found")</f>
        <v>Dextromethorphan Syrup</v>
      </c>
      <c r="H1848" s="39" t="str">
        <f aca="false">IFERROR(INDEX(medicine_master!$C$2:$C$26,MATCH($C1848,medicine_master!$A$2:$A$26,0)),"Not found")</f>
        <v>Cold &amp; Cough</v>
      </c>
      <c r="I1848" s="39" t="n">
        <f aca="false">YEAR(B1848)</f>
        <v>2026</v>
      </c>
      <c r="J1848" s="39" t="n">
        <f aca="false">MONTH(B1848)</f>
        <v>9</v>
      </c>
      <c r="K1848" s="39" t="str">
        <f aca="false">TEXT(B1848,"mmm")</f>
        <v>Sep</v>
      </c>
      <c r="L1848" s="45" t="n">
        <f aca="false">IFERROR(INDEX(medicine_master!$I$2:$I$26,MATCH($C1848,medicine_master!$A$2:$A$26,0)),0)</f>
        <v>80</v>
      </c>
      <c r="M1848" s="45" t="n">
        <f aca="false">IFERROR(INDEX(medicine_master!$G$2:$G$26,MATCH($C1848,medicine_master!$A$2:$A$26,0)),0)</f>
        <v>58</v>
      </c>
      <c r="N1848" s="45" t="n">
        <f aca="false">IF(D1848="Sale",E1848*L1848,0)</f>
        <v>800</v>
      </c>
      <c r="O1848" s="45" t="n">
        <f aca="false">IF(D1848="Sale",E1848*M1848,0)</f>
        <v>580</v>
      </c>
      <c r="P1848" s="45" t="n">
        <f aca="false">N1848-O1848</f>
        <v>220</v>
      </c>
      <c r="Q1848" s="45" t="n">
        <f aca="false">IF(D1848="Purchase",E1848*M1848,0)</f>
        <v>0</v>
      </c>
    </row>
    <row r="1849" customFormat="false" ht="15" hidden="false" customHeight="false" outlineLevel="0" collapsed="false">
      <c r="A1849" s="39" t="s">
        <v>2173</v>
      </c>
      <c r="B1849" s="44" t="n">
        <v>46384</v>
      </c>
      <c r="C1849" s="39" t="s">
        <v>404</v>
      </c>
      <c r="D1849" s="39" t="s">
        <v>137</v>
      </c>
      <c r="E1849" s="39" t="n">
        <v>30</v>
      </c>
      <c r="F1849" s="39" t="str">
        <f aca="false">IF(COUNTIF(medicine_master!$A$2:$A$26,C1849)&gt;0,"Valid","Invalid")</f>
        <v>Valid</v>
      </c>
      <c r="G1849" s="39" t="str">
        <f aca="false">IFERROR(INDEX(medicine_master!$B$2:$B$26,MATCH($C1849,medicine_master!$A$2:$A$26,0)),"Not found")</f>
        <v>ORS Sachet</v>
      </c>
      <c r="H1849" s="39" t="str">
        <f aca="false">IFERROR(INDEX(medicine_master!$C$2:$C$26,MATCH($C1849,medicine_master!$A$2:$A$26,0)),"Not found")</f>
        <v>First Aid</v>
      </c>
      <c r="I1849" s="39" t="n">
        <f aca="false">YEAR(B1849)</f>
        <v>2026</v>
      </c>
      <c r="J1849" s="39" t="n">
        <f aca="false">MONTH(B1849)</f>
        <v>12</v>
      </c>
      <c r="K1849" s="39" t="str">
        <f aca="false">TEXT(B1849,"mmm")</f>
        <v>Dec</v>
      </c>
      <c r="L1849" s="45" t="n">
        <f aca="false">IFERROR(INDEX(medicine_master!$I$2:$I$26,MATCH($C1849,medicine_master!$A$2:$A$26,0)),0)</f>
        <v>10</v>
      </c>
      <c r="M1849" s="45" t="n">
        <f aca="false">IFERROR(INDEX(medicine_master!$G$2:$G$26,MATCH($C1849,medicine_master!$A$2:$A$26,0)),0)</f>
        <v>6</v>
      </c>
      <c r="N1849" s="45" t="n">
        <f aca="false">IF(D1849="Sale",E1849*L1849,0)</f>
        <v>300</v>
      </c>
      <c r="O1849" s="45" t="n">
        <f aca="false">IF(D1849="Sale",E1849*M1849,0)</f>
        <v>180</v>
      </c>
      <c r="P1849" s="45" t="n">
        <f aca="false">N1849-O1849</f>
        <v>120</v>
      </c>
      <c r="Q1849" s="45" t="n">
        <f aca="false">IF(D1849="Purchase",E1849*M1849,0)</f>
        <v>0</v>
      </c>
    </row>
    <row r="1850" customFormat="false" ht="15" hidden="false" customHeight="false" outlineLevel="0" collapsed="false">
      <c r="A1850" s="39" t="s">
        <v>2174</v>
      </c>
      <c r="B1850" s="44" t="n">
        <v>46232</v>
      </c>
      <c r="C1850" s="39" t="s">
        <v>326</v>
      </c>
      <c r="D1850" s="39" t="s">
        <v>138</v>
      </c>
      <c r="E1850" s="39" t="n">
        <v>30</v>
      </c>
      <c r="F1850" s="39" t="str">
        <f aca="false">IF(COUNTIF(medicine_master!$A$2:$A$26,C1850)&gt;0,"Valid","Invalid")</f>
        <v>Valid</v>
      </c>
      <c r="G1850" s="39" t="str">
        <f aca="false">IFERROR(INDEX(medicine_master!$B$2:$B$26,MATCH($C1850,medicine_master!$A$2:$A$26,0)),"Not found")</f>
        <v>Omeprazole 20mg</v>
      </c>
      <c r="H1850" s="39" t="str">
        <f aca="false">IFERROR(INDEX(medicine_master!$C$2:$C$26,MATCH($C1850,medicine_master!$A$2:$A$26,0)),"Not found")</f>
        <v>Gastric</v>
      </c>
      <c r="I1850" s="39" t="n">
        <f aca="false">YEAR(B1850)</f>
        <v>2026</v>
      </c>
      <c r="J1850" s="39" t="n">
        <f aca="false">MONTH(B1850)</f>
        <v>7</v>
      </c>
      <c r="K1850" s="39" t="str">
        <f aca="false">TEXT(B1850,"mmm")</f>
        <v>Jul</v>
      </c>
      <c r="L1850" s="45" t="n">
        <f aca="false">IFERROR(INDEX(medicine_master!$I$2:$I$26,MATCH($C1850,medicine_master!$A$2:$A$26,0)),0)</f>
        <v>26</v>
      </c>
      <c r="M1850" s="45" t="n">
        <f aca="false">IFERROR(INDEX(medicine_master!$G$2:$G$26,MATCH($C1850,medicine_master!$A$2:$A$26,0)),0)</f>
        <v>18</v>
      </c>
      <c r="N1850" s="45" t="n">
        <f aca="false">IF(D1850="Sale",E1850*L1850,0)</f>
        <v>0</v>
      </c>
      <c r="O1850" s="45" t="n">
        <f aca="false">IF(D1850="Sale",E1850*M1850,0)</f>
        <v>0</v>
      </c>
      <c r="P1850" s="45" t="n">
        <f aca="false">N1850-O1850</f>
        <v>0</v>
      </c>
      <c r="Q1850" s="45" t="n">
        <f aca="false">IF(D1850="Purchase",E1850*M1850,0)</f>
        <v>540</v>
      </c>
    </row>
    <row r="1851" customFormat="false" ht="15" hidden="false" customHeight="false" outlineLevel="0" collapsed="false">
      <c r="A1851" s="39" t="s">
        <v>2175</v>
      </c>
      <c r="B1851" s="44" t="n">
        <v>46100</v>
      </c>
      <c r="C1851" s="39" t="s">
        <v>144</v>
      </c>
      <c r="D1851" s="39" t="s">
        <v>137</v>
      </c>
      <c r="E1851" s="39" t="n">
        <v>40</v>
      </c>
      <c r="F1851" s="39" t="str">
        <f aca="false">IF(COUNTIF(medicine_master!$A$2:$A$26,C1851)&gt;0,"Valid","Invalid")</f>
        <v>Valid</v>
      </c>
      <c r="G1851" s="39" t="str">
        <f aca="false">IFERROR(INDEX(medicine_master!$B$2:$B$26,MATCH($C1851,medicine_master!$A$2:$A$26,0)),"Not found")</f>
        <v>Glimepiride 2mg</v>
      </c>
      <c r="H1851" s="39" t="str">
        <f aca="false">IFERROR(INDEX(medicine_master!$C$2:$C$26,MATCH($C1851,medicine_master!$A$2:$A$26,0)),"Not found")</f>
        <v>Diabetes</v>
      </c>
      <c r="I1851" s="39" t="n">
        <f aca="false">YEAR(B1851)</f>
        <v>2026</v>
      </c>
      <c r="J1851" s="39" t="n">
        <f aca="false">MONTH(B1851)</f>
        <v>3</v>
      </c>
      <c r="K1851" s="39" t="str">
        <f aca="false">TEXT(B1851,"mmm")</f>
        <v>Mar</v>
      </c>
      <c r="L1851" s="45" t="n">
        <f aca="false">IFERROR(INDEX(medicine_master!$I$2:$I$26,MATCH($C1851,medicine_master!$A$2:$A$26,0)),0)</f>
        <v>52</v>
      </c>
      <c r="M1851" s="45" t="n">
        <f aca="false">IFERROR(INDEX(medicine_master!$G$2:$G$26,MATCH($C1851,medicine_master!$A$2:$A$26,0)),0)</f>
        <v>38</v>
      </c>
      <c r="N1851" s="45" t="n">
        <f aca="false">IF(D1851="Sale",E1851*L1851,0)</f>
        <v>2080</v>
      </c>
      <c r="O1851" s="45" t="n">
        <f aca="false">IF(D1851="Sale",E1851*M1851,0)</f>
        <v>1520</v>
      </c>
      <c r="P1851" s="45" t="n">
        <f aca="false">N1851-O1851</f>
        <v>560</v>
      </c>
      <c r="Q1851" s="45" t="n">
        <f aca="false">IF(D1851="Purchase",E1851*M1851,0)</f>
        <v>0</v>
      </c>
    </row>
    <row r="1852" customFormat="false" ht="15" hidden="false" customHeight="false" outlineLevel="0" collapsed="false">
      <c r="A1852" s="39" t="s">
        <v>2176</v>
      </c>
      <c r="B1852" s="44" t="n">
        <v>46357</v>
      </c>
      <c r="C1852" s="39" t="s">
        <v>177</v>
      </c>
      <c r="D1852" s="39" t="s">
        <v>138</v>
      </c>
      <c r="E1852" s="39" t="n">
        <v>10</v>
      </c>
      <c r="F1852" s="39" t="str">
        <f aca="false">IF(COUNTIF(medicine_master!$A$2:$A$26,C1852)&gt;0,"Valid","Invalid")</f>
        <v>Valid</v>
      </c>
      <c r="G1852" s="39" t="str">
        <f aca="false">IFERROR(INDEX(medicine_master!$B$2:$B$26,MATCH($C1852,medicine_master!$A$2:$A$26,0)),"Not found")</f>
        <v>Bandage Roll</v>
      </c>
      <c r="H1852" s="39" t="str">
        <f aca="false">IFERROR(INDEX(medicine_master!$C$2:$C$26,MATCH($C1852,medicine_master!$A$2:$A$26,0)),"Not found")</f>
        <v>First Aid</v>
      </c>
      <c r="I1852" s="39" t="n">
        <f aca="false">YEAR(B1852)</f>
        <v>2026</v>
      </c>
      <c r="J1852" s="39" t="n">
        <f aca="false">MONTH(B1852)</f>
        <v>12</v>
      </c>
      <c r="K1852" s="39" t="str">
        <f aca="false">TEXT(B1852,"mmm")</f>
        <v>Dec</v>
      </c>
      <c r="L1852" s="45" t="n">
        <f aca="false">IFERROR(INDEX(medicine_master!$I$2:$I$26,MATCH($C1852,medicine_master!$A$2:$A$26,0)),0)</f>
        <v>25</v>
      </c>
      <c r="M1852" s="45" t="n">
        <f aca="false">IFERROR(INDEX(medicine_master!$G$2:$G$26,MATCH($C1852,medicine_master!$A$2:$A$26,0)),0)</f>
        <v>15</v>
      </c>
      <c r="N1852" s="45" t="n">
        <f aca="false">IF(D1852="Sale",E1852*L1852,0)</f>
        <v>0</v>
      </c>
      <c r="O1852" s="45" t="n">
        <f aca="false">IF(D1852="Sale",E1852*M1852,0)</f>
        <v>0</v>
      </c>
      <c r="P1852" s="45" t="n">
        <f aca="false">N1852-O1852</f>
        <v>0</v>
      </c>
      <c r="Q1852" s="45" t="n">
        <f aca="false">IF(D1852="Purchase",E1852*M1852,0)</f>
        <v>150</v>
      </c>
    </row>
    <row r="1853" customFormat="false" ht="15" hidden="false" customHeight="false" outlineLevel="0" collapsed="false">
      <c r="A1853" s="39" t="s">
        <v>2177</v>
      </c>
      <c r="B1853" s="44" t="n">
        <v>46346</v>
      </c>
      <c r="C1853" s="39" t="s">
        <v>404</v>
      </c>
      <c r="D1853" s="39" t="s">
        <v>138</v>
      </c>
      <c r="E1853" s="39" t="n">
        <v>40</v>
      </c>
      <c r="F1853" s="39" t="str">
        <f aca="false">IF(COUNTIF(medicine_master!$A$2:$A$26,C1853)&gt;0,"Valid","Invalid")</f>
        <v>Valid</v>
      </c>
      <c r="G1853" s="39" t="str">
        <f aca="false">IFERROR(INDEX(medicine_master!$B$2:$B$26,MATCH($C1853,medicine_master!$A$2:$A$26,0)),"Not found")</f>
        <v>ORS Sachet</v>
      </c>
      <c r="H1853" s="39" t="str">
        <f aca="false">IFERROR(INDEX(medicine_master!$C$2:$C$26,MATCH($C1853,medicine_master!$A$2:$A$26,0)),"Not found")</f>
        <v>First Aid</v>
      </c>
      <c r="I1853" s="39" t="n">
        <f aca="false">YEAR(B1853)</f>
        <v>2026</v>
      </c>
      <c r="J1853" s="39" t="n">
        <f aca="false">MONTH(B1853)</f>
        <v>11</v>
      </c>
      <c r="K1853" s="39" t="str">
        <f aca="false">TEXT(B1853,"mmm")</f>
        <v>Nov</v>
      </c>
      <c r="L1853" s="45" t="n">
        <f aca="false">IFERROR(INDEX(medicine_master!$I$2:$I$26,MATCH($C1853,medicine_master!$A$2:$A$26,0)),0)</f>
        <v>10</v>
      </c>
      <c r="M1853" s="45" t="n">
        <f aca="false">IFERROR(INDEX(medicine_master!$G$2:$G$26,MATCH($C1853,medicine_master!$A$2:$A$26,0)),0)</f>
        <v>6</v>
      </c>
      <c r="N1853" s="45" t="n">
        <f aca="false">IF(D1853="Sale",E1853*L1853,0)</f>
        <v>0</v>
      </c>
      <c r="O1853" s="45" t="n">
        <f aca="false">IF(D1853="Sale",E1853*M1853,0)</f>
        <v>0</v>
      </c>
      <c r="P1853" s="45" t="n">
        <f aca="false">N1853-O1853</f>
        <v>0</v>
      </c>
      <c r="Q1853" s="45" t="n">
        <f aca="false">IF(D1853="Purchase",E1853*M1853,0)</f>
        <v>240</v>
      </c>
    </row>
    <row r="1854" customFormat="false" ht="15" hidden="false" customHeight="false" outlineLevel="0" collapsed="false">
      <c r="A1854" s="39" t="s">
        <v>2178</v>
      </c>
      <c r="B1854" s="44" t="n">
        <v>46145</v>
      </c>
      <c r="C1854" s="39" t="s">
        <v>159</v>
      </c>
      <c r="D1854" s="39" t="s">
        <v>137</v>
      </c>
      <c r="E1854" s="39" t="n">
        <v>40</v>
      </c>
      <c r="F1854" s="39" t="str">
        <f aca="false">IF(COUNTIF(medicine_master!$A$2:$A$26,C1854)&gt;0,"Valid","Invalid")</f>
        <v>Valid</v>
      </c>
      <c r="G1854" s="39" t="str">
        <f aca="false">IFERROR(INDEX(medicine_master!$B$2:$B$26,MATCH($C1854,medicine_master!$A$2:$A$26,0)),"Not found")</f>
        <v>Antiseptic Liquid 100ml</v>
      </c>
      <c r="H1854" s="39" t="str">
        <f aca="false">IFERROR(INDEX(medicine_master!$C$2:$C$26,MATCH($C1854,medicine_master!$A$2:$A$26,0)),"Not found")</f>
        <v>First Aid</v>
      </c>
      <c r="I1854" s="39" t="n">
        <f aca="false">YEAR(B1854)</f>
        <v>2026</v>
      </c>
      <c r="J1854" s="39" t="n">
        <f aca="false">MONTH(B1854)</f>
        <v>5</v>
      </c>
      <c r="K1854" s="39" t="str">
        <f aca="false">TEXT(B1854,"mmm")</f>
        <v>May</v>
      </c>
      <c r="L1854" s="45" t="n">
        <f aca="false">IFERROR(INDEX(medicine_master!$I$2:$I$26,MATCH($C1854,medicine_master!$A$2:$A$26,0)),0)</f>
        <v>65</v>
      </c>
      <c r="M1854" s="45" t="n">
        <f aca="false">IFERROR(INDEX(medicine_master!$G$2:$G$26,MATCH($C1854,medicine_master!$A$2:$A$26,0)),0)</f>
        <v>48</v>
      </c>
      <c r="N1854" s="45" t="n">
        <f aca="false">IF(D1854="Sale",E1854*L1854,0)</f>
        <v>2600</v>
      </c>
      <c r="O1854" s="45" t="n">
        <f aca="false">IF(D1854="Sale",E1854*M1854,0)</f>
        <v>1920</v>
      </c>
      <c r="P1854" s="45" t="n">
        <f aca="false">N1854-O1854</f>
        <v>680</v>
      </c>
      <c r="Q1854" s="45" t="n">
        <f aca="false">IF(D1854="Purchase",E1854*M1854,0)</f>
        <v>0</v>
      </c>
    </row>
    <row r="1855" customFormat="false" ht="15" hidden="false" customHeight="false" outlineLevel="0" collapsed="false">
      <c r="A1855" s="39" t="s">
        <v>2179</v>
      </c>
      <c r="B1855" s="44" t="n">
        <v>46361</v>
      </c>
      <c r="C1855" s="39" t="s">
        <v>321</v>
      </c>
      <c r="D1855" s="39" t="s">
        <v>138</v>
      </c>
      <c r="E1855" s="39" t="n">
        <v>50</v>
      </c>
      <c r="F1855" s="39" t="str">
        <f aca="false">IF(COUNTIF(medicine_master!$A$2:$A$26,C1855)&gt;0,"Valid","Invalid")</f>
        <v>Valid</v>
      </c>
      <c r="G1855" s="39" t="str">
        <f aca="false">IFERROR(INDEX(medicine_master!$B$2:$B$26,MATCH($C1855,medicine_master!$A$2:$A$26,0)),"Not found")</f>
        <v>Levocetirizine 5mg</v>
      </c>
      <c r="H1855" s="39" t="str">
        <f aca="false">IFERROR(INDEX(medicine_master!$C$2:$C$26,MATCH($C1855,medicine_master!$A$2:$A$26,0)),"Not found")</f>
        <v>Allergy</v>
      </c>
      <c r="I1855" s="39" t="n">
        <f aca="false">YEAR(B1855)</f>
        <v>2026</v>
      </c>
      <c r="J1855" s="39" t="n">
        <f aca="false">MONTH(B1855)</f>
        <v>12</v>
      </c>
      <c r="K1855" s="39" t="str">
        <f aca="false">TEXT(B1855,"mmm")</f>
        <v>Dec</v>
      </c>
      <c r="L1855" s="45" t="n">
        <f aca="false">IFERROR(INDEX(medicine_master!$I$2:$I$26,MATCH($C1855,medicine_master!$A$2:$A$26,0)),0)</f>
        <v>22</v>
      </c>
      <c r="M1855" s="45" t="n">
        <f aca="false">IFERROR(INDEX(medicine_master!$G$2:$G$26,MATCH($C1855,medicine_master!$A$2:$A$26,0)),0)</f>
        <v>14</v>
      </c>
      <c r="N1855" s="45" t="n">
        <f aca="false">IF(D1855="Sale",E1855*L1855,0)</f>
        <v>0</v>
      </c>
      <c r="O1855" s="45" t="n">
        <f aca="false">IF(D1855="Sale",E1855*M1855,0)</f>
        <v>0</v>
      </c>
      <c r="P1855" s="45" t="n">
        <f aca="false">N1855-O1855</f>
        <v>0</v>
      </c>
      <c r="Q1855" s="45" t="n">
        <f aca="false">IF(D1855="Purchase",E1855*M1855,0)</f>
        <v>700</v>
      </c>
    </row>
    <row r="1856" customFormat="false" ht="15" hidden="false" customHeight="false" outlineLevel="0" collapsed="false">
      <c r="A1856" s="39" t="s">
        <v>2180</v>
      </c>
      <c r="B1856" s="44" t="n">
        <v>46280</v>
      </c>
      <c r="C1856" s="39" t="s">
        <v>144</v>
      </c>
      <c r="D1856" s="39" t="s">
        <v>137</v>
      </c>
      <c r="E1856" s="39" t="n">
        <v>10</v>
      </c>
      <c r="F1856" s="39" t="str">
        <f aca="false">IF(COUNTIF(medicine_master!$A$2:$A$26,C1856)&gt;0,"Valid","Invalid")</f>
        <v>Valid</v>
      </c>
      <c r="G1856" s="39" t="str">
        <f aca="false">IFERROR(INDEX(medicine_master!$B$2:$B$26,MATCH($C1856,medicine_master!$A$2:$A$26,0)),"Not found")</f>
        <v>Glimepiride 2mg</v>
      </c>
      <c r="H1856" s="39" t="str">
        <f aca="false">IFERROR(INDEX(medicine_master!$C$2:$C$26,MATCH($C1856,medicine_master!$A$2:$A$26,0)),"Not found")</f>
        <v>Diabetes</v>
      </c>
      <c r="I1856" s="39" t="n">
        <f aca="false">YEAR(B1856)</f>
        <v>2026</v>
      </c>
      <c r="J1856" s="39" t="n">
        <f aca="false">MONTH(B1856)</f>
        <v>9</v>
      </c>
      <c r="K1856" s="39" t="str">
        <f aca="false">TEXT(B1856,"mmm")</f>
        <v>Sep</v>
      </c>
      <c r="L1856" s="45" t="n">
        <f aca="false">IFERROR(INDEX(medicine_master!$I$2:$I$26,MATCH($C1856,medicine_master!$A$2:$A$26,0)),0)</f>
        <v>52</v>
      </c>
      <c r="M1856" s="45" t="n">
        <f aca="false">IFERROR(INDEX(medicine_master!$G$2:$G$26,MATCH($C1856,medicine_master!$A$2:$A$26,0)),0)</f>
        <v>38</v>
      </c>
      <c r="N1856" s="45" t="n">
        <f aca="false">IF(D1856="Sale",E1856*L1856,0)</f>
        <v>520</v>
      </c>
      <c r="O1856" s="45" t="n">
        <f aca="false">IF(D1856="Sale",E1856*M1856,0)</f>
        <v>380</v>
      </c>
      <c r="P1856" s="45" t="n">
        <f aca="false">N1856-O1856</f>
        <v>140</v>
      </c>
      <c r="Q1856" s="45" t="n">
        <f aca="false">IF(D1856="Purchase",E1856*M1856,0)</f>
        <v>0</v>
      </c>
    </row>
    <row r="1857" customFormat="false" ht="15" hidden="false" customHeight="false" outlineLevel="0" collapsed="false">
      <c r="A1857" s="39" t="s">
        <v>2181</v>
      </c>
      <c r="B1857" s="44" t="n">
        <v>46243</v>
      </c>
      <c r="C1857" s="39" t="s">
        <v>179</v>
      </c>
      <c r="D1857" s="39" t="s">
        <v>137</v>
      </c>
      <c r="E1857" s="39" t="n">
        <v>5</v>
      </c>
      <c r="F1857" s="39" t="str">
        <f aca="false">IF(COUNTIF(medicine_master!$A$2:$A$26,C1857)&gt;0,"Valid","Invalid")</f>
        <v>Valid</v>
      </c>
      <c r="G1857" s="39" t="str">
        <f aca="false">IFERROR(INDEX(medicine_master!$B$2:$B$26,MATCH($C1857,medicine_master!$A$2:$A$26,0)),"Not found")</f>
        <v>Ibuprofen 400mg</v>
      </c>
      <c r="H1857" s="39" t="str">
        <f aca="false">IFERROR(INDEX(medicine_master!$C$2:$C$26,MATCH($C1857,medicine_master!$A$2:$A$26,0)),"Not found")</f>
        <v>Pain Relief</v>
      </c>
      <c r="I1857" s="39" t="n">
        <f aca="false">YEAR(B1857)</f>
        <v>2026</v>
      </c>
      <c r="J1857" s="39" t="n">
        <f aca="false">MONTH(B1857)</f>
        <v>8</v>
      </c>
      <c r="K1857" s="39" t="str">
        <f aca="false">TEXT(B1857,"mmm")</f>
        <v>Aug</v>
      </c>
      <c r="L1857" s="45" t="n">
        <f aca="false">IFERROR(INDEX(medicine_master!$I$2:$I$26,MATCH($C1857,medicine_master!$A$2:$A$26,0)),0)</f>
        <v>30</v>
      </c>
      <c r="M1857" s="45" t="n">
        <f aca="false">IFERROR(INDEX(medicine_master!$G$2:$G$26,MATCH($C1857,medicine_master!$A$2:$A$26,0)),0)</f>
        <v>22</v>
      </c>
      <c r="N1857" s="45" t="n">
        <f aca="false">IF(D1857="Sale",E1857*L1857,0)</f>
        <v>150</v>
      </c>
      <c r="O1857" s="45" t="n">
        <f aca="false">IF(D1857="Sale",E1857*M1857,0)</f>
        <v>110</v>
      </c>
      <c r="P1857" s="45" t="n">
        <f aca="false">N1857-O1857</f>
        <v>40</v>
      </c>
      <c r="Q1857" s="45" t="n">
        <f aca="false">IF(D1857="Purchase",E1857*M1857,0)</f>
        <v>0</v>
      </c>
    </row>
    <row r="1858" customFormat="false" ht="15" hidden="false" customHeight="false" outlineLevel="0" collapsed="false">
      <c r="A1858" s="39" t="s">
        <v>2182</v>
      </c>
      <c r="B1858" s="44" t="n">
        <v>46247</v>
      </c>
      <c r="C1858" s="39" t="s">
        <v>150</v>
      </c>
      <c r="D1858" s="39" t="s">
        <v>137</v>
      </c>
      <c r="E1858" s="39" t="n">
        <v>25</v>
      </c>
      <c r="F1858" s="39" t="str">
        <f aca="false">IF(COUNTIF(medicine_master!$A$2:$A$26,C1858)&gt;0,"Valid","Invalid")</f>
        <v>Valid</v>
      </c>
      <c r="G1858" s="39" t="str">
        <f aca="false">IFERROR(INDEX(medicine_master!$B$2:$B$26,MATCH($C1858,medicine_master!$A$2:$A$26,0)),"Not found")</f>
        <v>Pantoprazole 40mg</v>
      </c>
      <c r="H1858" s="39" t="str">
        <f aca="false">IFERROR(INDEX(medicine_master!$C$2:$C$26,MATCH($C1858,medicine_master!$A$2:$A$26,0)),"Not found")</f>
        <v>Gastric</v>
      </c>
      <c r="I1858" s="39" t="n">
        <f aca="false">YEAR(B1858)</f>
        <v>2026</v>
      </c>
      <c r="J1858" s="39" t="n">
        <f aca="false">MONTH(B1858)</f>
        <v>8</v>
      </c>
      <c r="K1858" s="39" t="str">
        <f aca="false">TEXT(B1858,"mmm")</f>
        <v>Aug</v>
      </c>
      <c r="L1858" s="45" t="n">
        <f aca="false">IFERROR(INDEX(medicine_master!$I$2:$I$26,MATCH($C1858,medicine_master!$A$2:$A$26,0)),0)</f>
        <v>35</v>
      </c>
      <c r="M1858" s="45" t="n">
        <f aca="false">IFERROR(INDEX(medicine_master!$G$2:$G$26,MATCH($C1858,medicine_master!$A$2:$A$26,0)),0)</f>
        <v>24</v>
      </c>
      <c r="N1858" s="45" t="n">
        <f aca="false">IF(D1858="Sale",E1858*L1858,0)</f>
        <v>875</v>
      </c>
      <c r="O1858" s="45" t="n">
        <f aca="false">IF(D1858="Sale",E1858*M1858,0)</f>
        <v>600</v>
      </c>
      <c r="P1858" s="45" t="n">
        <f aca="false">N1858-O1858</f>
        <v>275</v>
      </c>
      <c r="Q1858" s="45" t="n">
        <f aca="false">IF(D1858="Purchase",E1858*M1858,0)</f>
        <v>0</v>
      </c>
    </row>
    <row r="1859" customFormat="false" ht="15" hidden="false" customHeight="false" outlineLevel="0" collapsed="false">
      <c r="A1859" s="39" t="s">
        <v>2183</v>
      </c>
      <c r="B1859" s="44" t="n">
        <v>46379</v>
      </c>
      <c r="C1859" s="39" t="s">
        <v>321</v>
      </c>
      <c r="D1859" s="39" t="s">
        <v>138</v>
      </c>
      <c r="E1859" s="39" t="n">
        <v>40</v>
      </c>
      <c r="F1859" s="39" t="str">
        <f aca="false">IF(COUNTIF(medicine_master!$A$2:$A$26,C1859)&gt;0,"Valid","Invalid")</f>
        <v>Valid</v>
      </c>
      <c r="G1859" s="39" t="str">
        <f aca="false">IFERROR(INDEX(medicine_master!$B$2:$B$26,MATCH($C1859,medicine_master!$A$2:$A$26,0)),"Not found")</f>
        <v>Levocetirizine 5mg</v>
      </c>
      <c r="H1859" s="39" t="str">
        <f aca="false">IFERROR(INDEX(medicine_master!$C$2:$C$26,MATCH($C1859,medicine_master!$A$2:$A$26,0)),"Not found")</f>
        <v>Allergy</v>
      </c>
      <c r="I1859" s="39" t="n">
        <f aca="false">YEAR(B1859)</f>
        <v>2026</v>
      </c>
      <c r="J1859" s="39" t="n">
        <f aca="false">MONTH(B1859)</f>
        <v>12</v>
      </c>
      <c r="K1859" s="39" t="str">
        <f aca="false">TEXT(B1859,"mmm")</f>
        <v>Dec</v>
      </c>
      <c r="L1859" s="45" t="n">
        <f aca="false">IFERROR(INDEX(medicine_master!$I$2:$I$26,MATCH($C1859,medicine_master!$A$2:$A$26,0)),0)</f>
        <v>22</v>
      </c>
      <c r="M1859" s="45" t="n">
        <f aca="false">IFERROR(INDEX(medicine_master!$G$2:$G$26,MATCH($C1859,medicine_master!$A$2:$A$26,0)),0)</f>
        <v>14</v>
      </c>
      <c r="N1859" s="45" t="n">
        <f aca="false">IF(D1859="Sale",E1859*L1859,0)</f>
        <v>0</v>
      </c>
      <c r="O1859" s="45" t="n">
        <f aca="false">IF(D1859="Sale",E1859*M1859,0)</f>
        <v>0</v>
      </c>
      <c r="P1859" s="45" t="n">
        <f aca="false">N1859-O1859</f>
        <v>0</v>
      </c>
      <c r="Q1859" s="45" t="n">
        <f aca="false">IF(D1859="Purchase",E1859*M1859,0)</f>
        <v>560</v>
      </c>
    </row>
    <row r="1860" customFormat="false" ht="15" hidden="false" customHeight="false" outlineLevel="0" collapsed="false">
      <c r="A1860" s="39" t="s">
        <v>2184</v>
      </c>
      <c r="B1860" s="44" t="n">
        <v>46258</v>
      </c>
      <c r="C1860" s="39" t="s">
        <v>157</v>
      </c>
      <c r="D1860" s="39" t="s">
        <v>137</v>
      </c>
      <c r="E1860" s="39" t="n">
        <v>20</v>
      </c>
      <c r="F1860" s="39" t="str">
        <f aca="false">IF(COUNTIF(medicine_master!$A$2:$A$26,C1860)&gt;0,"Valid","Invalid")</f>
        <v>Valid</v>
      </c>
      <c r="G1860" s="39" t="str">
        <f aca="false">IFERROR(INDEX(medicine_master!$B$2:$B$26,MATCH($C1860,medicine_master!$A$2:$A$26,0)),"Not found")</f>
        <v>Multivitamin Tablets</v>
      </c>
      <c r="H1860" s="39" t="str">
        <f aca="false">IFERROR(INDEX(medicine_master!$C$2:$C$26,MATCH($C1860,medicine_master!$A$2:$A$26,0)),"Not found")</f>
        <v>Vitamin</v>
      </c>
      <c r="I1860" s="39" t="n">
        <f aca="false">YEAR(B1860)</f>
        <v>2026</v>
      </c>
      <c r="J1860" s="39" t="n">
        <f aca="false">MONTH(B1860)</f>
        <v>8</v>
      </c>
      <c r="K1860" s="39" t="str">
        <f aca="false">TEXT(B1860,"mmm")</f>
        <v>Aug</v>
      </c>
      <c r="L1860" s="45" t="n">
        <f aca="false">IFERROR(INDEX(medicine_master!$I$2:$I$26,MATCH($C1860,medicine_master!$A$2:$A$26,0)),0)</f>
        <v>105</v>
      </c>
      <c r="M1860" s="45" t="n">
        <f aca="false">IFERROR(INDEX(medicine_master!$G$2:$G$26,MATCH($C1860,medicine_master!$A$2:$A$26,0)),0)</f>
        <v>72</v>
      </c>
      <c r="N1860" s="45" t="n">
        <f aca="false">IF(D1860="Sale",E1860*L1860,0)</f>
        <v>2100</v>
      </c>
      <c r="O1860" s="45" t="n">
        <f aca="false">IF(D1860="Sale",E1860*M1860,0)</f>
        <v>1440</v>
      </c>
      <c r="P1860" s="45" t="n">
        <f aca="false">N1860-O1860</f>
        <v>660</v>
      </c>
      <c r="Q1860" s="45" t="n">
        <f aca="false">IF(D1860="Purchase",E1860*M1860,0)</f>
        <v>0</v>
      </c>
    </row>
    <row r="1861" customFormat="false" ht="15" hidden="false" customHeight="false" outlineLevel="0" collapsed="false">
      <c r="A1861" s="39" t="s">
        <v>2185</v>
      </c>
      <c r="B1861" s="44" t="n">
        <v>46279</v>
      </c>
      <c r="C1861" s="39" t="s">
        <v>495</v>
      </c>
      <c r="D1861" s="39" t="s">
        <v>137</v>
      </c>
      <c r="E1861" s="39" t="n">
        <v>20</v>
      </c>
      <c r="F1861" s="39" t="str">
        <f aca="false">IF(COUNTIF(medicine_master!$A$2:$A$26,C1861)&gt;0,"Valid","Invalid")</f>
        <v>Valid</v>
      </c>
      <c r="G1861" s="39" t="str">
        <f aca="false">IFERROR(INDEX(medicine_master!$B$2:$B$26,MATCH($C1861,medicine_master!$A$2:$A$26,0)),"Not found")</f>
        <v>Metformin 500mg</v>
      </c>
      <c r="H1861" s="39" t="str">
        <f aca="false">IFERROR(INDEX(medicine_master!$C$2:$C$26,MATCH($C1861,medicine_master!$A$2:$A$26,0)),"Not found")</f>
        <v>Diabetes</v>
      </c>
      <c r="I1861" s="39" t="n">
        <f aca="false">YEAR(B1861)</f>
        <v>2026</v>
      </c>
      <c r="J1861" s="39" t="n">
        <f aca="false">MONTH(B1861)</f>
        <v>9</v>
      </c>
      <c r="K1861" s="39" t="str">
        <f aca="false">TEXT(B1861,"mmm")</f>
        <v>Sep</v>
      </c>
      <c r="L1861" s="45" t="n">
        <f aca="false">IFERROR(INDEX(medicine_master!$I$2:$I$26,MATCH($C1861,medicine_master!$A$2:$A$26,0)),0)</f>
        <v>24</v>
      </c>
      <c r="M1861" s="45" t="n">
        <f aca="false">IFERROR(INDEX(medicine_master!$G$2:$G$26,MATCH($C1861,medicine_master!$A$2:$A$26,0)),0)</f>
        <v>16</v>
      </c>
      <c r="N1861" s="45" t="n">
        <f aca="false">IF(D1861="Sale",E1861*L1861,0)</f>
        <v>480</v>
      </c>
      <c r="O1861" s="45" t="n">
        <f aca="false">IF(D1861="Sale",E1861*M1861,0)</f>
        <v>320</v>
      </c>
      <c r="P1861" s="45" t="n">
        <f aca="false">N1861-O1861</f>
        <v>160</v>
      </c>
      <c r="Q1861" s="45" t="n">
        <f aca="false">IF(D1861="Purchase",E1861*M1861,0)</f>
        <v>0</v>
      </c>
    </row>
    <row r="1862" customFormat="false" ht="15" hidden="false" customHeight="false" outlineLevel="0" collapsed="false">
      <c r="A1862" s="39" t="s">
        <v>2186</v>
      </c>
      <c r="B1862" s="44" t="n">
        <v>46310</v>
      </c>
      <c r="C1862" s="39" t="s">
        <v>152</v>
      </c>
      <c r="D1862" s="39" t="s">
        <v>138</v>
      </c>
      <c r="E1862" s="39" t="n">
        <v>20</v>
      </c>
      <c r="F1862" s="39" t="str">
        <f aca="false">IF(COUNTIF(medicine_master!$A$2:$A$26,C1862)&gt;0,"Valid","Invalid")</f>
        <v>Valid</v>
      </c>
      <c r="G1862" s="39" t="str">
        <f aca="false">IFERROR(INDEX(medicine_master!$B$2:$B$26,MATCH($C1862,medicine_master!$A$2:$A$26,0)),"Not found")</f>
        <v>Amoxicillin 500mg</v>
      </c>
      <c r="H1862" s="39" t="str">
        <f aca="false">IFERROR(INDEX(medicine_master!$C$2:$C$26,MATCH($C1862,medicine_master!$A$2:$A$26,0)),"Not found")</f>
        <v>Antibiotic</v>
      </c>
      <c r="I1862" s="39" t="n">
        <f aca="false">YEAR(B1862)</f>
        <v>2026</v>
      </c>
      <c r="J1862" s="39" t="n">
        <f aca="false">MONTH(B1862)</f>
        <v>10</v>
      </c>
      <c r="K1862" s="39" t="str">
        <f aca="false">TEXT(B1862,"mmm")</f>
        <v>Oct</v>
      </c>
      <c r="L1862" s="45" t="n">
        <f aca="false">IFERROR(INDEX(medicine_master!$I$2:$I$26,MATCH($C1862,medicine_master!$A$2:$A$26,0)),0)</f>
        <v>40</v>
      </c>
      <c r="M1862" s="45" t="n">
        <f aca="false">IFERROR(INDEX(medicine_master!$G$2:$G$26,MATCH($C1862,medicine_master!$A$2:$A$26,0)),0)</f>
        <v>28</v>
      </c>
      <c r="N1862" s="45" t="n">
        <f aca="false">IF(D1862="Sale",E1862*L1862,0)</f>
        <v>0</v>
      </c>
      <c r="O1862" s="45" t="n">
        <f aca="false">IF(D1862="Sale",E1862*M1862,0)</f>
        <v>0</v>
      </c>
      <c r="P1862" s="45" t="n">
        <f aca="false">N1862-O1862</f>
        <v>0</v>
      </c>
      <c r="Q1862" s="45" t="n">
        <f aca="false">IF(D1862="Purchase",E1862*M1862,0)</f>
        <v>560</v>
      </c>
    </row>
    <row r="1863" customFormat="false" ht="15" hidden="false" customHeight="false" outlineLevel="0" collapsed="false">
      <c r="A1863" s="39" t="s">
        <v>2187</v>
      </c>
      <c r="B1863" s="44" t="n">
        <v>46320</v>
      </c>
      <c r="C1863" s="39" t="s">
        <v>179</v>
      </c>
      <c r="D1863" s="39" t="s">
        <v>138</v>
      </c>
      <c r="E1863" s="39" t="n">
        <v>30</v>
      </c>
      <c r="F1863" s="39" t="str">
        <f aca="false">IF(COUNTIF(medicine_master!$A$2:$A$26,C1863)&gt;0,"Valid","Invalid")</f>
        <v>Valid</v>
      </c>
      <c r="G1863" s="39" t="str">
        <f aca="false">IFERROR(INDEX(medicine_master!$B$2:$B$26,MATCH($C1863,medicine_master!$A$2:$A$26,0)),"Not found")</f>
        <v>Ibuprofen 400mg</v>
      </c>
      <c r="H1863" s="39" t="str">
        <f aca="false">IFERROR(INDEX(medicine_master!$C$2:$C$26,MATCH($C1863,medicine_master!$A$2:$A$26,0)),"Not found")</f>
        <v>Pain Relief</v>
      </c>
      <c r="I1863" s="39" t="n">
        <f aca="false">YEAR(B1863)</f>
        <v>2026</v>
      </c>
      <c r="J1863" s="39" t="n">
        <f aca="false">MONTH(B1863)</f>
        <v>10</v>
      </c>
      <c r="K1863" s="39" t="str">
        <f aca="false">TEXT(B1863,"mmm")</f>
        <v>Oct</v>
      </c>
      <c r="L1863" s="45" t="n">
        <f aca="false">IFERROR(INDEX(medicine_master!$I$2:$I$26,MATCH($C1863,medicine_master!$A$2:$A$26,0)),0)</f>
        <v>30</v>
      </c>
      <c r="M1863" s="45" t="n">
        <f aca="false">IFERROR(INDEX(medicine_master!$G$2:$G$26,MATCH($C1863,medicine_master!$A$2:$A$26,0)),0)</f>
        <v>22</v>
      </c>
      <c r="N1863" s="45" t="n">
        <f aca="false">IF(D1863="Sale",E1863*L1863,0)</f>
        <v>0</v>
      </c>
      <c r="O1863" s="45" t="n">
        <f aca="false">IF(D1863="Sale",E1863*M1863,0)</f>
        <v>0</v>
      </c>
      <c r="P1863" s="45" t="n">
        <f aca="false">N1863-O1863</f>
        <v>0</v>
      </c>
      <c r="Q1863" s="45" t="n">
        <f aca="false">IF(D1863="Purchase",E1863*M1863,0)</f>
        <v>660</v>
      </c>
    </row>
    <row r="1864" customFormat="false" ht="15" hidden="false" customHeight="false" outlineLevel="0" collapsed="false">
      <c r="A1864" s="39" t="s">
        <v>2188</v>
      </c>
      <c r="B1864" s="44" t="n">
        <v>46264</v>
      </c>
      <c r="C1864" s="39" t="s">
        <v>180</v>
      </c>
      <c r="D1864" s="39" t="s">
        <v>137</v>
      </c>
      <c r="E1864" s="39" t="n">
        <v>50</v>
      </c>
      <c r="F1864" s="39" t="str">
        <f aca="false">IF(COUNTIF(medicine_master!$A$2:$A$26,C1864)&gt;0,"Valid","Invalid")</f>
        <v>Valid</v>
      </c>
      <c r="G1864" s="39" t="str">
        <f aca="false">IFERROR(INDEX(medicine_master!$B$2:$B$26,MATCH($C1864,medicine_master!$A$2:$A$26,0)),"Not found")</f>
        <v>Vitamin C 500mg</v>
      </c>
      <c r="H1864" s="39" t="str">
        <f aca="false">IFERROR(INDEX(medicine_master!$C$2:$C$26,MATCH($C1864,medicine_master!$A$2:$A$26,0)),"Not found")</f>
        <v>Vitamin</v>
      </c>
      <c r="I1864" s="39" t="n">
        <f aca="false">YEAR(B1864)</f>
        <v>2026</v>
      </c>
      <c r="J1864" s="39" t="n">
        <f aca="false">MONTH(B1864)</f>
        <v>8</v>
      </c>
      <c r="K1864" s="39" t="str">
        <f aca="false">TEXT(B1864,"mmm")</f>
        <v>Aug</v>
      </c>
      <c r="L1864" s="45" t="n">
        <f aca="false">IFERROR(INDEX(medicine_master!$I$2:$I$26,MATCH($C1864,medicine_master!$A$2:$A$26,0)),0)</f>
        <v>22</v>
      </c>
      <c r="M1864" s="45" t="n">
        <f aca="false">IFERROR(INDEX(medicine_master!$G$2:$G$26,MATCH($C1864,medicine_master!$A$2:$A$26,0)),0)</f>
        <v>14</v>
      </c>
      <c r="N1864" s="45" t="n">
        <f aca="false">IF(D1864="Sale",E1864*L1864,0)</f>
        <v>1100</v>
      </c>
      <c r="O1864" s="45" t="n">
        <f aca="false">IF(D1864="Sale",E1864*M1864,0)</f>
        <v>700</v>
      </c>
      <c r="P1864" s="45" t="n">
        <f aca="false">N1864-O1864</f>
        <v>400</v>
      </c>
      <c r="Q1864" s="45" t="n">
        <f aca="false">IF(D1864="Purchase",E1864*M1864,0)</f>
        <v>0</v>
      </c>
    </row>
    <row r="1865" customFormat="false" ht="15" hidden="false" customHeight="false" outlineLevel="0" collapsed="false">
      <c r="A1865" s="39" t="s">
        <v>2189</v>
      </c>
      <c r="B1865" s="44" t="n">
        <v>46264</v>
      </c>
      <c r="C1865" s="39" t="s">
        <v>178</v>
      </c>
      <c r="D1865" s="39" t="s">
        <v>138</v>
      </c>
      <c r="E1865" s="39" t="n">
        <v>25</v>
      </c>
      <c r="F1865" s="39" t="str">
        <f aca="false">IF(COUNTIF(medicine_master!$A$2:$A$26,C1865)&gt;0,"Valid","Invalid")</f>
        <v>Valid</v>
      </c>
      <c r="G1865" s="39" t="str">
        <f aca="false">IFERROR(INDEX(medicine_master!$B$2:$B$26,MATCH($C1865,medicine_master!$A$2:$A$26,0)),"Not found")</f>
        <v>Aspirin 75mg</v>
      </c>
      <c r="H1865" s="39" t="str">
        <f aca="false">IFERROR(INDEX(medicine_master!$C$2:$C$26,MATCH($C1865,medicine_master!$A$2:$A$26,0)),"Not found")</f>
        <v>Cardiac</v>
      </c>
      <c r="I1865" s="39" t="n">
        <f aca="false">YEAR(B1865)</f>
        <v>2026</v>
      </c>
      <c r="J1865" s="39" t="n">
        <f aca="false">MONTH(B1865)</f>
        <v>8</v>
      </c>
      <c r="K1865" s="39" t="str">
        <f aca="false">TEXT(B1865,"mmm")</f>
        <v>Aug</v>
      </c>
      <c r="L1865" s="45" t="n">
        <f aca="false">IFERROR(INDEX(medicine_master!$I$2:$I$26,MATCH($C1865,medicine_master!$A$2:$A$26,0)),0)</f>
        <v>15</v>
      </c>
      <c r="M1865" s="45" t="n">
        <f aca="false">IFERROR(INDEX(medicine_master!$G$2:$G$26,MATCH($C1865,medicine_master!$A$2:$A$26,0)),0)</f>
        <v>10</v>
      </c>
      <c r="N1865" s="45" t="n">
        <f aca="false">IF(D1865="Sale",E1865*L1865,0)</f>
        <v>0</v>
      </c>
      <c r="O1865" s="45" t="n">
        <f aca="false">IF(D1865="Sale",E1865*M1865,0)</f>
        <v>0</v>
      </c>
      <c r="P1865" s="45" t="n">
        <f aca="false">N1865-O1865</f>
        <v>0</v>
      </c>
      <c r="Q1865" s="45" t="n">
        <f aca="false">IF(D1865="Purchase",E1865*M1865,0)</f>
        <v>250</v>
      </c>
    </row>
    <row r="1866" customFormat="false" ht="15" hidden="false" customHeight="false" outlineLevel="0" collapsed="false">
      <c r="A1866" s="39" t="s">
        <v>2190</v>
      </c>
      <c r="B1866" s="44" t="n">
        <v>46174</v>
      </c>
      <c r="C1866" s="39" t="s">
        <v>179</v>
      </c>
      <c r="D1866" s="39" t="s">
        <v>138</v>
      </c>
      <c r="E1866" s="39" t="n">
        <v>30</v>
      </c>
      <c r="F1866" s="39" t="str">
        <f aca="false">IF(COUNTIF(medicine_master!$A$2:$A$26,C1866)&gt;0,"Valid","Invalid")</f>
        <v>Valid</v>
      </c>
      <c r="G1866" s="39" t="str">
        <f aca="false">IFERROR(INDEX(medicine_master!$B$2:$B$26,MATCH($C1866,medicine_master!$A$2:$A$26,0)),"Not found")</f>
        <v>Ibuprofen 400mg</v>
      </c>
      <c r="H1866" s="39" t="str">
        <f aca="false">IFERROR(INDEX(medicine_master!$C$2:$C$26,MATCH($C1866,medicine_master!$A$2:$A$26,0)),"Not found")</f>
        <v>Pain Relief</v>
      </c>
      <c r="I1866" s="39" t="n">
        <f aca="false">YEAR(B1866)</f>
        <v>2026</v>
      </c>
      <c r="J1866" s="39" t="n">
        <f aca="false">MONTH(B1866)</f>
        <v>6</v>
      </c>
      <c r="K1866" s="39" t="str">
        <f aca="false">TEXT(B1866,"mmm")</f>
        <v>Jun</v>
      </c>
      <c r="L1866" s="45" t="n">
        <f aca="false">IFERROR(INDEX(medicine_master!$I$2:$I$26,MATCH($C1866,medicine_master!$A$2:$A$26,0)),0)</f>
        <v>30</v>
      </c>
      <c r="M1866" s="45" t="n">
        <f aca="false">IFERROR(INDEX(medicine_master!$G$2:$G$26,MATCH($C1866,medicine_master!$A$2:$A$26,0)),0)</f>
        <v>22</v>
      </c>
      <c r="N1866" s="45" t="n">
        <f aca="false">IF(D1866="Sale",E1866*L1866,0)</f>
        <v>0</v>
      </c>
      <c r="O1866" s="45" t="n">
        <f aca="false">IF(D1866="Sale",E1866*M1866,0)</f>
        <v>0</v>
      </c>
      <c r="P1866" s="45" t="n">
        <f aca="false">N1866-O1866</f>
        <v>0</v>
      </c>
      <c r="Q1866" s="45" t="n">
        <f aca="false">IF(D1866="Purchase",E1866*M1866,0)</f>
        <v>660</v>
      </c>
    </row>
    <row r="1867" customFormat="false" ht="15" hidden="false" customHeight="false" outlineLevel="0" collapsed="false">
      <c r="A1867" s="39" t="s">
        <v>2191</v>
      </c>
      <c r="B1867" s="44" t="n">
        <v>46030</v>
      </c>
      <c r="C1867" s="39" t="s">
        <v>180</v>
      </c>
      <c r="D1867" s="39" t="s">
        <v>137</v>
      </c>
      <c r="E1867" s="39" t="n">
        <v>30</v>
      </c>
      <c r="F1867" s="39" t="str">
        <f aca="false">IF(COUNTIF(medicine_master!$A$2:$A$26,C1867)&gt;0,"Valid","Invalid")</f>
        <v>Valid</v>
      </c>
      <c r="G1867" s="39" t="str">
        <f aca="false">IFERROR(INDEX(medicine_master!$B$2:$B$26,MATCH($C1867,medicine_master!$A$2:$A$26,0)),"Not found")</f>
        <v>Vitamin C 500mg</v>
      </c>
      <c r="H1867" s="39" t="str">
        <f aca="false">IFERROR(INDEX(medicine_master!$C$2:$C$26,MATCH($C1867,medicine_master!$A$2:$A$26,0)),"Not found")</f>
        <v>Vitamin</v>
      </c>
      <c r="I1867" s="39" t="n">
        <f aca="false">YEAR(B1867)</f>
        <v>2026</v>
      </c>
      <c r="J1867" s="39" t="n">
        <f aca="false">MONTH(B1867)</f>
        <v>1</v>
      </c>
      <c r="K1867" s="39" t="str">
        <f aca="false">TEXT(B1867,"mmm")</f>
        <v>Jan</v>
      </c>
      <c r="L1867" s="45" t="n">
        <f aca="false">IFERROR(INDEX(medicine_master!$I$2:$I$26,MATCH($C1867,medicine_master!$A$2:$A$26,0)),0)</f>
        <v>22</v>
      </c>
      <c r="M1867" s="45" t="n">
        <f aca="false">IFERROR(INDEX(medicine_master!$G$2:$G$26,MATCH($C1867,medicine_master!$A$2:$A$26,0)),0)</f>
        <v>14</v>
      </c>
      <c r="N1867" s="45" t="n">
        <f aca="false">IF(D1867="Sale",E1867*L1867,0)</f>
        <v>660</v>
      </c>
      <c r="O1867" s="45" t="n">
        <f aca="false">IF(D1867="Sale",E1867*M1867,0)</f>
        <v>420</v>
      </c>
      <c r="P1867" s="45" t="n">
        <f aca="false">N1867-O1867</f>
        <v>240</v>
      </c>
      <c r="Q1867" s="45" t="n">
        <f aca="false">IF(D1867="Purchase",E1867*M1867,0)</f>
        <v>0</v>
      </c>
    </row>
    <row r="1868" customFormat="false" ht="15" hidden="false" customHeight="false" outlineLevel="0" collapsed="false">
      <c r="A1868" s="39" t="s">
        <v>2192</v>
      </c>
      <c r="B1868" s="44" t="n">
        <v>46060</v>
      </c>
      <c r="C1868" s="39" t="s">
        <v>157</v>
      </c>
      <c r="D1868" s="39" t="s">
        <v>137</v>
      </c>
      <c r="E1868" s="39" t="n">
        <v>20</v>
      </c>
      <c r="F1868" s="39" t="str">
        <f aca="false">IF(COUNTIF(medicine_master!$A$2:$A$26,C1868)&gt;0,"Valid","Invalid")</f>
        <v>Valid</v>
      </c>
      <c r="G1868" s="39" t="str">
        <f aca="false">IFERROR(INDEX(medicine_master!$B$2:$B$26,MATCH($C1868,medicine_master!$A$2:$A$26,0)),"Not found")</f>
        <v>Multivitamin Tablets</v>
      </c>
      <c r="H1868" s="39" t="str">
        <f aca="false">IFERROR(INDEX(medicine_master!$C$2:$C$26,MATCH($C1868,medicine_master!$A$2:$A$26,0)),"Not found")</f>
        <v>Vitamin</v>
      </c>
      <c r="I1868" s="39" t="n">
        <f aca="false">YEAR(B1868)</f>
        <v>2026</v>
      </c>
      <c r="J1868" s="39" t="n">
        <f aca="false">MONTH(B1868)</f>
        <v>2</v>
      </c>
      <c r="K1868" s="39" t="str">
        <f aca="false">TEXT(B1868,"mmm")</f>
        <v>Feb</v>
      </c>
      <c r="L1868" s="45" t="n">
        <f aca="false">IFERROR(INDEX(medicine_master!$I$2:$I$26,MATCH($C1868,medicine_master!$A$2:$A$26,0)),0)</f>
        <v>105</v>
      </c>
      <c r="M1868" s="45" t="n">
        <f aca="false">IFERROR(INDEX(medicine_master!$G$2:$G$26,MATCH($C1868,medicine_master!$A$2:$A$26,0)),0)</f>
        <v>72</v>
      </c>
      <c r="N1868" s="45" t="n">
        <f aca="false">IF(D1868="Sale",E1868*L1868,0)</f>
        <v>2100</v>
      </c>
      <c r="O1868" s="45" t="n">
        <f aca="false">IF(D1868="Sale",E1868*M1868,0)</f>
        <v>1440</v>
      </c>
      <c r="P1868" s="45" t="n">
        <f aca="false">N1868-O1868</f>
        <v>660</v>
      </c>
      <c r="Q1868" s="45" t="n">
        <f aca="false">IF(D1868="Purchase",E1868*M1868,0)</f>
        <v>0</v>
      </c>
    </row>
    <row r="1869" customFormat="false" ht="15" hidden="false" customHeight="false" outlineLevel="0" collapsed="false">
      <c r="A1869" s="39" t="s">
        <v>2193</v>
      </c>
      <c r="B1869" s="44" t="n">
        <v>46318</v>
      </c>
      <c r="C1869" s="39" t="s">
        <v>179</v>
      </c>
      <c r="D1869" s="39" t="s">
        <v>137</v>
      </c>
      <c r="E1869" s="39" t="n">
        <v>30</v>
      </c>
      <c r="F1869" s="39" t="str">
        <f aca="false">IF(COUNTIF(medicine_master!$A$2:$A$26,C1869)&gt;0,"Valid","Invalid")</f>
        <v>Valid</v>
      </c>
      <c r="G1869" s="39" t="str">
        <f aca="false">IFERROR(INDEX(medicine_master!$B$2:$B$26,MATCH($C1869,medicine_master!$A$2:$A$26,0)),"Not found")</f>
        <v>Ibuprofen 400mg</v>
      </c>
      <c r="H1869" s="39" t="str">
        <f aca="false">IFERROR(INDEX(medicine_master!$C$2:$C$26,MATCH($C1869,medicine_master!$A$2:$A$26,0)),"Not found")</f>
        <v>Pain Relief</v>
      </c>
      <c r="I1869" s="39" t="n">
        <f aca="false">YEAR(B1869)</f>
        <v>2026</v>
      </c>
      <c r="J1869" s="39" t="n">
        <f aca="false">MONTH(B1869)</f>
        <v>10</v>
      </c>
      <c r="K1869" s="39" t="str">
        <f aca="false">TEXT(B1869,"mmm")</f>
        <v>Oct</v>
      </c>
      <c r="L1869" s="45" t="n">
        <f aca="false">IFERROR(INDEX(medicine_master!$I$2:$I$26,MATCH($C1869,medicine_master!$A$2:$A$26,0)),0)</f>
        <v>30</v>
      </c>
      <c r="M1869" s="45" t="n">
        <f aca="false">IFERROR(INDEX(medicine_master!$G$2:$G$26,MATCH($C1869,medicine_master!$A$2:$A$26,0)),0)</f>
        <v>22</v>
      </c>
      <c r="N1869" s="45" t="n">
        <f aca="false">IF(D1869="Sale",E1869*L1869,0)</f>
        <v>900</v>
      </c>
      <c r="O1869" s="45" t="n">
        <f aca="false">IF(D1869="Sale",E1869*M1869,0)</f>
        <v>660</v>
      </c>
      <c r="P1869" s="45" t="n">
        <f aca="false">N1869-O1869</f>
        <v>240</v>
      </c>
      <c r="Q1869" s="45" t="n">
        <f aca="false">IF(D1869="Purchase",E1869*M1869,0)</f>
        <v>0</v>
      </c>
    </row>
    <row r="1870" customFormat="false" ht="15" hidden="false" customHeight="false" outlineLevel="0" collapsed="false">
      <c r="A1870" s="39" t="s">
        <v>2194</v>
      </c>
      <c r="B1870" s="44" t="n">
        <v>46295</v>
      </c>
      <c r="C1870" s="39" t="s">
        <v>345</v>
      </c>
      <c r="D1870" s="39" t="s">
        <v>137</v>
      </c>
      <c r="E1870" s="39" t="n">
        <v>25</v>
      </c>
      <c r="F1870" s="39" t="str">
        <f aca="false">IF(COUNTIF(medicine_master!$A$2:$A$26,C1870)&gt;0,"Valid","Invalid")</f>
        <v>Valid</v>
      </c>
      <c r="G1870" s="39" t="str">
        <f aca="false">IFERROR(INDEX(medicine_master!$B$2:$B$26,MATCH($C1870,medicine_master!$A$2:$A$26,0)),"Not found")</f>
        <v>Paracetamol 500mg</v>
      </c>
      <c r="H1870" s="39" t="str">
        <f aca="false">IFERROR(INDEX(medicine_master!$C$2:$C$26,MATCH($C1870,medicine_master!$A$2:$A$26,0)),"Not found")</f>
        <v>Pain Relief</v>
      </c>
      <c r="I1870" s="39" t="n">
        <f aca="false">YEAR(B1870)</f>
        <v>2026</v>
      </c>
      <c r="J1870" s="39" t="n">
        <f aca="false">MONTH(B1870)</f>
        <v>9</v>
      </c>
      <c r="K1870" s="39" t="str">
        <f aca="false">TEXT(B1870,"mmm")</f>
        <v>Sep</v>
      </c>
      <c r="L1870" s="45" t="n">
        <f aca="false">IFERROR(INDEX(medicine_master!$I$2:$I$26,MATCH($C1870,medicine_master!$A$2:$A$26,0)),0)</f>
        <v>18</v>
      </c>
      <c r="M1870" s="45" t="n">
        <f aca="false">IFERROR(INDEX(medicine_master!$G$2:$G$26,MATCH($C1870,medicine_master!$A$2:$A$26,0)),0)</f>
        <v>12</v>
      </c>
      <c r="N1870" s="45" t="n">
        <f aca="false">IF(D1870="Sale",E1870*L1870,0)</f>
        <v>450</v>
      </c>
      <c r="O1870" s="45" t="n">
        <f aca="false">IF(D1870="Sale",E1870*M1870,0)</f>
        <v>300</v>
      </c>
      <c r="P1870" s="45" t="n">
        <f aca="false">N1870-O1870</f>
        <v>150</v>
      </c>
      <c r="Q1870" s="45" t="n">
        <f aca="false">IF(D1870="Purchase",E1870*M1870,0)</f>
        <v>0</v>
      </c>
    </row>
    <row r="1871" customFormat="false" ht="15" hidden="false" customHeight="false" outlineLevel="0" collapsed="false">
      <c r="A1871" s="39" t="s">
        <v>2195</v>
      </c>
      <c r="B1871" s="44" t="n">
        <v>46243</v>
      </c>
      <c r="C1871" s="39" t="s">
        <v>326</v>
      </c>
      <c r="D1871" s="39" t="s">
        <v>138</v>
      </c>
      <c r="E1871" s="39" t="n">
        <v>10</v>
      </c>
      <c r="F1871" s="39" t="str">
        <f aca="false">IF(COUNTIF(medicine_master!$A$2:$A$26,C1871)&gt;0,"Valid","Invalid")</f>
        <v>Valid</v>
      </c>
      <c r="G1871" s="39" t="str">
        <f aca="false">IFERROR(INDEX(medicine_master!$B$2:$B$26,MATCH($C1871,medicine_master!$A$2:$A$26,0)),"Not found")</f>
        <v>Omeprazole 20mg</v>
      </c>
      <c r="H1871" s="39" t="str">
        <f aca="false">IFERROR(INDEX(medicine_master!$C$2:$C$26,MATCH($C1871,medicine_master!$A$2:$A$26,0)),"Not found")</f>
        <v>Gastric</v>
      </c>
      <c r="I1871" s="39" t="n">
        <f aca="false">YEAR(B1871)</f>
        <v>2026</v>
      </c>
      <c r="J1871" s="39" t="n">
        <f aca="false">MONTH(B1871)</f>
        <v>8</v>
      </c>
      <c r="K1871" s="39" t="str">
        <f aca="false">TEXT(B1871,"mmm")</f>
        <v>Aug</v>
      </c>
      <c r="L1871" s="45" t="n">
        <f aca="false">IFERROR(INDEX(medicine_master!$I$2:$I$26,MATCH($C1871,medicine_master!$A$2:$A$26,0)),0)</f>
        <v>26</v>
      </c>
      <c r="M1871" s="45" t="n">
        <f aca="false">IFERROR(INDEX(medicine_master!$G$2:$G$26,MATCH($C1871,medicine_master!$A$2:$A$26,0)),0)</f>
        <v>18</v>
      </c>
      <c r="N1871" s="45" t="n">
        <f aca="false">IF(D1871="Sale",E1871*L1871,0)</f>
        <v>0</v>
      </c>
      <c r="O1871" s="45" t="n">
        <f aca="false">IF(D1871="Sale",E1871*M1871,0)</f>
        <v>0</v>
      </c>
      <c r="P1871" s="45" t="n">
        <f aca="false">N1871-O1871</f>
        <v>0</v>
      </c>
      <c r="Q1871" s="45" t="n">
        <f aca="false">IF(D1871="Purchase",E1871*M1871,0)</f>
        <v>180</v>
      </c>
    </row>
    <row r="1872" customFormat="false" ht="15" hidden="false" customHeight="false" outlineLevel="0" collapsed="false">
      <c r="A1872" s="39" t="s">
        <v>2196</v>
      </c>
      <c r="B1872" s="44" t="n">
        <v>46227</v>
      </c>
      <c r="C1872" s="39" t="s">
        <v>390</v>
      </c>
      <c r="D1872" s="39" t="s">
        <v>138</v>
      </c>
      <c r="E1872" s="39" t="n">
        <v>10</v>
      </c>
      <c r="F1872" s="39" t="str">
        <f aca="false">IF(COUNTIF(medicine_master!$A$2:$A$26,C1872)&gt;0,"Valid","Invalid")</f>
        <v>Valid</v>
      </c>
      <c r="G1872" s="39" t="str">
        <f aca="false">IFERROR(INDEX(medicine_master!$B$2:$B$26,MATCH($C1872,medicine_master!$A$2:$A$26,0)),"Not found")</f>
        <v>Montelukast 10mg</v>
      </c>
      <c r="H1872" s="39" t="str">
        <f aca="false">IFERROR(INDEX(medicine_master!$C$2:$C$26,MATCH($C1872,medicine_master!$A$2:$A$26,0)),"Not found")</f>
        <v>Allergy</v>
      </c>
      <c r="I1872" s="39" t="n">
        <f aca="false">YEAR(B1872)</f>
        <v>2026</v>
      </c>
      <c r="J1872" s="39" t="n">
        <f aca="false">MONTH(B1872)</f>
        <v>7</v>
      </c>
      <c r="K1872" s="39" t="str">
        <f aca="false">TEXT(B1872,"mmm")</f>
        <v>Jul</v>
      </c>
      <c r="L1872" s="45" t="n">
        <f aca="false">IFERROR(INDEX(medicine_master!$I$2:$I$26,MATCH($C1872,medicine_master!$A$2:$A$26,0)),0)</f>
        <v>39</v>
      </c>
      <c r="M1872" s="45" t="n">
        <f aca="false">IFERROR(INDEX(medicine_master!$G$2:$G$26,MATCH($C1872,medicine_master!$A$2:$A$26,0)),0)</f>
        <v>27</v>
      </c>
      <c r="N1872" s="45" t="n">
        <f aca="false">IF(D1872="Sale",E1872*L1872,0)</f>
        <v>0</v>
      </c>
      <c r="O1872" s="45" t="n">
        <f aca="false">IF(D1872="Sale",E1872*M1872,0)</f>
        <v>0</v>
      </c>
      <c r="P1872" s="45" t="n">
        <f aca="false">N1872-O1872</f>
        <v>0</v>
      </c>
      <c r="Q1872" s="45" t="n">
        <f aca="false">IF(D1872="Purchase",E1872*M1872,0)</f>
        <v>270</v>
      </c>
    </row>
    <row r="1873" customFormat="false" ht="15" hidden="false" customHeight="false" outlineLevel="0" collapsed="false">
      <c r="A1873" s="39" t="s">
        <v>2197</v>
      </c>
      <c r="B1873" s="44" t="n">
        <v>46284</v>
      </c>
      <c r="C1873" s="39" t="s">
        <v>147</v>
      </c>
      <c r="D1873" s="39" t="s">
        <v>137</v>
      </c>
      <c r="E1873" s="39" t="n">
        <v>15</v>
      </c>
      <c r="F1873" s="39" t="str">
        <f aca="false">IF(COUNTIF(medicine_master!$A$2:$A$26,C1873)&gt;0,"Valid","Invalid")</f>
        <v>Valid</v>
      </c>
      <c r="G1873" s="39" t="str">
        <f aca="false">IFERROR(INDEX(medicine_master!$B$2:$B$26,MATCH($C1873,medicine_master!$A$2:$A$26,0)),"Not found")</f>
        <v>Insulin Injection</v>
      </c>
      <c r="H1873" s="39" t="str">
        <f aca="false">IFERROR(INDEX(medicine_master!$C$2:$C$26,MATCH($C1873,medicine_master!$A$2:$A$26,0)),"Not found")</f>
        <v>Diabetes</v>
      </c>
      <c r="I1873" s="39" t="n">
        <f aca="false">YEAR(B1873)</f>
        <v>2026</v>
      </c>
      <c r="J1873" s="39" t="n">
        <f aca="false">MONTH(B1873)</f>
        <v>9</v>
      </c>
      <c r="K1873" s="39" t="str">
        <f aca="false">TEXT(B1873,"mmm")</f>
        <v>Sep</v>
      </c>
      <c r="L1873" s="45" t="n">
        <f aca="false">IFERROR(INDEX(medicine_master!$I$2:$I$26,MATCH($C1873,medicine_master!$A$2:$A$26,0)),0)</f>
        <v>225</v>
      </c>
      <c r="M1873" s="45" t="n">
        <f aca="false">IFERROR(INDEX(medicine_master!$G$2:$G$26,MATCH($C1873,medicine_master!$A$2:$A$26,0)),0)</f>
        <v>165</v>
      </c>
      <c r="N1873" s="45" t="n">
        <f aca="false">IF(D1873="Sale",E1873*L1873,0)</f>
        <v>3375</v>
      </c>
      <c r="O1873" s="45" t="n">
        <f aca="false">IF(D1873="Sale",E1873*M1873,0)</f>
        <v>2475</v>
      </c>
      <c r="P1873" s="45" t="n">
        <f aca="false">N1873-O1873</f>
        <v>900</v>
      </c>
      <c r="Q1873" s="45" t="n">
        <f aca="false">IF(D1873="Purchase",E1873*M1873,0)</f>
        <v>0</v>
      </c>
    </row>
    <row r="1874" customFormat="false" ht="15" hidden="false" customHeight="false" outlineLevel="0" collapsed="false">
      <c r="A1874" s="39" t="s">
        <v>2198</v>
      </c>
      <c r="B1874" s="44" t="n">
        <v>46298</v>
      </c>
      <c r="C1874" s="39" t="s">
        <v>178</v>
      </c>
      <c r="D1874" s="39" t="s">
        <v>137</v>
      </c>
      <c r="E1874" s="39" t="n">
        <v>20</v>
      </c>
      <c r="F1874" s="39" t="str">
        <f aca="false">IF(COUNTIF(medicine_master!$A$2:$A$26,C1874)&gt;0,"Valid","Invalid")</f>
        <v>Valid</v>
      </c>
      <c r="G1874" s="39" t="str">
        <f aca="false">IFERROR(INDEX(medicine_master!$B$2:$B$26,MATCH($C1874,medicine_master!$A$2:$A$26,0)),"Not found")</f>
        <v>Aspirin 75mg</v>
      </c>
      <c r="H1874" s="39" t="str">
        <f aca="false">IFERROR(INDEX(medicine_master!$C$2:$C$26,MATCH($C1874,medicine_master!$A$2:$A$26,0)),"Not found")</f>
        <v>Cardiac</v>
      </c>
      <c r="I1874" s="39" t="n">
        <f aca="false">YEAR(B1874)</f>
        <v>2026</v>
      </c>
      <c r="J1874" s="39" t="n">
        <f aca="false">MONTH(B1874)</f>
        <v>10</v>
      </c>
      <c r="K1874" s="39" t="str">
        <f aca="false">TEXT(B1874,"mmm")</f>
        <v>Oct</v>
      </c>
      <c r="L1874" s="45" t="n">
        <f aca="false">IFERROR(INDEX(medicine_master!$I$2:$I$26,MATCH($C1874,medicine_master!$A$2:$A$26,0)),0)</f>
        <v>15</v>
      </c>
      <c r="M1874" s="45" t="n">
        <f aca="false">IFERROR(INDEX(medicine_master!$G$2:$G$26,MATCH($C1874,medicine_master!$A$2:$A$26,0)),0)</f>
        <v>10</v>
      </c>
      <c r="N1874" s="45" t="n">
        <f aca="false">IF(D1874="Sale",E1874*L1874,0)</f>
        <v>300</v>
      </c>
      <c r="O1874" s="45" t="n">
        <f aca="false">IF(D1874="Sale",E1874*M1874,0)</f>
        <v>200</v>
      </c>
      <c r="P1874" s="45" t="n">
        <f aca="false">N1874-O1874</f>
        <v>100</v>
      </c>
      <c r="Q1874" s="45" t="n">
        <f aca="false">IF(D1874="Purchase",E1874*M1874,0)</f>
        <v>0</v>
      </c>
    </row>
    <row r="1875" customFormat="false" ht="15" hidden="false" customHeight="false" outlineLevel="0" collapsed="false">
      <c r="A1875" s="39" t="s">
        <v>2199</v>
      </c>
      <c r="B1875" s="44" t="n">
        <v>46255</v>
      </c>
      <c r="C1875" s="39" t="s">
        <v>151</v>
      </c>
      <c r="D1875" s="39" t="s">
        <v>137</v>
      </c>
      <c r="E1875" s="39" t="n">
        <v>40</v>
      </c>
      <c r="F1875" s="39" t="str">
        <f aca="false">IF(COUNTIF(medicine_master!$A$2:$A$26,C1875)&gt;0,"Valid","Invalid")</f>
        <v>Valid</v>
      </c>
      <c r="G1875" s="39" t="str">
        <f aca="false">IFERROR(INDEX(medicine_master!$B$2:$B$26,MATCH($C1875,medicine_master!$A$2:$A$26,0)),"Not found")</f>
        <v>Cetirizine 10mg</v>
      </c>
      <c r="H1875" s="39" t="str">
        <f aca="false">IFERROR(INDEX(medicine_master!$C$2:$C$26,MATCH($C1875,medicine_master!$A$2:$A$26,0)),"Not found")</f>
        <v>Allergy</v>
      </c>
      <c r="I1875" s="39" t="n">
        <f aca="false">YEAR(B1875)</f>
        <v>2026</v>
      </c>
      <c r="J1875" s="39" t="n">
        <f aca="false">MONTH(B1875)</f>
        <v>8</v>
      </c>
      <c r="K1875" s="39" t="str">
        <f aca="false">TEXT(B1875,"mmm")</f>
        <v>Aug</v>
      </c>
      <c r="L1875" s="45" t="n">
        <f aca="false">IFERROR(INDEX(medicine_master!$I$2:$I$26,MATCH($C1875,medicine_master!$A$2:$A$26,0)),0)</f>
        <v>13</v>
      </c>
      <c r="M1875" s="45" t="n">
        <f aca="false">IFERROR(INDEX(medicine_master!$G$2:$G$26,MATCH($C1875,medicine_master!$A$2:$A$26,0)),0)</f>
        <v>8</v>
      </c>
      <c r="N1875" s="45" t="n">
        <f aca="false">IF(D1875="Sale",E1875*L1875,0)</f>
        <v>520</v>
      </c>
      <c r="O1875" s="45" t="n">
        <f aca="false">IF(D1875="Sale",E1875*M1875,0)</f>
        <v>320</v>
      </c>
      <c r="P1875" s="45" t="n">
        <f aca="false">N1875-O1875</f>
        <v>200</v>
      </c>
      <c r="Q1875" s="45" t="n">
        <f aca="false">IF(D1875="Purchase",E1875*M1875,0)</f>
        <v>0</v>
      </c>
    </row>
    <row r="1876" customFormat="false" ht="15" hidden="false" customHeight="false" outlineLevel="0" collapsed="false">
      <c r="A1876" s="39" t="s">
        <v>2200</v>
      </c>
      <c r="B1876" s="44" t="n">
        <v>46199</v>
      </c>
      <c r="C1876" s="39" t="s">
        <v>145</v>
      </c>
      <c r="D1876" s="39" t="s">
        <v>137</v>
      </c>
      <c r="E1876" s="39" t="n">
        <v>20</v>
      </c>
      <c r="F1876" s="39" t="str">
        <f aca="false">IF(COUNTIF(medicine_master!$A$2:$A$26,C1876)&gt;0,"Valid","Invalid")</f>
        <v>Valid</v>
      </c>
      <c r="G1876" s="39" t="str">
        <f aca="false">IFERROR(INDEX(medicine_master!$B$2:$B$26,MATCH($C1876,medicine_master!$A$2:$A$26,0)),"Not found")</f>
        <v>Clotrimazole Cream</v>
      </c>
      <c r="H1876" s="39" t="str">
        <f aca="false">IFERROR(INDEX(medicine_master!$C$2:$C$26,MATCH($C1876,medicine_master!$A$2:$A$26,0)),"Not found")</f>
        <v>Dermatology</v>
      </c>
      <c r="I1876" s="39" t="n">
        <f aca="false">YEAR(B1876)</f>
        <v>2026</v>
      </c>
      <c r="J1876" s="39" t="n">
        <f aca="false">MONTH(B1876)</f>
        <v>6</v>
      </c>
      <c r="K1876" s="39" t="str">
        <f aca="false">TEXT(B1876,"mmm")</f>
        <v>Jun</v>
      </c>
      <c r="L1876" s="45" t="n">
        <f aca="false">IFERROR(INDEX(medicine_master!$I$2:$I$26,MATCH($C1876,medicine_master!$A$2:$A$26,0)),0)</f>
        <v>48</v>
      </c>
      <c r="M1876" s="45" t="n">
        <f aca="false">IFERROR(INDEX(medicine_master!$G$2:$G$26,MATCH($C1876,medicine_master!$A$2:$A$26,0)),0)</f>
        <v>32</v>
      </c>
      <c r="N1876" s="45" t="n">
        <f aca="false">IF(D1876="Sale",E1876*L1876,0)</f>
        <v>960</v>
      </c>
      <c r="O1876" s="45" t="n">
        <f aca="false">IF(D1876="Sale",E1876*M1876,0)</f>
        <v>640</v>
      </c>
      <c r="P1876" s="45" t="n">
        <f aca="false">N1876-O1876</f>
        <v>320</v>
      </c>
      <c r="Q1876" s="45" t="n">
        <f aca="false">IF(D1876="Purchase",E1876*M1876,0)</f>
        <v>0</v>
      </c>
    </row>
    <row r="1877" customFormat="false" ht="15" hidden="false" customHeight="false" outlineLevel="0" collapsed="false">
      <c r="A1877" s="39" t="s">
        <v>2201</v>
      </c>
      <c r="B1877" s="44" t="n">
        <v>46186</v>
      </c>
      <c r="C1877" s="39" t="s">
        <v>180</v>
      </c>
      <c r="D1877" s="39" t="s">
        <v>137</v>
      </c>
      <c r="E1877" s="39" t="n">
        <v>10</v>
      </c>
      <c r="F1877" s="39" t="str">
        <f aca="false">IF(COUNTIF(medicine_master!$A$2:$A$26,C1877)&gt;0,"Valid","Invalid")</f>
        <v>Valid</v>
      </c>
      <c r="G1877" s="39" t="str">
        <f aca="false">IFERROR(INDEX(medicine_master!$B$2:$B$26,MATCH($C1877,medicine_master!$A$2:$A$26,0)),"Not found")</f>
        <v>Vitamin C 500mg</v>
      </c>
      <c r="H1877" s="39" t="str">
        <f aca="false">IFERROR(INDEX(medicine_master!$C$2:$C$26,MATCH($C1877,medicine_master!$A$2:$A$26,0)),"Not found")</f>
        <v>Vitamin</v>
      </c>
      <c r="I1877" s="39" t="n">
        <f aca="false">YEAR(B1877)</f>
        <v>2026</v>
      </c>
      <c r="J1877" s="39" t="n">
        <f aca="false">MONTH(B1877)</f>
        <v>6</v>
      </c>
      <c r="K1877" s="39" t="str">
        <f aca="false">TEXT(B1877,"mmm")</f>
        <v>Jun</v>
      </c>
      <c r="L1877" s="45" t="n">
        <f aca="false">IFERROR(INDEX(medicine_master!$I$2:$I$26,MATCH($C1877,medicine_master!$A$2:$A$26,0)),0)</f>
        <v>22</v>
      </c>
      <c r="M1877" s="45" t="n">
        <f aca="false">IFERROR(INDEX(medicine_master!$G$2:$G$26,MATCH($C1877,medicine_master!$A$2:$A$26,0)),0)</f>
        <v>14</v>
      </c>
      <c r="N1877" s="45" t="n">
        <f aca="false">IF(D1877="Sale",E1877*L1877,0)</f>
        <v>220</v>
      </c>
      <c r="O1877" s="45" t="n">
        <f aca="false">IF(D1877="Sale",E1877*M1877,0)</f>
        <v>140</v>
      </c>
      <c r="P1877" s="45" t="n">
        <f aca="false">N1877-O1877</f>
        <v>80</v>
      </c>
      <c r="Q1877" s="45" t="n">
        <f aca="false">IF(D1877="Purchase",E1877*M1877,0)</f>
        <v>0</v>
      </c>
    </row>
    <row r="1878" customFormat="false" ht="15" hidden="false" customHeight="false" outlineLevel="0" collapsed="false">
      <c r="A1878" s="39" t="s">
        <v>2202</v>
      </c>
      <c r="B1878" s="44" t="n">
        <v>46334</v>
      </c>
      <c r="C1878" s="39" t="s">
        <v>157</v>
      </c>
      <c r="D1878" s="39" t="s">
        <v>137</v>
      </c>
      <c r="E1878" s="39" t="n">
        <v>30</v>
      </c>
      <c r="F1878" s="39" t="str">
        <f aca="false">IF(COUNTIF(medicine_master!$A$2:$A$26,C1878)&gt;0,"Valid","Invalid")</f>
        <v>Valid</v>
      </c>
      <c r="G1878" s="39" t="str">
        <f aca="false">IFERROR(INDEX(medicine_master!$B$2:$B$26,MATCH($C1878,medicine_master!$A$2:$A$26,0)),"Not found")</f>
        <v>Multivitamin Tablets</v>
      </c>
      <c r="H1878" s="39" t="str">
        <f aca="false">IFERROR(INDEX(medicine_master!$C$2:$C$26,MATCH($C1878,medicine_master!$A$2:$A$26,0)),"Not found")</f>
        <v>Vitamin</v>
      </c>
      <c r="I1878" s="39" t="n">
        <f aca="false">YEAR(B1878)</f>
        <v>2026</v>
      </c>
      <c r="J1878" s="39" t="n">
        <f aca="false">MONTH(B1878)</f>
        <v>11</v>
      </c>
      <c r="K1878" s="39" t="str">
        <f aca="false">TEXT(B1878,"mmm")</f>
        <v>Nov</v>
      </c>
      <c r="L1878" s="45" t="n">
        <f aca="false">IFERROR(INDEX(medicine_master!$I$2:$I$26,MATCH($C1878,medicine_master!$A$2:$A$26,0)),0)</f>
        <v>105</v>
      </c>
      <c r="M1878" s="45" t="n">
        <f aca="false">IFERROR(INDEX(medicine_master!$G$2:$G$26,MATCH($C1878,medicine_master!$A$2:$A$26,0)),0)</f>
        <v>72</v>
      </c>
      <c r="N1878" s="45" t="n">
        <f aca="false">IF(D1878="Sale",E1878*L1878,0)</f>
        <v>3150</v>
      </c>
      <c r="O1878" s="45" t="n">
        <f aca="false">IF(D1878="Sale",E1878*M1878,0)</f>
        <v>2160</v>
      </c>
      <c r="P1878" s="45" t="n">
        <f aca="false">N1878-O1878</f>
        <v>990</v>
      </c>
      <c r="Q1878" s="45" t="n">
        <f aca="false">IF(D1878="Purchase",E1878*M1878,0)</f>
        <v>0</v>
      </c>
    </row>
    <row r="1879" customFormat="false" ht="15" hidden="false" customHeight="false" outlineLevel="0" collapsed="false">
      <c r="A1879" s="39" t="s">
        <v>2203</v>
      </c>
      <c r="B1879" s="44" t="n">
        <v>46275</v>
      </c>
      <c r="C1879" s="39" t="s">
        <v>144</v>
      </c>
      <c r="D1879" s="39" t="s">
        <v>138</v>
      </c>
      <c r="E1879" s="39" t="n">
        <v>25</v>
      </c>
      <c r="F1879" s="39" t="str">
        <f aca="false">IF(COUNTIF(medicine_master!$A$2:$A$26,C1879)&gt;0,"Valid","Invalid")</f>
        <v>Valid</v>
      </c>
      <c r="G1879" s="39" t="str">
        <f aca="false">IFERROR(INDEX(medicine_master!$B$2:$B$26,MATCH($C1879,medicine_master!$A$2:$A$26,0)),"Not found")</f>
        <v>Glimepiride 2mg</v>
      </c>
      <c r="H1879" s="39" t="str">
        <f aca="false">IFERROR(INDEX(medicine_master!$C$2:$C$26,MATCH($C1879,medicine_master!$A$2:$A$26,0)),"Not found")</f>
        <v>Diabetes</v>
      </c>
      <c r="I1879" s="39" t="n">
        <f aca="false">YEAR(B1879)</f>
        <v>2026</v>
      </c>
      <c r="J1879" s="39" t="n">
        <f aca="false">MONTH(B1879)</f>
        <v>9</v>
      </c>
      <c r="K1879" s="39" t="str">
        <f aca="false">TEXT(B1879,"mmm")</f>
        <v>Sep</v>
      </c>
      <c r="L1879" s="45" t="n">
        <f aca="false">IFERROR(INDEX(medicine_master!$I$2:$I$26,MATCH($C1879,medicine_master!$A$2:$A$26,0)),0)</f>
        <v>52</v>
      </c>
      <c r="M1879" s="45" t="n">
        <f aca="false">IFERROR(INDEX(medicine_master!$G$2:$G$26,MATCH($C1879,medicine_master!$A$2:$A$26,0)),0)</f>
        <v>38</v>
      </c>
      <c r="N1879" s="45" t="n">
        <f aca="false">IF(D1879="Sale",E1879*L1879,0)</f>
        <v>0</v>
      </c>
      <c r="O1879" s="45" t="n">
        <f aca="false">IF(D1879="Sale",E1879*M1879,0)</f>
        <v>0</v>
      </c>
      <c r="P1879" s="45" t="n">
        <f aca="false">N1879-O1879</f>
        <v>0</v>
      </c>
      <c r="Q1879" s="45" t="n">
        <f aca="false">IF(D1879="Purchase",E1879*M1879,0)</f>
        <v>950</v>
      </c>
    </row>
    <row r="1880" customFormat="false" ht="15" hidden="false" customHeight="false" outlineLevel="0" collapsed="false">
      <c r="A1880" s="39" t="s">
        <v>2204</v>
      </c>
      <c r="B1880" s="44" t="n">
        <v>46380</v>
      </c>
      <c r="C1880" s="39" t="s">
        <v>495</v>
      </c>
      <c r="D1880" s="39" t="s">
        <v>137</v>
      </c>
      <c r="E1880" s="39" t="n">
        <v>30</v>
      </c>
      <c r="F1880" s="39" t="str">
        <f aca="false">IF(COUNTIF(medicine_master!$A$2:$A$26,C1880)&gt;0,"Valid","Invalid")</f>
        <v>Valid</v>
      </c>
      <c r="G1880" s="39" t="str">
        <f aca="false">IFERROR(INDEX(medicine_master!$B$2:$B$26,MATCH($C1880,medicine_master!$A$2:$A$26,0)),"Not found")</f>
        <v>Metformin 500mg</v>
      </c>
      <c r="H1880" s="39" t="str">
        <f aca="false">IFERROR(INDEX(medicine_master!$C$2:$C$26,MATCH($C1880,medicine_master!$A$2:$A$26,0)),"Not found")</f>
        <v>Diabetes</v>
      </c>
      <c r="I1880" s="39" t="n">
        <f aca="false">YEAR(B1880)</f>
        <v>2026</v>
      </c>
      <c r="J1880" s="39" t="n">
        <f aca="false">MONTH(B1880)</f>
        <v>12</v>
      </c>
      <c r="K1880" s="39" t="str">
        <f aca="false">TEXT(B1880,"mmm")</f>
        <v>Dec</v>
      </c>
      <c r="L1880" s="45" t="n">
        <f aca="false">IFERROR(INDEX(medicine_master!$I$2:$I$26,MATCH($C1880,medicine_master!$A$2:$A$26,0)),0)</f>
        <v>24</v>
      </c>
      <c r="M1880" s="45" t="n">
        <f aca="false">IFERROR(INDEX(medicine_master!$G$2:$G$26,MATCH($C1880,medicine_master!$A$2:$A$26,0)),0)</f>
        <v>16</v>
      </c>
      <c r="N1880" s="45" t="n">
        <f aca="false">IF(D1880="Sale",E1880*L1880,0)</f>
        <v>720</v>
      </c>
      <c r="O1880" s="45" t="n">
        <f aca="false">IF(D1880="Sale",E1880*M1880,0)</f>
        <v>480</v>
      </c>
      <c r="P1880" s="45" t="n">
        <f aca="false">N1880-O1880</f>
        <v>240</v>
      </c>
      <c r="Q1880" s="45" t="n">
        <f aca="false">IF(D1880="Purchase",E1880*M1880,0)</f>
        <v>0</v>
      </c>
    </row>
    <row r="1881" customFormat="false" ht="15" hidden="false" customHeight="false" outlineLevel="0" collapsed="false">
      <c r="A1881" s="39" t="s">
        <v>2205</v>
      </c>
      <c r="B1881" s="44" t="n">
        <v>46157</v>
      </c>
      <c r="C1881" s="39" t="s">
        <v>321</v>
      </c>
      <c r="D1881" s="39" t="s">
        <v>137</v>
      </c>
      <c r="E1881" s="39" t="n">
        <v>25</v>
      </c>
      <c r="F1881" s="39" t="str">
        <f aca="false">IF(COUNTIF(medicine_master!$A$2:$A$26,C1881)&gt;0,"Valid","Invalid")</f>
        <v>Valid</v>
      </c>
      <c r="G1881" s="39" t="str">
        <f aca="false">IFERROR(INDEX(medicine_master!$B$2:$B$26,MATCH($C1881,medicine_master!$A$2:$A$26,0)),"Not found")</f>
        <v>Levocetirizine 5mg</v>
      </c>
      <c r="H1881" s="39" t="str">
        <f aca="false">IFERROR(INDEX(medicine_master!$C$2:$C$26,MATCH($C1881,medicine_master!$A$2:$A$26,0)),"Not found")</f>
        <v>Allergy</v>
      </c>
      <c r="I1881" s="39" t="n">
        <f aca="false">YEAR(B1881)</f>
        <v>2026</v>
      </c>
      <c r="J1881" s="39" t="n">
        <f aca="false">MONTH(B1881)</f>
        <v>5</v>
      </c>
      <c r="K1881" s="39" t="str">
        <f aca="false">TEXT(B1881,"mmm")</f>
        <v>May</v>
      </c>
      <c r="L1881" s="45" t="n">
        <f aca="false">IFERROR(INDEX(medicine_master!$I$2:$I$26,MATCH($C1881,medicine_master!$A$2:$A$26,0)),0)</f>
        <v>22</v>
      </c>
      <c r="M1881" s="45" t="n">
        <f aca="false">IFERROR(INDEX(medicine_master!$G$2:$G$26,MATCH($C1881,medicine_master!$A$2:$A$26,0)),0)</f>
        <v>14</v>
      </c>
      <c r="N1881" s="45" t="n">
        <f aca="false">IF(D1881="Sale",E1881*L1881,0)</f>
        <v>550</v>
      </c>
      <c r="O1881" s="45" t="n">
        <f aca="false">IF(D1881="Sale",E1881*M1881,0)</f>
        <v>350</v>
      </c>
      <c r="P1881" s="45" t="n">
        <f aca="false">N1881-O1881</f>
        <v>200</v>
      </c>
      <c r="Q1881" s="45" t="n">
        <f aca="false">IF(D1881="Purchase",E1881*M1881,0)</f>
        <v>0</v>
      </c>
    </row>
    <row r="1882" customFormat="false" ht="15" hidden="false" customHeight="false" outlineLevel="0" collapsed="false">
      <c r="A1882" s="39" t="s">
        <v>2206</v>
      </c>
      <c r="B1882" s="44" t="n">
        <v>46080</v>
      </c>
      <c r="C1882" s="39" t="s">
        <v>180</v>
      </c>
      <c r="D1882" s="39" t="s">
        <v>137</v>
      </c>
      <c r="E1882" s="39" t="n">
        <v>5</v>
      </c>
      <c r="F1882" s="39" t="str">
        <f aca="false">IF(COUNTIF(medicine_master!$A$2:$A$26,C1882)&gt;0,"Valid","Invalid")</f>
        <v>Valid</v>
      </c>
      <c r="G1882" s="39" t="str">
        <f aca="false">IFERROR(INDEX(medicine_master!$B$2:$B$26,MATCH($C1882,medicine_master!$A$2:$A$26,0)),"Not found")</f>
        <v>Vitamin C 500mg</v>
      </c>
      <c r="H1882" s="39" t="str">
        <f aca="false">IFERROR(INDEX(medicine_master!$C$2:$C$26,MATCH($C1882,medicine_master!$A$2:$A$26,0)),"Not found")</f>
        <v>Vitamin</v>
      </c>
      <c r="I1882" s="39" t="n">
        <f aca="false">YEAR(B1882)</f>
        <v>2026</v>
      </c>
      <c r="J1882" s="39" t="n">
        <f aca="false">MONTH(B1882)</f>
        <v>2</v>
      </c>
      <c r="K1882" s="39" t="str">
        <f aca="false">TEXT(B1882,"mmm")</f>
        <v>Feb</v>
      </c>
      <c r="L1882" s="45" t="n">
        <f aca="false">IFERROR(INDEX(medicine_master!$I$2:$I$26,MATCH($C1882,medicine_master!$A$2:$A$26,0)),0)</f>
        <v>22</v>
      </c>
      <c r="M1882" s="45" t="n">
        <f aca="false">IFERROR(INDEX(medicine_master!$G$2:$G$26,MATCH($C1882,medicine_master!$A$2:$A$26,0)),0)</f>
        <v>14</v>
      </c>
      <c r="N1882" s="45" t="n">
        <f aca="false">IF(D1882="Sale",E1882*L1882,0)</f>
        <v>110</v>
      </c>
      <c r="O1882" s="45" t="n">
        <f aca="false">IF(D1882="Sale",E1882*M1882,0)</f>
        <v>70</v>
      </c>
      <c r="P1882" s="45" t="n">
        <f aca="false">N1882-O1882</f>
        <v>40</v>
      </c>
      <c r="Q1882" s="45" t="n">
        <f aca="false">IF(D1882="Purchase",E1882*M1882,0)</f>
        <v>0</v>
      </c>
    </row>
    <row r="1883" customFormat="false" ht="15" hidden="false" customHeight="false" outlineLevel="0" collapsed="false">
      <c r="A1883" s="39" t="s">
        <v>2207</v>
      </c>
      <c r="B1883" s="44" t="n">
        <v>46077</v>
      </c>
      <c r="C1883" s="39" t="s">
        <v>180</v>
      </c>
      <c r="D1883" s="39" t="s">
        <v>137</v>
      </c>
      <c r="E1883" s="39" t="n">
        <v>50</v>
      </c>
      <c r="F1883" s="39" t="str">
        <f aca="false">IF(COUNTIF(medicine_master!$A$2:$A$26,C1883)&gt;0,"Valid","Invalid")</f>
        <v>Valid</v>
      </c>
      <c r="G1883" s="39" t="str">
        <f aca="false">IFERROR(INDEX(medicine_master!$B$2:$B$26,MATCH($C1883,medicine_master!$A$2:$A$26,0)),"Not found")</f>
        <v>Vitamin C 500mg</v>
      </c>
      <c r="H1883" s="39" t="str">
        <f aca="false">IFERROR(INDEX(medicine_master!$C$2:$C$26,MATCH($C1883,medicine_master!$A$2:$A$26,0)),"Not found")</f>
        <v>Vitamin</v>
      </c>
      <c r="I1883" s="39" t="n">
        <f aca="false">YEAR(B1883)</f>
        <v>2026</v>
      </c>
      <c r="J1883" s="39" t="n">
        <f aca="false">MONTH(B1883)</f>
        <v>2</v>
      </c>
      <c r="K1883" s="39" t="str">
        <f aca="false">TEXT(B1883,"mmm")</f>
        <v>Feb</v>
      </c>
      <c r="L1883" s="45" t="n">
        <f aca="false">IFERROR(INDEX(medicine_master!$I$2:$I$26,MATCH($C1883,medicine_master!$A$2:$A$26,0)),0)</f>
        <v>22</v>
      </c>
      <c r="M1883" s="45" t="n">
        <f aca="false">IFERROR(INDEX(medicine_master!$G$2:$G$26,MATCH($C1883,medicine_master!$A$2:$A$26,0)),0)</f>
        <v>14</v>
      </c>
      <c r="N1883" s="45" t="n">
        <f aca="false">IF(D1883="Sale",E1883*L1883,0)</f>
        <v>1100</v>
      </c>
      <c r="O1883" s="45" t="n">
        <f aca="false">IF(D1883="Sale",E1883*M1883,0)</f>
        <v>700</v>
      </c>
      <c r="P1883" s="45" t="n">
        <f aca="false">N1883-O1883</f>
        <v>400</v>
      </c>
      <c r="Q1883" s="45" t="n">
        <f aca="false">IF(D1883="Purchase",E1883*M1883,0)</f>
        <v>0</v>
      </c>
    </row>
    <row r="1884" customFormat="false" ht="15" hidden="false" customHeight="false" outlineLevel="0" collapsed="false">
      <c r="A1884" s="39" t="s">
        <v>2208</v>
      </c>
      <c r="B1884" s="44" t="n">
        <v>46254</v>
      </c>
      <c r="C1884" s="39" t="s">
        <v>326</v>
      </c>
      <c r="D1884" s="39" t="s">
        <v>137</v>
      </c>
      <c r="E1884" s="39" t="n">
        <v>50</v>
      </c>
      <c r="F1884" s="39" t="str">
        <f aca="false">IF(COUNTIF(medicine_master!$A$2:$A$26,C1884)&gt;0,"Valid","Invalid")</f>
        <v>Valid</v>
      </c>
      <c r="G1884" s="39" t="str">
        <f aca="false">IFERROR(INDEX(medicine_master!$B$2:$B$26,MATCH($C1884,medicine_master!$A$2:$A$26,0)),"Not found")</f>
        <v>Omeprazole 20mg</v>
      </c>
      <c r="H1884" s="39" t="str">
        <f aca="false">IFERROR(INDEX(medicine_master!$C$2:$C$26,MATCH($C1884,medicine_master!$A$2:$A$26,0)),"Not found")</f>
        <v>Gastric</v>
      </c>
      <c r="I1884" s="39" t="n">
        <f aca="false">YEAR(B1884)</f>
        <v>2026</v>
      </c>
      <c r="J1884" s="39" t="n">
        <f aca="false">MONTH(B1884)</f>
        <v>8</v>
      </c>
      <c r="K1884" s="39" t="str">
        <f aca="false">TEXT(B1884,"mmm")</f>
        <v>Aug</v>
      </c>
      <c r="L1884" s="45" t="n">
        <f aca="false">IFERROR(INDEX(medicine_master!$I$2:$I$26,MATCH($C1884,medicine_master!$A$2:$A$26,0)),0)</f>
        <v>26</v>
      </c>
      <c r="M1884" s="45" t="n">
        <f aca="false">IFERROR(INDEX(medicine_master!$G$2:$G$26,MATCH($C1884,medicine_master!$A$2:$A$26,0)),0)</f>
        <v>18</v>
      </c>
      <c r="N1884" s="45" t="n">
        <f aca="false">IF(D1884="Sale",E1884*L1884,0)</f>
        <v>1300</v>
      </c>
      <c r="O1884" s="45" t="n">
        <f aca="false">IF(D1884="Sale",E1884*M1884,0)</f>
        <v>900</v>
      </c>
      <c r="P1884" s="45" t="n">
        <f aca="false">N1884-O1884</f>
        <v>400</v>
      </c>
      <c r="Q1884" s="45" t="n">
        <f aca="false">IF(D1884="Purchase",E1884*M1884,0)</f>
        <v>0</v>
      </c>
    </row>
    <row r="1885" customFormat="false" ht="15" hidden="false" customHeight="false" outlineLevel="0" collapsed="false">
      <c r="A1885" s="39" t="s">
        <v>2209</v>
      </c>
      <c r="B1885" s="44" t="n">
        <v>46314</v>
      </c>
      <c r="C1885" s="39" t="s">
        <v>178</v>
      </c>
      <c r="D1885" s="39" t="s">
        <v>137</v>
      </c>
      <c r="E1885" s="39" t="n">
        <v>15</v>
      </c>
      <c r="F1885" s="39" t="str">
        <f aca="false">IF(COUNTIF(medicine_master!$A$2:$A$26,C1885)&gt;0,"Valid","Invalid")</f>
        <v>Valid</v>
      </c>
      <c r="G1885" s="39" t="str">
        <f aca="false">IFERROR(INDEX(medicine_master!$B$2:$B$26,MATCH($C1885,medicine_master!$A$2:$A$26,0)),"Not found")</f>
        <v>Aspirin 75mg</v>
      </c>
      <c r="H1885" s="39" t="str">
        <f aca="false">IFERROR(INDEX(medicine_master!$C$2:$C$26,MATCH($C1885,medicine_master!$A$2:$A$26,0)),"Not found")</f>
        <v>Cardiac</v>
      </c>
      <c r="I1885" s="39" t="n">
        <f aca="false">YEAR(B1885)</f>
        <v>2026</v>
      </c>
      <c r="J1885" s="39" t="n">
        <f aca="false">MONTH(B1885)</f>
        <v>10</v>
      </c>
      <c r="K1885" s="39" t="str">
        <f aca="false">TEXT(B1885,"mmm")</f>
        <v>Oct</v>
      </c>
      <c r="L1885" s="45" t="n">
        <f aca="false">IFERROR(INDEX(medicine_master!$I$2:$I$26,MATCH($C1885,medicine_master!$A$2:$A$26,0)),0)</f>
        <v>15</v>
      </c>
      <c r="M1885" s="45" t="n">
        <f aca="false">IFERROR(INDEX(medicine_master!$G$2:$G$26,MATCH($C1885,medicine_master!$A$2:$A$26,0)),0)</f>
        <v>10</v>
      </c>
      <c r="N1885" s="45" t="n">
        <f aca="false">IF(D1885="Sale",E1885*L1885,0)</f>
        <v>225</v>
      </c>
      <c r="O1885" s="45" t="n">
        <f aca="false">IF(D1885="Sale",E1885*M1885,0)</f>
        <v>150</v>
      </c>
      <c r="P1885" s="45" t="n">
        <f aca="false">N1885-O1885</f>
        <v>75</v>
      </c>
      <c r="Q1885" s="45" t="n">
        <f aca="false">IF(D1885="Purchase",E1885*M1885,0)</f>
        <v>0</v>
      </c>
    </row>
    <row r="1886" customFormat="false" ht="15" hidden="false" customHeight="false" outlineLevel="0" collapsed="false">
      <c r="A1886" s="39" t="s">
        <v>2210</v>
      </c>
      <c r="B1886" s="44" t="n">
        <v>46163</v>
      </c>
      <c r="C1886" s="39" t="s">
        <v>160</v>
      </c>
      <c r="D1886" s="39" t="s">
        <v>137</v>
      </c>
      <c r="E1886" s="39" t="n">
        <v>15</v>
      </c>
      <c r="F1886" s="39" t="str">
        <f aca="false">IF(COUNTIF(medicine_master!$A$2:$A$26,C1886)&gt;0,"Valid","Invalid")</f>
        <v>Valid</v>
      </c>
      <c r="G1886" s="39" t="str">
        <f aca="false">IFERROR(INDEX(medicine_master!$B$2:$B$26,MATCH($C1886,medicine_master!$A$2:$A$26,0)),"Not found")</f>
        <v>Calamine Lotion</v>
      </c>
      <c r="H1886" s="39" t="str">
        <f aca="false">IFERROR(INDEX(medicine_master!$C$2:$C$26,MATCH($C1886,medicine_master!$A$2:$A$26,0)),"Not found")</f>
        <v>Dermatology</v>
      </c>
      <c r="I1886" s="39" t="n">
        <f aca="false">YEAR(B1886)</f>
        <v>2026</v>
      </c>
      <c r="J1886" s="39" t="n">
        <f aca="false">MONTH(B1886)</f>
        <v>5</v>
      </c>
      <c r="K1886" s="39" t="str">
        <f aca="false">TEXT(B1886,"mmm")</f>
        <v>May</v>
      </c>
      <c r="L1886" s="45" t="n">
        <f aca="false">IFERROR(INDEX(medicine_master!$I$2:$I$26,MATCH($C1886,medicine_master!$A$2:$A$26,0)),0)</f>
        <v>60</v>
      </c>
      <c r="M1886" s="45" t="n">
        <f aca="false">IFERROR(INDEX(medicine_master!$G$2:$G$26,MATCH($C1886,medicine_master!$A$2:$A$26,0)),0)</f>
        <v>42</v>
      </c>
      <c r="N1886" s="45" t="n">
        <f aca="false">IF(D1886="Sale",E1886*L1886,0)</f>
        <v>900</v>
      </c>
      <c r="O1886" s="45" t="n">
        <f aca="false">IF(D1886="Sale",E1886*M1886,0)</f>
        <v>630</v>
      </c>
      <c r="P1886" s="45" t="n">
        <f aca="false">N1886-O1886</f>
        <v>270</v>
      </c>
      <c r="Q1886" s="45" t="n">
        <f aca="false">IF(D1886="Purchase",E1886*M1886,0)</f>
        <v>0</v>
      </c>
    </row>
    <row r="1887" customFormat="false" ht="15" hidden="false" customHeight="false" outlineLevel="0" collapsed="false">
      <c r="A1887" s="39" t="s">
        <v>2211</v>
      </c>
      <c r="B1887" s="44" t="n">
        <v>46245</v>
      </c>
      <c r="C1887" s="39" t="s">
        <v>157</v>
      </c>
      <c r="D1887" s="39" t="s">
        <v>137</v>
      </c>
      <c r="E1887" s="39" t="n">
        <v>30</v>
      </c>
      <c r="F1887" s="39" t="str">
        <f aca="false">IF(COUNTIF(medicine_master!$A$2:$A$26,C1887)&gt;0,"Valid","Invalid")</f>
        <v>Valid</v>
      </c>
      <c r="G1887" s="39" t="str">
        <f aca="false">IFERROR(INDEX(medicine_master!$B$2:$B$26,MATCH($C1887,medicine_master!$A$2:$A$26,0)),"Not found")</f>
        <v>Multivitamin Tablets</v>
      </c>
      <c r="H1887" s="39" t="str">
        <f aca="false">IFERROR(INDEX(medicine_master!$C$2:$C$26,MATCH($C1887,medicine_master!$A$2:$A$26,0)),"Not found")</f>
        <v>Vitamin</v>
      </c>
      <c r="I1887" s="39" t="n">
        <f aca="false">YEAR(B1887)</f>
        <v>2026</v>
      </c>
      <c r="J1887" s="39" t="n">
        <f aca="false">MONTH(B1887)</f>
        <v>8</v>
      </c>
      <c r="K1887" s="39" t="str">
        <f aca="false">TEXT(B1887,"mmm")</f>
        <v>Aug</v>
      </c>
      <c r="L1887" s="45" t="n">
        <f aca="false">IFERROR(INDEX(medicine_master!$I$2:$I$26,MATCH($C1887,medicine_master!$A$2:$A$26,0)),0)</f>
        <v>105</v>
      </c>
      <c r="M1887" s="45" t="n">
        <f aca="false">IFERROR(INDEX(medicine_master!$G$2:$G$26,MATCH($C1887,medicine_master!$A$2:$A$26,0)),0)</f>
        <v>72</v>
      </c>
      <c r="N1887" s="45" t="n">
        <f aca="false">IF(D1887="Sale",E1887*L1887,0)</f>
        <v>3150</v>
      </c>
      <c r="O1887" s="45" t="n">
        <f aca="false">IF(D1887="Sale",E1887*M1887,0)</f>
        <v>2160</v>
      </c>
      <c r="P1887" s="45" t="n">
        <f aca="false">N1887-O1887</f>
        <v>990</v>
      </c>
      <c r="Q1887" s="45" t="n">
        <f aca="false">IF(D1887="Purchase",E1887*M1887,0)</f>
        <v>0</v>
      </c>
    </row>
    <row r="1888" customFormat="false" ht="15" hidden="false" customHeight="false" outlineLevel="0" collapsed="false">
      <c r="A1888" s="39" t="s">
        <v>2212</v>
      </c>
      <c r="B1888" s="44" t="n">
        <v>46162</v>
      </c>
      <c r="C1888" s="39" t="s">
        <v>152</v>
      </c>
      <c r="D1888" s="39" t="s">
        <v>138</v>
      </c>
      <c r="E1888" s="39" t="n">
        <v>40</v>
      </c>
      <c r="F1888" s="39" t="str">
        <f aca="false">IF(COUNTIF(medicine_master!$A$2:$A$26,C1888)&gt;0,"Valid","Invalid")</f>
        <v>Valid</v>
      </c>
      <c r="G1888" s="39" t="str">
        <f aca="false">IFERROR(INDEX(medicine_master!$B$2:$B$26,MATCH($C1888,medicine_master!$A$2:$A$26,0)),"Not found")</f>
        <v>Amoxicillin 500mg</v>
      </c>
      <c r="H1888" s="39" t="str">
        <f aca="false">IFERROR(INDEX(medicine_master!$C$2:$C$26,MATCH($C1888,medicine_master!$A$2:$A$26,0)),"Not found")</f>
        <v>Antibiotic</v>
      </c>
      <c r="I1888" s="39" t="n">
        <f aca="false">YEAR(B1888)</f>
        <v>2026</v>
      </c>
      <c r="J1888" s="39" t="n">
        <f aca="false">MONTH(B1888)</f>
        <v>5</v>
      </c>
      <c r="K1888" s="39" t="str">
        <f aca="false">TEXT(B1888,"mmm")</f>
        <v>May</v>
      </c>
      <c r="L1888" s="45" t="n">
        <f aca="false">IFERROR(INDEX(medicine_master!$I$2:$I$26,MATCH($C1888,medicine_master!$A$2:$A$26,0)),0)</f>
        <v>40</v>
      </c>
      <c r="M1888" s="45" t="n">
        <f aca="false">IFERROR(INDEX(medicine_master!$G$2:$G$26,MATCH($C1888,medicine_master!$A$2:$A$26,0)),0)</f>
        <v>28</v>
      </c>
      <c r="N1888" s="45" t="n">
        <f aca="false">IF(D1888="Sale",E1888*L1888,0)</f>
        <v>0</v>
      </c>
      <c r="O1888" s="45" t="n">
        <f aca="false">IF(D1888="Sale",E1888*M1888,0)</f>
        <v>0</v>
      </c>
      <c r="P1888" s="45" t="n">
        <f aca="false">N1888-O1888</f>
        <v>0</v>
      </c>
      <c r="Q1888" s="45" t="n">
        <f aca="false">IF(D1888="Purchase",E1888*M1888,0)</f>
        <v>1120</v>
      </c>
    </row>
    <row r="1889" customFormat="false" ht="15" hidden="false" customHeight="false" outlineLevel="0" collapsed="false">
      <c r="A1889" s="39" t="s">
        <v>2213</v>
      </c>
      <c r="B1889" s="44" t="n">
        <v>46292</v>
      </c>
      <c r="C1889" s="39" t="s">
        <v>178</v>
      </c>
      <c r="D1889" s="39" t="s">
        <v>138</v>
      </c>
      <c r="E1889" s="39" t="n">
        <v>30</v>
      </c>
      <c r="F1889" s="39" t="str">
        <f aca="false">IF(COUNTIF(medicine_master!$A$2:$A$26,C1889)&gt;0,"Valid","Invalid")</f>
        <v>Valid</v>
      </c>
      <c r="G1889" s="39" t="str">
        <f aca="false">IFERROR(INDEX(medicine_master!$B$2:$B$26,MATCH($C1889,medicine_master!$A$2:$A$26,0)),"Not found")</f>
        <v>Aspirin 75mg</v>
      </c>
      <c r="H1889" s="39" t="str">
        <f aca="false">IFERROR(INDEX(medicine_master!$C$2:$C$26,MATCH($C1889,medicine_master!$A$2:$A$26,0)),"Not found")</f>
        <v>Cardiac</v>
      </c>
      <c r="I1889" s="39" t="n">
        <f aca="false">YEAR(B1889)</f>
        <v>2026</v>
      </c>
      <c r="J1889" s="39" t="n">
        <f aca="false">MONTH(B1889)</f>
        <v>9</v>
      </c>
      <c r="K1889" s="39" t="str">
        <f aca="false">TEXT(B1889,"mmm")</f>
        <v>Sep</v>
      </c>
      <c r="L1889" s="45" t="n">
        <f aca="false">IFERROR(INDEX(medicine_master!$I$2:$I$26,MATCH($C1889,medicine_master!$A$2:$A$26,0)),0)</f>
        <v>15</v>
      </c>
      <c r="M1889" s="45" t="n">
        <f aca="false">IFERROR(INDEX(medicine_master!$G$2:$G$26,MATCH($C1889,medicine_master!$A$2:$A$26,0)),0)</f>
        <v>10</v>
      </c>
      <c r="N1889" s="45" t="n">
        <f aca="false">IF(D1889="Sale",E1889*L1889,0)</f>
        <v>0</v>
      </c>
      <c r="O1889" s="45" t="n">
        <f aca="false">IF(D1889="Sale",E1889*M1889,0)</f>
        <v>0</v>
      </c>
      <c r="P1889" s="45" t="n">
        <f aca="false">N1889-O1889</f>
        <v>0</v>
      </c>
      <c r="Q1889" s="45" t="n">
        <f aca="false">IF(D1889="Purchase",E1889*M1889,0)</f>
        <v>300</v>
      </c>
    </row>
    <row r="1890" customFormat="false" ht="15" hidden="false" customHeight="false" outlineLevel="0" collapsed="false">
      <c r="A1890" s="39" t="s">
        <v>2214</v>
      </c>
      <c r="B1890" s="44" t="n">
        <v>46053</v>
      </c>
      <c r="C1890" s="39" t="s">
        <v>152</v>
      </c>
      <c r="D1890" s="39" t="s">
        <v>137</v>
      </c>
      <c r="E1890" s="39" t="n">
        <v>40</v>
      </c>
      <c r="F1890" s="39" t="str">
        <f aca="false">IF(COUNTIF(medicine_master!$A$2:$A$26,C1890)&gt;0,"Valid","Invalid")</f>
        <v>Valid</v>
      </c>
      <c r="G1890" s="39" t="str">
        <f aca="false">IFERROR(INDEX(medicine_master!$B$2:$B$26,MATCH($C1890,medicine_master!$A$2:$A$26,0)),"Not found")</f>
        <v>Amoxicillin 500mg</v>
      </c>
      <c r="H1890" s="39" t="str">
        <f aca="false">IFERROR(INDEX(medicine_master!$C$2:$C$26,MATCH($C1890,medicine_master!$A$2:$A$26,0)),"Not found")</f>
        <v>Antibiotic</v>
      </c>
      <c r="I1890" s="39" t="n">
        <f aca="false">YEAR(B1890)</f>
        <v>2026</v>
      </c>
      <c r="J1890" s="39" t="n">
        <f aca="false">MONTH(B1890)</f>
        <v>1</v>
      </c>
      <c r="K1890" s="39" t="str">
        <f aca="false">TEXT(B1890,"mmm")</f>
        <v>Jan</v>
      </c>
      <c r="L1890" s="45" t="n">
        <f aca="false">IFERROR(INDEX(medicine_master!$I$2:$I$26,MATCH($C1890,medicine_master!$A$2:$A$26,0)),0)</f>
        <v>40</v>
      </c>
      <c r="M1890" s="45" t="n">
        <f aca="false">IFERROR(INDEX(medicine_master!$G$2:$G$26,MATCH($C1890,medicine_master!$A$2:$A$26,0)),0)</f>
        <v>28</v>
      </c>
      <c r="N1890" s="45" t="n">
        <f aca="false">IF(D1890="Sale",E1890*L1890,0)</f>
        <v>1600</v>
      </c>
      <c r="O1890" s="45" t="n">
        <f aca="false">IF(D1890="Sale",E1890*M1890,0)</f>
        <v>1120</v>
      </c>
      <c r="P1890" s="45" t="n">
        <f aca="false">N1890-O1890</f>
        <v>480</v>
      </c>
      <c r="Q1890" s="45" t="n">
        <f aca="false">IF(D1890="Purchase",E1890*M1890,0)</f>
        <v>0</v>
      </c>
    </row>
    <row r="1891" customFormat="false" ht="15" hidden="false" customHeight="false" outlineLevel="0" collapsed="false">
      <c r="A1891" s="39" t="s">
        <v>2215</v>
      </c>
      <c r="B1891" s="44" t="n">
        <v>46163</v>
      </c>
      <c r="C1891" s="39" t="s">
        <v>495</v>
      </c>
      <c r="D1891" s="39" t="s">
        <v>138</v>
      </c>
      <c r="E1891" s="39" t="n">
        <v>15</v>
      </c>
      <c r="F1891" s="39" t="str">
        <f aca="false">IF(COUNTIF(medicine_master!$A$2:$A$26,C1891)&gt;0,"Valid","Invalid")</f>
        <v>Valid</v>
      </c>
      <c r="G1891" s="39" t="str">
        <f aca="false">IFERROR(INDEX(medicine_master!$B$2:$B$26,MATCH($C1891,medicine_master!$A$2:$A$26,0)),"Not found")</f>
        <v>Metformin 500mg</v>
      </c>
      <c r="H1891" s="39" t="str">
        <f aca="false">IFERROR(INDEX(medicine_master!$C$2:$C$26,MATCH($C1891,medicine_master!$A$2:$A$26,0)),"Not found")</f>
        <v>Diabetes</v>
      </c>
      <c r="I1891" s="39" t="n">
        <f aca="false">YEAR(B1891)</f>
        <v>2026</v>
      </c>
      <c r="J1891" s="39" t="n">
        <f aca="false">MONTH(B1891)</f>
        <v>5</v>
      </c>
      <c r="K1891" s="39" t="str">
        <f aca="false">TEXT(B1891,"mmm")</f>
        <v>May</v>
      </c>
      <c r="L1891" s="45" t="n">
        <f aca="false">IFERROR(INDEX(medicine_master!$I$2:$I$26,MATCH($C1891,medicine_master!$A$2:$A$26,0)),0)</f>
        <v>24</v>
      </c>
      <c r="M1891" s="45" t="n">
        <f aca="false">IFERROR(INDEX(medicine_master!$G$2:$G$26,MATCH($C1891,medicine_master!$A$2:$A$26,0)),0)</f>
        <v>16</v>
      </c>
      <c r="N1891" s="45" t="n">
        <f aca="false">IF(D1891="Sale",E1891*L1891,0)</f>
        <v>0</v>
      </c>
      <c r="O1891" s="45" t="n">
        <f aca="false">IF(D1891="Sale",E1891*M1891,0)</f>
        <v>0</v>
      </c>
      <c r="P1891" s="45" t="n">
        <f aca="false">N1891-O1891</f>
        <v>0</v>
      </c>
      <c r="Q1891" s="45" t="n">
        <f aca="false">IF(D1891="Purchase",E1891*M1891,0)</f>
        <v>240</v>
      </c>
    </row>
    <row r="1892" customFormat="false" ht="15" hidden="false" customHeight="false" outlineLevel="0" collapsed="false">
      <c r="A1892" s="39" t="s">
        <v>2216</v>
      </c>
      <c r="B1892" s="44" t="n">
        <v>46349</v>
      </c>
      <c r="C1892" s="39" t="s">
        <v>158</v>
      </c>
      <c r="D1892" s="39" t="s">
        <v>137</v>
      </c>
      <c r="E1892" s="39" t="n">
        <v>50</v>
      </c>
      <c r="F1892" s="39" t="str">
        <f aca="false">IF(COUNTIF(medicine_master!$A$2:$A$26,C1892)&gt;0,"Valid","Invalid")</f>
        <v>Valid</v>
      </c>
      <c r="G1892" s="39" t="str">
        <f aca="false">IFERROR(INDEX(medicine_master!$B$2:$B$26,MATCH($C1892,medicine_master!$A$2:$A$26,0)),"Not found")</f>
        <v>Cough Syrup 100ml</v>
      </c>
      <c r="H1892" s="39" t="str">
        <f aca="false">IFERROR(INDEX(medicine_master!$C$2:$C$26,MATCH($C1892,medicine_master!$A$2:$A$26,0)),"Not found")</f>
        <v>Cold &amp; Cough</v>
      </c>
      <c r="I1892" s="39" t="n">
        <f aca="false">YEAR(B1892)</f>
        <v>2026</v>
      </c>
      <c r="J1892" s="39" t="n">
        <f aca="false">MONTH(B1892)</f>
        <v>11</v>
      </c>
      <c r="K1892" s="39" t="str">
        <f aca="false">TEXT(B1892,"mmm")</f>
        <v>Nov</v>
      </c>
      <c r="L1892" s="45" t="n">
        <f aca="false">IFERROR(INDEX(medicine_master!$I$2:$I$26,MATCH($C1892,medicine_master!$A$2:$A$26,0)),0)</f>
        <v>72</v>
      </c>
      <c r="M1892" s="45" t="n">
        <f aca="false">IFERROR(INDEX(medicine_master!$G$2:$G$26,MATCH($C1892,medicine_master!$A$2:$A$26,0)),0)</f>
        <v>52</v>
      </c>
      <c r="N1892" s="45" t="n">
        <f aca="false">IF(D1892="Sale",E1892*L1892,0)</f>
        <v>3600</v>
      </c>
      <c r="O1892" s="45" t="n">
        <f aca="false">IF(D1892="Sale",E1892*M1892,0)</f>
        <v>2600</v>
      </c>
      <c r="P1892" s="45" t="n">
        <f aca="false">N1892-O1892</f>
        <v>1000</v>
      </c>
      <c r="Q1892" s="45" t="n">
        <f aca="false">IF(D1892="Purchase",E1892*M1892,0)</f>
        <v>0</v>
      </c>
    </row>
    <row r="1893" customFormat="false" ht="15" hidden="false" customHeight="false" outlineLevel="0" collapsed="false">
      <c r="A1893" s="39" t="s">
        <v>2217</v>
      </c>
      <c r="B1893" s="44" t="n">
        <v>46189</v>
      </c>
      <c r="C1893" s="39" t="s">
        <v>152</v>
      </c>
      <c r="D1893" s="39" t="s">
        <v>137</v>
      </c>
      <c r="E1893" s="39" t="n">
        <v>20</v>
      </c>
      <c r="F1893" s="39" t="str">
        <f aca="false">IF(COUNTIF(medicine_master!$A$2:$A$26,C1893)&gt;0,"Valid","Invalid")</f>
        <v>Valid</v>
      </c>
      <c r="G1893" s="39" t="str">
        <f aca="false">IFERROR(INDEX(medicine_master!$B$2:$B$26,MATCH($C1893,medicine_master!$A$2:$A$26,0)),"Not found")</f>
        <v>Amoxicillin 500mg</v>
      </c>
      <c r="H1893" s="39" t="str">
        <f aca="false">IFERROR(INDEX(medicine_master!$C$2:$C$26,MATCH($C1893,medicine_master!$A$2:$A$26,0)),"Not found")</f>
        <v>Antibiotic</v>
      </c>
      <c r="I1893" s="39" t="n">
        <f aca="false">YEAR(B1893)</f>
        <v>2026</v>
      </c>
      <c r="J1893" s="39" t="n">
        <f aca="false">MONTH(B1893)</f>
        <v>6</v>
      </c>
      <c r="K1893" s="39" t="str">
        <f aca="false">TEXT(B1893,"mmm")</f>
        <v>Jun</v>
      </c>
      <c r="L1893" s="45" t="n">
        <f aca="false">IFERROR(INDEX(medicine_master!$I$2:$I$26,MATCH($C1893,medicine_master!$A$2:$A$26,0)),0)</f>
        <v>40</v>
      </c>
      <c r="M1893" s="45" t="n">
        <f aca="false">IFERROR(INDEX(medicine_master!$G$2:$G$26,MATCH($C1893,medicine_master!$A$2:$A$26,0)),0)</f>
        <v>28</v>
      </c>
      <c r="N1893" s="45" t="n">
        <f aca="false">IF(D1893="Sale",E1893*L1893,0)</f>
        <v>800</v>
      </c>
      <c r="O1893" s="45" t="n">
        <f aca="false">IF(D1893="Sale",E1893*M1893,0)</f>
        <v>560</v>
      </c>
      <c r="P1893" s="45" t="n">
        <f aca="false">N1893-O1893</f>
        <v>240</v>
      </c>
      <c r="Q1893" s="45" t="n">
        <f aca="false">IF(D1893="Purchase",E1893*M1893,0)</f>
        <v>0</v>
      </c>
    </row>
    <row r="1894" customFormat="false" ht="15" hidden="false" customHeight="false" outlineLevel="0" collapsed="false">
      <c r="A1894" s="39" t="s">
        <v>2218</v>
      </c>
      <c r="B1894" s="44" t="n">
        <v>46074</v>
      </c>
      <c r="C1894" s="39" t="s">
        <v>345</v>
      </c>
      <c r="D1894" s="39" t="s">
        <v>137</v>
      </c>
      <c r="E1894" s="39" t="n">
        <v>50</v>
      </c>
      <c r="F1894" s="39" t="str">
        <f aca="false">IF(COUNTIF(medicine_master!$A$2:$A$26,C1894)&gt;0,"Valid","Invalid")</f>
        <v>Valid</v>
      </c>
      <c r="G1894" s="39" t="str">
        <f aca="false">IFERROR(INDEX(medicine_master!$B$2:$B$26,MATCH($C1894,medicine_master!$A$2:$A$26,0)),"Not found")</f>
        <v>Paracetamol 500mg</v>
      </c>
      <c r="H1894" s="39" t="str">
        <f aca="false">IFERROR(INDEX(medicine_master!$C$2:$C$26,MATCH($C1894,medicine_master!$A$2:$A$26,0)),"Not found")</f>
        <v>Pain Relief</v>
      </c>
      <c r="I1894" s="39" t="n">
        <f aca="false">YEAR(B1894)</f>
        <v>2026</v>
      </c>
      <c r="J1894" s="39" t="n">
        <f aca="false">MONTH(B1894)</f>
        <v>2</v>
      </c>
      <c r="K1894" s="39" t="str">
        <f aca="false">TEXT(B1894,"mmm")</f>
        <v>Feb</v>
      </c>
      <c r="L1894" s="45" t="n">
        <f aca="false">IFERROR(INDEX(medicine_master!$I$2:$I$26,MATCH($C1894,medicine_master!$A$2:$A$26,0)),0)</f>
        <v>18</v>
      </c>
      <c r="M1894" s="45" t="n">
        <f aca="false">IFERROR(INDEX(medicine_master!$G$2:$G$26,MATCH($C1894,medicine_master!$A$2:$A$26,0)),0)</f>
        <v>12</v>
      </c>
      <c r="N1894" s="45" t="n">
        <f aca="false">IF(D1894="Sale",E1894*L1894,0)</f>
        <v>900</v>
      </c>
      <c r="O1894" s="45" t="n">
        <f aca="false">IF(D1894="Sale",E1894*M1894,0)</f>
        <v>600</v>
      </c>
      <c r="P1894" s="45" t="n">
        <f aca="false">N1894-O1894</f>
        <v>300</v>
      </c>
      <c r="Q1894" s="45" t="n">
        <f aca="false">IF(D1894="Purchase",E1894*M1894,0)</f>
        <v>0</v>
      </c>
    </row>
    <row r="1895" customFormat="false" ht="15" hidden="false" customHeight="false" outlineLevel="0" collapsed="false">
      <c r="A1895" s="39" t="s">
        <v>2219</v>
      </c>
      <c r="B1895" s="44" t="n">
        <v>46260</v>
      </c>
      <c r="C1895" s="39" t="s">
        <v>177</v>
      </c>
      <c r="D1895" s="39" t="s">
        <v>137</v>
      </c>
      <c r="E1895" s="39" t="n">
        <v>40</v>
      </c>
      <c r="F1895" s="39" t="str">
        <f aca="false">IF(COUNTIF(medicine_master!$A$2:$A$26,C1895)&gt;0,"Valid","Invalid")</f>
        <v>Valid</v>
      </c>
      <c r="G1895" s="39" t="str">
        <f aca="false">IFERROR(INDEX(medicine_master!$B$2:$B$26,MATCH($C1895,medicine_master!$A$2:$A$26,0)),"Not found")</f>
        <v>Bandage Roll</v>
      </c>
      <c r="H1895" s="39" t="str">
        <f aca="false">IFERROR(INDEX(medicine_master!$C$2:$C$26,MATCH($C1895,medicine_master!$A$2:$A$26,0)),"Not found")</f>
        <v>First Aid</v>
      </c>
      <c r="I1895" s="39" t="n">
        <f aca="false">YEAR(B1895)</f>
        <v>2026</v>
      </c>
      <c r="J1895" s="39" t="n">
        <f aca="false">MONTH(B1895)</f>
        <v>8</v>
      </c>
      <c r="K1895" s="39" t="str">
        <f aca="false">TEXT(B1895,"mmm")</f>
        <v>Aug</v>
      </c>
      <c r="L1895" s="45" t="n">
        <f aca="false">IFERROR(INDEX(medicine_master!$I$2:$I$26,MATCH($C1895,medicine_master!$A$2:$A$26,0)),0)</f>
        <v>25</v>
      </c>
      <c r="M1895" s="45" t="n">
        <f aca="false">IFERROR(INDEX(medicine_master!$G$2:$G$26,MATCH($C1895,medicine_master!$A$2:$A$26,0)),0)</f>
        <v>15</v>
      </c>
      <c r="N1895" s="45" t="n">
        <f aca="false">IF(D1895="Sale",E1895*L1895,0)</f>
        <v>1000</v>
      </c>
      <c r="O1895" s="45" t="n">
        <f aca="false">IF(D1895="Sale",E1895*M1895,0)</f>
        <v>600</v>
      </c>
      <c r="P1895" s="45" t="n">
        <f aca="false">N1895-O1895</f>
        <v>400</v>
      </c>
      <c r="Q1895" s="45" t="n">
        <f aca="false">IF(D1895="Purchase",E1895*M1895,0)</f>
        <v>0</v>
      </c>
    </row>
    <row r="1896" customFormat="false" ht="15" hidden="false" customHeight="false" outlineLevel="0" collapsed="false">
      <c r="A1896" s="39" t="s">
        <v>2220</v>
      </c>
      <c r="B1896" s="44" t="n">
        <v>46086</v>
      </c>
      <c r="C1896" s="39" t="s">
        <v>160</v>
      </c>
      <c r="D1896" s="39" t="s">
        <v>137</v>
      </c>
      <c r="E1896" s="39" t="n">
        <v>5</v>
      </c>
      <c r="F1896" s="39" t="str">
        <f aca="false">IF(COUNTIF(medicine_master!$A$2:$A$26,C1896)&gt;0,"Valid","Invalid")</f>
        <v>Valid</v>
      </c>
      <c r="G1896" s="39" t="str">
        <f aca="false">IFERROR(INDEX(medicine_master!$B$2:$B$26,MATCH($C1896,medicine_master!$A$2:$A$26,0)),"Not found")</f>
        <v>Calamine Lotion</v>
      </c>
      <c r="H1896" s="39" t="str">
        <f aca="false">IFERROR(INDEX(medicine_master!$C$2:$C$26,MATCH($C1896,medicine_master!$A$2:$A$26,0)),"Not found")</f>
        <v>Dermatology</v>
      </c>
      <c r="I1896" s="39" t="n">
        <f aca="false">YEAR(B1896)</f>
        <v>2026</v>
      </c>
      <c r="J1896" s="39" t="n">
        <f aca="false">MONTH(B1896)</f>
        <v>3</v>
      </c>
      <c r="K1896" s="39" t="str">
        <f aca="false">TEXT(B1896,"mmm")</f>
        <v>Mar</v>
      </c>
      <c r="L1896" s="45" t="n">
        <f aca="false">IFERROR(INDEX(medicine_master!$I$2:$I$26,MATCH($C1896,medicine_master!$A$2:$A$26,0)),0)</f>
        <v>60</v>
      </c>
      <c r="M1896" s="45" t="n">
        <f aca="false">IFERROR(INDEX(medicine_master!$G$2:$G$26,MATCH($C1896,medicine_master!$A$2:$A$26,0)),0)</f>
        <v>42</v>
      </c>
      <c r="N1896" s="45" t="n">
        <f aca="false">IF(D1896="Sale",E1896*L1896,0)</f>
        <v>300</v>
      </c>
      <c r="O1896" s="45" t="n">
        <f aca="false">IF(D1896="Sale",E1896*M1896,0)</f>
        <v>210</v>
      </c>
      <c r="P1896" s="45" t="n">
        <f aca="false">N1896-O1896</f>
        <v>90</v>
      </c>
      <c r="Q1896" s="45" t="n">
        <f aca="false">IF(D1896="Purchase",E1896*M1896,0)</f>
        <v>0</v>
      </c>
    </row>
    <row r="1897" customFormat="false" ht="15" hidden="false" customHeight="false" outlineLevel="0" collapsed="false">
      <c r="A1897" s="39" t="s">
        <v>2221</v>
      </c>
      <c r="B1897" s="44" t="n">
        <v>46041</v>
      </c>
      <c r="C1897" s="39" t="s">
        <v>147</v>
      </c>
      <c r="D1897" s="39" t="s">
        <v>138</v>
      </c>
      <c r="E1897" s="39" t="n">
        <v>15</v>
      </c>
      <c r="F1897" s="39" t="str">
        <f aca="false">IF(COUNTIF(medicine_master!$A$2:$A$26,C1897)&gt;0,"Valid","Invalid")</f>
        <v>Valid</v>
      </c>
      <c r="G1897" s="39" t="str">
        <f aca="false">IFERROR(INDEX(medicine_master!$B$2:$B$26,MATCH($C1897,medicine_master!$A$2:$A$26,0)),"Not found")</f>
        <v>Insulin Injection</v>
      </c>
      <c r="H1897" s="39" t="str">
        <f aca="false">IFERROR(INDEX(medicine_master!$C$2:$C$26,MATCH($C1897,medicine_master!$A$2:$A$26,0)),"Not found")</f>
        <v>Diabetes</v>
      </c>
      <c r="I1897" s="39" t="n">
        <f aca="false">YEAR(B1897)</f>
        <v>2026</v>
      </c>
      <c r="J1897" s="39" t="n">
        <f aca="false">MONTH(B1897)</f>
        <v>1</v>
      </c>
      <c r="K1897" s="39" t="str">
        <f aca="false">TEXT(B1897,"mmm")</f>
        <v>Jan</v>
      </c>
      <c r="L1897" s="45" t="n">
        <f aca="false">IFERROR(INDEX(medicine_master!$I$2:$I$26,MATCH($C1897,medicine_master!$A$2:$A$26,0)),0)</f>
        <v>225</v>
      </c>
      <c r="M1897" s="45" t="n">
        <f aca="false">IFERROR(INDEX(medicine_master!$G$2:$G$26,MATCH($C1897,medicine_master!$A$2:$A$26,0)),0)</f>
        <v>165</v>
      </c>
      <c r="N1897" s="45" t="n">
        <f aca="false">IF(D1897="Sale",E1897*L1897,0)</f>
        <v>0</v>
      </c>
      <c r="O1897" s="45" t="n">
        <f aca="false">IF(D1897="Sale",E1897*M1897,0)</f>
        <v>0</v>
      </c>
      <c r="P1897" s="45" t="n">
        <f aca="false">N1897-O1897</f>
        <v>0</v>
      </c>
      <c r="Q1897" s="45" t="n">
        <f aca="false">IF(D1897="Purchase",E1897*M1897,0)</f>
        <v>2475</v>
      </c>
    </row>
    <row r="1898" customFormat="false" ht="15" hidden="false" customHeight="false" outlineLevel="0" collapsed="false">
      <c r="A1898" s="39" t="s">
        <v>2222</v>
      </c>
      <c r="B1898" s="44" t="n">
        <v>46203</v>
      </c>
      <c r="C1898" s="39" t="s">
        <v>326</v>
      </c>
      <c r="D1898" s="39" t="s">
        <v>137</v>
      </c>
      <c r="E1898" s="39" t="n">
        <v>15</v>
      </c>
      <c r="F1898" s="39" t="str">
        <f aca="false">IF(COUNTIF(medicine_master!$A$2:$A$26,C1898)&gt;0,"Valid","Invalid")</f>
        <v>Valid</v>
      </c>
      <c r="G1898" s="39" t="str">
        <f aca="false">IFERROR(INDEX(medicine_master!$B$2:$B$26,MATCH($C1898,medicine_master!$A$2:$A$26,0)),"Not found")</f>
        <v>Omeprazole 20mg</v>
      </c>
      <c r="H1898" s="39" t="str">
        <f aca="false">IFERROR(INDEX(medicine_master!$C$2:$C$26,MATCH($C1898,medicine_master!$A$2:$A$26,0)),"Not found")</f>
        <v>Gastric</v>
      </c>
      <c r="I1898" s="39" t="n">
        <f aca="false">YEAR(B1898)</f>
        <v>2026</v>
      </c>
      <c r="J1898" s="39" t="n">
        <f aca="false">MONTH(B1898)</f>
        <v>6</v>
      </c>
      <c r="K1898" s="39" t="str">
        <f aca="false">TEXT(B1898,"mmm")</f>
        <v>Jun</v>
      </c>
      <c r="L1898" s="45" t="n">
        <f aca="false">IFERROR(INDEX(medicine_master!$I$2:$I$26,MATCH($C1898,medicine_master!$A$2:$A$26,0)),0)</f>
        <v>26</v>
      </c>
      <c r="M1898" s="45" t="n">
        <f aca="false">IFERROR(INDEX(medicine_master!$G$2:$G$26,MATCH($C1898,medicine_master!$A$2:$A$26,0)),0)</f>
        <v>18</v>
      </c>
      <c r="N1898" s="45" t="n">
        <f aca="false">IF(D1898="Sale",E1898*L1898,0)</f>
        <v>390</v>
      </c>
      <c r="O1898" s="45" t="n">
        <f aca="false">IF(D1898="Sale",E1898*M1898,0)</f>
        <v>270</v>
      </c>
      <c r="P1898" s="45" t="n">
        <f aca="false">N1898-O1898</f>
        <v>120</v>
      </c>
      <c r="Q1898" s="45" t="n">
        <f aca="false">IF(D1898="Purchase",E1898*M1898,0)</f>
        <v>0</v>
      </c>
    </row>
    <row r="1899" customFormat="false" ht="15" hidden="false" customHeight="false" outlineLevel="0" collapsed="false">
      <c r="A1899" s="39" t="s">
        <v>2223</v>
      </c>
      <c r="B1899" s="44" t="n">
        <v>46354</v>
      </c>
      <c r="C1899" s="39" t="s">
        <v>148</v>
      </c>
      <c r="D1899" s="39" t="s">
        <v>137</v>
      </c>
      <c r="E1899" s="39" t="n">
        <v>10</v>
      </c>
      <c r="F1899" s="39" t="str">
        <f aca="false">IF(COUNTIF(medicine_master!$A$2:$A$26,C1899)&gt;0,"Valid","Invalid")</f>
        <v>Valid</v>
      </c>
      <c r="G1899" s="39" t="str">
        <f aca="false">IFERROR(INDEX(medicine_master!$B$2:$B$26,MATCH($C1899,medicine_master!$A$2:$A$26,0)),"Not found")</f>
        <v>Dextromethorphan Syrup</v>
      </c>
      <c r="H1899" s="39" t="str">
        <f aca="false">IFERROR(INDEX(medicine_master!$C$2:$C$26,MATCH($C1899,medicine_master!$A$2:$A$26,0)),"Not found")</f>
        <v>Cold &amp; Cough</v>
      </c>
      <c r="I1899" s="39" t="n">
        <f aca="false">YEAR(B1899)</f>
        <v>2026</v>
      </c>
      <c r="J1899" s="39" t="n">
        <f aca="false">MONTH(B1899)</f>
        <v>11</v>
      </c>
      <c r="K1899" s="39" t="str">
        <f aca="false">TEXT(B1899,"mmm")</f>
        <v>Nov</v>
      </c>
      <c r="L1899" s="45" t="n">
        <f aca="false">IFERROR(INDEX(medicine_master!$I$2:$I$26,MATCH($C1899,medicine_master!$A$2:$A$26,0)),0)</f>
        <v>80</v>
      </c>
      <c r="M1899" s="45" t="n">
        <f aca="false">IFERROR(INDEX(medicine_master!$G$2:$G$26,MATCH($C1899,medicine_master!$A$2:$A$26,0)),0)</f>
        <v>58</v>
      </c>
      <c r="N1899" s="45" t="n">
        <f aca="false">IF(D1899="Sale",E1899*L1899,0)</f>
        <v>800</v>
      </c>
      <c r="O1899" s="45" t="n">
        <f aca="false">IF(D1899="Sale",E1899*M1899,0)</f>
        <v>580</v>
      </c>
      <c r="P1899" s="45" t="n">
        <f aca="false">N1899-O1899</f>
        <v>220</v>
      </c>
      <c r="Q1899" s="45" t="n">
        <f aca="false">IF(D1899="Purchase",E1899*M1899,0)</f>
        <v>0</v>
      </c>
    </row>
    <row r="1900" customFormat="false" ht="15" hidden="false" customHeight="false" outlineLevel="0" collapsed="false">
      <c r="A1900" s="39" t="s">
        <v>2224</v>
      </c>
      <c r="B1900" s="44" t="n">
        <v>46198</v>
      </c>
      <c r="C1900" s="39" t="s">
        <v>144</v>
      </c>
      <c r="D1900" s="39" t="s">
        <v>137</v>
      </c>
      <c r="E1900" s="39" t="n">
        <v>30</v>
      </c>
      <c r="F1900" s="39" t="str">
        <f aca="false">IF(COUNTIF(medicine_master!$A$2:$A$26,C1900)&gt;0,"Valid","Invalid")</f>
        <v>Valid</v>
      </c>
      <c r="G1900" s="39" t="str">
        <f aca="false">IFERROR(INDEX(medicine_master!$B$2:$B$26,MATCH($C1900,medicine_master!$A$2:$A$26,0)),"Not found")</f>
        <v>Glimepiride 2mg</v>
      </c>
      <c r="H1900" s="39" t="str">
        <f aca="false">IFERROR(INDEX(medicine_master!$C$2:$C$26,MATCH($C1900,medicine_master!$A$2:$A$26,0)),"Not found")</f>
        <v>Diabetes</v>
      </c>
      <c r="I1900" s="39" t="n">
        <f aca="false">YEAR(B1900)</f>
        <v>2026</v>
      </c>
      <c r="J1900" s="39" t="n">
        <f aca="false">MONTH(B1900)</f>
        <v>6</v>
      </c>
      <c r="K1900" s="39" t="str">
        <f aca="false">TEXT(B1900,"mmm")</f>
        <v>Jun</v>
      </c>
      <c r="L1900" s="45" t="n">
        <f aca="false">IFERROR(INDEX(medicine_master!$I$2:$I$26,MATCH($C1900,medicine_master!$A$2:$A$26,0)),0)</f>
        <v>52</v>
      </c>
      <c r="M1900" s="45" t="n">
        <f aca="false">IFERROR(INDEX(medicine_master!$G$2:$G$26,MATCH($C1900,medicine_master!$A$2:$A$26,0)),0)</f>
        <v>38</v>
      </c>
      <c r="N1900" s="45" t="n">
        <f aca="false">IF(D1900="Sale",E1900*L1900,0)</f>
        <v>1560</v>
      </c>
      <c r="O1900" s="45" t="n">
        <f aca="false">IF(D1900="Sale",E1900*M1900,0)</f>
        <v>1140</v>
      </c>
      <c r="P1900" s="45" t="n">
        <f aca="false">N1900-O1900</f>
        <v>420</v>
      </c>
      <c r="Q1900" s="45" t="n">
        <f aca="false">IF(D1900="Purchase",E1900*M1900,0)</f>
        <v>0</v>
      </c>
    </row>
    <row r="1901" customFormat="false" ht="15" hidden="false" customHeight="false" outlineLevel="0" collapsed="false">
      <c r="A1901" s="39" t="s">
        <v>2225</v>
      </c>
      <c r="B1901" s="44" t="n">
        <v>46246</v>
      </c>
      <c r="C1901" s="39" t="s">
        <v>158</v>
      </c>
      <c r="D1901" s="39" t="s">
        <v>137</v>
      </c>
      <c r="E1901" s="39" t="n">
        <v>20</v>
      </c>
      <c r="F1901" s="39" t="str">
        <f aca="false">IF(COUNTIF(medicine_master!$A$2:$A$26,C1901)&gt;0,"Valid","Invalid")</f>
        <v>Valid</v>
      </c>
      <c r="G1901" s="39" t="str">
        <f aca="false">IFERROR(INDEX(medicine_master!$B$2:$B$26,MATCH($C1901,medicine_master!$A$2:$A$26,0)),"Not found")</f>
        <v>Cough Syrup 100ml</v>
      </c>
      <c r="H1901" s="39" t="str">
        <f aca="false">IFERROR(INDEX(medicine_master!$C$2:$C$26,MATCH($C1901,medicine_master!$A$2:$A$26,0)),"Not found")</f>
        <v>Cold &amp; Cough</v>
      </c>
      <c r="I1901" s="39" t="n">
        <f aca="false">YEAR(B1901)</f>
        <v>2026</v>
      </c>
      <c r="J1901" s="39" t="n">
        <f aca="false">MONTH(B1901)</f>
        <v>8</v>
      </c>
      <c r="K1901" s="39" t="str">
        <f aca="false">TEXT(B1901,"mmm")</f>
        <v>Aug</v>
      </c>
      <c r="L1901" s="45" t="n">
        <f aca="false">IFERROR(INDEX(medicine_master!$I$2:$I$26,MATCH($C1901,medicine_master!$A$2:$A$26,0)),0)</f>
        <v>72</v>
      </c>
      <c r="M1901" s="45" t="n">
        <f aca="false">IFERROR(INDEX(medicine_master!$G$2:$G$26,MATCH($C1901,medicine_master!$A$2:$A$26,0)),0)</f>
        <v>52</v>
      </c>
      <c r="N1901" s="45" t="n">
        <f aca="false">IF(D1901="Sale",E1901*L1901,0)</f>
        <v>1440</v>
      </c>
      <c r="O1901" s="45" t="n">
        <f aca="false">IF(D1901="Sale",E1901*M1901,0)</f>
        <v>1040</v>
      </c>
      <c r="P1901" s="45" t="n">
        <f aca="false">N1901-O1901</f>
        <v>400</v>
      </c>
      <c r="Q1901" s="45" t="n">
        <f aca="false">IF(D1901="Purchase",E1901*M1901,0)</f>
        <v>0</v>
      </c>
    </row>
    <row r="1902" customFormat="false" ht="15" hidden="false" customHeight="false" outlineLevel="0" collapsed="false">
      <c r="A1902" s="39" t="s">
        <v>2226</v>
      </c>
      <c r="B1902" s="44" t="n">
        <v>46185</v>
      </c>
      <c r="C1902" s="39" t="s">
        <v>179</v>
      </c>
      <c r="D1902" s="39" t="s">
        <v>138</v>
      </c>
      <c r="E1902" s="39" t="n">
        <v>20</v>
      </c>
      <c r="F1902" s="39" t="str">
        <f aca="false">IF(COUNTIF(medicine_master!$A$2:$A$26,C1902)&gt;0,"Valid","Invalid")</f>
        <v>Valid</v>
      </c>
      <c r="G1902" s="39" t="str">
        <f aca="false">IFERROR(INDEX(medicine_master!$B$2:$B$26,MATCH($C1902,medicine_master!$A$2:$A$26,0)),"Not found")</f>
        <v>Ibuprofen 400mg</v>
      </c>
      <c r="H1902" s="39" t="str">
        <f aca="false">IFERROR(INDEX(medicine_master!$C$2:$C$26,MATCH($C1902,medicine_master!$A$2:$A$26,0)),"Not found")</f>
        <v>Pain Relief</v>
      </c>
      <c r="I1902" s="39" t="n">
        <f aca="false">YEAR(B1902)</f>
        <v>2026</v>
      </c>
      <c r="J1902" s="39" t="n">
        <f aca="false">MONTH(B1902)</f>
        <v>6</v>
      </c>
      <c r="K1902" s="39" t="str">
        <f aca="false">TEXT(B1902,"mmm")</f>
        <v>Jun</v>
      </c>
      <c r="L1902" s="45" t="n">
        <f aca="false">IFERROR(INDEX(medicine_master!$I$2:$I$26,MATCH($C1902,medicine_master!$A$2:$A$26,0)),0)</f>
        <v>30</v>
      </c>
      <c r="M1902" s="45" t="n">
        <f aca="false">IFERROR(INDEX(medicine_master!$G$2:$G$26,MATCH($C1902,medicine_master!$A$2:$A$26,0)),0)</f>
        <v>22</v>
      </c>
      <c r="N1902" s="45" t="n">
        <f aca="false">IF(D1902="Sale",E1902*L1902,0)</f>
        <v>0</v>
      </c>
      <c r="O1902" s="45" t="n">
        <f aca="false">IF(D1902="Sale",E1902*M1902,0)</f>
        <v>0</v>
      </c>
      <c r="P1902" s="45" t="n">
        <f aca="false">N1902-O1902</f>
        <v>0</v>
      </c>
      <c r="Q1902" s="45" t="n">
        <f aca="false">IF(D1902="Purchase",E1902*M1902,0)</f>
        <v>440</v>
      </c>
    </row>
    <row r="1903" customFormat="false" ht="15" hidden="false" customHeight="false" outlineLevel="0" collapsed="false">
      <c r="A1903" s="39" t="s">
        <v>2227</v>
      </c>
      <c r="B1903" s="44" t="n">
        <v>46340</v>
      </c>
      <c r="C1903" s="39" t="s">
        <v>152</v>
      </c>
      <c r="D1903" s="39" t="s">
        <v>137</v>
      </c>
      <c r="E1903" s="39" t="n">
        <v>30</v>
      </c>
      <c r="F1903" s="39" t="str">
        <f aca="false">IF(COUNTIF(medicine_master!$A$2:$A$26,C1903)&gt;0,"Valid","Invalid")</f>
        <v>Valid</v>
      </c>
      <c r="G1903" s="39" t="str">
        <f aca="false">IFERROR(INDEX(medicine_master!$B$2:$B$26,MATCH($C1903,medicine_master!$A$2:$A$26,0)),"Not found")</f>
        <v>Amoxicillin 500mg</v>
      </c>
      <c r="H1903" s="39" t="str">
        <f aca="false">IFERROR(INDEX(medicine_master!$C$2:$C$26,MATCH($C1903,medicine_master!$A$2:$A$26,0)),"Not found")</f>
        <v>Antibiotic</v>
      </c>
      <c r="I1903" s="39" t="n">
        <f aca="false">YEAR(B1903)</f>
        <v>2026</v>
      </c>
      <c r="J1903" s="39" t="n">
        <f aca="false">MONTH(B1903)</f>
        <v>11</v>
      </c>
      <c r="K1903" s="39" t="str">
        <f aca="false">TEXT(B1903,"mmm")</f>
        <v>Nov</v>
      </c>
      <c r="L1903" s="45" t="n">
        <f aca="false">IFERROR(INDEX(medicine_master!$I$2:$I$26,MATCH($C1903,medicine_master!$A$2:$A$26,0)),0)</f>
        <v>40</v>
      </c>
      <c r="M1903" s="45" t="n">
        <f aca="false">IFERROR(INDEX(medicine_master!$G$2:$G$26,MATCH($C1903,medicine_master!$A$2:$A$26,0)),0)</f>
        <v>28</v>
      </c>
      <c r="N1903" s="45" t="n">
        <f aca="false">IF(D1903="Sale",E1903*L1903,0)</f>
        <v>1200</v>
      </c>
      <c r="O1903" s="45" t="n">
        <f aca="false">IF(D1903="Sale",E1903*M1903,0)</f>
        <v>840</v>
      </c>
      <c r="P1903" s="45" t="n">
        <f aca="false">N1903-O1903</f>
        <v>360</v>
      </c>
      <c r="Q1903" s="45" t="n">
        <f aca="false">IF(D1903="Purchase",E1903*M1903,0)</f>
        <v>0</v>
      </c>
    </row>
    <row r="1904" customFormat="false" ht="15" hidden="false" customHeight="false" outlineLevel="0" collapsed="false">
      <c r="A1904" s="39" t="s">
        <v>2228</v>
      </c>
      <c r="B1904" s="44" t="n">
        <v>46118</v>
      </c>
      <c r="C1904" s="39" t="s">
        <v>146</v>
      </c>
      <c r="D1904" s="39" t="s">
        <v>137</v>
      </c>
      <c r="E1904" s="39" t="n">
        <v>50</v>
      </c>
      <c r="F1904" s="39" t="str">
        <f aca="false">IF(COUNTIF(medicine_master!$A$2:$A$26,C1904)&gt;0,"Valid","Invalid")</f>
        <v>Valid</v>
      </c>
      <c r="G1904" s="39" t="str">
        <f aca="false">IFERROR(INDEX(medicine_master!$B$2:$B$26,MATCH($C1904,medicine_master!$A$2:$A$26,0)),"Not found")</f>
        <v>Diclofenac Gel</v>
      </c>
      <c r="H1904" s="39" t="str">
        <f aca="false">IFERROR(INDEX(medicine_master!$C$2:$C$26,MATCH($C1904,medicine_master!$A$2:$A$26,0)),"Not found")</f>
        <v>Pain Relief</v>
      </c>
      <c r="I1904" s="39" t="n">
        <f aca="false">YEAR(B1904)</f>
        <v>2026</v>
      </c>
      <c r="J1904" s="39" t="n">
        <f aca="false">MONTH(B1904)</f>
        <v>4</v>
      </c>
      <c r="K1904" s="39" t="str">
        <f aca="false">TEXT(B1904,"mmm")</f>
        <v>Apr</v>
      </c>
      <c r="L1904" s="45" t="n">
        <f aca="false">IFERROR(INDEX(medicine_master!$I$2:$I$26,MATCH($C1904,medicine_master!$A$2:$A$26,0)),0)</f>
        <v>55</v>
      </c>
      <c r="M1904" s="45" t="n">
        <f aca="false">IFERROR(INDEX(medicine_master!$G$2:$G$26,MATCH($C1904,medicine_master!$A$2:$A$26,0)),0)</f>
        <v>38</v>
      </c>
      <c r="N1904" s="45" t="n">
        <f aca="false">IF(D1904="Sale",E1904*L1904,0)</f>
        <v>2750</v>
      </c>
      <c r="O1904" s="45" t="n">
        <f aca="false">IF(D1904="Sale",E1904*M1904,0)</f>
        <v>1900</v>
      </c>
      <c r="P1904" s="45" t="n">
        <f aca="false">N1904-O1904</f>
        <v>850</v>
      </c>
      <c r="Q1904" s="45" t="n">
        <f aca="false">IF(D1904="Purchase",E1904*M1904,0)</f>
        <v>0</v>
      </c>
    </row>
    <row r="1905" customFormat="false" ht="15" hidden="false" customHeight="false" outlineLevel="0" collapsed="false">
      <c r="A1905" s="39" t="s">
        <v>2229</v>
      </c>
      <c r="B1905" s="44" t="n">
        <v>46206</v>
      </c>
      <c r="C1905" s="39" t="s">
        <v>178</v>
      </c>
      <c r="D1905" s="39" t="s">
        <v>137</v>
      </c>
      <c r="E1905" s="39" t="n">
        <v>30</v>
      </c>
      <c r="F1905" s="39" t="str">
        <f aca="false">IF(COUNTIF(medicine_master!$A$2:$A$26,C1905)&gt;0,"Valid","Invalid")</f>
        <v>Valid</v>
      </c>
      <c r="G1905" s="39" t="str">
        <f aca="false">IFERROR(INDEX(medicine_master!$B$2:$B$26,MATCH($C1905,medicine_master!$A$2:$A$26,0)),"Not found")</f>
        <v>Aspirin 75mg</v>
      </c>
      <c r="H1905" s="39" t="str">
        <f aca="false">IFERROR(INDEX(medicine_master!$C$2:$C$26,MATCH($C1905,medicine_master!$A$2:$A$26,0)),"Not found")</f>
        <v>Cardiac</v>
      </c>
      <c r="I1905" s="39" t="n">
        <f aca="false">YEAR(B1905)</f>
        <v>2026</v>
      </c>
      <c r="J1905" s="39" t="n">
        <f aca="false">MONTH(B1905)</f>
        <v>7</v>
      </c>
      <c r="K1905" s="39" t="str">
        <f aca="false">TEXT(B1905,"mmm")</f>
        <v>Jul</v>
      </c>
      <c r="L1905" s="45" t="n">
        <f aca="false">IFERROR(INDEX(medicine_master!$I$2:$I$26,MATCH($C1905,medicine_master!$A$2:$A$26,0)),0)</f>
        <v>15</v>
      </c>
      <c r="M1905" s="45" t="n">
        <f aca="false">IFERROR(INDEX(medicine_master!$G$2:$G$26,MATCH($C1905,medicine_master!$A$2:$A$26,0)),0)</f>
        <v>10</v>
      </c>
      <c r="N1905" s="45" t="n">
        <f aca="false">IF(D1905="Sale",E1905*L1905,0)</f>
        <v>450</v>
      </c>
      <c r="O1905" s="45" t="n">
        <f aca="false">IF(D1905="Sale",E1905*M1905,0)</f>
        <v>300</v>
      </c>
      <c r="P1905" s="45" t="n">
        <f aca="false">N1905-O1905</f>
        <v>150</v>
      </c>
      <c r="Q1905" s="45" t="n">
        <f aca="false">IF(D1905="Purchase",E1905*M1905,0)</f>
        <v>0</v>
      </c>
    </row>
    <row r="1906" customFormat="false" ht="15" hidden="false" customHeight="false" outlineLevel="0" collapsed="false">
      <c r="A1906" s="39" t="s">
        <v>2230</v>
      </c>
      <c r="B1906" s="44" t="n">
        <v>46155</v>
      </c>
      <c r="C1906" s="39" t="s">
        <v>148</v>
      </c>
      <c r="D1906" s="39" t="s">
        <v>138</v>
      </c>
      <c r="E1906" s="39" t="n">
        <v>10</v>
      </c>
      <c r="F1906" s="39" t="str">
        <f aca="false">IF(COUNTIF(medicine_master!$A$2:$A$26,C1906)&gt;0,"Valid","Invalid")</f>
        <v>Valid</v>
      </c>
      <c r="G1906" s="39" t="str">
        <f aca="false">IFERROR(INDEX(medicine_master!$B$2:$B$26,MATCH($C1906,medicine_master!$A$2:$A$26,0)),"Not found")</f>
        <v>Dextromethorphan Syrup</v>
      </c>
      <c r="H1906" s="39" t="str">
        <f aca="false">IFERROR(INDEX(medicine_master!$C$2:$C$26,MATCH($C1906,medicine_master!$A$2:$A$26,0)),"Not found")</f>
        <v>Cold &amp; Cough</v>
      </c>
      <c r="I1906" s="39" t="n">
        <f aca="false">YEAR(B1906)</f>
        <v>2026</v>
      </c>
      <c r="J1906" s="39" t="n">
        <f aca="false">MONTH(B1906)</f>
        <v>5</v>
      </c>
      <c r="K1906" s="39" t="str">
        <f aca="false">TEXT(B1906,"mmm")</f>
        <v>May</v>
      </c>
      <c r="L1906" s="45" t="n">
        <f aca="false">IFERROR(INDEX(medicine_master!$I$2:$I$26,MATCH($C1906,medicine_master!$A$2:$A$26,0)),0)</f>
        <v>80</v>
      </c>
      <c r="M1906" s="45" t="n">
        <f aca="false">IFERROR(INDEX(medicine_master!$G$2:$G$26,MATCH($C1906,medicine_master!$A$2:$A$26,0)),0)</f>
        <v>58</v>
      </c>
      <c r="N1906" s="45" t="n">
        <f aca="false">IF(D1906="Sale",E1906*L1906,0)</f>
        <v>0</v>
      </c>
      <c r="O1906" s="45" t="n">
        <f aca="false">IF(D1906="Sale",E1906*M1906,0)</f>
        <v>0</v>
      </c>
      <c r="P1906" s="45" t="n">
        <f aca="false">N1906-O1906</f>
        <v>0</v>
      </c>
      <c r="Q1906" s="45" t="n">
        <f aca="false">IF(D1906="Purchase",E1906*M1906,0)</f>
        <v>580</v>
      </c>
    </row>
    <row r="1907" customFormat="false" ht="15" hidden="false" customHeight="false" outlineLevel="0" collapsed="false">
      <c r="A1907" s="39" t="s">
        <v>2231</v>
      </c>
      <c r="B1907" s="44" t="n">
        <v>46068</v>
      </c>
      <c r="C1907" s="39" t="s">
        <v>321</v>
      </c>
      <c r="D1907" s="39" t="s">
        <v>138</v>
      </c>
      <c r="E1907" s="39" t="n">
        <v>30</v>
      </c>
      <c r="F1907" s="39" t="str">
        <f aca="false">IF(COUNTIF(medicine_master!$A$2:$A$26,C1907)&gt;0,"Valid","Invalid")</f>
        <v>Valid</v>
      </c>
      <c r="G1907" s="39" t="str">
        <f aca="false">IFERROR(INDEX(medicine_master!$B$2:$B$26,MATCH($C1907,medicine_master!$A$2:$A$26,0)),"Not found")</f>
        <v>Levocetirizine 5mg</v>
      </c>
      <c r="H1907" s="39" t="str">
        <f aca="false">IFERROR(INDEX(medicine_master!$C$2:$C$26,MATCH($C1907,medicine_master!$A$2:$A$26,0)),"Not found")</f>
        <v>Allergy</v>
      </c>
      <c r="I1907" s="39" t="n">
        <f aca="false">YEAR(B1907)</f>
        <v>2026</v>
      </c>
      <c r="J1907" s="39" t="n">
        <f aca="false">MONTH(B1907)</f>
        <v>2</v>
      </c>
      <c r="K1907" s="39" t="str">
        <f aca="false">TEXT(B1907,"mmm")</f>
        <v>Feb</v>
      </c>
      <c r="L1907" s="45" t="n">
        <f aca="false">IFERROR(INDEX(medicine_master!$I$2:$I$26,MATCH($C1907,medicine_master!$A$2:$A$26,0)),0)</f>
        <v>22</v>
      </c>
      <c r="M1907" s="45" t="n">
        <f aca="false">IFERROR(INDEX(medicine_master!$G$2:$G$26,MATCH($C1907,medicine_master!$A$2:$A$26,0)),0)</f>
        <v>14</v>
      </c>
      <c r="N1907" s="45" t="n">
        <f aca="false">IF(D1907="Sale",E1907*L1907,0)</f>
        <v>0</v>
      </c>
      <c r="O1907" s="45" t="n">
        <f aca="false">IF(D1907="Sale",E1907*M1907,0)</f>
        <v>0</v>
      </c>
      <c r="P1907" s="45" t="n">
        <f aca="false">N1907-O1907</f>
        <v>0</v>
      </c>
      <c r="Q1907" s="45" t="n">
        <f aca="false">IF(D1907="Purchase",E1907*M1907,0)</f>
        <v>420</v>
      </c>
    </row>
    <row r="1908" customFormat="false" ht="15" hidden="false" customHeight="false" outlineLevel="0" collapsed="false">
      <c r="A1908" s="39" t="s">
        <v>2232</v>
      </c>
      <c r="B1908" s="44" t="n">
        <v>46201</v>
      </c>
      <c r="C1908" s="39" t="s">
        <v>153</v>
      </c>
      <c r="D1908" s="39" t="s">
        <v>137</v>
      </c>
      <c r="E1908" s="39" t="n">
        <v>20</v>
      </c>
      <c r="F1908" s="39" t="str">
        <f aca="false">IF(COUNTIF(medicine_master!$A$2:$A$26,C1908)&gt;0,"Valid","Invalid")</f>
        <v>Valid</v>
      </c>
      <c r="G1908" s="39" t="str">
        <f aca="false">IFERROR(INDEX(medicine_master!$B$2:$B$26,MATCH($C1908,medicine_master!$A$2:$A$26,0)),"Not found")</f>
        <v>Atorvastatin 10mg</v>
      </c>
      <c r="H1908" s="39" t="str">
        <f aca="false">IFERROR(INDEX(medicine_master!$C$2:$C$26,MATCH($C1908,medicine_master!$A$2:$A$26,0)),"Not found")</f>
        <v>Cardiac</v>
      </c>
      <c r="I1908" s="39" t="n">
        <f aca="false">YEAR(B1908)</f>
        <v>2026</v>
      </c>
      <c r="J1908" s="39" t="n">
        <f aca="false">MONTH(B1908)</f>
        <v>6</v>
      </c>
      <c r="K1908" s="39" t="str">
        <f aca="false">TEXT(B1908,"mmm")</f>
        <v>Jun</v>
      </c>
      <c r="L1908" s="45" t="n">
        <f aca="false">IFERROR(INDEX(medicine_master!$I$2:$I$26,MATCH($C1908,medicine_master!$A$2:$A$26,0)),0)</f>
        <v>28</v>
      </c>
      <c r="M1908" s="45" t="n">
        <f aca="false">IFERROR(INDEX(medicine_master!$G$2:$G$26,MATCH($C1908,medicine_master!$A$2:$A$26,0)),0)</f>
        <v>19</v>
      </c>
      <c r="N1908" s="45" t="n">
        <f aca="false">IF(D1908="Sale",E1908*L1908,0)</f>
        <v>560</v>
      </c>
      <c r="O1908" s="45" t="n">
        <f aca="false">IF(D1908="Sale",E1908*M1908,0)</f>
        <v>380</v>
      </c>
      <c r="P1908" s="45" t="n">
        <f aca="false">N1908-O1908</f>
        <v>180</v>
      </c>
      <c r="Q1908" s="45" t="n">
        <f aca="false">IF(D1908="Purchase",E1908*M1908,0)</f>
        <v>0</v>
      </c>
    </row>
    <row r="1909" customFormat="false" ht="15" hidden="false" customHeight="false" outlineLevel="0" collapsed="false">
      <c r="A1909" s="39" t="s">
        <v>2233</v>
      </c>
      <c r="B1909" s="44" t="n">
        <v>46353</v>
      </c>
      <c r="C1909" s="39" t="s">
        <v>321</v>
      </c>
      <c r="D1909" s="39" t="s">
        <v>137</v>
      </c>
      <c r="E1909" s="39" t="n">
        <v>5</v>
      </c>
      <c r="F1909" s="39" t="str">
        <f aca="false">IF(COUNTIF(medicine_master!$A$2:$A$26,C1909)&gt;0,"Valid","Invalid")</f>
        <v>Valid</v>
      </c>
      <c r="G1909" s="39" t="str">
        <f aca="false">IFERROR(INDEX(medicine_master!$B$2:$B$26,MATCH($C1909,medicine_master!$A$2:$A$26,0)),"Not found")</f>
        <v>Levocetirizine 5mg</v>
      </c>
      <c r="H1909" s="39" t="str">
        <f aca="false">IFERROR(INDEX(medicine_master!$C$2:$C$26,MATCH($C1909,medicine_master!$A$2:$A$26,0)),"Not found")</f>
        <v>Allergy</v>
      </c>
      <c r="I1909" s="39" t="n">
        <f aca="false">YEAR(B1909)</f>
        <v>2026</v>
      </c>
      <c r="J1909" s="39" t="n">
        <f aca="false">MONTH(B1909)</f>
        <v>11</v>
      </c>
      <c r="K1909" s="39" t="str">
        <f aca="false">TEXT(B1909,"mmm")</f>
        <v>Nov</v>
      </c>
      <c r="L1909" s="45" t="n">
        <f aca="false">IFERROR(INDEX(medicine_master!$I$2:$I$26,MATCH($C1909,medicine_master!$A$2:$A$26,0)),0)</f>
        <v>22</v>
      </c>
      <c r="M1909" s="45" t="n">
        <f aca="false">IFERROR(INDEX(medicine_master!$G$2:$G$26,MATCH($C1909,medicine_master!$A$2:$A$26,0)),0)</f>
        <v>14</v>
      </c>
      <c r="N1909" s="45" t="n">
        <f aca="false">IF(D1909="Sale",E1909*L1909,0)</f>
        <v>110</v>
      </c>
      <c r="O1909" s="45" t="n">
        <f aca="false">IF(D1909="Sale",E1909*M1909,0)</f>
        <v>70</v>
      </c>
      <c r="P1909" s="45" t="n">
        <f aca="false">N1909-O1909</f>
        <v>40</v>
      </c>
      <c r="Q1909" s="45" t="n">
        <f aca="false">IF(D1909="Purchase",E1909*M1909,0)</f>
        <v>0</v>
      </c>
    </row>
    <row r="1910" customFormat="false" ht="15" hidden="false" customHeight="false" outlineLevel="0" collapsed="false">
      <c r="A1910" s="39" t="s">
        <v>2234</v>
      </c>
      <c r="B1910" s="44" t="n">
        <v>46076</v>
      </c>
      <c r="C1910" s="39" t="s">
        <v>144</v>
      </c>
      <c r="D1910" s="39" t="s">
        <v>137</v>
      </c>
      <c r="E1910" s="39" t="n">
        <v>50</v>
      </c>
      <c r="F1910" s="39" t="str">
        <f aca="false">IF(COUNTIF(medicine_master!$A$2:$A$26,C1910)&gt;0,"Valid","Invalid")</f>
        <v>Valid</v>
      </c>
      <c r="G1910" s="39" t="str">
        <f aca="false">IFERROR(INDEX(medicine_master!$B$2:$B$26,MATCH($C1910,medicine_master!$A$2:$A$26,0)),"Not found")</f>
        <v>Glimepiride 2mg</v>
      </c>
      <c r="H1910" s="39" t="str">
        <f aca="false">IFERROR(INDEX(medicine_master!$C$2:$C$26,MATCH($C1910,medicine_master!$A$2:$A$26,0)),"Not found")</f>
        <v>Diabetes</v>
      </c>
      <c r="I1910" s="39" t="n">
        <f aca="false">YEAR(B1910)</f>
        <v>2026</v>
      </c>
      <c r="J1910" s="39" t="n">
        <f aca="false">MONTH(B1910)</f>
        <v>2</v>
      </c>
      <c r="K1910" s="39" t="str">
        <f aca="false">TEXT(B1910,"mmm")</f>
        <v>Feb</v>
      </c>
      <c r="L1910" s="45" t="n">
        <f aca="false">IFERROR(INDEX(medicine_master!$I$2:$I$26,MATCH($C1910,medicine_master!$A$2:$A$26,0)),0)</f>
        <v>52</v>
      </c>
      <c r="M1910" s="45" t="n">
        <f aca="false">IFERROR(INDEX(medicine_master!$G$2:$G$26,MATCH($C1910,medicine_master!$A$2:$A$26,0)),0)</f>
        <v>38</v>
      </c>
      <c r="N1910" s="45" t="n">
        <f aca="false">IF(D1910="Sale",E1910*L1910,0)</f>
        <v>2600</v>
      </c>
      <c r="O1910" s="45" t="n">
        <f aca="false">IF(D1910="Sale",E1910*M1910,0)</f>
        <v>1900</v>
      </c>
      <c r="P1910" s="45" t="n">
        <f aca="false">N1910-O1910</f>
        <v>700</v>
      </c>
      <c r="Q1910" s="45" t="n">
        <f aca="false">IF(D1910="Purchase",E1910*M1910,0)</f>
        <v>0</v>
      </c>
    </row>
    <row r="1911" customFormat="false" ht="15" hidden="false" customHeight="false" outlineLevel="0" collapsed="false">
      <c r="A1911" s="39" t="s">
        <v>2235</v>
      </c>
      <c r="B1911" s="44" t="n">
        <v>46135</v>
      </c>
      <c r="C1911" s="39" t="s">
        <v>321</v>
      </c>
      <c r="D1911" s="39" t="s">
        <v>138</v>
      </c>
      <c r="E1911" s="39" t="n">
        <v>40</v>
      </c>
      <c r="F1911" s="39" t="str">
        <f aca="false">IF(COUNTIF(medicine_master!$A$2:$A$26,C1911)&gt;0,"Valid","Invalid")</f>
        <v>Valid</v>
      </c>
      <c r="G1911" s="39" t="str">
        <f aca="false">IFERROR(INDEX(medicine_master!$B$2:$B$26,MATCH($C1911,medicine_master!$A$2:$A$26,0)),"Not found")</f>
        <v>Levocetirizine 5mg</v>
      </c>
      <c r="H1911" s="39" t="str">
        <f aca="false">IFERROR(INDEX(medicine_master!$C$2:$C$26,MATCH($C1911,medicine_master!$A$2:$A$26,0)),"Not found")</f>
        <v>Allergy</v>
      </c>
      <c r="I1911" s="39" t="n">
        <f aca="false">YEAR(B1911)</f>
        <v>2026</v>
      </c>
      <c r="J1911" s="39" t="n">
        <f aca="false">MONTH(B1911)</f>
        <v>4</v>
      </c>
      <c r="K1911" s="39" t="str">
        <f aca="false">TEXT(B1911,"mmm")</f>
        <v>Apr</v>
      </c>
      <c r="L1911" s="45" t="n">
        <f aca="false">IFERROR(INDEX(medicine_master!$I$2:$I$26,MATCH($C1911,medicine_master!$A$2:$A$26,0)),0)</f>
        <v>22</v>
      </c>
      <c r="M1911" s="45" t="n">
        <f aca="false">IFERROR(INDEX(medicine_master!$G$2:$G$26,MATCH($C1911,medicine_master!$A$2:$A$26,0)),0)</f>
        <v>14</v>
      </c>
      <c r="N1911" s="45" t="n">
        <f aca="false">IF(D1911="Sale",E1911*L1911,0)</f>
        <v>0</v>
      </c>
      <c r="O1911" s="45" t="n">
        <f aca="false">IF(D1911="Sale",E1911*M1911,0)</f>
        <v>0</v>
      </c>
      <c r="P1911" s="45" t="n">
        <f aca="false">N1911-O1911</f>
        <v>0</v>
      </c>
      <c r="Q1911" s="45" t="n">
        <f aca="false">IF(D1911="Purchase",E1911*M1911,0)</f>
        <v>560</v>
      </c>
    </row>
    <row r="1912" customFormat="false" ht="15" hidden="false" customHeight="false" outlineLevel="0" collapsed="false">
      <c r="A1912" s="39" t="s">
        <v>2236</v>
      </c>
      <c r="B1912" s="44" t="n">
        <v>46157</v>
      </c>
      <c r="C1912" s="39" t="s">
        <v>321</v>
      </c>
      <c r="D1912" s="39" t="s">
        <v>137</v>
      </c>
      <c r="E1912" s="39" t="n">
        <v>20</v>
      </c>
      <c r="F1912" s="39" t="str">
        <f aca="false">IF(COUNTIF(medicine_master!$A$2:$A$26,C1912)&gt;0,"Valid","Invalid")</f>
        <v>Valid</v>
      </c>
      <c r="G1912" s="39" t="str">
        <f aca="false">IFERROR(INDEX(medicine_master!$B$2:$B$26,MATCH($C1912,medicine_master!$A$2:$A$26,0)),"Not found")</f>
        <v>Levocetirizine 5mg</v>
      </c>
      <c r="H1912" s="39" t="str">
        <f aca="false">IFERROR(INDEX(medicine_master!$C$2:$C$26,MATCH($C1912,medicine_master!$A$2:$A$26,0)),"Not found")</f>
        <v>Allergy</v>
      </c>
      <c r="I1912" s="39" t="n">
        <f aca="false">YEAR(B1912)</f>
        <v>2026</v>
      </c>
      <c r="J1912" s="39" t="n">
        <f aca="false">MONTH(B1912)</f>
        <v>5</v>
      </c>
      <c r="K1912" s="39" t="str">
        <f aca="false">TEXT(B1912,"mmm")</f>
        <v>May</v>
      </c>
      <c r="L1912" s="45" t="n">
        <f aca="false">IFERROR(INDEX(medicine_master!$I$2:$I$26,MATCH($C1912,medicine_master!$A$2:$A$26,0)),0)</f>
        <v>22</v>
      </c>
      <c r="M1912" s="45" t="n">
        <f aca="false">IFERROR(INDEX(medicine_master!$G$2:$G$26,MATCH($C1912,medicine_master!$A$2:$A$26,0)),0)</f>
        <v>14</v>
      </c>
      <c r="N1912" s="45" t="n">
        <f aca="false">IF(D1912="Sale",E1912*L1912,0)</f>
        <v>440</v>
      </c>
      <c r="O1912" s="45" t="n">
        <f aca="false">IF(D1912="Sale",E1912*M1912,0)</f>
        <v>280</v>
      </c>
      <c r="P1912" s="45" t="n">
        <f aca="false">N1912-O1912</f>
        <v>160</v>
      </c>
      <c r="Q1912" s="45" t="n">
        <f aca="false">IF(D1912="Purchase",E1912*M1912,0)</f>
        <v>0</v>
      </c>
    </row>
    <row r="1913" customFormat="false" ht="15" hidden="false" customHeight="false" outlineLevel="0" collapsed="false">
      <c r="A1913" s="39" t="s">
        <v>2237</v>
      </c>
      <c r="B1913" s="44" t="n">
        <v>46234</v>
      </c>
      <c r="C1913" s="39" t="s">
        <v>179</v>
      </c>
      <c r="D1913" s="39" t="s">
        <v>137</v>
      </c>
      <c r="E1913" s="39" t="n">
        <v>25</v>
      </c>
      <c r="F1913" s="39" t="str">
        <f aca="false">IF(COUNTIF(medicine_master!$A$2:$A$26,C1913)&gt;0,"Valid","Invalid")</f>
        <v>Valid</v>
      </c>
      <c r="G1913" s="39" t="str">
        <f aca="false">IFERROR(INDEX(medicine_master!$B$2:$B$26,MATCH($C1913,medicine_master!$A$2:$A$26,0)),"Not found")</f>
        <v>Ibuprofen 400mg</v>
      </c>
      <c r="H1913" s="39" t="str">
        <f aca="false">IFERROR(INDEX(medicine_master!$C$2:$C$26,MATCH($C1913,medicine_master!$A$2:$A$26,0)),"Not found")</f>
        <v>Pain Relief</v>
      </c>
      <c r="I1913" s="39" t="n">
        <f aca="false">YEAR(B1913)</f>
        <v>2026</v>
      </c>
      <c r="J1913" s="39" t="n">
        <f aca="false">MONTH(B1913)</f>
        <v>7</v>
      </c>
      <c r="K1913" s="39" t="str">
        <f aca="false">TEXT(B1913,"mmm")</f>
        <v>Jul</v>
      </c>
      <c r="L1913" s="45" t="n">
        <f aca="false">IFERROR(INDEX(medicine_master!$I$2:$I$26,MATCH($C1913,medicine_master!$A$2:$A$26,0)),0)</f>
        <v>30</v>
      </c>
      <c r="M1913" s="45" t="n">
        <f aca="false">IFERROR(INDEX(medicine_master!$G$2:$G$26,MATCH($C1913,medicine_master!$A$2:$A$26,0)),0)</f>
        <v>22</v>
      </c>
      <c r="N1913" s="45" t="n">
        <f aca="false">IF(D1913="Sale",E1913*L1913,0)</f>
        <v>750</v>
      </c>
      <c r="O1913" s="45" t="n">
        <f aca="false">IF(D1913="Sale",E1913*M1913,0)</f>
        <v>550</v>
      </c>
      <c r="P1913" s="45" t="n">
        <f aca="false">N1913-O1913</f>
        <v>200</v>
      </c>
      <c r="Q1913" s="45" t="n">
        <f aca="false">IF(D1913="Purchase",E1913*M1913,0)</f>
        <v>0</v>
      </c>
    </row>
    <row r="1914" customFormat="false" ht="15" hidden="false" customHeight="false" outlineLevel="0" collapsed="false">
      <c r="A1914" s="39" t="s">
        <v>2238</v>
      </c>
      <c r="B1914" s="44" t="n">
        <v>46180</v>
      </c>
      <c r="C1914" s="39" t="s">
        <v>145</v>
      </c>
      <c r="D1914" s="39" t="s">
        <v>137</v>
      </c>
      <c r="E1914" s="39" t="n">
        <v>20</v>
      </c>
      <c r="F1914" s="39" t="str">
        <f aca="false">IF(COUNTIF(medicine_master!$A$2:$A$26,C1914)&gt;0,"Valid","Invalid")</f>
        <v>Valid</v>
      </c>
      <c r="G1914" s="39" t="str">
        <f aca="false">IFERROR(INDEX(medicine_master!$B$2:$B$26,MATCH($C1914,medicine_master!$A$2:$A$26,0)),"Not found")</f>
        <v>Clotrimazole Cream</v>
      </c>
      <c r="H1914" s="39" t="str">
        <f aca="false">IFERROR(INDEX(medicine_master!$C$2:$C$26,MATCH($C1914,medicine_master!$A$2:$A$26,0)),"Not found")</f>
        <v>Dermatology</v>
      </c>
      <c r="I1914" s="39" t="n">
        <f aca="false">YEAR(B1914)</f>
        <v>2026</v>
      </c>
      <c r="J1914" s="39" t="n">
        <f aca="false">MONTH(B1914)</f>
        <v>6</v>
      </c>
      <c r="K1914" s="39" t="str">
        <f aca="false">TEXT(B1914,"mmm")</f>
        <v>Jun</v>
      </c>
      <c r="L1914" s="45" t="n">
        <f aca="false">IFERROR(INDEX(medicine_master!$I$2:$I$26,MATCH($C1914,medicine_master!$A$2:$A$26,0)),0)</f>
        <v>48</v>
      </c>
      <c r="M1914" s="45" t="n">
        <f aca="false">IFERROR(INDEX(medicine_master!$G$2:$G$26,MATCH($C1914,medicine_master!$A$2:$A$26,0)),0)</f>
        <v>32</v>
      </c>
      <c r="N1914" s="45" t="n">
        <f aca="false">IF(D1914="Sale",E1914*L1914,0)</f>
        <v>960</v>
      </c>
      <c r="O1914" s="45" t="n">
        <f aca="false">IF(D1914="Sale",E1914*M1914,0)</f>
        <v>640</v>
      </c>
      <c r="P1914" s="45" t="n">
        <f aca="false">N1914-O1914</f>
        <v>320</v>
      </c>
      <c r="Q1914" s="45" t="n">
        <f aca="false">IF(D1914="Purchase",E1914*M1914,0)</f>
        <v>0</v>
      </c>
    </row>
    <row r="1915" customFormat="false" ht="15" hidden="false" customHeight="false" outlineLevel="0" collapsed="false">
      <c r="A1915" s="39" t="s">
        <v>2239</v>
      </c>
      <c r="B1915" s="44" t="n">
        <v>46067</v>
      </c>
      <c r="C1915" s="39" t="s">
        <v>144</v>
      </c>
      <c r="D1915" s="39" t="s">
        <v>138</v>
      </c>
      <c r="E1915" s="39" t="n">
        <v>15</v>
      </c>
      <c r="F1915" s="39" t="str">
        <f aca="false">IF(COUNTIF(medicine_master!$A$2:$A$26,C1915)&gt;0,"Valid","Invalid")</f>
        <v>Valid</v>
      </c>
      <c r="G1915" s="39" t="str">
        <f aca="false">IFERROR(INDEX(medicine_master!$B$2:$B$26,MATCH($C1915,medicine_master!$A$2:$A$26,0)),"Not found")</f>
        <v>Glimepiride 2mg</v>
      </c>
      <c r="H1915" s="39" t="str">
        <f aca="false">IFERROR(INDEX(medicine_master!$C$2:$C$26,MATCH($C1915,medicine_master!$A$2:$A$26,0)),"Not found")</f>
        <v>Diabetes</v>
      </c>
      <c r="I1915" s="39" t="n">
        <f aca="false">YEAR(B1915)</f>
        <v>2026</v>
      </c>
      <c r="J1915" s="39" t="n">
        <f aca="false">MONTH(B1915)</f>
        <v>2</v>
      </c>
      <c r="K1915" s="39" t="str">
        <f aca="false">TEXT(B1915,"mmm")</f>
        <v>Feb</v>
      </c>
      <c r="L1915" s="45" t="n">
        <f aca="false">IFERROR(INDEX(medicine_master!$I$2:$I$26,MATCH($C1915,medicine_master!$A$2:$A$26,0)),0)</f>
        <v>52</v>
      </c>
      <c r="M1915" s="45" t="n">
        <f aca="false">IFERROR(INDEX(medicine_master!$G$2:$G$26,MATCH($C1915,medicine_master!$A$2:$A$26,0)),0)</f>
        <v>38</v>
      </c>
      <c r="N1915" s="45" t="n">
        <f aca="false">IF(D1915="Sale",E1915*L1915,0)</f>
        <v>0</v>
      </c>
      <c r="O1915" s="45" t="n">
        <f aca="false">IF(D1915="Sale",E1915*M1915,0)</f>
        <v>0</v>
      </c>
      <c r="P1915" s="45" t="n">
        <f aca="false">N1915-O1915</f>
        <v>0</v>
      </c>
      <c r="Q1915" s="45" t="n">
        <f aca="false">IF(D1915="Purchase",E1915*M1915,0)</f>
        <v>570</v>
      </c>
    </row>
    <row r="1916" customFormat="false" ht="15" hidden="false" customHeight="false" outlineLevel="0" collapsed="false">
      <c r="A1916" s="39" t="s">
        <v>2240</v>
      </c>
      <c r="B1916" s="44" t="n">
        <v>46199</v>
      </c>
      <c r="C1916" s="39" t="s">
        <v>149</v>
      </c>
      <c r="D1916" s="39" t="s">
        <v>137</v>
      </c>
      <c r="E1916" s="39" t="n">
        <v>15</v>
      </c>
      <c r="F1916" s="39" t="str">
        <f aca="false">IF(COUNTIF(medicine_master!$A$2:$A$26,C1916)&gt;0,"Valid","Invalid")</f>
        <v>Valid</v>
      </c>
      <c r="G1916" s="39" t="str">
        <f aca="false">IFERROR(INDEX(medicine_master!$B$2:$B$26,MATCH($C1916,medicine_master!$A$2:$A$26,0)),"Not found")</f>
        <v>Azithromycin 500mg</v>
      </c>
      <c r="H1916" s="39" t="str">
        <f aca="false">IFERROR(INDEX(medicine_master!$C$2:$C$26,MATCH($C1916,medicine_master!$A$2:$A$26,0)),"Not found")</f>
        <v>Antibiotic</v>
      </c>
      <c r="I1916" s="39" t="n">
        <f aca="false">YEAR(B1916)</f>
        <v>2026</v>
      </c>
      <c r="J1916" s="39" t="n">
        <f aca="false">MONTH(B1916)</f>
        <v>6</v>
      </c>
      <c r="K1916" s="39" t="str">
        <f aca="false">TEXT(B1916,"mmm")</f>
        <v>Jun</v>
      </c>
      <c r="L1916" s="45" t="n">
        <f aca="false">IFERROR(INDEX(medicine_master!$I$2:$I$26,MATCH($C1916,medicine_master!$A$2:$A$26,0)),0)</f>
        <v>50</v>
      </c>
      <c r="M1916" s="45" t="n">
        <f aca="false">IFERROR(INDEX(medicine_master!$G$2:$G$26,MATCH($C1916,medicine_master!$A$2:$A$26,0)),0)</f>
        <v>35</v>
      </c>
      <c r="N1916" s="45" t="n">
        <f aca="false">IF(D1916="Sale",E1916*L1916,0)</f>
        <v>750</v>
      </c>
      <c r="O1916" s="45" t="n">
        <f aca="false">IF(D1916="Sale",E1916*M1916,0)</f>
        <v>525</v>
      </c>
      <c r="P1916" s="45" t="n">
        <f aca="false">N1916-O1916</f>
        <v>225</v>
      </c>
      <c r="Q1916" s="45" t="n">
        <f aca="false">IF(D1916="Purchase",E1916*M1916,0)</f>
        <v>0</v>
      </c>
    </row>
    <row r="1917" customFormat="false" ht="15" hidden="false" customHeight="false" outlineLevel="0" collapsed="false">
      <c r="A1917" s="39" t="s">
        <v>2241</v>
      </c>
      <c r="B1917" s="44" t="n">
        <v>46289</v>
      </c>
      <c r="C1917" s="39" t="s">
        <v>158</v>
      </c>
      <c r="D1917" s="39" t="s">
        <v>137</v>
      </c>
      <c r="E1917" s="39" t="n">
        <v>25</v>
      </c>
      <c r="F1917" s="39" t="str">
        <f aca="false">IF(COUNTIF(medicine_master!$A$2:$A$26,C1917)&gt;0,"Valid","Invalid")</f>
        <v>Valid</v>
      </c>
      <c r="G1917" s="39" t="str">
        <f aca="false">IFERROR(INDEX(medicine_master!$B$2:$B$26,MATCH($C1917,medicine_master!$A$2:$A$26,0)),"Not found")</f>
        <v>Cough Syrup 100ml</v>
      </c>
      <c r="H1917" s="39" t="str">
        <f aca="false">IFERROR(INDEX(medicine_master!$C$2:$C$26,MATCH($C1917,medicine_master!$A$2:$A$26,0)),"Not found")</f>
        <v>Cold &amp; Cough</v>
      </c>
      <c r="I1917" s="39" t="n">
        <f aca="false">YEAR(B1917)</f>
        <v>2026</v>
      </c>
      <c r="J1917" s="39" t="n">
        <f aca="false">MONTH(B1917)</f>
        <v>9</v>
      </c>
      <c r="K1917" s="39" t="str">
        <f aca="false">TEXT(B1917,"mmm")</f>
        <v>Sep</v>
      </c>
      <c r="L1917" s="45" t="n">
        <f aca="false">IFERROR(INDEX(medicine_master!$I$2:$I$26,MATCH($C1917,medicine_master!$A$2:$A$26,0)),0)</f>
        <v>72</v>
      </c>
      <c r="M1917" s="45" t="n">
        <f aca="false">IFERROR(INDEX(medicine_master!$G$2:$G$26,MATCH($C1917,medicine_master!$A$2:$A$26,0)),0)</f>
        <v>52</v>
      </c>
      <c r="N1917" s="45" t="n">
        <f aca="false">IF(D1917="Sale",E1917*L1917,0)</f>
        <v>1800</v>
      </c>
      <c r="O1917" s="45" t="n">
        <f aca="false">IF(D1917="Sale",E1917*M1917,0)</f>
        <v>1300</v>
      </c>
      <c r="P1917" s="45" t="n">
        <f aca="false">N1917-O1917</f>
        <v>500</v>
      </c>
      <c r="Q1917" s="45" t="n">
        <f aca="false">IF(D1917="Purchase",E1917*M1917,0)</f>
        <v>0</v>
      </c>
    </row>
    <row r="1918" customFormat="false" ht="15" hidden="false" customHeight="false" outlineLevel="0" collapsed="false">
      <c r="A1918" s="39" t="s">
        <v>2242</v>
      </c>
      <c r="B1918" s="44" t="n">
        <v>46197</v>
      </c>
      <c r="C1918" s="39" t="s">
        <v>179</v>
      </c>
      <c r="D1918" s="39" t="s">
        <v>137</v>
      </c>
      <c r="E1918" s="39" t="n">
        <v>25</v>
      </c>
      <c r="F1918" s="39" t="str">
        <f aca="false">IF(COUNTIF(medicine_master!$A$2:$A$26,C1918)&gt;0,"Valid","Invalid")</f>
        <v>Valid</v>
      </c>
      <c r="G1918" s="39" t="str">
        <f aca="false">IFERROR(INDEX(medicine_master!$B$2:$B$26,MATCH($C1918,medicine_master!$A$2:$A$26,0)),"Not found")</f>
        <v>Ibuprofen 400mg</v>
      </c>
      <c r="H1918" s="39" t="str">
        <f aca="false">IFERROR(INDEX(medicine_master!$C$2:$C$26,MATCH($C1918,medicine_master!$A$2:$A$26,0)),"Not found")</f>
        <v>Pain Relief</v>
      </c>
      <c r="I1918" s="39" t="n">
        <f aca="false">YEAR(B1918)</f>
        <v>2026</v>
      </c>
      <c r="J1918" s="39" t="n">
        <f aca="false">MONTH(B1918)</f>
        <v>6</v>
      </c>
      <c r="K1918" s="39" t="str">
        <f aca="false">TEXT(B1918,"mmm")</f>
        <v>Jun</v>
      </c>
      <c r="L1918" s="45" t="n">
        <f aca="false">IFERROR(INDEX(medicine_master!$I$2:$I$26,MATCH($C1918,medicine_master!$A$2:$A$26,0)),0)</f>
        <v>30</v>
      </c>
      <c r="M1918" s="45" t="n">
        <f aca="false">IFERROR(INDEX(medicine_master!$G$2:$G$26,MATCH($C1918,medicine_master!$A$2:$A$26,0)),0)</f>
        <v>22</v>
      </c>
      <c r="N1918" s="45" t="n">
        <f aca="false">IF(D1918="Sale",E1918*L1918,0)</f>
        <v>750</v>
      </c>
      <c r="O1918" s="45" t="n">
        <f aca="false">IF(D1918="Sale",E1918*M1918,0)</f>
        <v>550</v>
      </c>
      <c r="P1918" s="45" t="n">
        <f aca="false">N1918-O1918</f>
        <v>200</v>
      </c>
      <c r="Q1918" s="45" t="n">
        <f aca="false">IF(D1918="Purchase",E1918*M1918,0)</f>
        <v>0</v>
      </c>
    </row>
    <row r="1919" customFormat="false" ht="15" hidden="false" customHeight="false" outlineLevel="0" collapsed="false">
      <c r="A1919" s="39" t="s">
        <v>2243</v>
      </c>
      <c r="B1919" s="44" t="n">
        <v>46382</v>
      </c>
      <c r="C1919" s="39" t="s">
        <v>321</v>
      </c>
      <c r="D1919" s="39" t="s">
        <v>137</v>
      </c>
      <c r="E1919" s="39" t="n">
        <v>30</v>
      </c>
      <c r="F1919" s="39" t="str">
        <f aca="false">IF(COUNTIF(medicine_master!$A$2:$A$26,C1919)&gt;0,"Valid","Invalid")</f>
        <v>Valid</v>
      </c>
      <c r="G1919" s="39" t="str">
        <f aca="false">IFERROR(INDEX(medicine_master!$B$2:$B$26,MATCH($C1919,medicine_master!$A$2:$A$26,0)),"Not found")</f>
        <v>Levocetirizine 5mg</v>
      </c>
      <c r="H1919" s="39" t="str">
        <f aca="false">IFERROR(INDEX(medicine_master!$C$2:$C$26,MATCH($C1919,medicine_master!$A$2:$A$26,0)),"Not found")</f>
        <v>Allergy</v>
      </c>
      <c r="I1919" s="39" t="n">
        <f aca="false">YEAR(B1919)</f>
        <v>2026</v>
      </c>
      <c r="J1919" s="39" t="n">
        <f aca="false">MONTH(B1919)</f>
        <v>12</v>
      </c>
      <c r="K1919" s="39" t="str">
        <f aca="false">TEXT(B1919,"mmm")</f>
        <v>Dec</v>
      </c>
      <c r="L1919" s="45" t="n">
        <f aca="false">IFERROR(INDEX(medicine_master!$I$2:$I$26,MATCH($C1919,medicine_master!$A$2:$A$26,0)),0)</f>
        <v>22</v>
      </c>
      <c r="M1919" s="45" t="n">
        <f aca="false">IFERROR(INDEX(medicine_master!$G$2:$G$26,MATCH($C1919,medicine_master!$A$2:$A$26,0)),0)</f>
        <v>14</v>
      </c>
      <c r="N1919" s="45" t="n">
        <f aca="false">IF(D1919="Sale",E1919*L1919,0)</f>
        <v>660</v>
      </c>
      <c r="O1919" s="45" t="n">
        <f aca="false">IF(D1919="Sale",E1919*M1919,0)</f>
        <v>420</v>
      </c>
      <c r="P1919" s="45" t="n">
        <f aca="false">N1919-O1919</f>
        <v>240</v>
      </c>
      <c r="Q1919" s="45" t="n">
        <f aca="false">IF(D1919="Purchase",E1919*M1919,0)</f>
        <v>0</v>
      </c>
    </row>
    <row r="1920" customFormat="false" ht="15" hidden="false" customHeight="false" outlineLevel="0" collapsed="false">
      <c r="A1920" s="39" t="s">
        <v>2244</v>
      </c>
      <c r="B1920" s="44" t="n">
        <v>46345</v>
      </c>
      <c r="C1920" s="39" t="s">
        <v>160</v>
      </c>
      <c r="D1920" s="39" t="s">
        <v>138</v>
      </c>
      <c r="E1920" s="39" t="n">
        <v>20</v>
      </c>
      <c r="F1920" s="39" t="str">
        <f aca="false">IF(COUNTIF(medicine_master!$A$2:$A$26,C1920)&gt;0,"Valid","Invalid")</f>
        <v>Valid</v>
      </c>
      <c r="G1920" s="39" t="str">
        <f aca="false">IFERROR(INDEX(medicine_master!$B$2:$B$26,MATCH($C1920,medicine_master!$A$2:$A$26,0)),"Not found")</f>
        <v>Calamine Lotion</v>
      </c>
      <c r="H1920" s="39" t="str">
        <f aca="false">IFERROR(INDEX(medicine_master!$C$2:$C$26,MATCH($C1920,medicine_master!$A$2:$A$26,0)),"Not found")</f>
        <v>Dermatology</v>
      </c>
      <c r="I1920" s="39" t="n">
        <f aca="false">YEAR(B1920)</f>
        <v>2026</v>
      </c>
      <c r="J1920" s="39" t="n">
        <f aca="false">MONTH(B1920)</f>
        <v>11</v>
      </c>
      <c r="K1920" s="39" t="str">
        <f aca="false">TEXT(B1920,"mmm")</f>
        <v>Nov</v>
      </c>
      <c r="L1920" s="45" t="n">
        <f aca="false">IFERROR(INDEX(medicine_master!$I$2:$I$26,MATCH($C1920,medicine_master!$A$2:$A$26,0)),0)</f>
        <v>60</v>
      </c>
      <c r="M1920" s="45" t="n">
        <f aca="false">IFERROR(INDEX(medicine_master!$G$2:$G$26,MATCH($C1920,medicine_master!$A$2:$A$26,0)),0)</f>
        <v>42</v>
      </c>
      <c r="N1920" s="45" t="n">
        <f aca="false">IF(D1920="Sale",E1920*L1920,0)</f>
        <v>0</v>
      </c>
      <c r="O1920" s="45" t="n">
        <f aca="false">IF(D1920="Sale",E1920*M1920,0)</f>
        <v>0</v>
      </c>
      <c r="P1920" s="45" t="n">
        <f aca="false">N1920-O1920</f>
        <v>0</v>
      </c>
      <c r="Q1920" s="45" t="n">
        <f aca="false">IF(D1920="Purchase",E1920*M1920,0)</f>
        <v>840</v>
      </c>
    </row>
    <row r="1921" customFormat="false" ht="15" hidden="false" customHeight="false" outlineLevel="0" collapsed="false">
      <c r="A1921" s="39" t="s">
        <v>2245</v>
      </c>
      <c r="B1921" s="44" t="n">
        <v>46325</v>
      </c>
      <c r="C1921" s="39" t="s">
        <v>158</v>
      </c>
      <c r="D1921" s="39" t="s">
        <v>138</v>
      </c>
      <c r="E1921" s="39" t="n">
        <v>15</v>
      </c>
      <c r="F1921" s="39" t="str">
        <f aca="false">IF(COUNTIF(medicine_master!$A$2:$A$26,C1921)&gt;0,"Valid","Invalid")</f>
        <v>Valid</v>
      </c>
      <c r="G1921" s="39" t="str">
        <f aca="false">IFERROR(INDEX(medicine_master!$B$2:$B$26,MATCH($C1921,medicine_master!$A$2:$A$26,0)),"Not found")</f>
        <v>Cough Syrup 100ml</v>
      </c>
      <c r="H1921" s="39" t="str">
        <f aca="false">IFERROR(INDEX(medicine_master!$C$2:$C$26,MATCH($C1921,medicine_master!$A$2:$A$26,0)),"Not found")</f>
        <v>Cold &amp; Cough</v>
      </c>
      <c r="I1921" s="39" t="n">
        <f aca="false">YEAR(B1921)</f>
        <v>2026</v>
      </c>
      <c r="J1921" s="39" t="n">
        <f aca="false">MONTH(B1921)</f>
        <v>10</v>
      </c>
      <c r="K1921" s="39" t="str">
        <f aca="false">TEXT(B1921,"mmm")</f>
        <v>Oct</v>
      </c>
      <c r="L1921" s="45" t="n">
        <f aca="false">IFERROR(INDEX(medicine_master!$I$2:$I$26,MATCH($C1921,medicine_master!$A$2:$A$26,0)),0)</f>
        <v>72</v>
      </c>
      <c r="M1921" s="45" t="n">
        <f aca="false">IFERROR(INDEX(medicine_master!$G$2:$G$26,MATCH($C1921,medicine_master!$A$2:$A$26,0)),0)</f>
        <v>52</v>
      </c>
      <c r="N1921" s="45" t="n">
        <f aca="false">IF(D1921="Sale",E1921*L1921,0)</f>
        <v>0</v>
      </c>
      <c r="O1921" s="45" t="n">
        <f aca="false">IF(D1921="Sale",E1921*M1921,0)</f>
        <v>0</v>
      </c>
      <c r="P1921" s="45" t="n">
        <f aca="false">N1921-O1921</f>
        <v>0</v>
      </c>
      <c r="Q1921" s="45" t="n">
        <f aca="false">IF(D1921="Purchase",E1921*M1921,0)</f>
        <v>780</v>
      </c>
    </row>
    <row r="1922" customFormat="false" ht="15" hidden="false" customHeight="false" outlineLevel="0" collapsed="false">
      <c r="A1922" s="39" t="s">
        <v>2246</v>
      </c>
      <c r="B1922" s="44" t="n">
        <v>46202</v>
      </c>
      <c r="C1922" s="39" t="s">
        <v>177</v>
      </c>
      <c r="D1922" s="39" t="s">
        <v>137</v>
      </c>
      <c r="E1922" s="39" t="n">
        <v>10</v>
      </c>
      <c r="F1922" s="39" t="str">
        <f aca="false">IF(COUNTIF(medicine_master!$A$2:$A$26,C1922)&gt;0,"Valid","Invalid")</f>
        <v>Valid</v>
      </c>
      <c r="G1922" s="39" t="str">
        <f aca="false">IFERROR(INDEX(medicine_master!$B$2:$B$26,MATCH($C1922,medicine_master!$A$2:$A$26,0)),"Not found")</f>
        <v>Bandage Roll</v>
      </c>
      <c r="H1922" s="39" t="str">
        <f aca="false">IFERROR(INDEX(medicine_master!$C$2:$C$26,MATCH($C1922,medicine_master!$A$2:$A$26,0)),"Not found")</f>
        <v>First Aid</v>
      </c>
      <c r="I1922" s="39" t="n">
        <f aca="false">YEAR(B1922)</f>
        <v>2026</v>
      </c>
      <c r="J1922" s="39" t="n">
        <f aca="false">MONTH(B1922)</f>
        <v>6</v>
      </c>
      <c r="K1922" s="39" t="str">
        <f aca="false">TEXT(B1922,"mmm")</f>
        <v>Jun</v>
      </c>
      <c r="L1922" s="45" t="n">
        <f aca="false">IFERROR(INDEX(medicine_master!$I$2:$I$26,MATCH($C1922,medicine_master!$A$2:$A$26,0)),0)</f>
        <v>25</v>
      </c>
      <c r="M1922" s="45" t="n">
        <f aca="false">IFERROR(INDEX(medicine_master!$G$2:$G$26,MATCH($C1922,medicine_master!$A$2:$A$26,0)),0)</f>
        <v>15</v>
      </c>
      <c r="N1922" s="45" t="n">
        <f aca="false">IF(D1922="Sale",E1922*L1922,0)</f>
        <v>250</v>
      </c>
      <c r="O1922" s="45" t="n">
        <f aca="false">IF(D1922="Sale",E1922*M1922,0)</f>
        <v>150</v>
      </c>
      <c r="P1922" s="45" t="n">
        <f aca="false">N1922-O1922</f>
        <v>100</v>
      </c>
      <c r="Q1922" s="45" t="n">
        <f aca="false">IF(D1922="Purchase",E1922*M1922,0)</f>
        <v>0</v>
      </c>
    </row>
    <row r="1923" customFormat="false" ht="15" hidden="false" customHeight="false" outlineLevel="0" collapsed="false">
      <c r="A1923" s="39" t="s">
        <v>2247</v>
      </c>
      <c r="B1923" s="44" t="n">
        <v>46259</v>
      </c>
      <c r="C1923" s="39" t="s">
        <v>150</v>
      </c>
      <c r="D1923" s="39" t="s">
        <v>137</v>
      </c>
      <c r="E1923" s="39" t="n">
        <v>15</v>
      </c>
      <c r="F1923" s="39" t="str">
        <f aca="false">IF(COUNTIF(medicine_master!$A$2:$A$26,C1923)&gt;0,"Valid","Invalid")</f>
        <v>Valid</v>
      </c>
      <c r="G1923" s="39" t="str">
        <f aca="false">IFERROR(INDEX(medicine_master!$B$2:$B$26,MATCH($C1923,medicine_master!$A$2:$A$26,0)),"Not found")</f>
        <v>Pantoprazole 40mg</v>
      </c>
      <c r="H1923" s="39" t="str">
        <f aca="false">IFERROR(INDEX(medicine_master!$C$2:$C$26,MATCH($C1923,medicine_master!$A$2:$A$26,0)),"Not found")</f>
        <v>Gastric</v>
      </c>
      <c r="I1923" s="39" t="n">
        <f aca="false">YEAR(B1923)</f>
        <v>2026</v>
      </c>
      <c r="J1923" s="39" t="n">
        <f aca="false">MONTH(B1923)</f>
        <v>8</v>
      </c>
      <c r="K1923" s="39" t="str">
        <f aca="false">TEXT(B1923,"mmm")</f>
        <v>Aug</v>
      </c>
      <c r="L1923" s="45" t="n">
        <f aca="false">IFERROR(INDEX(medicine_master!$I$2:$I$26,MATCH($C1923,medicine_master!$A$2:$A$26,0)),0)</f>
        <v>35</v>
      </c>
      <c r="M1923" s="45" t="n">
        <f aca="false">IFERROR(INDEX(medicine_master!$G$2:$G$26,MATCH($C1923,medicine_master!$A$2:$A$26,0)),0)</f>
        <v>24</v>
      </c>
      <c r="N1923" s="45" t="n">
        <f aca="false">IF(D1923="Sale",E1923*L1923,0)</f>
        <v>525</v>
      </c>
      <c r="O1923" s="45" t="n">
        <f aca="false">IF(D1923="Sale",E1923*M1923,0)</f>
        <v>360</v>
      </c>
      <c r="P1923" s="45" t="n">
        <f aca="false">N1923-O1923</f>
        <v>165</v>
      </c>
      <c r="Q1923" s="45" t="n">
        <f aca="false">IF(D1923="Purchase",E1923*M1923,0)</f>
        <v>0</v>
      </c>
    </row>
    <row r="1924" customFormat="false" ht="15" hidden="false" customHeight="false" outlineLevel="0" collapsed="false">
      <c r="A1924" s="39" t="s">
        <v>2248</v>
      </c>
      <c r="B1924" s="44" t="n">
        <v>46071</v>
      </c>
      <c r="C1924" s="39" t="s">
        <v>149</v>
      </c>
      <c r="D1924" s="39" t="s">
        <v>137</v>
      </c>
      <c r="E1924" s="39" t="n">
        <v>40</v>
      </c>
      <c r="F1924" s="39" t="str">
        <f aca="false">IF(COUNTIF(medicine_master!$A$2:$A$26,C1924)&gt;0,"Valid","Invalid")</f>
        <v>Valid</v>
      </c>
      <c r="G1924" s="39" t="str">
        <f aca="false">IFERROR(INDEX(medicine_master!$B$2:$B$26,MATCH($C1924,medicine_master!$A$2:$A$26,0)),"Not found")</f>
        <v>Azithromycin 500mg</v>
      </c>
      <c r="H1924" s="39" t="str">
        <f aca="false">IFERROR(INDEX(medicine_master!$C$2:$C$26,MATCH($C1924,medicine_master!$A$2:$A$26,0)),"Not found")</f>
        <v>Antibiotic</v>
      </c>
      <c r="I1924" s="39" t="n">
        <f aca="false">YEAR(B1924)</f>
        <v>2026</v>
      </c>
      <c r="J1924" s="39" t="n">
        <f aca="false">MONTH(B1924)</f>
        <v>2</v>
      </c>
      <c r="K1924" s="39" t="str">
        <f aca="false">TEXT(B1924,"mmm")</f>
        <v>Feb</v>
      </c>
      <c r="L1924" s="45" t="n">
        <f aca="false">IFERROR(INDEX(medicine_master!$I$2:$I$26,MATCH($C1924,medicine_master!$A$2:$A$26,0)),0)</f>
        <v>50</v>
      </c>
      <c r="M1924" s="45" t="n">
        <f aca="false">IFERROR(INDEX(medicine_master!$G$2:$G$26,MATCH($C1924,medicine_master!$A$2:$A$26,0)),0)</f>
        <v>35</v>
      </c>
      <c r="N1924" s="45" t="n">
        <f aca="false">IF(D1924="Sale",E1924*L1924,0)</f>
        <v>2000</v>
      </c>
      <c r="O1924" s="45" t="n">
        <f aca="false">IF(D1924="Sale",E1924*M1924,0)</f>
        <v>1400</v>
      </c>
      <c r="P1924" s="45" t="n">
        <f aca="false">N1924-O1924</f>
        <v>600</v>
      </c>
      <c r="Q1924" s="45" t="n">
        <f aca="false">IF(D1924="Purchase",E1924*M1924,0)</f>
        <v>0</v>
      </c>
    </row>
    <row r="1925" customFormat="false" ht="15" hidden="false" customHeight="false" outlineLevel="0" collapsed="false">
      <c r="A1925" s="39" t="s">
        <v>2249</v>
      </c>
      <c r="B1925" s="44" t="n">
        <v>46333</v>
      </c>
      <c r="C1925" s="39" t="s">
        <v>178</v>
      </c>
      <c r="D1925" s="39" t="s">
        <v>138</v>
      </c>
      <c r="E1925" s="39" t="n">
        <v>20</v>
      </c>
      <c r="F1925" s="39" t="str">
        <f aca="false">IF(COUNTIF(medicine_master!$A$2:$A$26,C1925)&gt;0,"Valid","Invalid")</f>
        <v>Valid</v>
      </c>
      <c r="G1925" s="39" t="str">
        <f aca="false">IFERROR(INDEX(medicine_master!$B$2:$B$26,MATCH($C1925,medicine_master!$A$2:$A$26,0)),"Not found")</f>
        <v>Aspirin 75mg</v>
      </c>
      <c r="H1925" s="39" t="str">
        <f aca="false">IFERROR(INDEX(medicine_master!$C$2:$C$26,MATCH($C1925,medicine_master!$A$2:$A$26,0)),"Not found")</f>
        <v>Cardiac</v>
      </c>
      <c r="I1925" s="39" t="n">
        <f aca="false">YEAR(B1925)</f>
        <v>2026</v>
      </c>
      <c r="J1925" s="39" t="n">
        <f aca="false">MONTH(B1925)</f>
        <v>11</v>
      </c>
      <c r="K1925" s="39" t="str">
        <f aca="false">TEXT(B1925,"mmm")</f>
        <v>Nov</v>
      </c>
      <c r="L1925" s="45" t="n">
        <f aca="false">IFERROR(INDEX(medicine_master!$I$2:$I$26,MATCH($C1925,medicine_master!$A$2:$A$26,0)),0)</f>
        <v>15</v>
      </c>
      <c r="M1925" s="45" t="n">
        <f aca="false">IFERROR(INDEX(medicine_master!$G$2:$G$26,MATCH($C1925,medicine_master!$A$2:$A$26,0)),0)</f>
        <v>10</v>
      </c>
      <c r="N1925" s="45" t="n">
        <f aca="false">IF(D1925="Sale",E1925*L1925,0)</f>
        <v>0</v>
      </c>
      <c r="O1925" s="45" t="n">
        <f aca="false">IF(D1925="Sale",E1925*M1925,0)</f>
        <v>0</v>
      </c>
      <c r="P1925" s="45" t="n">
        <f aca="false">N1925-O1925</f>
        <v>0</v>
      </c>
      <c r="Q1925" s="45" t="n">
        <f aca="false">IF(D1925="Purchase",E1925*M1925,0)</f>
        <v>200</v>
      </c>
    </row>
    <row r="1926" customFormat="false" ht="15" hidden="false" customHeight="false" outlineLevel="0" collapsed="false">
      <c r="A1926" s="39" t="s">
        <v>2250</v>
      </c>
      <c r="B1926" s="44" t="n">
        <v>46115</v>
      </c>
      <c r="C1926" s="39" t="s">
        <v>180</v>
      </c>
      <c r="D1926" s="39" t="s">
        <v>138</v>
      </c>
      <c r="E1926" s="39" t="n">
        <v>20</v>
      </c>
      <c r="F1926" s="39" t="str">
        <f aca="false">IF(COUNTIF(medicine_master!$A$2:$A$26,C1926)&gt;0,"Valid","Invalid")</f>
        <v>Valid</v>
      </c>
      <c r="G1926" s="39" t="str">
        <f aca="false">IFERROR(INDEX(medicine_master!$B$2:$B$26,MATCH($C1926,medicine_master!$A$2:$A$26,0)),"Not found")</f>
        <v>Vitamin C 500mg</v>
      </c>
      <c r="H1926" s="39" t="str">
        <f aca="false">IFERROR(INDEX(medicine_master!$C$2:$C$26,MATCH($C1926,medicine_master!$A$2:$A$26,0)),"Not found")</f>
        <v>Vitamin</v>
      </c>
      <c r="I1926" s="39" t="n">
        <f aca="false">YEAR(B1926)</f>
        <v>2026</v>
      </c>
      <c r="J1926" s="39" t="n">
        <f aca="false">MONTH(B1926)</f>
        <v>4</v>
      </c>
      <c r="K1926" s="39" t="str">
        <f aca="false">TEXT(B1926,"mmm")</f>
        <v>Apr</v>
      </c>
      <c r="L1926" s="45" t="n">
        <f aca="false">IFERROR(INDEX(medicine_master!$I$2:$I$26,MATCH($C1926,medicine_master!$A$2:$A$26,0)),0)</f>
        <v>22</v>
      </c>
      <c r="M1926" s="45" t="n">
        <f aca="false">IFERROR(INDEX(medicine_master!$G$2:$G$26,MATCH($C1926,medicine_master!$A$2:$A$26,0)),0)</f>
        <v>14</v>
      </c>
      <c r="N1926" s="45" t="n">
        <f aca="false">IF(D1926="Sale",E1926*L1926,0)</f>
        <v>0</v>
      </c>
      <c r="O1926" s="45" t="n">
        <f aca="false">IF(D1926="Sale",E1926*M1926,0)</f>
        <v>0</v>
      </c>
      <c r="P1926" s="45" t="n">
        <f aca="false">N1926-O1926</f>
        <v>0</v>
      </c>
      <c r="Q1926" s="45" t="n">
        <f aca="false">IF(D1926="Purchase",E1926*M1926,0)</f>
        <v>280</v>
      </c>
    </row>
    <row r="1927" customFormat="false" ht="15" hidden="false" customHeight="false" outlineLevel="0" collapsed="false">
      <c r="A1927" s="39" t="s">
        <v>2251</v>
      </c>
      <c r="B1927" s="44" t="n">
        <v>46033</v>
      </c>
      <c r="C1927" s="39" t="s">
        <v>326</v>
      </c>
      <c r="D1927" s="39" t="s">
        <v>138</v>
      </c>
      <c r="E1927" s="39" t="n">
        <v>30</v>
      </c>
      <c r="F1927" s="39" t="str">
        <f aca="false">IF(COUNTIF(medicine_master!$A$2:$A$26,C1927)&gt;0,"Valid","Invalid")</f>
        <v>Valid</v>
      </c>
      <c r="G1927" s="39" t="str">
        <f aca="false">IFERROR(INDEX(medicine_master!$B$2:$B$26,MATCH($C1927,medicine_master!$A$2:$A$26,0)),"Not found")</f>
        <v>Omeprazole 20mg</v>
      </c>
      <c r="H1927" s="39" t="str">
        <f aca="false">IFERROR(INDEX(medicine_master!$C$2:$C$26,MATCH($C1927,medicine_master!$A$2:$A$26,0)),"Not found")</f>
        <v>Gastric</v>
      </c>
      <c r="I1927" s="39" t="n">
        <f aca="false">YEAR(B1927)</f>
        <v>2026</v>
      </c>
      <c r="J1927" s="39" t="n">
        <f aca="false">MONTH(B1927)</f>
        <v>1</v>
      </c>
      <c r="K1927" s="39" t="str">
        <f aca="false">TEXT(B1927,"mmm")</f>
        <v>Jan</v>
      </c>
      <c r="L1927" s="45" t="n">
        <f aca="false">IFERROR(INDEX(medicine_master!$I$2:$I$26,MATCH($C1927,medicine_master!$A$2:$A$26,0)),0)</f>
        <v>26</v>
      </c>
      <c r="M1927" s="45" t="n">
        <f aca="false">IFERROR(INDEX(medicine_master!$G$2:$G$26,MATCH($C1927,medicine_master!$A$2:$A$26,0)),0)</f>
        <v>18</v>
      </c>
      <c r="N1927" s="45" t="n">
        <f aca="false">IF(D1927="Sale",E1927*L1927,0)</f>
        <v>0</v>
      </c>
      <c r="O1927" s="45" t="n">
        <f aca="false">IF(D1927="Sale",E1927*M1927,0)</f>
        <v>0</v>
      </c>
      <c r="P1927" s="45" t="n">
        <f aca="false">N1927-O1927</f>
        <v>0</v>
      </c>
      <c r="Q1927" s="45" t="n">
        <f aca="false">IF(D1927="Purchase",E1927*M1927,0)</f>
        <v>540</v>
      </c>
    </row>
    <row r="1928" customFormat="false" ht="15" hidden="false" customHeight="false" outlineLevel="0" collapsed="false">
      <c r="A1928" s="39" t="s">
        <v>2252</v>
      </c>
      <c r="B1928" s="44" t="n">
        <v>46250</v>
      </c>
      <c r="C1928" s="39" t="s">
        <v>178</v>
      </c>
      <c r="D1928" s="39" t="s">
        <v>138</v>
      </c>
      <c r="E1928" s="39" t="n">
        <v>15</v>
      </c>
      <c r="F1928" s="39" t="str">
        <f aca="false">IF(COUNTIF(medicine_master!$A$2:$A$26,C1928)&gt;0,"Valid","Invalid")</f>
        <v>Valid</v>
      </c>
      <c r="G1928" s="39" t="str">
        <f aca="false">IFERROR(INDEX(medicine_master!$B$2:$B$26,MATCH($C1928,medicine_master!$A$2:$A$26,0)),"Not found")</f>
        <v>Aspirin 75mg</v>
      </c>
      <c r="H1928" s="39" t="str">
        <f aca="false">IFERROR(INDEX(medicine_master!$C$2:$C$26,MATCH($C1928,medicine_master!$A$2:$A$26,0)),"Not found")</f>
        <v>Cardiac</v>
      </c>
      <c r="I1928" s="39" t="n">
        <f aca="false">YEAR(B1928)</f>
        <v>2026</v>
      </c>
      <c r="J1928" s="39" t="n">
        <f aca="false">MONTH(B1928)</f>
        <v>8</v>
      </c>
      <c r="K1928" s="39" t="str">
        <f aca="false">TEXT(B1928,"mmm")</f>
        <v>Aug</v>
      </c>
      <c r="L1928" s="45" t="n">
        <f aca="false">IFERROR(INDEX(medicine_master!$I$2:$I$26,MATCH($C1928,medicine_master!$A$2:$A$26,0)),0)</f>
        <v>15</v>
      </c>
      <c r="M1928" s="45" t="n">
        <f aca="false">IFERROR(INDEX(medicine_master!$G$2:$G$26,MATCH($C1928,medicine_master!$A$2:$A$26,0)),0)</f>
        <v>10</v>
      </c>
      <c r="N1928" s="45" t="n">
        <f aca="false">IF(D1928="Sale",E1928*L1928,0)</f>
        <v>0</v>
      </c>
      <c r="O1928" s="45" t="n">
        <f aca="false">IF(D1928="Sale",E1928*M1928,0)</f>
        <v>0</v>
      </c>
      <c r="P1928" s="45" t="n">
        <f aca="false">N1928-O1928</f>
        <v>0</v>
      </c>
      <c r="Q1928" s="45" t="n">
        <f aca="false">IF(D1928="Purchase",E1928*M1928,0)</f>
        <v>150</v>
      </c>
    </row>
    <row r="1929" customFormat="false" ht="15" hidden="false" customHeight="false" outlineLevel="0" collapsed="false">
      <c r="A1929" s="39" t="s">
        <v>2253</v>
      </c>
      <c r="B1929" s="44" t="n">
        <v>46251</v>
      </c>
      <c r="C1929" s="39" t="s">
        <v>180</v>
      </c>
      <c r="D1929" s="39" t="s">
        <v>138</v>
      </c>
      <c r="E1929" s="39" t="n">
        <v>40</v>
      </c>
      <c r="F1929" s="39" t="str">
        <f aca="false">IF(COUNTIF(medicine_master!$A$2:$A$26,C1929)&gt;0,"Valid","Invalid")</f>
        <v>Valid</v>
      </c>
      <c r="G1929" s="39" t="str">
        <f aca="false">IFERROR(INDEX(medicine_master!$B$2:$B$26,MATCH($C1929,medicine_master!$A$2:$A$26,0)),"Not found")</f>
        <v>Vitamin C 500mg</v>
      </c>
      <c r="H1929" s="39" t="str">
        <f aca="false">IFERROR(INDEX(medicine_master!$C$2:$C$26,MATCH($C1929,medicine_master!$A$2:$A$26,0)),"Not found")</f>
        <v>Vitamin</v>
      </c>
      <c r="I1929" s="39" t="n">
        <f aca="false">YEAR(B1929)</f>
        <v>2026</v>
      </c>
      <c r="J1929" s="39" t="n">
        <f aca="false">MONTH(B1929)</f>
        <v>8</v>
      </c>
      <c r="K1929" s="39" t="str">
        <f aca="false">TEXT(B1929,"mmm")</f>
        <v>Aug</v>
      </c>
      <c r="L1929" s="45" t="n">
        <f aca="false">IFERROR(INDEX(medicine_master!$I$2:$I$26,MATCH($C1929,medicine_master!$A$2:$A$26,0)),0)</f>
        <v>22</v>
      </c>
      <c r="M1929" s="45" t="n">
        <f aca="false">IFERROR(INDEX(medicine_master!$G$2:$G$26,MATCH($C1929,medicine_master!$A$2:$A$26,0)),0)</f>
        <v>14</v>
      </c>
      <c r="N1929" s="45" t="n">
        <f aca="false">IF(D1929="Sale",E1929*L1929,0)</f>
        <v>0</v>
      </c>
      <c r="O1929" s="45" t="n">
        <f aca="false">IF(D1929="Sale",E1929*M1929,0)</f>
        <v>0</v>
      </c>
      <c r="P1929" s="45" t="n">
        <f aca="false">N1929-O1929</f>
        <v>0</v>
      </c>
      <c r="Q1929" s="45" t="n">
        <f aca="false">IF(D1929="Purchase",E1929*M1929,0)</f>
        <v>560</v>
      </c>
    </row>
    <row r="1930" customFormat="false" ht="15" hidden="false" customHeight="false" outlineLevel="0" collapsed="false">
      <c r="A1930" s="39" t="s">
        <v>2254</v>
      </c>
      <c r="B1930" s="44" t="n">
        <v>46312</v>
      </c>
      <c r="C1930" s="39" t="s">
        <v>180</v>
      </c>
      <c r="D1930" s="39" t="s">
        <v>138</v>
      </c>
      <c r="E1930" s="39" t="n">
        <v>40</v>
      </c>
      <c r="F1930" s="39" t="str">
        <f aca="false">IF(COUNTIF(medicine_master!$A$2:$A$26,C1930)&gt;0,"Valid","Invalid")</f>
        <v>Valid</v>
      </c>
      <c r="G1930" s="39" t="str">
        <f aca="false">IFERROR(INDEX(medicine_master!$B$2:$B$26,MATCH($C1930,medicine_master!$A$2:$A$26,0)),"Not found")</f>
        <v>Vitamin C 500mg</v>
      </c>
      <c r="H1930" s="39" t="str">
        <f aca="false">IFERROR(INDEX(medicine_master!$C$2:$C$26,MATCH($C1930,medicine_master!$A$2:$A$26,0)),"Not found")</f>
        <v>Vitamin</v>
      </c>
      <c r="I1930" s="39" t="n">
        <f aca="false">YEAR(B1930)</f>
        <v>2026</v>
      </c>
      <c r="J1930" s="39" t="n">
        <f aca="false">MONTH(B1930)</f>
        <v>10</v>
      </c>
      <c r="K1930" s="39" t="str">
        <f aca="false">TEXT(B1930,"mmm")</f>
        <v>Oct</v>
      </c>
      <c r="L1930" s="45" t="n">
        <f aca="false">IFERROR(INDEX(medicine_master!$I$2:$I$26,MATCH($C1930,medicine_master!$A$2:$A$26,0)),0)</f>
        <v>22</v>
      </c>
      <c r="M1930" s="45" t="n">
        <f aca="false">IFERROR(INDEX(medicine_master!$G$2:$G$26,MATCH($C1930,medicine_master!$A$2:$A$26,0)),0)</f>
        <v>14</v>
      </c>
      <c r="N1930" s="45" t="n">
        <f aca="false">IF(D1930="Sale",E1930*L1930,0)</f>
        <v>0</v>
      </c>
      <c r="O1930" s="45" t="n">
        <f aca="false">IF(D1930="Sale",E1930*M1930,0)</f>
        <v>0</v>
      </c>
      <c r="P1930" s="45" t="n">
        <f aca="false">N1930-O1930</f>
        <v>0</v>
      </c>
      <c r="Q1930" s="45" t="n">
        <f aca="false">IF(D1930="Purchase",E1930*M1930,0)</f>
        <v>560</v>
      </c>
    </row>
    <row r="1931" customFormat="false" ht="15" hidden="false" customHeight="false" outlineLevel="0" collapsed="false">
      <c r="A1931" s="39" t="s">
        <v>2255</v>
      </c>
      <c r="B1931" s="44" t="n">
        <v>46212</v>
      </c>
      <c r="C1931" s="39" t="s">
        <v>167</v>
      </c>
      <c r="D1931" s="39" t="s">
        <v>137</v>
      </c>
      <c r="E1931" s="39" t="n">
        <v>15</v>
      </c>
      <c r="F1931" s="39" t="str">
        <f aca="false">IF(COUNTIF(medicine_master!$A$2:$A$26,C1931)&gt;0,"Valid","Invalid")</f>
        <v>Valid</v>
      </c>
      <c r="G1931" s="39" t="str">
        <f aca="false">IFERROR(INDEX(medicine_master!$B$2:$B$26,MATCH($C1931,medicine_master!$A$2:$A$26,0)),"Not found")</f>
        <v>Amlodipine 5mg</v>
      </c>
      <c r="H1931" s="39" t="str">
        <f aca="false">IFERROR(INDEX(medicine_master!$C$2:$C$26,MATCH($C1931,medicine_master!$A$2:$A$26,0)),"Not found")</f>
        <v>Cardiac</v>
      </c>
      <c r="I1931" s="39" t="n">
        <f aca="false">YEAR(B1931)</f>
        <v>2026</v>
      </c>
      <c r="J1931" s="39" t="n">
        <f aca="false">MONTH(B1931)</f>
        <v>7</v>
      </c>
      <c r="K1931" s="39" t="str">
        <f aca="false">TEXT(B1931,"mmm")</f>
        <v>Jul</v>
      </c>
      <c r="L1931" s="45" t="n">
        <f aca="false">IFERROR(INDEX(medicine_master!$I$2:$I$26,MATCH($C1931,medicine_master!$A$2:$A$26,0)),0)</f>
        <v>19</v>
      </c>
      <c r="M1931" s="45" t="n">
        <f aca="false">IFERROR(INDEX(medicine_master!$G$2:$G$26,MATCH($C1931,medicine_master!$A$2:$A$26,0)),0)</f>
        <v>13</v>
      </c>
      <c r="N1931" s="45" t="n">
        <f aca="false">IF(D1931="Sale",E1931*L1931,0)</f>
        <v>285</v>
      </c>
      <c r="O1931" s="45" t="n">
        <f aca="false">IF(D1931="Sale",E1931*M1931,0)</f>
        <v>195</v>
      </c>
      <c r="P1931" s="45" t="n">
        <f aca="false">N1931-O1931</f>
        <v>90</v>
      </c>
      <c r="Q1931" s="45" t="n">
        <f aca="false">IF(D1931="Purchase",E1931*M1931,0)</f>
        <v>0</v>
      </c>
    </row>
    <row r="1932" customFormat="false" ht="15" hidden="false" customHeight="false" outlineLevel="0" collapsed="false">
      <c r="A1932" s="39" t="s">
        <v>2256</v>
      </c>
      <c r="B1932" s="44" t="n">
        <v>46335</v>
      </c>
      <c r="C1932" s="39" t="s">
        <v>495</v>
      </c>
      <c r="D1932" s="39" t="s">
        <v>137</v>
      </c>
      <c r="E1932" s="39" t="n">
        <v>25</v>
      </c>
      <c r="F1932" s="39" t="str">
        <f aca="false">IF(COUNTIF(medicine_master!$A$2:$A$26,C1932)&gt;0,"Valid","Invalid")</f>
        <v>Valid</v>
      </c>
      <c r="G1932" s="39" t="str">
        <f aca="false">IFERROR(INDEX(medicine_master!$B$2:$B$26,MATCH($C1932,medicine_master!$A$2:$A$26,0)),"Not found")</f>
        <v>Metformin 500mg</v>
      </c>
      <c r="H1932" s="39" t="str">
        <f aca="false">IFERROR(INDEX(medicine_master!$C$2:$C$26,MATCH($C1932,medicine_master!$A$2:$A$26,0)),"Not found")</f>
        <v>Diabetes</v>
      </c>
      <c r="I1932" s="39" t="n">
        <f aca="false">YEAR(B1932)</f>
        <v>2026</v>
      </c>
      <c r="J1932" s="39" t="n">
        <f aca="false">MONTH(B1932)</f>
        <v>11</v>
      </c>
      <c r="K1932" s="39" t="str">
        <f aca="false">TEXT(B1932,"mmm")</f>
        <v>Nov</v>
      </c>
      <c r="L1932" s="45" t="n">
        <f aca="false">IFERROR(INDEX(medicine_master!$I$2:$I$26,MATCH($C1932,medicine_master!$A$2:$A$26,0)),0)</f>
        <v>24</v>
      </c>
      <c r="M1932" s="45" t="n">
        <f aca="false">IFERROR(INDEX(medicine_master!$G$2:$G$26,MATCH($C1932,medicine_master!$A$2:$A$26,0)),0)</f>
        <v>16</v>
      </c>
      <c r="N1932" s="45" t="n">
        <f aca="false">IF(D1932="Sale",E1932*L1932,0)</f>
        <v>600</v>
      </c>
      <c r="O1932" s="45" t="n">
        <f aca="false">IF(D1932="Sale",E1932*M1932,0)</f>
        <v>400</v>
      </c>
      <c r="P1932" s="45" t="n">
        <f aca="false">N1932-O1932</f>
        <v>200</v>
      </c>
      <c r="Q1932" s="45" t="n">
        <f aca="false">IF(D1932="Purchase",E1932*M1932,0)</f>
        <v>0</v>
      </c>
    </row>
    <row r="1933" customFormat="false" ht="15" hidden="false" customHeight="false" outlineLevel="0" collapsed="false">
      <c r="A1933" s="39" t="s">
        <v>2257</v>
      </c>
      <c r="B1933" s="44" t="n">
        <v>46051</v>
      </c>
      <c r="C1933" s="39" t="s">
        <v>179</v>
      </c>
      <c r="D1933" s="39" t="s">
        <v>137</v>
      </c>
      <c r="E1933" s="39" t="n">
        <v>25</v>
      </c>
      <c r="F1933" s="39" t="str">
        <f aca="false">IF(COUNTIF(medicine_master!$A$2:$A$26,C1933)&gt;0,"Valid","Invalid")</f>
        <v>Valid</v>
      </c>
      <c r="G1933" s="39" t="str">
        <f aca="false">IFERROR(INDEX(medicine_master!$B$2:$B$26,MATCH($C1933,medicine_master!$A$2:$A$26,0)),"Not found")</f>
        <v>Ibuprofen 400mg</v>
      </c>
      <c r="H1933" s="39" t="str">
        <f aca="false">IFERROR(INDEX(medicine_master!$C$2:$C$26,MATCH($C1933,medicine_master!$A$2:$A$26,0)),"Not found")</f>
        <v>Pain Relief</v>
      </c>
      <c r="I1933" s="39" t="n">
        <f aca="false">YEAR(B1933)</f>
        <v>2026</v>
      </c>
      <c r="J1933" s="39" t="n">
        <f aca="false">MONTH(B1933)</f>
        <v>1</v>
      </c>
      <c r="K1933" s="39" t="str">
        <f aca="false">TEXT(B1933,"mmm")</f>
        <v>Jan</v>
      </c>
      <c r="L1933" s="45" t="n">
        <f aca="false">IFERROR(INDEX(medicine_master!$I$2:$I$26,MATCH($C1933,medicine_master!$A$2:$A$26,0)),0)</f>
        <v>30</v>
      </c>
      <c r="M1933" s="45" t="n">
        <f aca="false">IFERROR(INDEX(medicine_master!$G$2:$G$26,MATCH($C1933,medicine_master!$A$2:$A$26,0)),0)</f>
        <v>22</v>
      </c>
      <c r="N1933" s="45" t="n">
        <f aca="false">IF(D1933="Sale",E1933*L1933,0)</f>
        <v>750</v>
      </c>
      <c r="O1933" s="45" t="n">
        <f aca="false">IF(D1933="Sale",E1933*M1933,0)</f>
        <v>550</v>
      </c>
      <c r="P1933" s="45" t="n">
        <f aca="false">N1933-O1933</f>
        <v>200</v>
      </c>
      <c r="Q1933" s="45" t="n">
        <f aca="false">IF(D1933="Purchase",E1933*M1933,0)</f>
        <v>0</v>
      </c>
    </row>
    <row r="1934" customFormat="false" ht="15" hidden="false" customHeight="false" outlineLevel="0" collapsed="false">
      <c r="A1934" s="39" t="s">
        <v>2258</v>
      </c>
      <c r="B1934" s="44" t="n">
        <v>46315</v>
      </c>
      <c r="C1934" s="39" t="s">
        <v>145</v>
      </c>
      <c r="D1934" s="39" t="s">
        <v>137</v>
      </c>
      <c r="E1934" s="39" t="n">
        <v>30</v>
      </c>
      <c r="F1934" s="39" t="str">
        <f aca="false">IF(COUNTIF(medicine_master!$A$2:$A$26,C1934)&gt;0,"Valid","Invalid")</f>
        <v>Valid</v>
      </c>
      <c r="G1934" s="39" t="str">
        <f aca="false">IFERROR(INDEX(medicine_master!$B$2:$B$26,MATCH($C1934,medicine_master!$A$2:$A$26,0)),"Not found")</f>
        <v>Clotrimazole Cream</v>
      </c>
      <c r="H1934" s="39" t="str">
        <f aca="false">IFERROR(INDEX(medicine_master!$C$2:$C$26,MATCH($C1934,medicine_master!$A$2:$A$26,0)),"Not found")</f>
        <v>Dermatology</v>
      </c>
      <c r="I1934" s="39" t="n">
        <f aca="false">YEAR(B1934)</f>
        <v>2026</v>
      </c>
      <c r="J1934" s="39" t="n">
        <f aca="false">MONTH(B1934)</f>
        <v>10</v>
      </c>
      <c r="K1934" s="39" t="str">
        <f aca="false">TEXT(B1934,"mmm")</f>
        <v>Oct</v>
      </c>
      <c r="L1934" s="45" t="n">
        <f aca="false">IFERROR(INDEX(medicine_master!$I$2:$I$26,MATCH($C1934,medicine_master!$A$2:$A$26,0)),0)</f>
        <v>48</v>
      </c>
      <c r="M1934" s="45" t="n">
        <f aca="false">IFERROR(INDEX(medicine_master!$G$2:$G$26,MATCH($C1934,medicine_master!$A$2:$A$26,0)),0)</f>
        <v>32</v>
      </c>
      <c r="N1934" s="45" t="n">
        <f aca="false">IF(D1934="Sale",E1934*L1934,0)</f>
        <v>1440</v>
      </c>
      <c r="O1934" s="45" t="n">
        <f aca="false">IF(D1934="Sale",E1934*M1934,0)</f>
        <v>960</v>
      </c>
      <c r="P1934" s="45" t="n">
        <f aca="false">N1934-O1934</f>
        <v>480</v>
      </c>
      <c r="Q1934" s="45" t="n">
        <f aca="false">IF(D1934="Purchase",E1934*M1934,0)</f>
        <v>0</v>
      </c>
    </row>
    <row r="1935" customFormat="false" ht="15" hidden="false" customHeight="false" outlineLevel="0" collapsed="false">
      <c r="A1935" s="39" t="s">
        <v>2259</v>
      </c>
      <c r="B1935" s="44" t="n">
        <v>46124</v>
      </c>
      <c r="C1935" s="39" t="s">
        <v>157</v>
      </c>
      <c r="D1935" s="39" t="s">
        <v>137</v>
      </c>
      <c r="E1935" s="39" t="n">
        <v>25</v>
      </c>
      <c r="F1935" s="39" t="str">
        <f aca="false">IF(COUNTIF(medicine_master!$A$2:$A$26,C1935)&gt;0,"Valid","Invalid")</f>
        <v>Valid</v>
      </c>
      <c r="G1935" s="39" t="str">
        <f aca="false">IFERROR(INDEX(medicine_master!$B$2:$B$26,MATCH($C1935,medicine_master!$A$2:$A$26,0)),"Not found")</f>
        <v>Multivitamin Tablets</v>
      </c>
      <c r="H1935" s="39" t="str">
        <f aca="false">IFERROR(INDEX(medicine_master!$C$2:$C$26,MATCH($C1935,medicine_master!$A$2:$A$26,0)),"Not found")</f>
        <v>Vitamin</v>
      </c>
      <c r="I1935" s="39" t="n">
        <f aca="false">YEAR(B1935)</f>
        <v>2026</v>
      </c>
      <c r="J1935" s="39" t="n">
        <f aca="false">MONTH(B1935)</f>
        <v>4</v>
      </c>
      <c r="K1935" s="39" t="str">
        <f aca="false">TEXT(B1935,"mmm")</f>
        <v>Apr</v>
      </c>
      <c r="L1935" s="45" t="n">
        <f aca="false">IFERROR(INDEX(medicine_master!$I$2:$I$26,MATCH($C1935,medicine_master!$A$2:$A$26,0)),0)</f>
        <v>105</v>
      </c>
      <c r="M1935" s="45" t="n">
        <f aca="false">IFERROR(INDEX(medicine_master!$G$2:$G$26,MATCH($C1935,medicine_master!$A$2:$A$26,0)),0)</f>
        <v>72</v>
      </c>
      <c r="N1935" s="45" t="n">
        <f aca="false">IF(D1935="Sale",E1935*L1935,0)</f>
        <v>2625</v>
      </c>
      <c r="O1935" s="45" t="n">
        <f aca="false">IF(D1935="Sale",E1935*M1935,0)</f>
        <v>1800</v>
      </c>
      <c r="P1935" s="45" t="n">
        <f aca="false">N1935-O1935</f>
        <v>825</v>
      </c>
      <c r="Q1935" s="45" t="n">
        <f aca="false">IF(D1935="Purchase",E1935*M1935,0)</f>
        <v>0</v>
      </c>
    </row>
    <row r="1936" customFormat="false" ht="15" hidden="false" customHeight="false" outlineLevel="0" collapsed="false">
      <c r="A1936" s="39" t="s">
        <v>2260</v>
      </c>
      <c r="B1936" s="44" t="n">
        <v>46225</v>
      </c>
      <c r="C1936" s="39" t="s">
        <v>147</v>
      </c>
      <c r="D1936" s="39" t="s">
        <v>138</v>
      </c>
      <c r="E1936" s="39" t="n">
        <v>15</v>
      </c>
      <c r="F1936" s="39" t="str">
        <f aca="false">IF(COUNTIF(medicine_master!$A$2:$A$26,C1936)&gt;0,"Valid","Invalid")</f>
        <v>Valid</v>
      </c>
      <c r="G1936" s="39" t="str">
        <f aca="false">IFERROR(INDEX(medicine_master!$B$2:$B$26,MATCH($C1936,medicine_master!$A$2:$A$26,0)),"Not found")</f>
        <v>Insulin Injection</v>
      </c>
      <c r="H1936" s="39" t="str">
        <f aca="false">IFERROR(INDEX(medicine_master!$C$2:$C$26,MATCH($C1936,medicine_master!$A$2:$A$26,0)),"Not found")</f>
        <v>Diabetes</v>
      </c>
      <c r="I1936" s="39" t="n">
        <f aca="false">YEAR(B1936)</f>
        <v>2026</v>
      </c>
      <c r="J1936" s="39" t="n">
        <f aca="false">MONTH(B1936)</f>
        <v>7</v>
      </c>
      <c r="K1936" s="39" t="str">
        <f aca="false">TEXT(B1936,"mmm")</f>
        <v>Jul</v>
      </c>
      <c r="L1936" s="45" t="n">
        <f aca="false">IFERROR(INDEX(medicine_master!$I$2:$I$26,MATCH($C1936,medicine_master!$A$2:$A$26,0)),0)</f>
        <v>225</v>
      </c>
      <c r="M1936" s="45" t="n">
        <f aca="false">IFERROR(INDEX(medicine_master!$G$2:$G$26,MATCH($C1936,medicine_master!$A$2:$A$26,0)),0)</f>
        <v>165</v>
      </c>
      <c r="N1936" s="45" t="n">
        <f aca="false">IF(D1936="Sale",E1936*L1936,0)</f>
        <v>0</v>
      </c>
      <c r="O1936" s="45" t="n">
        <f aca="false">IF(D1936="Sale",E1936*M1936,0)</f>
        <v>0</v>
      </c>
      <c r="P1936" s="45" t="n">
        <f aca="false">N1936-O1936</f>
        <v>0</v>
      </c>
      <c r="Q1936" s="45" t="n">
        <f aca="false">IF(D1936="Purchase",E1936*M1936,0)</f>
        <v>2475</v>
      </c>
    </row>
    <row r="1937" customFormat="false" ht="15" hidden="false" customHeight="false" outlineLevel="0" collapsed="false">
      <c r="A1937" s="39" t="s">
        <v>2261</v>
      </c>
      <c r="B1937" s="44" t="n">
        <v>46125</v>
      </c>
      <c r="C1937" s="39" t="s">
        <v>404</v>
      </c>
      <c r="D1937" s="39" t="s">
        <v>137</v>
      </c>
      <c r="E1937" s="39" t="n">
        <v>40</v>
      </c>
      <c r="F1937" s="39" t="str">
        <f aca="false">IF(COUNTIF(medicine_master!$A$2:$A$26,C1937)&gt;0,"Valid","Invalid")</f>
        <v>Valid</v>
      </c>
      <c r="G1937" s="39" t="str">
        <f aca="false">IFERROR(INDEX(medicine_master!$B$2:$B$26,MATCH($C1937,medicine_master!$A$2:$A$26,0)),"Not found")</f>
        <v>ORS Sachet</v>
      </c>
      <c r="H1937" s="39" t="str">
        <f aca="false">IFERROR(INDEX(medicine_master!$C$2:$C$26,MATCH($C1937,medicine_master!$A$2:$A$26,0)),"Not found")</f>
        <v>First Aid</v>
      </c>
      <c r="I1937" s="39" t="n">
        <f aca="false">YEAR(B1937)</f>
        <v>2026</v>
      </c>
      <c r="J1937" s="39" t="n">
        <f aca="false">MONTH(B1937)</f>
        <v>4</v>
      </c>
      <c r="K1937" s="39" t="str">
        <f aca="false">TEXT(B1937,"mmm")</f>
        <v>Apr</v>
      </c>
      <c r="L1937" s="45" t="n">
        <f aca="false">IFERROR(INDEX(medicine_master!$I$2:$I$26,MATCH($C1937,medicine_master!$A$2:$A$26,0)),0)</f>
        <v>10</v>
      </c>
      <c r="M1937" s="45" t="n">
        <f aca="false">IFERROR(INDEX(medicine_master!$G$2:$G$26,MATCH($C1937,medicine_master!$A$2:$A$26,0)),0)</f>
        <v>6</v>
      </c>
      <c r="N1937" s="45" t="n">
        <f aca="false">IF(D1937="Sale",E1937*L1937,0)</f>
        <v>400</v>
      </c>
      <c r="O1937" s="45" t="n">
        <f aca="false">IF(D1937="Sale",E1937*M1937,0)</f>
        <v>240</v>
      </c>
      <c r="P1937" s="45" t="n">
        <f aca="false">N1937-O1937</f>
        <v>160</v>
      </c>
      <c r="Q1937" s="45" t="n">
        <f aca="false">IF(D1937="Purchase",E1937*M1937,0)</f>
        <v>0</v>
      </c>
    </row>
    <row r="1938" customFormat="false" ht="15" hidden="false" customHeight="false" outlineLevel="0" collapsed="false">
      <c r="A1938" s="39" t="s">
        <v>2262</v>
      </c>
      <c r="B1938" s="44" t="n">
        <v>46381</v>
      </c>
      <c r="C1938" s="39" t="s">
        <v>179</v>
      </c>
      <c r="D1938" s="39" t="s">
        <v>137</v>
      </c>
      <c r="E1938" s="39" t="n">
        <v>10</v>
      </c>
      <c r="F1938" s="39" t="str">
        <f aca="false">IF(COUNTIF(medicine_master!$A$2:$A$26,C1938)&gt;0,"Valid","Invalid")</f>
        <v>Valid</v>
      </c>
      <c r="G1938" s="39" t="str">
        <f aca="false">IFERROR(INDEX(medicine_master!$B$2:$B$26,MATCH($C1938,medicine_master!$A$2:$A$26,0)),"Not found")</f>
        <v>Ibuprofen 400mg</v>
      </c>
      <c r="H1938" s="39" t="str">
        <f aca="false">IFERROR(INDEX(medicine_master!$C$2:$C$26,MATCH($C1938,medicine_master!$A$2:$A$26,0)),"Not found")</f>
        <v>Pain Relief</v>
      </c>
      <c r="I1938" s="39" t="n">
        <f aca="false">YEAR(B1938)</f>
        <v>2026</v>
      </c>
      <c r="J1938" s="39" t="n">
        <f aca="false">MONTH(B1938)</f>
        <v>12</v>
      </c>
      <c r="K1938" s="39" t="str">
        <f aca="false">TEXT(B1938,"mmm")</f>
        <v>Dec</v>
      </c>
      <c r="L1938" s="45" t="n">
        <f aca="false">IFERROR(INDEX(medicine_master!$I$2:$I$26,MATCH($C1938,medicine_master!$A$2:$A$26,0)),0)</f>
        <v>30</v>
      </c>
      <c r="M1938" s="45" t="n">
        <f aca="false">IFERROR(INDEX(medicine_master!$G$2:$G$26,MATCH($C1938,medicine_master!$A$2:$A$26,0)),0)</f>
        <v>22</v>
      </c>
      <c r="N1938" s="45" t="n">
        <f aca="false">IF(D1938="Sale",E1938*L1938,0)</f>
        <v>300</v>
      </c>
      <c r="O1938" s="45" t="n">
        <f aca="false">IF(D1938="Sale",E1938*M1938,0)</f>
        <v>220</v>
      </c>
      <c r="P1938" s="45" t="n">
        <f aca="false">N1938-O1938</f>
        <v>80</v>
      </c>
      <c r="Q1938" s="45" t="n">
        <f aca="false">IF(D1938="Purchase",E1938*M1938,0)</f>
        <v>0</v>
      </c>
    </row>
    <row r="1939" customFormat="false" ht="15" hidden="false" customHeight="false" outlineLevel="0" collapsed="false">
      <c r="A1939" s="39" t="s">
        <v>2263</v>
      </c>
      <c r="B1939" s="44" t="n">
        <v>46135</v>
      </c>
      <c r="C1939" s="39" t="s">
        <v>178</v>
      </c>
      <c r="D1939" s="39" t="s">
        <v>137</v>
      </c>
      <c r="E1939" s="39" t="n">
        <v>15</v>
      </c>
      <c r="F1939" s="39" t="str">
        <f aca="false">IF(COUNTIF(medicine_master!$A$2:$A$26,C1939)&gt;0,"Valid","Invalid")</f>
        <v>Valid</v>
      </c>
      <c r="G1939" s="39" t="str">
        <f aca="false">IFERROR(INDEX(medicine_master!$B$2:$B$26,MATCH($C1939,medicine_master!$A$2:$A$26,0)),"Not found")</f>
        <v>Aspirin 75mg</v>
      </c>
      <c r="H1939" s="39" t="str">
        <f aca="false">IFERROR(INDEX(medicine_master!$C$2:$C$26,MATCH($C1939,medicine_master!$A$2:$A$26,0)),"Not found")</f>
        <v>Cardiac</v>
      </c>
      <c r="I1939" s="39" t="n">
        <f aca="false">YEAR(B1939)</f>
        <v>2026</v>
      </c>
      <c r="J1939" s="39" t="n">
        <f aca="false">MONTH(B1939)</f>
        <v>4</v>
      </c>
      <c r="K1939" s="39" t="str">
        <f aca="false">TEXT(B1939,"mmm")</f>
        <v>Apr</v>
      </c>
      <c r="L1939" s="45" t="n">
        <f aca="false">IFERROR(INDEX(medicine_master!$I$2:$I$26,MATCH($C1939,medicine_master!$A$2:$A$26,0)),0)</f>
        <v>15</v>
      </c>
      <c r="M1939" s="45" t="n">
        <f aca="false">IFERROR(INDEX(medicine_master!$G$2:$G$26,MATCH($C1939,medicine_master!$A$2:$A$26,0)),0)</f>
        <v>10</v>
      </c>
      <c r="N1939" s="45" t="n">
        <f aca="false">IF(D1939="Sale",E1939*L1939,0)</f>
        <v>225</v>
      </c>
      <c r="O1939" s="45" t="n">
        <f aca="false">IF(D1939="Sale",E1939*M1939,0)</f>
        <v>150</v>
      </c>
      <c r="P1939" s="45" t="n">
        <f aca="false">N1939-O1939</f>
        <v>75</v>
      </c>
      <c r="Q1939" s="45" t="n">
        <f aca="false">IF(D1939="Purchase",E1939*M1939,0)</f>
        <v>0</v>
      </c>
    </row>
    <row r="1940" customFormat="false" ht="15" hidden="false" customHeight="false" outlineLevel="0" collapsed="false">
      <c r="A1940" s="39" t="s">
        <v>2264</v>
      </c>
      <c r="B1940" s="44" t="n">
        <v>46175</v>
      </c>
      <c r="C1940" s="39" t="s">
        <v>345</v>
      </c>
      <c r="D1940" s="39" t="s">
        <v>137</v>
      </c>
      <c r="E1940" s="39" t="n">
        <v>20</v>
      </c>
      <c r="F1940" s="39" t="str">
        <f aca="false">IF(COUNTIF(medicine_master!$A$2:$A$26,C1940)&gt;0,"Valid","Invalid")</f>
        <v>Valid</v>
      </c>
      <c r="G1940" s="39" t="str">
        <f aca="false">IFERROR(INDEX(medicine_master!$B$2:$B$26,MATCH($C1940,medicine_master!$A$2:$A$26,0)),"Not found")</f>
        <v>Paracetamol 500mg</v>
      </c>
      <c r="H1940" s="39" t="str">
        <f aca="false">IFERROR(INDEX(medicine_master!$C$2:$C$26,MATCH($C1940,medicine_master!$A$2:$A$26,0)),"Not found")</f>
        <v>Pain Relief</v>
      </c>
      <c r="I1940" s="39" t="n">
        <f aca="false">YEAR(B1940)</f>
        <v>2026</v>
      </c>
      <c r="J1940" s="39" t="n">
        <f aca="false">MONTH(B1940)</f>
        <v>6</v>
      </c>
      <c r="K1940" s="39" t="str">
        <f aca="false">TEXT(B1940,"mmm")</f>
        <v>Jun</v>
      </c>
      <c r="L1940" s="45" t="n">
        <f aca="false">IFERROR(INDEX(medicine_master!$I$2:$I$26,MATCH($C1940,medicine_master!$A$2:$A$26,0)),0)</f>
        <v>18</v>
      </c>
      <c r="M1940" s="45" t="n">
        <f aca="false">IFERROR(INDEX(medicine_master!$G$2:$G$26,MATCH($C1940,medicine_master!$A$2:$A$26,0)),0)</f>
        <v>12</v>
      </c>
      <c r="N1940" s="45" t="n">
        <f aca="false">IF(D1940="Sale",E1940*L1940,0)</f>
        <v>360</v>
      </c>
      <c r="O1940" s="45" t="n">
        <f aca="false">IF(D1940="Sale",E1940*M1940,0)</f>
        <v>240</v>
      </c>
      <c r="P1940" s="45" t="n">
        <f aca="false">N1940-O1940</f>
        <v>120</v>
      </c>
      <c r="Q1940" s="45" t="n">
        <f aca="false">IF(D1940="Purchase",E1940*M1940,0)</f>
        <v>0</v>
      </c>
    </row>
    <row r="1941" customFormat="false" ht="15" hidden="false" customHeight="false" outlineLevel="0" collapsed="false">
      <c r="A1941" s="39" t="s">
        <v>2265</v>
      </c>
      <c r="B1941" s="44" t="n">
        <v>46040</v>
      </c>
      <c r="C1941" s="39" t="s">
        <v>150</v>
      </c>
      <c r="D1941" s="39" t="s">
        <v>137</v>
      </c>
      <c r="E1941" s="39" t="n">
        <v>15</v>
      </c>
      <c r="F1941" s="39" t="str">
        <f aca="false">IF(COUNTIF(medicine_master!$A$2:$A$26,C1941)&gt;0,"Valid","Invalid")</f>
        <v>Valid</v>
      </c>
      <c r="G1941" s="39" t="str">
        <f aca="false">IFERROR(INDEX(medicine_master!$B$2:$B$26,MATCH($C1941,medicine_master!$A$2:$A$26,0)),"Not found")</f>
        <v>Pantoprazole 40mg</v>
      </c>
      <c r="H1941" s="39" t="str">
        <f aca="false">IFERROR(INDEX(medicine_master!$C$2:$C$26,MATCH($C1941,medicine_master!$A$2:$A$26,0)),"Not found")</f>
        <v>Gastric</v>
      </c>
      <c r="I1941" s="39" t="n">
        <f aca="false">YEAR(B1941)</f>
        <v>2026</v>
      </c>
      <c r="J1941" s="39" t="n">
        <f aca="false">MONTH(B1941)</f>
        <v>1</v>
      </c>
      <c r="K1941" s="39" t="str">
        <f aca="false">TEXT(B1941,"mmm")</f>
        <v>Jan</v>
      </c>
      <c r="L1941" s="45" t="n">
        <f aca="false">IFERROR(INDEX(medicine_master!$I$2:$I$26,MATCH($C1941,medicine_master!$A$2:$A$26,0)),0)</f>
        <v>35</v>
      </c>
      <c r="M1941" s="45" t="n">
        <f aca="false">IFERROR(INDEX(medicine_master!$G$2:$G$26,MATCH($C1941,medicine_master!$A$2:$A$26,0)),0)</f>
        <v>24</v>
      </c>
      <c r="N1941" s="45" t="n">
        <f aca="false">IF(D1941="Sale",E1941*L1941,0)</f>
        <v>525</v>
      </c>
      <c r="O1941" s="45" t="n">
        <f aca="false">IF(D1941="Sale",E1941*M1941,0)</f>
        <v>360</v>
      </c>
      <c r="P1941" s="45" t="n">
        <f aca="false">N1941-O1941</f>
        <v>165</v>
      </c>
      <c r="Q1941" s="45" t="n">
        <f aca="false">IF(D1941="Purchase",E1941*M1941,0)</f>
        <v>0</v>
      </c>
    </row>
    <row r="1942" customFormat="false" ht="15" hidden="false" customHeight="false" outlineLevel="0" collapsed="false">
      <c r="A1942" s="39" t="s">
        <v>2266</v>
      </c>
      <c r="B1942" s="44" t="n">
        <v>46355</v>
      </c>
      <c r="C1942" s="39" t="s">
        <v>152</v>
      </c>
      <c r="D1942" s="39" t="s">
        <v>137</v>
      </c>
      <c r="E1942" s="39" t="n">
        <v>5</v>
      </c>
      <c r="F1942" s="39" t="str">
        <f aca="false">IF(COUNTIF(medicine_master!$A$2:$A$26,C1942)&gt;0,"Valid","Invalid")</f>
        <v>Valid</v>
      </c>
      <c r="G1942" s="39" t="str">
        <f aca="false">IFERROR(INDEX(medicine_master!$B$2:$B$26,MATCH($C1942,medicine_master!$A$2:$A$26,0)),"Not found")</f>
        <v>Amoxicillin 500mg</v>
      </c>
      <c r="H1942" s="39" t="str">
        <f aca="false">IFERROR(INDEX(medicine_master!$C$2:$C$26,MATCH($C1942,medicine_master!$A$2:$A$26,0)),"Not found")</f>
        <v>Antibiotic</v>
      </c>
      <c r="I1942" s="39" t="n">
        <f aca="false">YEAR(B1942)</f>
        <v>2026</v>
      </c>
      <c r="J1942" s="39" t="n">
        <f aca="false">MONTH(B1942)</f>
        <v>11</v>
      </c>
      <c r="K1942" s="39" t="str">
        <f aca="false">TEXT(B1942,"mmm")</f>
        <v>Nov</v>
      </c>
      <c r="L1942" s="45" t="n">
        <f aca="false">IFERROR(INDEX(medicine_master!$I$2:$I$26,MATCH($C1942,medicine_master!$A$2:$A$26,0)),0)</f>
        <v>40</v>
      </c>
      <c r="M1942" s="45" t="n">
        <f aca="false">IFERROR(INDEX(medicine_master!$G$2:$G$26,MATCH($C1942,medicine_master!$A$2:$A$26,0)),0)</f>
        <v>28</v>
      </c>
      <c r="N1942" s="45" t="n">
        <f aca="false">IF(D1942="Sale",E1942*L1942,0)</f>
        <v>200</v>
      </c>
      <c r="O1942" s="45" t="n">
        <f aca="false">IF(D1942="Sale",E1942*M1942,0)</f>
        <v>140</v>
      </c>
      <c r="P1942" s="45" t="n">
        <f aca="false">N1942-O1942</f>
        <v>60</v>
      </c>
      <c r="Q1942" s="45" t="n">
        <f aca="false">IF(D1942="Purchase",E1942*M1942,0)</f>
        <v>0</v>
      </c>
    </row>
    <row r="1943" customFormat="false" ht="15" hidden="false" customHeight="false" outlineLevel="0" collapsed="false">
      <c r="A1943" s="39" t="s">
        <v>2267</v>
      </c>
      <c r="B1943" s="44" t="n">
        <v>46228</v>
      </c>
      <c r="C1943" s="39" t="s">
        <v>145</v>
      </c>
      <c r="D1943" s="39" t="s">
        <v>138</v>
      </c>
      <c r="E1943" s="39" t="n">
        <v>30</v>
      </c>
      <c r="F1943" s="39" t="str">
        <f aca="false">IF(COUNTIF(medicine_master!$A$2:$A$26,C1943)&gt;0,"Valid","Invalid")</f>
        <v>Valid</v>
      </c>
      <c r="G1943" s="39" t="str">
        <f aca="false">IFERROR(INDEX(medicine_master!$B$2:$B$26,MATCH($C1943,medicine_master!$A$2:$A$26,0)),"Not found")</f>
        <v>Clotrimazole Cream</v>
      </c>
      <c r="H1943" s="39" t="str">
        <f aca="false">IFERROR(INDEX(medicine_master!$C$2:$C$26,MATCH($C1943,medicine_master!$A$2:$A$26,0)),"Not found")</f>
        <v>Dermatology</v>
      </c>
      <c r="I1943" s="39" t="n">
        <f aca="false">YEAR(B1943)</f>
        <v>2026</v>
      </c>
      <c r="J1943" s="39" t="n">
        <f aca="false">MONTH(B1943)</f>
        <v>7</v>
      </c>
      <c r="K1943" s="39" t="str">
        <f aca="false">TEXT(B1943,"mmm")</f>
        <v>Jul</v>
      </c>
      <c r="L1943" s="45" t="n">
        <f aca="false">IFERROR(INDEX(medicine_master!$I$2:$I$26,MATCH($C1943,medicine_master!$A$2:$A$26,0)),0)</f>
        <v>48</v>
      </c>
      <c r="M1943" s="45" t="n">
        <f aca="false">IFERROR(INDEX(medicine_master!$G$2:$G$26,MATCH($C1943,medicine_master!$A$2:$A$26,0)),0)</f>
        <v>32</v>
      </c>
      <c r="N1943" s="45" t="n">
        <f aca="false">IF(D1943="Sale",E1943*L1943,0)</f>
        <v>0</v>
      </c>
      <c r="O1943" s="45" t="n">
        <f aca="false">IF(D1943="Sale",E1943*M1943,0)</f>
        <v>0</v>
      </c>
      <c r="P1943" s="45" t="n">
        <f aca="false">N1943-O1943</f>
        <v>0</v>
      </c>
      <c r="Q1943" s="45" t="n">
        <f aca="false">IF(D1943="Purchase",E1943*M1943,0)</f>
        <v>960</v>
      </c>
    </row>
    <row r="1944" customFormat="false" ht="15" hidden="false" customHeight="false" outlineLevel="0" collapsed="false">
      <c r="A1944" s="39" t="s">
        <v>2268</v>
      </c>
      <c r="B1944" s="44" t="n">
        <v>46331</v>
      </c>
      <c r="C1944" s="39" t="s">
        <v>145</v>
      </c>
      <c r="D1944" s="39" t="s">
        <v>138</v>
      </c>
      <c r="E1944" s="39" t="n">
        <v>10</v>
      </c>
      <c r="F1944" s="39" t="str">
        <f aca="false">IF(COUNTIF(medicine_master!$A$2:$A$26,C1944)&gt;0,"Valid","Invalid")</f>
        <v>Valid</v>
      </c>
      <c r="G1944" s="39" t="str">
        <f aca="false">IFERROR(INDEX(medicine_master!$B$2:$B$26,MATCH($C1944,medicine_master!$A$2:$A$26,0)),"Not found")</f>
        <v>Clotrimazole Cream</v>
      </c>
      <c r="H1944" s="39" t="str">
        <f aca="false">IFERROR(INDEX(medicine_master!$C$2:$C$26,MATCH($C1944,medicine_master!$A$2:$A$26,0)),"Not found")</f>
        <v>Dermatology</v>
      </c>
      <c r="I1944" s="39" t="n">
        <f aca="false">YEAR(B1944)</f>
        <v>2026</v>
      </c>
      <c r="J1944" s="39" t="n">
        <f aca="false">MONTH(B1944)</f>
        <v>11</v>
      </c>
      <c r="K1944" s="39" t="str">
        <f aca="false">TEXT(B1944,"mmm")</f>
        <v>Nov</v>
      </c>
      <c r="L1944" s="45" t="n">
        <f aca="false">IFERROR(INDEX(medicine_master!$I$2:$I$26,MATCH($C1944,medicine_master!$A$2:$A$26,0)),0)</f>
        <v>48</v>
      </c>
      <c r="M1944" s="45" t="n">
        <f aca="false">IFERROR(INDEX(medicine_master!$G$2:$G$26,MATCH($C1944,medicine_master!$A$2:$A$26,0)),0)</f>
        <v>32</v>
      </c>
      <c r="N1944" s="45" t="n">
        <f aca="false">IF(D1944="Sale",E1944*L1944,0)</f>
        <v>0</v>
      </c>
      <c r="O1944" s="45" t="n">
        <f aca="false">IF(D1944="Sale",E1944*M1944,0)</f>
        <v>0</v>
      </c>
      <c r="P1944" s="45" t="n">
        <f aca="false">N1944-O1944</f>
        <v>0</v>
      </c>
      <c r="Q1944" s="45" t="n">
        <f aca="false">IF(D1944="Purchase",E1944*M1944,0)</f>
        <v>320</v>
      </c>
    </row>
    <row r="1945" customFormat="false" ht="15" hidden="false" customHeight="false" outlineLevel="0" collapsed="false">
      <c r="A1945" s="39" t="s">
        <v>2269</v>
      </c>
      <c r="B1945" s="44" t="n">
        <v>46364</v>
      </c>
      <c r="C1945" s="39" t="s">
        <v>152</v>
      </c>
      <c r="D1945" s="39" t="s">
        <v>138</v>
      </c>
      <c r="E1945" s="39" t="n">
        <v>30</v>
      </c>
      <c r="F1945" s="39" t="str">
        <f aca="false">IF(COUNTIF(medicine_master!$A$2:$A$26,C1945)&gt;0,"Valid","Invalid")</f>
        <v>Valid</v>
      </c>
      <c r="G1945" s="39" t="str">
        <f aca="false">IFERROR(INDEX(medicine_master!$B$2:$B$26,MATCH($C1945,medicine_master!$A$2:$A$26,0)),"Not found")</f>
        <v>Amoxicillin 500mg</v>
      </c>
      <c r="H1945" s="39" t="str">
        <f aca="false">IFERROR(INDEX(medicine_master!$C$2:$C$26,MATCH($C1945,medicine_master!$A$2:$A$26,0)),"Not found")</f>
        <v>Antibiotic</v>
      </c>
      <c r="I1945" s="39" t="n">
        <f aca="false">YEAR(B1945)</f>
        <v>2026</v>
      </c>
      <c r="J1945" s="39" t="n">
        <f aca="false">MONTH(B1945)</f>
        <v>12</v>
      </c>
      <c r="K1945" s="39" t="str">
        <f aca="false">TEXT(B1945,"mmm")</f>
        <v>Dec</v>
      </c>
      <c r="L1945" s="45" t="n">
        <f aca="false">IFERROR(INDEX(medicine_master!$I$2:$I$26,MATCH($C1945,medicine_master!$A$2:$A$26,0)),0)</f>
        <v>40</v>
      </c>
      <c r="M1945" s="45" t="n">
        <f aca="false">IFERROR(INDEX(medicine_master!$G$2:$G$26,MATCH($C1945,medicine_master!$A$2:$A$26,0)),0)</f>
        <v>28</v>
      </c>
      <c r="N1945" s="45" t="n">
        <f aca="false">IF(D1945="Sale",E1945*L1945,0)</f>
        <v>0</v>
      </c>
      <c r="O1945" s="45" t="n">
        <f aca="false">IF(D1945="Sale",E1945*M1945,0)</f>
        <v>0</v>
      </c>
      <c r="P1945" s="45" t="n">
        <f aca="false">N1945-O1945</f>
        <v>0</v>
      </c>
      <c r="Q1945" s="45" t="n">
        <f aca="false">IF(D1945="Purchase",E1945*M1945,0)</f>
        <v>840</v>
      </c>
    </row>
    <row r="1946" customFormat="false" ht="15" hidden="false" customHeight="false" outlineLevel="0" collapsed="false">
      <c r="A1946" s="39" t="s">
        <v>2270</v>
      </c>
      <c r="B1946" s="44" t="n">
        <v>46171</v>
      </c>
      <c r="C1946" s="39" t="s">
        <v>167</v>
      </c>
      <c r="D1946" s="39" t="s">
        <v>137</v>
      </c>
      <c r="E1946" s="39" t="n">
        <v>15</v>
      </c>
      <c r="F1946" s="39" t="str">
        <f aca="false">IF(COUNTIF(medicine_master!$A$2:$A$26,C1946)&gt;0,"Valid","Invalid")</f>
        <v>Valid</v>
      </c>
      <c r="G1946" s="39" t="str">
        <f aca="false">IFERROR(INDEX(medicine_master!$B$2:$B$26,MATCH($C1946,medicine_master!$A$2:$A$26,0)),"Not found")</f>
        <v>Amlodipine 5mg</v>
      </c>
      <c r="H1946" s="39" t="str">
        <f aca="false">IFERROR(INDEX(medicine_master!$C$2:$C$26,MATCH($C1946,medicine_master!$A$2:$A$26,0)),"Not found")</f>
        <v>Cardiac</v>
      </c>
      <c r="I1946" s="39" t="n">
        <f aca="false">YEAR(B1946)</f>
        <v>2026</v>
      </c>
      <c r="J1946" s="39" t="n">
        <f aca="false">MONTH(B1946)</f>
        <v>5</v>
      </c>
      <c r="K1946" s="39" t="str">
        <f aca="false">TEXT(B1946,"mmm")</f>
        <v>May</v>
      </c>
      <c r="L1946" s="45" t="n">
        <f aca="false">IFERROR(INDEX(medicine_master!$I$2:$I$26,MATCH($C1946,medicine_master!$A$2:$A$26,0)),0)</f>
        <v>19</v>
      </c>
      <c r="M1946" s="45" t="n">
        <f aca="false">IFERROR(INDEX(medicine_master!$G$2:$G$26,MATCH($C1946,medicine_master!$A$2:$A$26,0)),0)</f>
        <v>13</v>
      </c>
      <c r="N1946" s="45" t="n">
        <f aca="false">IF(D1946="Sale",E1946*L1946,0)</f>
        <v>285</v>
      </c>
      <c r="O1946" s="45" t="n">
        <f aca="false">IF(D1946="Sale",E1946*M1946,0)</f>
        <v>195</v>
      </c>
      <c r="P1946" s="45" t="n">
        <f aca="false">N1946-O1946</f>
        <v>90</v>
      </c>
      <c r="Q1946" s="45" t="n">
        <f aca="false">IF(D1946="Purchase",E1946*M1946,0)</f>
        <v>0</v>
      </c>
    </row>
    <row r="1947" customFormat="false" ht="15" hidden="false" customHeight="false" outlineLevel="0" collapsed="false">
      <c r="A1947" s="39" t="s">
        <v>2271</v>
      </c>
      <c r="B1947" s="44" t="n">
        <v>46176</v>
      </c>
      <c r="C1947" s="39" t="s">
        <v>148</v>
      </c>
      <c r="D1947" s="39" t="s">
        <v>137</v>
      </c>
      <c r="E1947" s="39" t="n">
        <v>20</v>
      </c>
      <c r="F1947" s="39" t="str">
        <f aca="false">IF(COUNTIF(medicine_master!$A$2:$A$26,C1947)&gt;0,"Valid","Invalid")</f>
        <v>Valid</v>
      </c>
      <c r="G1947" s="39" t="str">
        <f aca="false">IFERROR(INDEX(medicine_master!$B$2:$B$26,MATCH($C1947,medicine_master!$A$2:$A$26,0)),"Not found")</f>
        <v>Dextromethorphan Syrup</v>
      </c>
      <c r="H1947" s="39" t="str">
        <f aca="false">IFERROR(INDEX(medicine_master!$C$2:$C$26,MATCH($C1947,medicine_master!$A$2:$A$26,0)),"Not found")</f>
        <v>Cold &amp; Cough</v>
      </c>
      <c r="I1947" s="39" t="n">
        <f aca="false">YEAR(B1947)</f>
        <v>2026</v>
      </c>
      <c r="J1947" s="39" t="n">
        <f aca="false">MONTH(B1947)</f>
        <v>6</v>
      </c>
      <c r="K1947" s="39" t="str">
        <f aca="false">TEXT(B1947,"mmm")</f>
        <v>Jun</v>
      </c>
      <c r="L1947" s="45" t="n">
        <f aca="false">IFERROR(INDEX(medicine_master!$I$2:$I$26,MATCH($C1947,medicine_master!$A$2:$A$26,0)),0)</f>
        <v>80</v>
      </c>
      <c r="M1947" s="45" t="n">
        <f aca="false">IFERROR(INDEX(medicine_master!$G$2:$G$26,MATCH($C1947,medicine_master!$A$2:$A$26,0)),0)</f>
        <v>58</v>
      </c>
      <c r="N1947" s="45" t="n">
        <f aca="false">IF(D1947="Sale",E1947*L1947,0)</f>
        <v>1600</v>
      </c>
      <c r="O1947" s="45" t="n">
        <f aca="false">IF(D1947="Sale",E1947*M1947,0)</f>
        <v>1160</v>
      </c>
      <c r="P1947" s="45" t="n">
        <f aca="false">N1947-O1947</f>
        <v>440</v>
      </c>
      <c r="Q1947" s="45" t="n">
        <f aca="false">IF(D1947="Purchase",E1947*M1947,0)</f>
        <v>0</v>
      </c>
    </row>
    <row r="1948" customFormat="false" ht="15" hidden="false" customHeight="false" outlineLevel="0" collapsed="false">
      <c r="A1948" s="39" t="s">
        <v>2272</v>
      </c>
      <c r="B1948" s="44" t="n">
        <v>46078</v>
      </c>
      <c r="C1948" s="39" t="s">
        <v>149</v>
      </c>
      <c r="D1948" s="39" t="s">
        <v>137</v>
      </c>
      <c r="E1948" s="39" t="n">
        <v>50</v>
      </c>
      <c r="F1948" s="39" t="str">
        <f aca="false">IF(COUNTIF(medicine_master!$A$2:$A$26,C1948)&gt;0,"Valid","Invalid")</f>
        <v>Valid</v>
      </c>
      <c r="G1948" s="39" t="str">
        <f aca="false">IFERROR(INDEX(medicine_master!$B$2:$B$26,MATCH($C1948,medicine_master!$A$2:$A$26,0)),"Not found")</f>
        <v>Azithromycin 500mg</v>
      </c>
      <c r="H1948" s="39" t="str">
        <f aca="false">IFERROR(INDEX(medicine_master!$C$2:$C$26,MATCH($C1948,medicine_master!$A$2:$A$26,0)),"Not found")</f>
        <v>Antibiotic</v>
      </c>
      <c r="I1948" s="39" t="n">
        <f aca="false">YEAR(B1948)</f>
        <v>2026</v>
      </c>
      <c r="J1948" s="39" t="n">
        <f aca="false">MONTH(B1948)</f>
        <v>2</v>
      </c>
      <c r="K1948" s="39" t="str">
        <f aca="false">TEXT(B1948,"mmm")</f>
        <v>Feb</v>
      </c>
      <c r="L1948" s="45" t="n">
        <f aca="false">IFERROR(INDEX(medicine_master!$I$2:$I$26,MATCH($C1948,medicine_master!$A$2:$A$26,0)),0)</f>
        <v>50</v>
      </c>
      <c r="M1948" s="45" t="n">
        <f aca="false">IFERROR(INDEX(medicine_master!$G$2:$G$26,MATCH($C1948,medicine_master!$A$2:$A$26,0)),0)</f>
        <v>35</v>
      </c>
      <c r="N1948" s="45" t="n">
        <f aca="false">IF(D1948="Sale",E1948*L1948,0)</f>
        <v>2500</v>
      </c>
      <c r="O1948" s="45" t="n">
        <f aca="false">IF(D1948="Sale",E1948*M1948,0)</f>
        <v>1750</v>
      </c>
      <c r="P1948" s="45" t="n">
        <f aca="false">N1948-O1948</f>
        <v>750</v>
      </c>
      <c r="Q1948" s="45" t="n">
        <f aca="false">IF(D1948="Purchase",E1948*M1948,0)</f>
        <v>0</v>
      </c>
    </row>
    <row r="1949" customFormat="false" ht="15" hidden="false" customHeight="false" outlineLevel="0" collapsed="false">
      <c r="A1949" s="39" t="s">
        <v>2273</v>
      </c>
      <c r="B1949" s="44" t="n">
        <v>46260</v>
      </c>
      <c r="C1949" s="39" t="s">
        <v>177</v>
      </c>
      <c r="D1949" s="39" t="s">
        <v>138</v>
      </c>
      <c r="E1949" s="39" t="n">
        <v>20</v>
      </c>
      <c r="F1949" s="39" t="str">
        <f aca="false">IF(COUNTIF(medicine_master!$A$2:$A$26,C1949)&gt;0,"Valid","Invalid")</f>
        <v>Valid</v>
      </c>
      <c r="G1949" s="39" t="str">
        <f aca="false">IFERROR(INDEX(medicine_master!$B$2:$B$26,MATCH($C1949,medicine_master!$A$2:$A$26,0)),"Not found")</f>
        <v>Bandage Roll</v>
      </c>
      <c r="H1949" s="39" t="str">
        <f aca="false">IFERROR(INDEX(medicine_master!$C$2:$C$26,MATCH($C1949,medicine_master!$A$2:$A$26,0)),"Not found")</f>
        <v>First Aid</v>
      </c>
      <c r="I1949" s="39" t="n">
        <f aca="false">YEAR(B1949)</f>
        <v>2026</v>
      </c>
      <c r="J1949" s="39" t="n">
        <f aca="false">MONTH(B1949)</f>
        <v>8</v>
      </c>
      <c r="K1949" s="39" t="str">
        <f aca="false">TEXT(B1949,"mmm")</f>
        <v>Aug</v>
      </c>
      <c r="L1949" s="45" t="n">
        <f aca="false">IFERROR(INDEX(medicine_master!$I$2:$I$26,MATCH($C1949,medicine_master!$A$2:$A$26,0)),0)</f>
        <v>25</v>
      </c>
      <c r="M1949" s="45" t="n">
        <f aca="false">IFERROR(INDEX(medicine_master!$G$2:$G$26,MATCH($C1949,medicine_master!$A$2:$A$26,0)),0)</f>
        <v>15</v>
      </c>
      <c r="N1949" s="45" t="n">
        <f aca="false">IF(D1949="Sale",E1949*L1949,0)</f>
        <v>0</v>
      </c>
      <c r="O1949" s="45" t="n">
        <f aca="false">IF(D1949="Sale",E1949*M1949,0)</f>
        <v>0</v>
      </c>
      <c r="P1949" s="45" t="n">
        <f aca="false">N1949-O1949</f>
        <v>0</v>
      </c>
      <c r="Q1949" s="45" t="n">
        <f aca="false">IF(D1949="Purchase",E1949*M1949,0)</f>
        <v>300</v>
      </c>
    </row>
    <row r="1950" customFormat="false" ht="15" hidden="false" customHeight="false" outlineLevel="0" collapsed="false">
      <c r="A1950" s="39" t="s">
        <v>2274</v>
      </c>
      <c r="B1950" s="44" t="n">
        <v>46030</v>
      </c>
      <c r="C1950" s="39" t="s">
        <v>147</v>
      </c>
      <c r="D1950" s="39" t="s">
        <v>137</v>
      </c>
      <c r="E1950" s="39" t="n">
        <v>25</v>
      </c>
      <c r="F1950" s="39" t="str">
        <f aca="false">IF(COUNTIF(medicine_master!$A$2:$A$26,C1950)&gt;0,"Valid","Invalid")</f>
        <v>Valid</v>
      </c>
      <c r="G1950" s="39" t="str">
        <f aca="false">IFERROR(INDEX(medicine_master!$B$2:$B$26,MATCH($C1950,medicine_master!$A$2:$A$26,0)),"Not found")</f>
        <v>Insulin Injection</v>
      </c>
      <c r="H1950" s="39" t="str">
        <f aca="false">IFERROR(INDEX(medicine_master!$C$2:$C$26,MATCH($C1950,medicine_master!$A$2:$A$26,0)),"Not found")</f>
        <v>Diabetes</v>
      </c>
      <c r="I1950" s="39" t="n">
        <f aca="false">YEAR(B1950)</f>
        <v>2026</v>
      </c>
      <c r="J1950" s="39" t="n">
        <f aca="false">MONTH(B1950)</f>
        <v>1</v>
      </c>
      <c r="K1950" s="39" t="str">
        <f aca="false">TEXT(B1950,"mmm")</f>
        <v>Jan</v>
      </c>
      <c r="L1950" s="45" t="n">
        <f aca="false">IFERROR(INDEX(medicine_master!$I$2:$I$26,MATCH($C1950,medicine_master!$A$2:$A$26,0)),0)</f>
        <v>225</v>
      </c>
      <c r="M1950" s="45" t="n">
        <f aca="false">IFERROR(INDEX(medicine_master!$G$2:$G$26,MATCH($C1950,medicine_master!$A$2:$A$26,0)),0)</f>
        <v>165</v>
      </c>
      <c r="N1950" s="45" t="n">
        <f aca="false">IF(D1950="Sale",E1950*L1950,0)</f>
        <v>5625</v>
      </c>
      <c r="O1950" s="45" t="n">
        <f aca="false">IF(D1950="Sale",E1950*M1950,0)</f>
        <v>4125</v>
      </c>
      <c r="P1950" s="45" t="n">
        <f aca="false">N1950-O1950</f>
        <v>1500</v>
      </c>
      <c r="Q1950" s="45" t="n">
        <f aca="false">IF(D1950="Purchase",E1950*M1950,0)</f>
        <v>0</v>
      </c>
    </row>
    <row r="1951" customFormat="false" ht="15" hidden="false" customHeight="false" outlineLevel="0" collapsed="false">
      <c r="A1951" s="39" t="s">
        <v>2275</v>
      </c>
      <c r="B1951" s="44" t="n">
        <v>46088</v>
      </c>
      <c r="C1951" s="39" t="s">
        <v>159</v>
      </c>
      <c r="D1951" s="39" t="s">
        <v>137</v>
      </c>
      <c r="E1951" s="39" t="n">
        <v>20</v>
      </c>
      <c r="F1951" s="39" t="str">
        <f aca="false">IF(COUNTIF(medicine_master!$A$2:$A$26,C1951)&gt;0,"Valid","Invalid")</f>
        <v>Valid</v>
      </c>
      <c r="G1951" s="39" t="str">
        <f aca="false">IFERROR(INDEX(medicine_master!$B$2:$B$26,MATCH($C1951,medicine_master!$A$2:$A$26,0)),"Not found")</f>
        <v>Antiseptic Liquid 100ml</v>
      </c>
      <c r="H1951" s="39" t="str">
        <f aca="false">IFERROR(INDEX(medicine_master!$C$2:$C$26,MATCH($C1951,medicine_master!$A$2:$A$26,0)),"Not found")</f>
        <v>First Aid</v>
      </c>
      <c r="I1951" s="39" t="n">
        <f aca="false">YEAR(B1951)</f>
        <v>2026</v>
      </c>
      <c r="J1951" s="39" t="n">
        <f aca="false">MONTH(B1951)</f>
        <v>3</v>
      </c>
      <c r="K1951" s="39" t="str">
        <f aca="false">TEXT(B1951,"mmm")</f>
        <v>Mar</v>
      </c>
      <c r="L1951" s="45" t="n">
        <f aca="false">IFERROR(INDEX(medicine_master!$I$2:$I$26,MATCH($C1951,medicine_master!$A$2:$A$26,0)),0)</f>
        <v>65</v>
      </c>
      <c r="M1951" s="45" t="n">
        <f aca="false">IFERROR(INDEX(medicine_master!$G$2:$G$26,MATCH($C1951,medicine_master!$A$2:$A$26,0)),0)</f>
        <v>48</v>
      </c>
      <c r="N1951" s="45" t="n">
        <f aca="false">IF(D1951="Sale",E1951*L1951,0)</f>
        <v>1300</v>
      </c>
      <c r="O1951" s="45" t="n">
        <f aca="false">IF(D1951="Sale",E1951*M1951,0)</f>
        <v>960</v>
      </c>
      <c r="P1951" s="45" t="n">
        <f aca="false">N1951-O1951</f>
        <v>340</v>
      </c>
      <c r="Q1951" s="45" t="n">
        <f aca="false">IF(D1951="Purchase",E1951*M1951,0)</f>
        <v>0</v>
      </c>
    </row>
    <row r="1952" customFormat="false" ht="15" hidden="false" customHeight="false" outlineLevel="0" collapsed="false">
      <c r="A1952" s="39" t="s">
        <v>2276</v>
      </c>
      <c r="B1952" s="44" t="n">
        <v>46172</v>
      </c>
      <c r="C1952" s="39" t="s">
        <v>153</v>
      </c>
      <c r="D1952" s="39" t="s">
        <v>138</v>
      </c>
      <c r="E1952" s="39" t="n">
        <v>30</v>
      </c>
      <c r="F1952" s="39" t="str">
        <f aca="false">IF(COUNTIF(medicine_master!$A$2:$A$26,C1952)&gt;0,"Valid","Invalid")</f>
        <v>Valid</v>
      </c>
      <c r="G1952" s="39" t="str">
        <f aca="false">IFERROR(INDEX(medicine_master!$B$2:$B$26,MATCH($C1952,medicine_master!$A$2:$A$26,0)),"Not found")</f>
        <v>Atorvastatin 10mg</v>
      </c>
      <c r="H1952" s="39" t="str">
        <f aca="false">IFERROR(INDEX(medicine_master!$C$2:$C$26,MATCH($C1952,medicine_master!$A$2:$A$26,0)),"Not found")</f>
        <v>Cardiac</v>
      </c>
      <c r="I1952" s="39" t="n">
        <f aca="false">YEAR(B1952)</f>
        <v>2026</v>
      </c>
      <c r="J1952" s="39" t="n">
        <f aca="false">MONTH(B1952)</f>
        <v>5</v>
      </c>
      <c r="K1952" s="39" t="str">
        <f aca="false">TEXT(B1952,"mmm")</f>
        <v>May</v>
      </c>
      <c r="L1952" s="45" t="n">
        <f aca="false">IFERROR(INDEX(medicine_master!$I$2:$I$26,MATCH($C1952,medicine_master!$A$2:$A$26,0)),0)</f>
        <v>28</v>
      </c>
      <c r="M1952" s="45" t="n">
        <f aca="false">IFERROR(INDEX(medicine_master!$G$2:$G$26,MATCH($C1952,medicine_master!$A$2:$A$26,0)),0)</f>
        <v>19</v>
      </c>
      <c r="N1952" s="45" t="n">
        <f aca="false">IF(D1952="Sale",E1952*L1952,0)</f>
        <v>0</v>
      </c>
      <c r="O1952" s="45" t="n">
        <f aca="false">IF(D1952="Sale",E1952*M1952,0)</f>
        <v>0</v>
      </c>
      <c r="P1952" s="45" t="n">
        <f aca="false">N1952-O1952</f>
        <v>0</v>
      </c>
      <c r="Q1952" s="45" t="n">
        <f aca="false">IF(D1952="Purchase",E1952*M1952,0)</f>
        <v>570</v>
      </c>
    </row>
    <row r="1953" customFormat="false" ht="15" hidden="false" customHeight="false" outlineLevel="0" collapsed="false">
      <c r="A1953" s="39" t="s">
        <v>2277</v>
      </c>
      <c r="B1953" s="44" t="n">
        <v>46240</v>
      </c>
      <c r="C1953" s="39" t="s">
        <v>167</v>
      </c>
      <c r="D1953" s="39" t="s">
        <v>137</v>
      </c>
      <c r="E1953" s="39" t="n">
        <v>20</v>
      </c>
      <c r="F1953" s="39" t="str">
        <f aca="false">IF(COUNTIF(medicine_master!$A$2:$A$26,C1953)&gt;0,"Valid","Invalid")</f>
        <v>Valid</v>
      </c>
      <c r="G1953" s="39" t="str">
        <f aca="false">IFERROR(INDEX(medicine_master!$B$2:$B$26,MATCH($C1953,medicine_master!$A$2:$A$26,0)),"Not found")</f>
        <v>Amlodipine 5mg</v>
      </c>
      <c r="H1953" s="39" t="str">
        <f aca="false">IFERROR(INDEX(medicine_master!$C$2:$C$26,MATCH($C1953,medicine_master!$A$2:$A$26,0)),"Not found")</f>
        <v>Cardiac</v>
      </c>
      <c r="I1953" s="39" t="n">
        <f aca="false">YEAR(B1953)</f>
        <v>2026</v>
      </c>
      <c r="J1953" s="39" t="n">
        <f aca="false">MONTH(B1953)</f>
        <v>8</v>
      </c>
      <c r="K1953" s="39" t="str">
        <f aca="false">TEXT(B1953,"mmm")</f>
        <v>Aug</v>
      </c>
      <c r="L1953" s="45" t="n">
        <f aca="false">IFERROR(INDEX(medicine_master!$I$2:$I$26,MATCH($C1953,medicine_master!$A$2:$A$26,0)),0)</f>
        <v>19</v>
      </c>
      <c r="M1953" s="45" t="n">
        <f aca="false">IFERROR(INDEX(medicine_master!$G$2:$G$26,MATCH($C1953,medicine_master!$A$2:$A$26,0)),0)</f>
        <v>13</v>
      </c>
      <c r="N1953" s="45" t="n">
        <f aca="false">IF(D1953="Sale",E1953*L1953,0)</f>
        <v>380</v>
      </c>
      <c r="O1953" s="45" t="n">
        <f aca="false">IF(D1953="Sale",E1953*M1953,0)</f>
        <v>260</v>
      </c>
      <c r="P1953" s="45" t="n">
        <f aca="false">N1953-O1953</f>
        <v>120</v>
      </c>
      <c r="Q1953" s="45" t="n">
        <f aca="false">IF(D1953="Purchase",E1953*M1953,0)</f>
        <v>0</v>
      </c>
    </row>
    <row r="1954" customFormat="false" ht="15" hidden="false" customHeight="false" outlineLevel="0" collapsed="false">
      <c r="A1954" s="39" t="s">
        <v>2278</v>
      </c>
      <c r="B1954" s="44" t="n">
        <v>46174</v>
      </c>
      <c r="C1954" s="39" t="s">
        <v>151</v>
      </c>
      <c r="D1954" s="39" t="s">
        <v>137</v>
      </c>
      <c r="E1954" s="39" t="n">
        <v>40</v>
      </c>
      <c r="F1954" s="39" t="str">
        <f aca="false">IF(COUNTIF(medicine_master!$A$2:$A$26,C1954)&gt;0,"Valid","Invalid")</f>
        <v>Valid</v>
      </c>
      <c r="G1954" s="39" t="str">
        <f aca="false">IFERROR(INDEX(medicine_master!$B$2:$B$26,MATCH($C1954,medicine_master!$A$2:$A$26,0)),"Not found")</f>
        <v>Cetirizine 10mg</v>
      </c>
      <c r="H1954" s="39" t="str">
        <f aca="false">IFERROR(INDEX(medicine_master!$C$2:$C$26,MATCH($C1954,medicine_master!$A$2:$A$26,0)),"Not found")</f>
        <v>Allergy</v>
      </c>
      <c r="I1954" s="39" t="n">
        <f aca="false">YEAR(B1954)</f>
        <v>2026</v>
      </c>
      <c r="J1954" s="39" t="n">
        <f aca="false">MONTH(B1954)</f>
        <v>6</v>
      </c>
      <c r="K1954" s="39" t="str">
        <f aca="false">TEXT(B1954,"mmm")</f>
        <v>Jun</v>
      </c>
      <c r="L1954" s="45" t="n">
        <f aca="false">IFERROR(INDEX(medicine_master!$I$2:$I$26,MATCH($C1954,medicine_master!$A$2:$A$26,0)),0)</f>
        <v>13</v>
      </c>
      <c r="M1954" s="45" t="n">
        <f aca="false">IFERROR(INDEX(medicine_master!$G$2:$G$26,MATCH($C1954,medicine_master!$A$2:$A$26,0)),0)</f>
        <v>8</v>
      </c>
      <c r="N1954" s="45" t="n">
        <f aca="false">IF(D1954="Sale",E1954*L1954,0)</f>
        <v>520</v>
      </c>
      <c r="O1954" s="45" t="n">
        <f aca="false">IF(D1954="Sale",E1954*M1954,0)</f>
        <v>320</v>
      </c>
      <c r="P1954" s="45" t="n">
        <f aca="false">N1954-O1954</f>
        <v>200</v>
      </c>
      <c r="Q1954" s="45" t="n">
        <f aca="false">IF(D1954="Purchase",E1954*M1954,0)</f>
        <v>0</v>
      </c>
    </row>
    <row r="1955" customFormat="false" ht="15" hidden="false" customHeight="false" outlineLevel="0" collapsed="false">
      <c r="A1955" s="39" t="s">
        <v>2279</v>
      </c>
      <c r="B1955" s="44" t="n">
        <v>46116</v>
      </c>
      <c r="C1955" s="39" t="s">
        <v>151</v>
      </c>
      <c r="D1955" s="39" t="s">
        <v>138</v>
      </c>
      <c r="E1955" s="39" t="n">
        <v>10</v>
      </c>
      <c r="F1955" s="39" t="str">
        <f aca="false">IF(COUNTIF(medicine_master!$A$2:$A$26,C1955)&gt;0,"Valid","Invalid")</f>
        <v>Valid</v>
      </c>
      <c r="G1955" s="39" t="str">
        <f aca="false">IFERROR(INDEX(medicine_master!$B$2:$B$26,MATCH($C1955,medicine_master!$A$2:$A$26,0)),"Not found")</f>
        <v>Cetirizine 10mg</v>
      </c>
      <c r="H1955" s="39" t="str">
        <f aca="false">IFERROR(INDEX(medicine_master!$C$2:$C$26,MATCH($C1955,medicine_master!$A$2:$A$26,0)),"Not found")</f>
        <v>Allergy</v>
      </c>
      <c r="I1955" s="39" t="n">
        <f aca="false">YEAR(B1955)</f>
        <v>2026</v>
      </c>
      <c r="J1955" s="39" t="n">
        <f aca="false">MONTH(B1955)</f>
        <v>4</v>
      </c>
      <c r="K1955" s="39" t="str">
        <f aca="false">TEXT(B1955,"mmm")</f>
        <v>Apr</v>
      </c>
      <c r="L1955" s="45" t="n">
        <f aca="false">IFERROR(INDEX(medicine_master!$I$2:$I$26,MATCH($C1955,medicine_master!$A$2:$A$26,0)),0)</f>
        <v>13</v>
      </c>
      <c r="M1955" s="45" t="n">
        <f aca="false">IFERROR(INDEX(medicine_master!$G$2:$G$26,MATCH($C1955,medicine_master!$A$2:$A$26,0)),0)</f>
        <v>8</v>
      </c>
      <c r="N1955" s="45" t="n">
        <f aca="false">IF(D1955="Sale",E1955*L1955,0)</f>
        <v>0</v>
      </c>
      <c r="O1955" s="45" t="n">
        <f aca="false">IF(D1955="Sale",E1955*M1955,0)</f>
        <v>0</v>
      </c>
      <c r="P1955" s="45" t="n">
        <f aca="false">N1955-O1955</f>
        <v>0</v>
      </c>
      <c r="Q1955" s="45" t="n">
        <f aca="false">IF(D1955="Purchase",E1955*M1955,0)</f>
        <v>80</v>
      </c>
    </row>
    <row r="1956" customFormat="false" ht="15" hidden="false" customHeight="false" outlineLevel="0" collapsed="false">
      <c r="A1956" s="39" t="s">
        <v>2280</v>
      </c>
      <c r="B1956" s="44" t="n">
        <v>46178</v>
      </c>
      <c r="C1956" s="39" t="s">
        <v>144</v>
      </c>
      <c r="D1956" s="39" t="s">
        <v>137</v>
      </c>
      <c r="E1956" s="39" t="n">
        <v>25</v>
      </c>
      <c r="F1956" s="39" t="str">
        <f aca="false">IF(COUNTIF(medicine_master!$A$2:$A$26,C1956)&gt;0,"Valid","Invalid")</f>
        <v>Valid</v>
      </c>
      <c r="G1956" s="39" t="str">
        <f aca="false">IFERROR(INDEX(medicine_master!$B$2:$B$26,MATCH($C1956,medicine_master!$A$2:$A$26,0)),"Not found")</f>
        <v>Glimepiride 2mg</v>
      </c>
      <c r="H1956" s="39" t="str">
        <f aca="false">IFERROR(INDEX(medicine_master!$C$2:$C$26,MATCH($C1956,medicine_master!$A$2:$A$26,0)),"Not found")</f>
        <v>Diabetes</v>
      </c>
      <c r="I1956" s="39" t="n">
        <f aca="false">YEAR(B1956)</f>
        <v>2026</v>
      </c>
      <c r="J1956" s="39" t="n">
        <f aca="false">MONTH(B1956)</f>
        <v>6</v>
      </c>
      <c r="K1956" s="39" t="str">
        <f aca="false">TEXT(B1956,"mmm")</f>
        <v>Jun</v>
      </c>
      <c r="L1956" s="45" t="n">
        <f aca="false">IFERROR(INDEX(medicine_master!$I$2:$I$26,MATCH($C1956,medicine_master!$A$2:$A$26,0)),0)</f>
        <v>52</v>
      </c>
      <c r="M1956" s="45" t="n">
        <f aca="false">IFERROR(INDEX(medicine_master!$G$2:$G$26,MATCH($C1956,medicine_master!$A$2:$A$26,0)),0)</f>
        <v>38</v>
      </c>
      <c r="N1956" s="45" t="n">
        <f aca="false">IF(D1956="Sale",E1956*L1956,0)</f>
        <v>1300</v>
      </c>
      <c r="O1956" s="45" t="n">
        <f aca="false">IF(D1956="Sale",E1956*M1956,0)</f>
        <v>950</v>
      </c>
      <c r="P1956" s="45" t="n">
        <f aca="false">N1956-O1956</f>
        <v>350</v>
      </c>
      <c r="Q1956" s="45" t="n">
        <f aca="false">IF(D1956="Purchase",E1956*M1956,0)</f>
        <v>0</v>
      </c>
    </row>
    <row r="1957" customFormat="false" ht="15" hidden="false" customHeight="false" outlineLevel="0" collapsed="false">
      <c r="A1957" s="39" t="s">
        <v>2281</v>
      </c>
      <c r="B1957" s="44" t="n">
        <v>46199</v>
      </c>
      <c r="C1957" s="39" t="s">
        <v>390</v>
      </c>
      <c r="D1957" s="39" t="s">
        <v>137</v>
      </c>
      <c r="E1957" s="39" t="n">
        <v>20</v>
      </c>
      <c r="F1957" s="39" t="str">
        <f aca="false">IF(COUNTIF(medicine_master!$A$2:$A$26,C1957)&gt;0,"Valid","Invalid")</f>
        <v>Valid</v>
      </c>
      <c r="G1957" s="39" t="str">
        <f aca="false">IFERROR(INDEX(medicine_master!$B$2:$B$26,MATCH($C1957,medicine_master!$A$2:$A$26,0)),"Not found")</f>
        <v>Montelukast 10mg</v>
      </c>
      <c r="H1957" s="39" t="str">
        <f aca="false">IFERROR(INDEX(medicine_master!$C$2:$C$26,MATCH($C1957,medicine_master!$A$2:$A$26,0)),"Not found")</f>
        <v>Allergy</v>
      </c>
      <c r="I1957" s="39" t="n">
        <f aca="false">YEAR(B1957)</f>
        <v>2026</v>
      </c>
      <c r="J1957" s="39" t="n">
        <f aca="false">MONTH(B1957)</f>
        <v>6</v>
      </c>
      <c r="K1957" s="39" t="str">
        <f aca="false">TEXT(B1957,"mmm")</f>
        <v>Jun</v>
      </c>
      <c r="L1957" s="45" t="n">
        <f aca="false">IFERROR(INDEX(medicine_master!$I$2:$I$26,MATCH($C1957,medicine_master!$A$2:$A$26,0)),0)</f>
        <v>39</v>
      </c>
      <c r="M1957" s="45" t="n">
        <f aca="false">IFERROR(INDEX(medicine_master!$G$2:$G$26,MATCH($C1957,medicine_master!$A$2:$A$26,0)),0)</f>
        <v>27</v>
      </c>
      <c r="N1957" s="45" t="n">
        <f aca="false">IF(D1957="Sale",E1957*L1957,0)</f>
        <v>780</v>
      </c>
      <c r="O1957" s="45" t="n">
        <f aca="false">IF(D1957="Sale",E1957*M1957,0)</f>
        <v>540</v>
      </c>
      <c r="P1957" s="45" t="n">
        <f aca="false">N1957-O1957</f>
        <v>240</v>
      </c>
      <c r="Q1957" s="45" t="n">
        <f aca="false">IF(D1957="Purchase",E1957*M1957,0)</f>
        <v>0</v>
      </c>
    </row>
    <row r="1958" customFormat="false" ht="15" hidden="false" customHeight="false" outlineLevel="0" collapsed="false">
      <c r="A1958" s="39" t="s">
        <v>2282</v>
      </c>
      <c r="B1958" s="44" t="n">
        <v>46225</v>
      </c>
      <c r="C1958" s="39" t="s">
        <v>178</v>
      </c>
      <c r="D1958" s="39" t="s">
        <v>137</v>
      </c>
      <c r="E1958" s="39" t="n">
        <v>10</v>
      </c>
      <c r="F1958" s="39" t="str">
        <f aca="false">IF(COUNTIF(medicine_master!$A$2:$A$26,C1958)&gt;0,"Valid","Invalid")</f>
        <v>Valid</v>
      </c>
      <c r="G1958" s="39" t="str">
        <f aca="false">IFERROR(INDEX(medicine_master!$B$2:$B$26,MATCH($C1958,medicine_master!$A$2:$A$26,0)),"Not found")</f>
        <v>Aspirin 75mg</v>
      </c>
      <c r="H1958" s="39" t="str">
        <f aca="false">IFERROR(INDEX(medicine_master!$C$2:$C$26,MATCH($C1958,medicine_master!$A$2:$A$26,0)),"Not found")</f>
        <v>Cardiac</v>
      </c>
      <c r="I1958" s="39" t="n">
        <f aca="false">YEAR(B1958)</f>
        <v>2026</v>
      </c>
      <c r="J1958" s="39" t="n">
        <f aca="false">MONTH(B1958)</f>
        <v>7</v>
      </c>
      <c r="K1958" s="39" t="str">
        <f aca="false">TEXT(B1958,"mmm")</f>
        <v>Jul</v>
      </c>
      <c r="L1958" s="45" t="n">
        <f aca="false">IFERROR(INDEX(medicine_master!$I$2:$I$26,MATCH($C1958,medicine_master!$A$2:$A$26,0)),0)</f>
        <v>15</v>
      </c>
      <c r="M1958" s="45" t="n">
        <f aca="false">IFERROR(INDEX(medicine_master!$G$2:$G$26,MATCH($C1958,medicine_master!$A$2:$A$26,0)),0)</f>
        <v>10</v>
      </c>
      <c r="N1958" s="45" t="n">
        <f aca="false">IF(D1958="Sale",E1958*L1958,0)</f>
        <v>150</v>
      </c>
      <c r="O1958" s="45" t="n">
        <f aca="false">IF(D1958="Sale",E1958*M1958,0)</f>
        <v>100</v>
      </c>
      <c r="P1958" s="45" t="n">
        <f aca="false">N1958-O1958</f>
        <v>50</v>
      </c>
      <c r="Q1958" s="45" t="n">
        <f aca="false">IF(D1958="Purchase",E1958*M1958,0)</f>
        <v>0</v>
      </c>
    </row>
    <row r="1959" customFormat="false" ht="15" hidden="false" customHeight="false" outlineLevel="0" collapsed="false">
      <c r="A1959" s="39" t="s">
        <v>2283</v>
      </c>
      <c r="B1959" s="44" t="n">
        <v>46385</v>
      </c>
      <c r="C1959" s="39" t="s">
        <v>158</v>
      </c>
      <c r="D1959" s="39" t="s">
        <v>137</v>
      </c>
      <c r="E1959" s="39" t="n">
        <v>30</v>
      </c>
      <c r="F1959" s="39" t="str">
        <f aca="false">IF(COUNTIF(medicine_master!$A$2:$A$26,C1959)&gt;0,"Valid","Invalid")</f>
        <v>Valid</v>
      </c>
      <c r="G1959" s="39" t="str">
        <f aca="false">IFERROR(INDEX(medicine_master!$B$2:$B$26,MATCH($C1959,medicine_master!$A$2:$A$26,0)),"Not found")</f>
        <v>Cough Syrup 100ml</v>
      </c>
      <c r="H1959" s="39" t="str">
        <f aca="false">IFERROR(INDEX(medicine_master!$C$2:$C$26,MATCH($C1959,medicine_master!$A$2:$A$26,0)),"Not found")</f>
        <v>Cold &amp; Cough</v>
      </c>
      <c r="I1959" s="39" t="n">
        <f aca="false">YEAR(B1959)</f>
        <v>2026</v>
      </c>
      <c r="J1959" s="39" t="n">
        <f aca="false">MONTH(B1959)</f>
        <v>12</v>
      </c>
      <c r="K1959" s="39" t="str">
        <f aca="false">TEXT(B1959,"mmm")</f>
        <v>Dec</v>
      </c>
      <c r="L1959" s="45" t="n">
        <f aca="false">IFERROR(INDEX(medicine_master!$I$2:$I$26,MATCH($C1959,medicine_master!$A$2:$A$26,0)),0)</f>
        <v>72</v>
      </c>
      <c r="M1959" s="45" t="n">
        <f aca="false">IFERROR(INDEX(medicine_master!$G$2:$G$26,MATCH($C1959,medicine_master!$A$2:$A$26,0)),0)</f>
        <v>52</v>
      </c>
      <c r="N1959" s="45" t="n">
        <f aca="false">IF(D1959="Sale",E1959*L1959,0)</f>
        <v>2160</v>
      </c>
      <c r="O1959" s="45" t="n">
        <f aca="false">IF(D1959="Sale",E1959*M1959,0)</f>
        <v>1560</v>
      </c>
      <c r="P1959" s="45" t="n">
        <f aca="false">N1959-O1959</f>
        <v>600</v>
      </c>
      <c r="Q1959" s="45" t="n">
        <f aca="false">IF(D1959="Purchase",E1959*M1959,0)</f>
        <v>0</v>
      </c>
    </row>
    <row r="1960" customFormat="false" ht="15" hidden="false" customHeight="false" outlineLevel="0" collapsed="false">
      <c r="A1960" s="39" t="s">
        <v>2284</v>
      </c>
      <c r="B1960" s="44" t="n">
        <v>46045</v>
      </c>
      <c r="C1960" s="39" t="s">
        <v>178</v>
      </c>
      <c r="D1960" s="39" t="s">
        <v>138</v>
      </c>
      <c r="E1960" s="39" t="n">
        <v>5</v>
      </c>
      <c r="F1960" s="39" t="str">
        <f aca="false">IF(COUNTIF(medicine_master!$A$2:$A$26,C1960)&gt;0,"Valid","Invalid")</f>
        <v>Valid</v>
      </c>
      <c r="G1960" s="39" t="str">
        <f aca="false">IFERROR(INDEX(medicine_master!$B$2:$B$26,MATCH($C1960,medicine_master!$A$2:$A$26,0)),"Not found")</f>
        <v>Aspirin 75mg</v>
      </c>
      <c r="H1960" s="39" t="str">
        <f aca="false">IFERROR(INDEX(medicine_master!$C$2:$C$26,MATCH($C1960,medicine_master!$A$2:$A$26,0)),"Not found")</f>
        <v>Cardiac</v>
      </c>
      <c r="I1960" s="39" t="n">
        <f aca="false">YEAR(B1960)</f>
        <v>2026</v>
      </c>
      <c r="J1960" s="39" t="n">
        <f aca="false">MONTH(B1960)</f>
        <v>1</v>
      </c>
      <c r="K1960" s="39" t="str">
        <f aca="false">TEXT(B1960,"mmm")</f>
        <v>Jan</v>
      </c>
      <c r="L1960" s="45" t="n">
        <f aca="false">IFERROR(INDEX(medicine_master!$I$2:$I$26,MATCH($C1960,medicine_master!$A$2:$A$26,0)),0)</f>
        <v>15</v>
      </c>
      <c r="M1960" s="45" t="n">
        <f aca="false">IFERROR(INDEX(medicine_master!$G$2:$G$26,MATCH($C1960,medicine_master!$A$2:$A$26,0)),0)</f>
        <v>10</v>
      </c>
      <c r="N1960" s="45" t="n">
        <f aca="false">IF(D1960="Sale",E1960*L1960,0)</f>
        <v>0</v>
      </c>
      <c r="O1960" s="45" t="n">
        <f aca="false">IF(D1960="Sale",E1960*M1960,0)</f>
        <v>0</v>
      </c>
      <c r="P1960" s="45" t="n">
        <f aca="false">N1960-O1960</f>
        <v>0</v>
      </c>
      <c r="Q1960" s="45" t="n">
        <f aca="false">IF(D1960="Purchase",E1960*M1960,0)</f>
        <v>50</v>
      </c>
    </row>
    <row r="1961" customFormat="false" ht="15" hidden="false" customHeight="false" outlineLevel="0" collapsed="false">
      <c r="A1961" s="39" t="s">
        <v>2285</v>
      </c>
      <c r="B1961" s="44" t="n">
        <v>46044</v>
      </c>
      <c r="C1961" s="39" t="s">
        <v>326</v>
      </c>
      <c r="D1961" s="39" t="s">
        <v>138</v>
      </c>
      <c r="E1961" s="39" t="n">
        <v>20</v>
      </c>
      <c r="F1961" s="39" t="str">
        <f aca="false">IF(COUNTIF(medicine_master!$A$2:$A$26,C1961)&gt;0,"Valid","Invalid")</f>
        <v>Valid</v>
      </c>
      <c r="G1961" s="39" t="str">
        <f aca="false">IFERROR(INDEX(medicine_master!$B$2:$B$26,MATCH($C1961,medicine_master!$A$2:$A$26,0)),"Not found")</f>
        <v>Omeprazole 20mg</v>
      </c>
      <c r="H1961" s="39" t="str">
        <f aca="false">IFERROR(INDEX(medicine_master!$C$2:$C$26,MATCH($C1961,medicine_master!$A$2:$A$26,0)),"Not found")</f>
        <v>Gastric</v>
      </c>
      <c r="I1961" s="39" t="n">
        <f aca="false">YEAR(B1961)</f>
        <v>2026</v>
      </c>
      <c r="J1961" s="39" t="n">
        <f aca="false">MONTH(B1961)</f>
        <v>1</v>
      </c>
      <c r="K1961" s="39" t="str">
        <f aca="false">TEXT(B1961,"mmm")</f>
        <v>Jan</v>
      </c>
      <c r="L1961" s="45" t="n">
        <f aca="false">IFERROR(INDEX(medicine_master!$I$2:$I$26,MATCH($C1961,medicine_master!$A$2:$A$26,0)),0)</f>
        <v>26</v>
      </c>
      <c r="M1961" s="45" t="n">
        <f aca="false">IFERROR(INDEX(medicine_master!$G$2:$G$26,MATCH($C1961,medicine_master!$A$2:$A$26,0)),0)</f>
        <v>18</v>
      </c>
      <c r="N1961" s="45" t="n">
        <f aca="false">IF(D1961="Sale",E1961*L1961,0)</f>
        <v>0</v>
      </c>
      <c r="O1961" s="45" t="n">
        <f aca="false">IF(D1961="Sale",E1961*M1961,0)</f>
        <v>0</v>
      </c>
      <c r="P1961" s="45" t="n">
        <f aca="false">N1961-O1961</f>
        <v>0</v>
      </c>
      <c r="Q1961" s="45" t="n">
        <f aca="false">IF(D1961="Purchase",E1961*M1961,0)</f>
        <v>360</v>
      </c>
    </row>
    <row r="1962" customFormat="false" ht="15" hidden="false" customHeight="false" outlineLevel="0" collapsed="false">
      <c r="A1962" s="39" t="s">
        <v>2286</v>
      </c>
      <c r="B1962" s="44" t="n">
        <v>46368</v>
      </c>
      <c r="C1962" s="39" t="s">
        <v>157</v>
      </c>
      <c r="D1962" s="39" t="s">
        <v>137</v>
      </c>
      <c r="E1962" s="39" t="n">
        <v>10</v>
      </c>
      <c r="F1962" s="39" t="str">
        <f aca="false">IF(COUNTIF(medicine_master!$A$2:$A$26,C1962)&gt;0,"Valid","Invalid")</f>
        <v>Valid</v>
      </c>
      <c r="G1962" s="39" t="str">
        <f aca="false">IFERROR(INDEX(medicine_master!$B$2:$B$26,MATCH($C1962,medicine_master!$A$2:$A$26,0)),"Not found")</f>
        <v>Multivitamin Tablets</v>
      </c>
      <c r="H1962" s="39" t="str">
        <f aca="false">IFERROR(INDEX(medicine_master!$C$2:$C$26,MATCH($C1962,medicine_master!$A$2:$A$26,0)),"Not found")</f>
        <v>Vitamin</v>
      </c>
      <c r="I1962" s="39" t="n">
        <f aca="false">YEAR(B1962)</f>
        <v>2026</v>
      </c>
      <c r="J1962" s="39" t="n">
        <f aca="false">MONTH(B1962)</f>
        <v>12</v>
      </c>
      <c r="K1962" s="39" t="str">
        <f aca="false">TEXT(B1962,"mmm")</f>
        <v>Dec</v>
      </c>
      <c r="L1962" s="45" t="n">
        <f aca="false">IFERROR(INDEX(medicine_master!$I$2:$I$26,MATCH($C1962,medicine_master!$A$2:$A$26,0)),0)</f>
        <v>105</v>
      </c>
      <c r="M1962" s="45" t="n">
        <f aca="false">IFERROR(INDEX(medicine_master!$G$2:$G$26,MATCH($C1962,medicine_master!$A$2:$A$26,0)),0)</f>
        <v>72</v>
      </c>
      <c r="N1962" s="45" t="n">
        <f aca="false">IF(D1962="Sale",E1962*L1962,0)</f>
        <v>1050</v>
      </c>
      <c r="O1962" s="45" t="n">
        <f aca="false">IF(D1962="Sale",E1962*M1962,0)</f>
        <v>720</v>
      </c>
      <c r="P1962" s="45" t="n">
        <f aca="false">N1962-O1962</f>
        <v>330</v>
      </c>
      <c r="Q1962" s="45" t="n">
        <f aca="false">IF(D1962="Purchase",E1962*M1962,0)</f>
        <v>0</v>
      </c>
    </row>
    <row r="1963" customFormat="false" ht="15" hidden="false" customHeight="false" outlineLevel="0" collapsed="false">
      <c r="A1963" s="39" t="s">
        <v>2287</v>
      </c>
      <c r="B1963" s="44" t="n">
        <v>46275</v>
      </c>
      <c r="C1963" s="39" t="s">
        <v>158</v>
      </c>
      <c r="D1963" s="39" t="s">
        <v>137</v>
      </c>
      <c r="E1963" s="39" t="n">
        <v>25</v>
      </c>
      <c r="F1963" s="39" t="str">
        <f aca="false">IF(COUNTIF(medicine_master!$A$2:$A$26,C1963)&gt;0,"Valid","Invalid")</f>
        <v>Valid</v>
      </c>
      <c r="G1963" s="39" t="str">
        <f aca="false">IFERROR(INDEX(medicine_master!$B$2:$B$26,MATCH($C1963,medicine_master!$A$2:$A$26,0)),"Not found")</f>
        <v>Cough Syrup 100ml</v>
      </c>
      <c r="H1963" s="39" t="str">
        <f aca="false">IFERROR(INDEX(medicine_master!$C$2:$C$26,MATCH($C1963,medicine_master!$A$2:$A$26,0)),"Not found")</f>
        <v>Cold &amp; Cough</v>
      </c>
      <c r="I1963" s="39" t="n">
        <f aca="false">YEAR(B1963)</f>
        <v>2026</v>
      </c>
      <c r="J1963" s="39" t="n">
        <f aca="false">MONTH(B1963)</f>
        <v>9</v>
      </c>
      <c r="K1963" s="39" t="str">
        <f aca="false">TEXT(B1963,"mmm")</f>
        <v>Sep</v>
      </c>
      <c r="L1963" s="45" t="n">
        <f aca="false">IFERROR(INDEX(medicine_master!$I$2:$I$26,MATCH($C1963,medicine_master!$A$2:$A$26,0)),0)</f>
        <v>72</v>
      </c>
      <c r="M1963" s="45" t="n">
        <f aca="false">IFERROR(INDEX(medicine_master!$G$2:$G$26,MATCH($C1963,medicine_master!$A$2:$A$26,0)),0)</f>
        <v>52</v>
      </c>
      <c r="N1963" s="45" t="n">
        <f aca="false">IF(D1963="Sale",E1963*L1963,0)</f>
        <v>1800</v>
      </c>
      <c r="O1963" s="45" t="n">
        <f aca="false">IF(D1963="Sale",E1963*M1963,0)</f>
        <v>1300</v>
      </c>
      <c r="P1963" s="45" t="n">
        <f aca="false">N1963-O1963</f>
        <v>500</v>
      </c>
      <c r="Q1963" s="45" t="n">
        <f aca="false">IF(D1963="Purchase",E1963*M1963,0)</f>
        <v>0</v>
      </c>
    </row>
    <row r="1964" customFormat="false" ht="15" hidden="false" customHeight="false" outlineLevel="0" collapsed="false">
      <c r="A1964" s="39" t="s">
        <v>2288</v>
      </c>
      <c r="B1964" s="44" t="n">
        <v>46338</v>
      </c>
      <c r="C1964" s="39" t="s">
        <v>153</v>
      </c>
      <c r="D1964" s="39" t="s">
        <v>138</v>
      </c>
      <c r="E1964" s="39" t="n">
        <v>30</v>
      </c>
      <c r="F1964" s="39" t="str">
        <f aca="false">IF(COUNTIF(medicine_master!$A$2:$A$26,C1964)&gt;0,"Valid","Invalid")</f>
        <v>Valid</v>
      </c>
      <c r="G1964" s="39" t="str">
        <f aca="false">IFERROR(INDEX(medicine_master!$B$2:$B$26,MATCH($C1964,medicine_master!$A$2:$A$26,0)),"Not found")</f>
        <v>Atorvastatin 10mg</v>
      </c>
      <c r="H1964" s="39" t="str">
        <f aca="false">IFERROR(INDEX(medicine_master!$C$2:$C$26,MATCH($C1964,medicine_master!$A$2:$A$26,0)),"Not found")</f>
        <v>Cardiac</v>
      </c>
      <c r="I1964" s="39" t="n">
        <f aca="false">YEAR(B1964)</f>
        <v>2026</v>
      </c>
      <c r="J1964" s="39" t="n">
        <f aca="false">MONTH(B1964)</f>
        <v>11</v>
      </c>
      <c r="K1964" s="39" t="str">
        <f aca="false">TEXT(B1964,"mmm")</f>
        <v>Nov</v>
      </c>
      <c r="L1964" s="45" t="n">
        <f aca="false">IFERROR(INDEX(medicine_master!$I$2:$I$26,MATCH($C1964,medicine_master!$A$2:$A$26,0)),0)</f>
        <v>28</v>
      </c>
      <c r="M1964" s="45" t="n">
        <f aca="false">IFERROR(INDEX(medicine_master!$G$2:$G$26,MATCH($C1964,medicine_master!$A$2:$A$26,0)),0)</f>
        <v>19</v>
      </c>
      <c r="N1964" s="45" t="n">
        <f aca="false">IF(D1964="Sale",E1964*L1964,0)</f>
        <v>0</v>
      </c>
      <c r="O1964" s="45" t="n">
        <f aca="false">IF(D1964="Sale",E1964*M1964,0)</f>
        <v>0</v>
      </c>
      <c r="P1964" s="45" t="n">
        <f aca="false">N1964-O1964</f>
        <v>0</v>
      </c>
      <c r="Q1964" s="45" t="n">
        <f aca="false">IF(D1964="Purchase",E1964*M1964,0)</f>
        <v>570</v>
      </c>
    </row>
    <row r="1965" customFormat="false" ht="15" hidden="false" customHeight="false" outlineLevel="0" collapsed="false">
      <c r="A1965" s="39" t="s">
        <v>2289</v>
      </c>
      <c r="B1965" s="44" t="n">
        <v>46289</v>
      </c>
      <c r="C1965" s="39" t="s">
        <v>144</v>
      </c>
      <c r="D1965" s="39" t="s">
        <v>137</v>
      </c>
      <c r="E1965" s="39" t="n">
        <v>25</v>
      </c>
      <c r="F1965" s="39" t="str">
        <f aca="false">IF(COUNTIF(medicine_master!$A$2:$A$26,C1965)&gt;0,"Valid","Invalid")</f>
        <v>Valid</v>
      </c>
      <c r="G1965" s="39" t="str">
        <f aca="false">IFERROR(INDEX(medicine_master!$B$2:$B$26,MATCH($C1965,medicine_master!$A$2:$A$26,0)),"Not found")</f>
        <v>Glimepiride 2mg</v>
      </c>
      <c r="H1965" s="39" t="str">
        <f aca="false">IFERROR(INDEX(medicine_master!$C$2:$C$26,MATCH($C1965,medicine_master!$A$2:$A$26,0)),"Not found")</f>
        <v>Diabetes</v>
      </c>
      <c r="I1965" s="39" t="n">
        <f aca="false">YEAR(B1965)</f>
        <v>2026</v>
      </c>
      <c r="J1965" s="39" t="n">
        <f aca="false">MONTH(B1965)</f>
        <v>9</v>
      </c>
      <c r="K1965" s="39" t="str">
        <f aca="false">TEXT(B1965,"mmm")</f>
        <v>Sep</v>
      </c>
      <c r="L1965" s="45" t="n">
        <f aca="false">IFERROR(INDEX(medicine_master!$I$2:$I$26,MATCH($C1965,medicine_master!$A$2:$A$26,0)),0)</f>
        <v>52</v>
      </c>
      <c r="M1965" s="45" t="n">
        <f aca="false">IFERROR(INDEX(medicine_master!$G$2:$G$26,MATCH($C1965,medicine_master!$A$2:$A$26,0)),0)</f>
        <v>38</v>
      </c>
      <c r="N1965" s="45" t="n">
        <f aca="false">IF(D1965="Sale",E1965*L1965,0)</f>
        <v>1300</v>
      </c>
      <c r="O1965" s="45" t="n">
        <f aca="false">IF(D1965="Sale",E1965*M1965,0)</f>
        <v>950</v>
      </c>
      <c r="P1965" s="45" t="n">
        <f aca="false">N1965-O1965</f>
        <v>350</v>
      </c>
      <c r="Q1965" s="45" t="n">
        <f aca="false">IF(D1965="Purchase",E1965*M1965,0)</f>
        <v>0</v>
      </c>
    </row>
    <row r="1966" customFormat="false" ht="15" hidden="false" customHeight="false" outlineLevel="0" collapsed="false">
      <c r="A1966" s="39" t="s">
        <v>2290</v>
      </c>
      <c r="B1966" s="44" t="n">
        <v>46161</v>
      </c>
      <c r="C1966" s="39" t="s">
        <v>149</v>
      </c>
      <c r="D1966" s="39" t="s">
        <v>138</v>
      </c>
      <c r="E1966" s="39" t="n">
        <v>25</v>
      </c>
      <c r="F1966" s="39" t="str">
        <f aca="false">IF(COUNTIF(medicine_master!$A$2:$A$26,C1966)&gt;0,"Valid","Invalid")</f>
        <v>Valid</v>
      </c>
      <c r="G1966" s="39" t="str">
        <f aca="false">IFERROR(INDEX(medicine_master!$B$2:$B$26,MATCH($C1966,medicine_master!$A$2:$A$26,0)),"Not found")</f>
        <v>Azithromycin 500mg</v>
      </c>
      <c r="H1966" s="39" t="str">
        <f aca="false">IFERROR(INDEX(medicine_master!$C$2:$C$26,MATCH($C1966,medicine_master!$A$2:$A$26,0)),"Not found")</f>
        <v>Antibiotic</v>
      </c>
      <c r="I1966" s="39" t="n">
        <f aca="false">YEAR(B1966)</f>
        <v>2026</v>
      </c>
      <c r="J1966" s="39" t="n">
        <f aca="false">MONTH(B1966)</f>
        <v>5</v>
      </c>
      <c r="K1966" s="39" t="str">
        <f aca="false">TEXT(B1966,"mmm")</f>
        <v>May</v>
      </c>
      <c r="L1966" s="45" t="n">
        <f aca="false">IFERROR(INDEX(medicine_master!$I$2:$I$26,MATCH($C1966,medicine_master!$A$2:$A$26,0)),0)</f>
        <v>50</v>
      </c>
      <c r="M1966" s="45" t="n">
        <f aca="false">IFERROR(INDEX(medicine_master!$G$2:$G$26,MATCH($C1966,medicine_master!$A$2:$A$26,0)),0)</f>
        <v>35</v>
      </c>
      <c r="N1966" s="45" t="n">
        <f aca="false">IF(D1966="Sale",E1966*L1966,0)</f>
        <v>0</v>
      </c>
      <c r="O1966" s="45" t="n">
        <f aca="false">IF(D1966="Sale",E1966*M1966,0)</f>
        <v>0</v>
      </c>
      <c r="P1966" s="45" t="n">
        <f aca="false">N1966-O1966</f>
        <v>0</v>
      </c>
      <c r="Q1966" s="45" t="n">
        <f aca="false">IF(D1966="Purchase",E1966*M1966,0)</f>
        <v>875</v>
      </c>
    </row>
    <row r="1967" customFormat="false" ht="15" hidden="false" customHeight="false" outlineLevel="0" collapsed="false">
      <c r="A1967" s="39" t="s">
        <v>2291</v>
      </c>
      <c r="B1967" s="44" t="n">
        <v>46168</v>
      </c>
      <c r="C1967" s="39" t="s">
        <v>326</v>
      </c>
      <c r="D1967" s="39" t="s">
        <v>137</v>
      </c>
      <c r="E1967" s="39" t="n">
        <v>15</v>
      </c>
      <c r="F1967" s="39" t="str">
        <f aca="false">IF(COUNTIF(medicine_master!$A$2:$A$26,C1967)&gt;0,"Valid","Invalid")</f>
        <v>Valid</v>
      </c>
      <c r="G1967" s="39" t="str">
        <f aca="false">IFERROR(INDEX(medicine_master!$B$2:$B$26,MATCH($C1967,medicine_master!$A$2:$A$26,0)),"Not found")</f>
        <v>Omeprazole 20mg</v>
      </c>
      <c r="H1967" s="39" t="str">
        <f aca="false">IFERROR(INDEX(medicine_master!$C$2:$C$26,MATCH($C1967,medicine_master!$A$2:$A$26,0)),"Not found")</f>
        <v>Gastric</v>
      </c>
      <c r="I1967" s="39" t="n">
        <f aca="false">YEAR(B1967)</f>
        <v>2026</v>
      </c>
      <c r="J1967" s="39" t="n">
        <f aca="false">MONTH(B1967)</f>
        <v>5</v>
      </c>
      <c r="K1967" s="39" t="str">
        <f aca="false">TEXT(B1967,"mmm")</f>
        <v>May</v>
      </c>
      <c r="L1967" s="45" t="n">
        <f aca="false">IFERROR(INDEX(medicine_master!$I$2:$I$26,MATCH($C1967,medicine_master!$A$2:$A$26,0)),0)</f>
        <v>26</v>
      </c>
      <c r="M1967" s="45" t="n">
        <f aca="false">IFERROR(INDEX(medicine_master!$G$2:$G$26,MATCH($C1967,medicine_master!$A$2:$A$26,0)),0)</f>
        <v>18</v>
      </c>
      <c r="N1967" s="45" t="n">
        <f aca="false">IF(D1967="Sale",E1967*L1967,0)</f>
        <v>390</v>
      </c>
      <c r="O1967" s="45" t="n">
        <f aca="false">IF(D1967="Sale",E1967*M1967,0)</f>
        <v>270</v>
      </c>
      <c r="P1967" s="45" t="n">
        <f aca="false">N1967-O1967</f>
        <v>120</v>
      </c>
      <c r="Q1967" s="45" t="n">
        <f aca="false">IF(D1967="Purchase",E1967*M1967,0)</f>
        <v>0</v>
      </c>
    </row>
    <row r="1968" customFormat="false" ht="15" hidden="false" customHeight="false" outlineLevel="0" collapsed="false">
      <c r="A1968" s="39" t="s">
        <v>2292</v>
      </c>
      <c r="B1968" s="44" t="n">
        <v>46150</v>
      </c>
      <c r="C1968" s="39" t="s">
        <v>148</v>
      </c>
      <c r="D1968" s="39" t="s">
        <v>138</v>
      </c>
      <c r="E1968" s="39" t="n">
        <v>20</v>
      </c>
      <c r="F1968" s="39" t="str">
        <f aca="false">IF(COUNTIF(medicine_master!$A$2:$A$26,C1968)&gt;0,"Valid","Invalid")</f>
        <v>Valid</v>
      </c>
      <c r="G1968" s="39" t="str">
        <f aca="false">IFERROR(INDEX(medicine_master!$B$2:$B$26,MATCH($C1968,medicine_master!$A$2:$A$26,0)),"Not found")</f>
        <v>Dextromethorphan Syrup</v>
      </c>
      <c r="H1968" s="39" t="str">
        <f aca="false">IFERROR(INDEX(medicine_master!$C$2:$C$26,MATCH($C1968,medicine_master!$A$2:$A$26,0)),"Not found")</f>
        <v>Cold &amp; Cough</v>
      </c>
      <c r="I1968" s="39" t="n">
        <f aca="false">YEAR(B1968)</f>
        <v>2026</v>
      </c>
      <c r="J1968" s="39" t="n">
        <f aca="false">MONTH(B1968)</f>
        <v>5</v>
      </c>
      <c r="K1968" s="39" t="str">
        <f aca="false">TEXT(B1968,"mmm")</f>
        <v>May</v>
      </c>
      <c r="L1968" s="45" t="n">
        <f aca="false">IFERROR(INDEX(medicine_master!$I$2:$I$26,MATCH($C1968,medicine_master!$A$2:$A$26,0)),0)</f>
        <v>80</v>
      </c>
      <c r="M1968" s="45" t="n">
        <f aca="false">IFERROR(INDEX(medicine_master!$G$2:$G$26,MATCH($C1968,medicine_master!$A$2:$A$26,0)),0)</f>
        <v>58</v>
      </c>
      <c r="N1968" s="45" t="n">
        <f aca="false">IF(D1968="Sale",E1968*L1968,0)</f>
        <v>0</v>
      </c>
      <c r="O1968" s="45" t="n">
        <f aca="false">IF(D1968="Sale",E1968*M1968,0)</f>
        <v>0</v>
      </c>
      <c r="P1968" s="45" t="n">
        <f aca="false">N1968-O1968</f>
        <v>0</v>
      </c>
      <c r="Q1968" s="45" t="n">
        <f aca="false">IF(D1968="Purchase",E1968*M1968,0)</f>
        <v>1160</v>
      </c>
    </row>
    <row r="1969" customFormat="false" ht="15" hidden="false" customHeight="false" outlineLevel="0" collapsed="false">
      <c r="A1969" s="39" t="s">
        <v>2293</v>
      </c>
      <c r="B1969" s="44" t="n">
        <v>46252</v>
      </c>
      <c r="C1969" s="39" t="s">
        <v>159</v>
      </c>
      <c r="D1969" s="39" t="s">
        <v>137</v>
      </c>
      <c r="E1969" s="39" t="n">
        <v>20</v>
      </c>
      <c r="F1969" s="39" t="str">
        <f aca="false">IF(COUNTIF(medicine_master!$A$2:$A$26,C1969)&gt;0,"Valid","Invalid")</f>
        <v>Valid</v>
      </c>
      <c r="G1969" s="39" t="str">
        <f aca="false">IFERROR(INDEX(medicine_master!$B$2:$B$26,MATCH($C1969,medicine_master!$A$2:$A$26,0)),"Not found")</f>
        <v>Antiseptic Liquid 100ml</v>
      </c>
      <c r="H1969" s="39" t="str">
        <f aca="false">IFERROR(INDEX(medicine_master!$C$2:$C$26,MATCH($C1969,medicine_master!$A$2:$A$26,0)),"Not found")</f>
        <v>First Aid</v>
      </c>
      <c r="I1969" s="39" t="n">
        <f aca="false">YEAR(B1969)</f>
        <v>2026</v>
      </c>
      <c r="J1969" s="39" t="n">
        <f aca="false">MONTH(B1969)</f>
        <v>8</v>
      </c>
      <c r="K1969" s="39" t="str">
        <f aca="false">TEXT(B1969,"mmm")</f>
        <v>Aug</v>
      </c>
      <c r="L1969" s="45" t="n">
        <f aca="false">IFERROR(INDEX(medicine_master!$I$2:$I$26,MATCH($C1969,medicine_master!$A$2:$A$26,0)),0)</f>
        <v>65</v>
      </c>
      <c r="M1969" s="45" t="n">
        <f aca="false">IFERROR(INDEX(medicine_master!$G$2:$G$26,MATCH($C1969,medicine_master!$A$2:$A$26,0)),0)</f>
        <v>48</v>
      </c>
      <c r="N1969" s="45" t="n">
        <f aca="false">IF(D1969="Sale",E1969*L1969,0)</f>
        <v>1300</v>
      </c>
      <c r="O1969" s="45" t="n">
        <f aca="false">IF(D1969="Sale",E1969*M1969,0)</f>
        <v>960</v>
      </c>
      <c r="P1969" s="45" t="n">
        <f aca="false">N1969-O1969</f>
        <v>340</v>
      </c>
      <c r="Q1969" s="45" t="n">
        <f aca="false">IF(D1969="Purchase",E1969*M1969,0)</f>
        <v>0</v>
      </c>
    </row>
    <row r="1970" customFormat="false" ht="15" hidden="false" customHeight="false" outlineLevel="0" collapsed="false">
      <c r="A1970" s="39" t="s">
        <v>2294</v>
      </c>
      <c r="B1970" s="44" t="n">
        <v>46345</v>
      </c>
      <c r="C1970" s="39" t="s">
        <v>147</v>
      </c>
      <c r="D1970" s="39" t="s">
        <v>138</v>
      </c>
      <c r="E1970" s="39" t="n">
        <v>20</v>
      </c>
      <c r="F1970" s="39" t="str">
        <f aca="false">IF(COUNTIF(medicine_master!$A$2:$A$26,C1970)&gt;0,"Valid","Invalid")</f>
        <v>Valid</v>
      </c>
      <c r="G1970" s="39" t="str">
        <f aca="false">IFERROR(INDEX(medicine_master!$B$2:$B$26,MATCH($C1970,medicine_master!$A$2:$A$26,0)),"Not found")</f>
        <v>Insulin Injection</v>
      </c>
      <c r="H1970" s="39" t="str">
        <f aca="false">IFERROR(INDEX(medicine_master!$C$2:$C$26,MATCH($C1970,medicine_master!$A$2:$A$26,0)),"Not found")</f>
        <v>Diabetes</v>
      </c>
      <c r="I1970" s="39" t="n">
        <f aca="false">YEAR(B1970)</f>
        <v>2026</v>
      </c>
      <c r="J1970" s="39" t="n">
        <f aca="false">MONTH(B1970)</f>
        <v>11</v>
      </c>
      <c r="K1970" s="39" t="str">
        <f aca="false">TEXT(B1970,"mmm")</f>
        <v>Nov</v>
      </c>
      <c r="L1970" s="45" t="n">
        <f aca="false">IFERROR(INDEX(medicine_master!$I$2:$I$26,MATCH($C1970,medicine_master!$A$2:$A$26,0)),0)</f>
        <v>225</v>
      </c>
      <c r="M1970" s="45" t="n">
        <f aca="false">IFERROR(INDEX(medicine_master!$G$2:$G$26,MATCH($C1970,medicine_master!$A$2:$A$26,0)),0)</f>
        <v>165</v>
      </c>
      <c r="N1970" s="45" t="n">
        <f aca="false">IF(D1970="Sale",E1970*L1970,0)</f>
        <v>0</v>
      </c>
      <c r="O1970" s="45" t="n">
        <f aca="false">IF(D1970="Sale",E1970*M1970,0)</f>
        <v>0</v>
      </c>
      <c r="P1970" s="45" t="n">
        <f aca="false">N1970-O1970</f>
        <v>0</v>
      </c>
      <c r="Q1970" s="45" t="n">
        <f aca="false">IF(D1970="Purchase",E1970*M1970,0)</f>
        <v>3300</v>
      </c>
    </row>
    <row r="1971" customFormat="false" ht="15" hidden="false" customHeight="false" outlineLevel="0" collapsed="false">
      <c r="A1971" s="39" t="s">
        <v>2295</v>
      </c>
      <c r="B1971" s="44" t="n">
        <v>46138</v>
      </c>
      <c r="C1971" s="39" t="s">
        <v>150</v>
      </c>
      <c r="D1971" s="39" t="s">
        <v>138</v>
      </c>
      <c r="E1971" s="39" t="n">
        <v>40</v>
      </c>
      <c r="F1971" s="39" t="str">
        <f aca="false">IF(COUNTIF(medicine_master!$A$2:$A$26,C1971)&gt;0,"Valid","Invalid")</f>
        <v>Valid</v>
      </c>
      <c r="G1971" s="39" t="str">
        <f aca="false">IFERROR(INDEX(medicine_master!$B$2:$B$26,MATCH($C1971,medicine_master!$A$2:$A$26,0)),"Not found")</f>
        <v>Pantoprazole 40mg</v>
      </c>
      <c r="H1971" s="39" t="str">
        <f aca="false">IFERROR(INDEX(medicine_master!$C$2:$C$26,MATCH($C1971,medicine_master!$A$2:$A$26,0)),"Not found")</f>
        <v>Gastric</v>
      </c>
      <c r="I1971" s="39" t="n">
        <f aca="false">YEAR(B1971)</f>
        <v>2026</v>
      </c>
      <c r="J1971" s="39" t="n">
        <f aca="false">MONTH(B1971)</f>
        <v>4</v>
      </c>
      <c r="K1971" s="39" t="str">
        <f aca="false">TEXT(B1971,"mmm")</f>
        <v>Apr</v>
      </c>
      <c r="L1971" s="45" t="n">
        <f aca="false">IFERROR(INDEX(medicine_master!$I$2:$I$26,MATCH($C1971,medicine_master!$A$2:$A$26,0)),0)</f>
        <v>35</v>
      </c>
      <c r="M1971" s="45" t="n">
        <f aca="false">IFERROR(INDEX(medicine_master!$G$2:$G$26,MATCH($C1971,medicine_master!$A$2:$A$26,0)),0)</f>
        <v>24</v>
      </c>
      <c r="N1971" s="45" t="n">
        <f aca="false">IF(D1971="Sale",E1971*L1971,0)</f>
        <v>0</v>
      </c>
      <c r="O1971" s="45" t="n">
        <f aca="false">IF(D1971="Sale",E1971*M1971,0)</f>
        <v>0</v>
      </c>
      <c r="P1971" s="45" t="n">
        <f aca="false">N1971-O1971</f>
        <v>0</v>
      </c>
      <c r="Q1971" s="45" t="n">
        <f aca="false">IF(D1971="Purchase",E1971*M1971,0)</f>
        <v>960</v>
      </c>
    </row>
    <row r="1972" customFormat="false" ht="15" hidden="false" customHeight="false" outlineLevel="0" collapsed="false">
      <c r="A1972" s="39" t="s">
        <v>2296</v>
      </c>
      <c r="B1972" s="44" t="n">
        <v>46093</v>
      </c>
      <c r="C1972" s="39" t="s">
        <v>159</v>
      </c>
      <c r="D1972" s="39" t="s">
        <v>137</v>
      </c>
      <c r="E1972" s="39" t="n">
        <v>15</v>
      </c>
      <c r="F1972" s="39" t="str">
        <f aca="false">IF(COUNTIF(medicine_master!$A$2:$A$26,C1972)&gt;0,"Valid","Invalid")</f>
        <v>Valid</v>
      </c>
      <c r="G1972" s="39" t="str">
        <f aca="false">IFERROR(INDEX(medicine_master!$B$2:$B$26,MATCH($C1972,medicine_master!$A$2:$A$26,0)),"Not found")</f>
        <v>Antiseptic Liquid 100ml</v>
      </c>
      <c r="H1972" s="39" t="str">
        <f aca="false">IFERROR(INDEX(medicine_master!$C$2:$C$26,MATCH($C1972,medicine_master!$A$2:$A$26,0)),"Not found")</f>
        <v>First Aid</v>
      </c>
      <c r="I1972" s="39" t="n">
        <f aca="false">YEAR(B1972)</f>
        <v>2026</v>
      </c>
      <c r="J1972" s="39" t="n">
        <f aca="false">MONTH(B1972)</f>
        <v>3</v>
      </c>
      <c r="K1972" s="39" t="str">
        <f aca="false">TEXT(B1972,"mmm")</f>
        <v>Mar</v>
      </c>
      <c r="L1972" s="45" t="n">
        <f aca="false">IFERROR(INDEX(medicine_master!$I$2:$I$26,MATCH($C1972,medicine_master!$A$2:$A$26,0)),0)</f>
        <v>65</v>
      </c>
      <c r="M1972" s="45" t="n">
        <f aca="false">IFERROR(INDEX(medicine_master!$G$2:$G$26,MATCH($C1972,medicine_master!$A$2:$A$26,0)),0)</f>
        <v>48</v>
      </c>
      <c r="N1972" s="45" t="n">
        <f aca="false">IF(D1972="Sale",E1972*L1972,0)</f>
        <v>975</v>
      </c>
      <c r="O1972" s="45" t="n">
        <f aca="false">IF(D1972="Sale",E1972*M1972,0)</f>
        <v>720</v>
      </c>
      <c r="P1972" s="45" t="n">
        <f aca="false">N1972-O1972</f>
        <v>255</v>
      </c>
      <c r="Q1972" s="45" t="n">
        <f aca="false">IF(D1972="Purchase",E1972*M1972,0)</f>
        <v>0</v>
      </c>
    </row>
    <row r="1973" customFormat="false" ht="15" hidden="false" customHeight="false" outlineLevel="0" collapsed="false">
      <c r="A1973" s="39" t="s">
        <v>2297</v>
      </c>
      <c r="B1973" s="44" t="n">
        <v>46110</v>
      </c>
      <c r="C1973" s="39" t="s">
        <v>179</v>
      </c>
      <c r="D1973" s="39" t="s">
        <v>138</v>
      </c>
      <c r="E1973" s="39" t="n">
        <v>20</v>
      </c>
      <c r="F1973" s="39" t="str">
        <f aca="false">IF(COUNTIF(medicine_master!$A$2:$A$26,C1973)&gt;0,"Valid","Invalid")</f>
        <v>Valid</v>
      </c>
      <c r="G1973" s="39" t="str">
        <f aca="false">IFERROR(INDEX(medicine_master!$B$2:$B$26,MATCH($C1973,medicine_master!$A$2:$A$26,0)),"Not found")</f>
        <v>Ibuprofen 400mg</v>
      </c>
      <c r="H1973" s="39" t="str">
        <f aca="false">IFERROR(INDEX(medicine_master!$C$2:$C$26,MATCH($C1973,medicine_master!$A$2:$A$26,0)),"Not found")</f>
        <v>Pain Relief</v>
      </c>
      <c r="I1973" s="39" t="n">
        <f aca="false">YEAR(B1973)</f>
        <v>2026</v>
      </c>
      <c r="J1973" s="39" t="n">
        <f aca="false">MONTH(B1973)</f>
        <v>3</v>
      </c>
      <c r="K1973" s="39" t="str">
        <f aca="false">TEXT(B1973,"mmm")</f>
        <v>Mar</v>
      </c>
      <c r="L1973" s="45" t="n">
        <f aca="false">IFERROR(INDEX(medicine_master!$I$2:$I$26,MATCH($C1973,medicine_master!$A$2:$A$26,0)),0)</f>
        <v>30</v>
      </c>
      <c r="M1973" s="45" t="n">
        <f aca="false">IFERROR(INDEX(medicine_master!$G$2:$G$26,MATCH($C1973,medicine_master!$A$2:$A$26,0)),0)</f>
        <v>22</v>
      </c>
      <c r="N1973" s="45" t="n">
        <f aca="false">IF(D1973="Sale",E1973*L1973,0)</f>
        <v>0</v>
      </c>
      <c r="O1973" s="45" t="n">
        <f aca="false">IF(D1973="Sale",E1973*M1973,0)</f>
        <v>0</v>
      </c>
      <c r="P1973" s="45" t="n">
        <f aca="false">N1973-O1973</f>
        <v>0</v>
      </c>
      <c r="Q1973" s="45" t="n">
        <f aca="false">IF(D1973="Purchase",E1973*M1973,0)</f>
        <v>440</v>
      </c>
    </row>
    <row r="1974" customFormat="false" ht="15" hidden="false" customHeight="false" outlineLevel="0" collapsed="false">
      <c r="A1974" s="39" t="s">
        <v>2298</v>
      </c>
      <c r="B1974" s="44" t="n">
        <v>46176</v>
      </c>
      <c r="C1974" s="39" t="s">
        <v>180</v>
      </c>
      <c r="D1974" s="39" t="s">
        <v>138</v>
      </c>
      <c r="E1974" s="39" t="n">
        <v>10</v>
      </c>
      <c r="F1974" s="39" t="str">
        <f aca="false">IF(COUNTIF(medicine_master!$A$2:$A$26,C1974)&gt;0,"Valid","Invalid")</f>
        <v>Valid</v>
      </c>
      <c r="G1974" s="39" t="str">
        <f aca="false">IFERROR(INDEX(medicine_master!$B$2:$B$26,MATCH($C1974,medicine_master!$A$2:$A$26,0)),"Not found")</f>
        <v>Vitamin C 500mg</v>
      </c>
      <c r="H1974" s="39" t="str">
        <f aca="false">IFERROR(INDEX(medicine_master!$C$2:$C$26,MATCH($C1974,medicine_master!$A$2:$A$26,0)),"Not found")</f>
        <v>Vitamin</v>
      </c>
      <c r="I1974" s="39" t="n">
        <f aca="false">YEAR(B1974)</f>
        <v>2026</v>
      </c>
      <c r="J1974" s="39" t="n">
        <f aca="false">MONTH(B1974)</f>
        <v>6</v>
      </c>
      <c r="K1974" s="39" t="str">
        <f aca="false">TEXT(B1974,"mmm")</f>
        <v>Jun</v>
      </c>
      <c r="L1974" s="45" t="n">
        <f aca="false">IFERROR(INDEX(medicine_master!$I$2:$I$26,MATCH($C1974,medicine_master!$A$2:$A$26,0)),0)</f>
        <v>22</v>
      </c>
      <c r="M1974" s="45" t="n">
        <f aca="false">IFERROR(INDEX(medicine_master!$G$2:$G$26,MATCH($C1974,medicine_master!$A$2:$A$26,0)),0)</f>
        <v>14</v>
      </c>
      <c r="N1974" s="45" t="n">
        <f aca="false">IF(D1974="Sale",E1974*L1974,0)</f>
        <v>0</v>
      </c>
      <c r="O1974" s="45" t="n">
        <f aca="false">IF(D1974="Sale",E1974*M1974,0)</f>
        <v>0</v>
      </c>
      <c r="P1974" s="45" t="n">
        <f aca="false">N1974-O1974</f>
        <v>0</v>
      </c>
      <c r="Q1974" s="45" t="n">
        <f aca="false">IF(D1974="Purchase",E1974*M1974,0)</f>
        <v>140</v>
      </c>
    </row>
    <row r="1975" customFormat="false" ht="15" hidden="false" customHeight="false" outlineLevel="0" collapsed="false">
      <c r="A1975" s="39" t="s">
        <v>2299</v>
      </c>
      <c r="B1975" s="44" t="n">
        <v>46087</v>
      </c>
      <c r="C1975" s="39" t="s">
        <v>179</v>
      </c>
      <c r="D1975" s="39" t="s">
        <v>138</v>
      </c>
      <c r="E1975" s="39" t="n">
        <v>30</v>
      </c>
      <c r="F1975" s="39" t="str">
        <f aca="false">IF(COUNTIF(medicine_master!$A$2:$A$26,C1975)&gt;0,"Valid","Invalid")</f>
        <v>Valid</v>
      </c>
      <c r="G1975" s="39" t="str">
        <f aca="false">IFERROR(INDEX(medicine_master!$B$2:$B$26,MATCH($C1975,medicine_master!$A$2:$A$26,0)),"Not found")</f>
        <v>Ibuprofen 400mg</v>
      </c>
      <c r="H1975" s="39" t="str">
        <f aca="false">IFERROR(INDEX(medicine_master!$C$2:$C$26,MATCH($C1975,medicine_master!$A$2:$A$26,0)),"Not found")</f>
        <v>Pain Relief</v>
      </c>
      <c r="I1975" s="39" t="n">
        <f aca="false">YEAR(B1975)</f>
        <v>2026</v>
      </c>
      <c r="J1975" s="39" t="n">
        <f aca="false">MONTH(B1975)</f>
        <v>3</v>
      </c>
      <c r="K1975" s="39" t="str">
        <f aca="false">TEXT(B1975,"mmm")</f>
        <v>Mar</v>
      </c>
      <c r="L1975" s="45" t="n">
        <f aca="false">IFERROR(INDEX(medicine_master!$I$2:$I$26,MATCH($C1975,medicine_master!$A$2:$A$26,0)),0)</f>
        <v>30</v>
      </c>
      <c r="M1975" s="45" t="n">
        <f aca="false">IFERROR(INDEX(medicine_master!$G$2:$G$26,MATCH($C1975,medicine_master!$A$2:$A$26,0)),0)</f>
        <v>22</v>
      </c>
      <c r="N1975" s="45" t="n">
        <f aca="false">IF(D1975="Sale",E1975*L1975,0)</f>
        <v>0</v>
      </c>
      <c r="O1975" s="45" t="n">
        <f aca="false">IF(D1975="Sale",E1975*M1975,0)</f>
        <v>0</v>
      </c>
      <c r="P1975" s="45" t="n">
        <f aca="false">N1975-O1975</f>
        <v>0</v>
      </c>
      <c r="Q1975" s="45" t="n">
        <f aca="false">IF(D1975="Purchase",E1975*M1975,0)</f>
        <v>660</v>
      </c>
    </row>
    <row r="1976" customFormat="false" ht="15" hidden="false" customHeight="false" outlineLevel="0" collapsed="false">
      <c r="A1976" s="39" t="s">
        <v>2300</v>
      </c>
      <c r="B1976" s="44" t="n">
        <v>46235</v>
      </c>
      <c r="C1976" s="39" t="s">
        <v>146</v>
      </c>
      <c r="D1976" s="39" t="s">
        <v>137</v>
      </c>
      <c r="E1976" s="39" t="n">
        <v>15</v>
      </c>
      <c r="F1976" s="39" t="str">
        <f aca="false">IF(COUNTIF(medicine_master!$A$2:$A$26,C1976)&gt;0,"Valid","Invalid")</f>
        <v>Valid</v>
      </c>
      <c r="G1976" s="39" t="str">
        <f aca="false">IFERROR(INDEX(medicine_master!$B$2:$B$26,MATCH($C1976,medicine_master!$A$2:$A$26,0)),"Not found")</f>
        <v>Diclofenac Gel</v>
      </c>
      <c r="H1976" s="39" t="str">
        <f aca="false">IFERROR(INDEX(medicine_master!$C$2:$C$26,MATCH($C1976,medicine_master!$A$2:$A$26,0)),"Not found")</f>
        <v>Pain Relief</v>
      </c>
      <c r="I1976" s="39" t="n">
        <f aca="false">YEAR(B1976)</f>
        <v>2026</v>
      </c>
      <c r="J1976" s="39" t="n">
        <f aca="false">MONTH(B1976)</f>
        <v>8</v>
      </c>
      <c r="K1976" s="39" t="str">
        <f aca="false">TEXT(B1976,"mmm")</f>
        <v>Aug</v>
      </c>
      <c r="L1976" s="45" t="n">
        <f aca="false">IFERROR(INDEX(medicine_master!$I$2:$I$26,MATCH($C1976,medicine_master!$A$2:$A$26,0)),0)</f>
        <v>55</v>
      </c>
      <c r="M1976" s="45" t="n">
        <f aca="false">IFERROR(INDEX(medicine_master!$G$2:$G$26,MATCH($C1976,medicine_master!$A$2:$A$26,0)),0)</f>
        <v>38</v>
      </c>
      <c r="N1976" s="45" t="n">
        <f aca="false">IF(D1976="Sale",E1976*L1976,0)</f>
        <v>825</v>
      </c>
      <c r="O1976" s="45" t="n">
        <f aca="false">IF(D1976="Sale",E1976*M1976,0)</f>
        <v>570</v>
      </c>
      <c r="P1976" s="45" t="n">
        <f aca="false">N1976-O1976</f>
        <v>255</v>
      </c>
      <c r="Q1976" s="45" t="n">
        <f aca="false">IF(D1976="Purchase",E1976*M1976,0)</f>
        <v>0</v>
      </c>
    </row>
    <row r="1977" customFormat="false" ht="15" hidden="false" customHeight="false" outlineLevel="0" collapsed="false">
      <c r="A1977" s="39" t="s">
        <v>2301</v>
      </c>
      <c r="B1977" s="44" t="n">
        <v>46346</v>
      </c>
      <c r="C1977" s="39" t="s">
        <v>144</v>
      </c>
      <c r="D1977" s="39" t="s">
        <v>137</v>
      </c>
      <c r="E1977" s="39" t="n">
        <v>10</v>
      </c>
      <c r="F1977" s="39" t="str">
        <f aca="false">IF(COUNTIF(medicine_master!$A$2:$A$26,C1977)&gt;0,"Valid","Invalid")</f>
        <v>Valid</v>
      </c>
      <c r="G1977" s="39" t="str">
        <f aca="false">IFERROR(INDEX(medicine_master!$B$2:$B$26,MATCH($C1977,medicine_master!$A$2:$A$26,0)),"Not found")</f>
        <v>Glimepiride 2mg</v>
      </c>
      <c r="H1977" s="39" t="str">
        <f aca="false">IFERROR(INDEX(medicine_master!$C$2:$C$26,MATCH($C1977,medicine_master!$A$2:$A$26,0)),"Not found")</f>
        <v>Diabetes</v>
      </c>
      <c r="I1977" s="39" t="n">
        <f aca="false">YEAR(B1977)</f>
        <v>2026</v>
      </c>
      <c r="J1977" s="39" t="n">
        <f aca="false">MONTH(B1977)</f>
        <v>11</v>
      </c>
      <c r="K1977" s="39" t="str">
        <f aca="false">TEXT(B1977,"mmm")</f>
        <v>Nov</v>
      </c>
      <c r="L1977" s="45" t="n">
        <f aca="false">IFERROR(INDEX(medicine_master!$I$2:$I$26,MATCH($C1977,medicine_master!$A$2:$A$26,0)),0)</f>
        <v>52</v>
      </c>
      <c r="M1977" s="45" t="n">
        <f aca="false">IFERROR(INDEX(medicine_master!$G$2:$G$26,MATCH($C1977,medicine_master!$A$2:$A$26,0)),0)</f>
        <v>38</v>
      </c>
      <c r="N1977" s="45" t="n">
        <f aca="false">IF(D1977="Sale",E1977*L1977,0)</f>
        <v>520</v>
      </c>
      <c r="O1977" s="45" t="n">
        <f aca="false">IF(D1977="Sale",E1977*M1977,0)</f>
        <v>380</v>
      </c>
      <c r="P1977" s="45" t="n">
        <f aca="false">N1977-O1977</f>
        <v>140</v>
      </c>
      <c r="Q1977" s="45" t="n">
        <f aca="false">IF(D1977="Purchase",E1977*M1977,0)</f>
        <v>0</v>
      </c>
    </row>
    <row r="1978" customFormat="false" ht="15" hidden="false" customHeight="false" outlineLevel="0" collapsed="false">
      <c r="A1978" s="39" t="s">
        <v>2302</v>
      </c>
      <c r="B1978" s="44" t="n">
        <v>46308</v>
      </c>
      <c r="C1978" s="39" t="s">
        <v>345</v>
      </c>
      <c r="D1978" s="39" t="s">
        <v>137</v>
      </c>
      <c r="E1978" s="39" t="n">
        <v>40</v>
      </c>
      <c r="F1978" s="39" t="str">
        <f aca="false">IF(COUNTIF(medicine_master!$A$2:$A$26,C1978)&gt;0,"Valid","Invalid")</f>
        <v>Valid</v>
      </c>
      <c r="G1978" s="39" t="str">
        <f aca="false">IFERROR(INDEX(medicine_master!$B$2:$B$26,MATCH($C1978,medicine_master!$A$2:$A$26,0)),"Not found")</f>
        <v>Paracetamol 500mg</v>
      </c>
      <c r="H1978" s="39" t="str">
        <f aca="false">IFERROR(INDEX(medicine_master!$C$2:$C$26,MATCH($C1978,medicine_master!$A$2:$A$26,0)),"Not found")</f>
        <v>Pain Relief</v>
      </c>
      <c r="I1978" s="39" t="n">
        <f aca="false">YEAR(B1978)</f>
        <v>2026</v>
      </c>
      <c r="J1978" s="39" t="n">
        <f aca="false">MONTH(B1978)</f>
        <v>10</v>
      </c>
      <c r="K1978" s="39" t="str">
        <f aca="false">TEXT(B1978,"mmm")</f>
        <v>Oct</v>
      </c>
      <c r="L1978" s="45" t="n">
        <f aca="false">IFERROR(INDEX(medicine_master!$I$2:$I$26,MATCH($C1978,medicine_master!$A$2:$A$26,0)),0)</f>
        <v>18</v>
      </c>
      <c r="M1978" s="45" t="n">
        <f aca="false">IFERROR(INDEX(medicine_master!$G$2:$G$26,MATCH($C1978,medicine_master!$A$2:$A$26,0)),0)</f>
        <v>12</v>
      </c>
      <c r="N1978" s="45" t="n">
        <f aca="false">IF(D1978="Sale",E1978*L1978,0)</f>
        <v>720</v>
      </c>
      <c r="O1978" s="45" t="n">
        <f aca="false">IF(D1978="Sale",E1978*M1978,0)</f>
        <v>480</v>
      </c>
      <c r="P1978" s="45" t="n">
        <f aca="false">N1978-O1978</f>
        <v>240</v>
      </c>
      <c r="Q1978" s="45" t="n">
        <f aca="false">IF(D1978="Purchase",E1978*M1978,0)</f>
        <v>0</v>
      </c>
    </row>
    <row r="1979" customFormat="false" ht="15" hidden="false" customHeight="false" outlineLevel="0" collapsed="false">
      <c r="A1979" s="39" t="s">
        <v>2303</v>
      </c>
      <c r="B1979" s="44" t="n">
        <v>46225</v>
      </c>
      <c r="C1979" s="39" t="s">
        <v>147</v>
      </c>
      <c r="D1979" s="39" t="s">
        <v>137</v>
      </c>
      <c r="E1979" s="39" t="n">
        <v>25</v>
      </c>
      <c r="F1979" s="39" t="str">
        <f aca="false">IF(COUNTIF(medicine_master!$A$2:$A$26,C1979)&gt;0,"Valid","Invalid")</f>
        <v>Valid</v>
      </c>
      <c r="G1979" s="39" t="str">
        <f aca="false">IFERROR(INDEX(medicine_master!$B$2:$B$26,MATCH($C1979,medicine_master!$A$2:$A$26,0)),"Not found")</f>
        <v>Insulin Injection</v>
      </c>
      <c r="H1979" s="39" t="str">
        <f aca="false">IFERROR(INDEX(medicine_master!$C$2:$C$26,MATCH($C1979,medicine_master!$A$2:$A$26,0)),"Not found")</f>
        <v>Diabetes</v>
      </c>
      <c r="I1979" s="39" t="n">
        <f aca="false">YEAR(B1979)</f>
        <v>2026</v>
      </c>
      <c r="J1979" s="39" t="n">
        <f aca="false">MONTH(B1979)</f>
        <v>7</v>
      </c>
      <c r="K1979" s="39" t="str">
        <f aca="false">TEXT(B1979,"mmm")</f>
        <v>Jul</v>
      </c>
      <c r="L1979" s="45" t="n">
        <f aca="false">IFERROR(INDEX(medicine_master!$I$2:$I$26,MATCH($C1979,medicine_master!$A$2:$A$26,0)),0)</f>
        <v>225</v>
      </c>
      <c r="M1979" s="45" t="n">
        <f aca="false">IFERROR(INDEX(medicine_master!$G$2:$G$26,MATCH($C1979,medicine_master!$A$2:$A$26,0)),0)</f>
        <v>165</v>
      </c>
      <c r="N1979" s="45" t="n">
        <f aca="false">IF(D1979="Sale",E1979*L1979,0)</f>
        <v>5625</v>
      </c>
      <c r="O1979" s="45" t="n">
        <f aca="false">IF(D1979="Sale",E1979*M1979,0)</f>
        <v>4125</v>
      </c>
      <c r="P1979" s="45" t="n">
        <f aca="false">N1979-O1979</f>
        <v>1500</v>
      </c>
      <c r="Q1979" s="45" t="n">
        <f aca="false">IF(D1979="Purchase",E1979*M1979,0)</f>
        <v>0</v>
      </c>
    </row>
    <row r="1980" customFormat="false" ht="15" hidden="false" customHeight="false" outlineLevel="0" collapsed="false">
      <c r="A1980" s="39" t="s">
        <v>2304</v>
      </c>
      <c r="B1980" s="44" t="n">
        <v>46230</v>
      </c>
      <c r="C1980" s="39" t="s">
        <v>147</v>
      </c>
      <c r="D1980" s="39" t="s">
        <v>137</v>
      </c>
      <c r="E1980" s="39" t="n">
        <v>40</v>
      </c>
      <c r="F1980" s="39" t="str">
        <f aca="false">IF(COUNTIF(medicine_master!$A$2:$A$26,C1980)&gt;0,"Valid","Invalid")</f>
        <v>Valid</v>
      </c>
      <c r="G1980" s="39" t="str">
        <f aca="false">IFERROR(INDEX(medicine_master!$B$2:$B$26,MATCH($C1980,medicine_master!$A$2:$A$26,0)),"Not found")</f>
        <v>Insulin Injection</v>
      </c>
      <c r="H1980" s="39" t="str">
        <f aca="false">IFERROR(INDEX(medicine_master!$C$2:$C$26,MATCH($C1980,medicine_master!$A$2:$A$26,0)),"Not found")</f>
        <v>Diabetes</v>
      </c>
      <c r="I1980" s="39" t="n">
        <f aca="false">YEAR(B1980)</f>
        <v>2026</v>
      </c>
      <c r="J1980" s="39" t="n">
        <f aca="false">MONTH(B1980)</f>
        <v>7</v>
      </c>
      <c r="K1980" s="39" t="str">
        <f aca="false">TEXT(B1980,"mmm")</f>
        <v>Jul</v>
      </c>
      <c r="L1980" s="45" t="n">
        <f aca="false">IFERROR(INDEX(medicine_master!$I$2:$I$26,MATCH($C1980,medicine_master!$A$2:$A$26,0)),0)</f>
        <v>225</v>
      </c>
      <c r="M1980" s="45" t="n">
        <f aca="false">IFERROR(INDEX(medicine_master!$G$2:$G$26,MATCH($C1980,medicine_master!$A$2:$A$26,0)),0)</f>
        <v>165</v>
      </c>
      <c r="N1980" s="45" t="n">
        <f aca="false">IF(D1980="Sale",E1980*L1980,0)</f>
        <v>9000</v>
      </c>
      <c r="O1980" s="45" t="n">
        <f aca="false">IF(D1980="Sale",E1980*M1980,0)</f>
        <v>6600</v>
      </c>
      <c r="P1980" s="45" t="n">
        <f aca="false">N1980-O1980</f>
        <v>2400</v>
      </c>
      <c r="Q1980" s="45" t="n">
        <f aca="false">IF(D1980="Purchase",E1980*M1980,0)</f>
        <v>0</v>
      </c>
    </row>
    <row r="1981" customFormat="false" ht="15" hidden="false" customHeight="false" outlineLevel="0" collapsed="false">
      <c r="A1981" s="39" t="s">
        <v>2305</v>
      </c>
      <c r="B1981" s="44" t="n">
        <v>46216</v>
      </c>
      <c r="C1981" s="39" t="s">
        <v>177</v>
      </c>
      <c r="D1981" s="39" t="s">
        <v>138</v>
      </c>
      <c r="E1981" s="39" t="n">
        <v>40</v>
      </c>
      <c r="F1981" s="39" t="str">
        <f aca="false">IF(COUNTIF(medicine_master!$A$2:$A$26,C1981)&gt;0,"Valid","Invalid")</f>
        <v>Valid</v>
      </c>
      <c r="G1981" s="39" t="str">
        <f aca="false">IFERROR(INDEX(medicine_master!$B$2:$B$26,MATCH($C1981,medicine_master!$A$2:$A$26,0)),"Not found")</f>
        <v>Bandage Roll</v>
      </c>
      <c r="H1981" s="39" t="str">
        <f aca="false">IFERROR(INDEX(medicine_master!$C$2:$C$26,MATCH($C1981,medicine_master!$A$2:$A$26,0)),"Not found")</f>
        <v>First Aid</v>
      </c>
      <c r="I1981" s="39" t="n">
        <f aca="false">YEAR(B1981)</f>
        <v>2026</v>
      </c>
      <c r="J1981" s="39" t="n">
        <f aca="false">MONTH(B1981)</f>
        <v>7</v>
      </c>
      <c r="K1981" s="39" t="str">
        <f aca="false">TEXT(B1981,"mmm")</f>
        <v>Jul</v>
      </c>
      <c r="L1981" s="45" t="n">
        <f aca="false">IFERROR(INDEX(medicine_master!$I$2:$I$26,MATCH($C1981,medicine_master!$A$2:$A$26,0)),0)</f>
        <v>25</v>
      </c>
      <c r="M1981" s="45" t="n">
        <f aca="false">IFERROR(INDEX(medicine_master!$G$2:$G$26,MATCH($C1981,medicine_master!$A$2:$A$26,0)),0)</f>
        <v>15</v>
      </c>
      <c r="N1981" s="45" t="n">
        <f aca="false">IF(D1981="Sale",E1981*L1981,0)</f>
        <v>0</v>
      </c>
      <c r="O1981" s="45" t="n">
        <f aca="false">IF(D1981="Sale",E1981*M1981,0)</f>
        <v>0</v>
      </c>
      <c r="P1981" s="45" t="n">
        <f aca="false">N1981-O1981</f>
        <v>0</v>
      </c>
      <c r="Q1981" s="45" t="n">
        <f aca="false">IF(D1981="Purchase",E1981*M1981,0)</f>
        <v>600</v>
      </c>
    </row>
    <row r="1982" customFormat="false" ht="15" hidden="false" customHeight="false" outlineLevel="0" collapsed="false">
      <c r="A1982" s="39" t="s">
        <v>2306</v>
      </c>
      <c r="B1982" s="44" t="n">
        <v>46097</v>
      </c>
      <c r="C1982" s="39" t="s">
        <v>404</v>
      </c>
      <c r="D1982" s="39" t="s">
        <v>138</v>
      </c>
      <c r="E1982" s="39" t="n">
        <v>20</v>
      </c>
      <c r="F1982" s="39" t="str">
        <f aca="false">IF(COUNTIF(medicine_master!$A$2:$A$26,C1982)&gt;0,"Valid","Invalid")</f>
        <v>Valid</v>
      </c>
      <c r="G1982" s="39" t="str">
        <f aca="false">IFERROR(INDEX(medicine_master!$B$2:$B$26,MATCH($C1982,medicine_master!$A$2:$A$26,0)),"Not found")</f>
        <v>ORS Sachet</v>
      </c>
      <c r="H1982" s="39" t="str">
        <f aca="false">IFERROR(INDEX(medicine_master!$C$2:$C$26,MATCH($C1982,medicine_master!$A$2:$A$26,0)),"Not found")</f>
        <v>First Aid</v>
      </c>
      <c r="I1982" s="39" t="n">
        <f aca="false">YEAR(B1982)</f>
        <v>2026</v>
      </c>
      <c r="J1982" s="39" t="n">
        <f aca="false">MONTH(B1982)</f>
        <v>3</v>
      </c>
      <c r="K1982" s="39" t="str">
        <f aca="false">TEXT(B1982,"mmm")</f>
        <v>Mar</v>
      </c>
      <c r="L1982" s="45" t="n">
        <f aca="false">IFERROR(INDEX(medicine_master!$I$2:$I$26,MATCH($C1982,medicine_master!$A$2:$A$26,0)),0)</f>
        <v>10</v>
      </c>
      <c r="M1982" s="45" t="n">
        <f aca="false">IFERROR(INDEX(medicine_master!$G$2:$G$26,MATCH($C1982,medicine_master!$A$2:$A$26,0)),0)</f>
        <v>6</v>
      </c>
      <c r="N1982" s="45" t="n">
        <f aca="false">IF(D1982="Sale",E1982*L1982,0)</f>
        <v>0</v>
      </c>
      <c r="O1982" s="45" t="n">
        <f aca="false">IF(D1982="Sale",E1982*M1982,0)</f>
        <v>0</v>
      </c>
      <c r="P1982" s="45" t="n">
        <f aca="false">N1982-O1982</f>
        <v>0</v>
      </c>
      <c r="Q1982" s="45" t="n">
        <f aca="false">IF(D1982="Purchase",E1982*M1982,0)</f>
        <v>120</v>
      </c>
    </row>
    <row r="1983" customFormat="false" ht="15" hidden="false" customHeight="false" outlineLevel="0" collapsed="false">
      <c r="A1983" s="39" t="s">
        <v>2307</v>
      </c>
      <c r="B1983" s="44" t="n">
        <v>46359</v>
      </c>
      <c r="C1983" s="39" t="s">
        <v>321</v>
      </c>
      <c r="D1983" s="39" t="s">
        <v>138</v>
      </c>
      <c r="E1983" s="39" t="n">
        <v>15</v>
      </c>
      <c r="F1983" s="39" t="str">
        <f aca="false">IF(COUNTIF(medicine_master!$A$2:$A$26,C1983)&gt;0,"Valid","Invalid")</f>
        <v>Valid</v>
      </c>
      <c r="G1983" s="39" t="str">
        <f aca="false">IFERROR(INDEX(medicine_master!$B$2:$B$26,MATCH($C1983,medicine_master!$A$2:$A$26,0)),"Not found")</f>
        <v>Levocetirizine 5mg</v>
      </c>
      <c r="H1983" s="39" t="str">
        <f aca="false">IFERROR(INDEX(medicine_master!$C$2:$C$26,MATCH($C1983,medicine_master!$A$2:$A$26,0)),"Not found")</f>
        <v>Allergy</v>
      </c>
      <c r="I1983" s="39" t="n">
        <f aca="false">YEAR(B1983)</f>
        <v>2026</v>
      </c>
      <c r="J1983" s="39" t="n">
        <f aca="false">MONTH(B1983)</f>
        <v>12</v>
      </c>
      <c r="K1983" s="39" t="str">
        <f aca="false">TEXT(B1983,"mmm")</f>
        <v>Dec</v>
      </c>
      <c r="L1983" s="45" t="n">
        <f aca="false">IFERROR(INDEX(medicine_master!$I$2:$I$26,MATCH($C1983,medicine_master!$A$2:$A$26,0)),0)</f>
        <v>22</v>
      </c>
      <c r="M1983" s="45" t="n">
        <f aca="false">IFERROR(INDEX(medicine_master!$G$2:$G$26,MATCH($C1983,medicine_master!$A$2:$A$26,0)),0)</f>
        <v>14</v>
      </c>
      <c r="N1983" s="45" t="n">
        <f aca="false">IF(D1983="Sale",E1983*L1983,0)</f>
        <v>0</v>
      </c>
      <c r="O1983" s="45" t="n">
        <f aca="false">IF(D1983="Sale",E1983*M1983,0)</f>
        <v>0</v>
      </c>
      <c r="P1983" s="45" t="n">
        <f aca="false">N1983-O1983</f>
        <v>0</v>
      </c>
      <c r="Q1983" s="45" t="n">
        <f aca="false">IF(D1983="Purchase",E1983*M1983,0)</f>
        <v>210</v>
      </c>
    </row>
    <row r="1984" customFormat="false" ht="15" hidden="false" customHeight="false" outlineLevel="0" collapsed="false">
      <c r="A1984" s="39" t="s">
        <v>2308</v>
      </c>
      <c r="B1984" s="44" t="n">
        <v>46160</v>
      </c>
      <c r="C1984" s="39" t="s">
        <v>150</v>
      </c>
      <c r="D1984" s="39" t="s">
        <v>138</v>
      </c>
      <c r="E1984" s="39" t="n">
        <v>25</v>
      </c>
      <c r="F1984" s="39" t="str">
        <f aca="false">IF(COUNTIF(medicine_master!$A$2:$A$26,C1984)&gt;0,"Valid","Invalid")</f>
        <v>Valid</v>
      </c>
      <c r="G1984" s="39" t="str">
        <f aca="false">IFERROR(INDEX(medicine_master!$B$2:$B$26,MATCH($C1984,medicine_master!$A$2:$A$26,0)),"Not found")</f>
        <v>Pantoprazole 40mg</v>
      </c>
      <c r="H1984" s="39" t="str">
        <f aca="false">IFERROR(INDEX(medicine_master!$C$2:$C$26,MATCH($C1984,medicine_master!$A$2:$A$26,0)),"Not found")</f>
        <v>Gastric</v>
      </c>
      <c r="I1984" s="39" t="n">
        <f aca="false">YEAR(B1984)</f>
        <v>2026</v>
      </c>
      <c r="J1984" s="39" t="n">
        <f aca="false">MONTH(B1984)</f>
        <v>5</v>
      </c>
      <c r="K1984" s="39" t="str">
        <f aca="false">TEXT(B1984,"mmm")</f>
        <v>May</v>
      </c>
      <c r="L1984" s="45" t="n">
        <f aca="false">IFERROR(INDEX(medicine_master!$I$2:$I$26,MATCH($C1984,medicine_master!$A$2:$A$26,0)),0)</f>
        <v>35</v>
      </c>
      <c r="M1984" s="45" t="n">
        <f aca="false">IFERROR(INDEX(medicine_master!$G$2:$G$26,MATCH($C1984,medicine_master!$A$2:$A$26,0)),0)</f>
        <v>24</v>
      </c>
      <c r="N1984" s="45" t="n">
        <f aca="false">IF(D1984="Sale",E1984*L1984,0)</f>
        <v>0</v>
      </c>
      <c r="O1984" s="45" t="n">
        <f aca="false">IF(D1984="Sale",E1984*M1984,0)</f>
        <v>0</v>
      </c>
      <c r="P1984" s="45" t="n">
        <f aca="false">N1984-O1984</f>
        <v>0</v>
      </c>
      <c r="Q1984" s="45" t="n">
        <f aca="false">IF(D1984="Purchase",E1984*M1984,0)</f>
        <v>600</v>
      </c>
    </row>
    <row r="1985" customFormat="false" ht="15" hidden="false" customHeight="false" outlineLevel="0" collapsed="false">
      <c r="A1985" s="39" t="s">
        <v>2309</v>
      </c>
      <c r="B1985" s="44" t="n">
        <v>46372</v>
      </c>
      <c r="C1985" s="39" t="s">
        <v>150</v>
      </c>
      <c r="D1985" s="39" t="s">
        <v>137</v>
      </c>
      <c r="E1985" s="39" t="n">
        <v>25</v>
      </c>
      <c r="F1985" s="39" t="str">
        <f aca="false">IF(COUNTIF(medicine_master!$A$2:$A$26,C1985)&gt;0,"Valid","Invalid")</f>
        <v>Valid</v>
      </c>
      <c r="G1985" s="39" t="str">
        <f aca="false">IFERROR(INDEX(medicine_master!$B$2:$B$26,MATCH($C1985,medicine_master!$A$2:$A$26,0)),"Not found")</f>
        <v>Pantoprazole 40mg</v>
      </c>
      <c r="H1985" s="39" t="str">
        <f aca="false">IFERROR(INDEX(medicine_master!$C$2:$C$26,MATCH($C1985,medicine_master!$A$2:$A$26,0)),"Not found")</f>
        <v>Gastric</v>
      </c>
      <c r="I1985" s="39" t="n">
        <f aca="false">YEAR(B1985)</f>
        <v>2026</v>
      </c>
      <c r="J1985" s="39" t="n">
        <f aca="false">MONTH(B1985)</f>
        <v>12</v>
      </c>
      <c r="K1985" s="39" t="str">
        <f aca="false">TEXT(B1985,"mmm")</f>
        <v>Dec</v>
      </c>
      <c r="L1985" s="45" t="n">
        <f aca="false">IFERROR(INDEX(medicine_master!$I$2:$I$26,MATCH($C1985,medicine_master!$A$2:$A$26,0)),0)</f>
        <v>35</v>
      </c>
      <c r="M1985" s="45" t="n">
        <f aca="false">IFERROR(INDEX(medicine_master!$G$2:$G$26,MATCH($C1985,medicine_master!$A$2:$A$26,0)),0)</f>
        <v>24</v>
      </c>
      <c r="N1985" s="45" t="n">
        <f aca="false">IF(D1985="Sale",E1985*L1985,0)</f>
        <v>875</v>
      </c>
      <c r="O1985" s="45" t="n">
        <f aca="false">IF(D1985="Sale",E1985*M1985,0)</f>
        <v>600</v>
      </c>
      <c r="P1985" s="45" t="n">
        <f aca="false">N1985-O1985</f>
        <v>275</v>
      </c>
      <c r="Q1985" s="45" t="n">
        <f aca="false">IF(D1985="Purchase",E1985*M1985,0)</f>
        <v>0</v>
      </c>
    </row>
    <row r="1986" customFormat="false" ht="15" hidden="false" customHeight="false" outlineLevel="0" collapsed="false">
      <c r="A1986" s="39" t="s">
        <v>2310</v>
      </c>
      <c r="B1986" s="44" t="n">
        <v>46078</v>
      </c>
      <c r="C1986" s="39" t="s">
        <v>150</v>
      </c>
      <c r="D1986" s="39" t="s">
        <v>138</v>
      </c>
      <c r="E1986" s="39" t="n">
        <v>25</v>
      </c>
      <c r="F1986" s="39" t="str">
        <f aca="false">IF(COUNTIF(medicine_master!$A$2:$A$26,C1986)&gt;0,"Valid","Invalid")</f>
        <v>Valid</v>
      </c>
      <c r="G1986" s="39" t="str">
        <f aca="false">IFERROR(INDEX(medicine_master!$B$2:$B$26,MATCH($C1986,medicine_master!$A$2:$A$26,0)),"Not found")</f>
        <v>Pantoprazole 40mg</v>
      </c>
      <c r="H1986" s="39" t="str">
        <f aca="false">IFERROR(INDEX(medicine_master!$C$2:$C$26,MATCH($C1986,medicine_master!$A$2:$A$26,0)),"Not found")</f>
        <v>Gastric</v>
      </c>
      <c r="I1986" s="39" t="n">
        <f aca="false">YEAR(B1986)</f>
        <v>2026</v>
      </c>
      <c r="J1986" s="39" t="n">
        <f aca="false">MONTH(B1986)</f>
        <v>2</v>
      </c>
      <c r="K1986" s="39" t="str">
        <f aca="false">TEXT(B1986,"mmm")</f>
        <v>Feb</v>
      </c>
      <c r="L1986" s="45" t="n">
        <f aca="false">IFERROR(INDEX(medicine_master!$I$2:$I$26,MATCH($C1986,medicine_master!$A$2:$A$26,0)),0)</f>
        <v>35</v>
      </c>
      <c r="M1986" s="45" t="n">
        <f aca="false">IFERROR(INDEX(medicine_master!$G$2:$G$26,MATCH($C1986,medicine_master!$A$2:$A$26,0)),0)</f>
        <v>24</v>
      </c>
      <c r="N1986" s="45" t="n">
        <f aca="false">IF(D1986="Sale",E1986*L1986,0)</f>
        <v>0</v>
      </c>
      <c r="O1986" s="45" t="n">
        <f aca="false">IF(D1986="Sale",E1986*M1986,0)</f>
        <v>0</v>
      </c>
      <c r="P1986" s="45" t="n">
        <f aca="false">N1986-O1986</f>
        <v>0</v>
      </c>
      <c r="Q1986" s="45" t="n">
        <f aca="false">IF(D1986="Purchase",E1986*M1986,0)</f>
        <v>600</v>
      </c>
    </row>
    <row r="1987" customFormat="false" ht="15" hidden="false" customHeight="false" outlineLevel="0" collapsed="false">
      <c r="A1987" s="39" t="s">
        <v>2311</v>
      </c>
      <c r="B1987" s="44" t="n">
        <v>46253</v>
      </c>
      <c r="C1987" s="39" t="s">
        <v>180</v>
      </c>
      <c r="D1987" s="39" t="s">
        <v>138</v>
      </c>
      <c r="E1987" s="39" t="n">
        <v>15</v>
      </c>
      <c r="F1987" s="39" t="str">
        <f aca="false">IF(COUNTIF(medicine_master!$A$2:$A$26,C1987)&gt;0,"Valid","Invalid")</f>
        <v>Valid</v>
      </c>
      <c r="G1987" s="39" t="str">
        <f aca="false">IFERROR(INDEX(medicine_master!$B$2:$B$26,MATCH($C1987,medicine_master!$A$2:$A$26,0)),"Not found")</f>
        <v>Vitamin C 500mg</v>
      </c>
      <c r="H1987" s="39" t="str">
        <f aca="false">IFERROR(INDEX(medicine_master!$C$2:$C$26,MATCH($C1987,medicine_master!$A$2:$A$26,0)),"Not found")</f>
        <v>Vitamin</v>
      </c>
      <c r="I1987" s="39" t="n">
        <f aca="false">YEAR(B1987)</f>
        <v>2026</v>
      </c>
      <c r="J1987" s="39" t="n">
        <f aca="false">MONTH(B1987)</f>
        <v>8</v>
      </c>
      <c r="K1987" s="39" t="str">
        <f aca="false">TEXT(B1987,"mmm")</f>
        <v>Aug</v>
      </c>
      <c r="L1987" s="45" t="n">
        <f aca="false">IFERROR(INDEX(medicine_master!$I$2:$I$26,MATCH($C1987,medicine_master!$A$2:$A$26,0)),0)</f>
        <v>22</v>
      </c>
      <c r="M1987" s="45" t="n">
        <f aca="false">IFERROR(INDEX(medicine_master!$G$2:$G$26,MATCH($C1987,medicine_master!$A$2:$A$26,0)),0)</f>
        <v>14</v>
      </c>
      <c r="N1987" s="45" t="n">
        <f aca="false">IF(D1987="Sale",E1987*L1987,0)</f>
        <v>0</v>
      </c>
      <c r="O1987" s="45" t="n">
        <f aca="false">IF(D1987="Sale",E1987*M1987,0)</f>
        <v>0</v>
      </c>
      <c r="P1987" s="45" t="n">
        <f aca="false">N1987-O1987</f>
        <v>0</v>
      </c>
      <c r="Q1987" s="45" t="n">
        <f aca="false">IF(D1987="Purchase",E1987*M1987,0)</f>
        <v>210</v>
      </c>
    </row>
    <row r="1988" customFormat="false" ht="15" hidden="false" customHeight="false" outlineLevel="0" collapsed="false">
      <c r="A1988" s="39" t="s">
        <v>2312</v>
      </c>
      <c r="B1988" s="44" t="n">
        <v>46312</v>
      </c>
      <c r="C1988" s="39" t="s">
        <v>153</v>
      </c>
      <c r="D1988" s="39" t="s">
        <v>137</v>
      </c>
      <c r="E1988" s="39" t="n">
        <v>40</v>
      </c>
      <c r="F1988" s="39" t="str">
        <f aca="false">IF(COUNTIF(medicine_master!$A$2:$A$26,C1988)&gt;0,"Valid","Invalid")</f>
        <v>Valid</v>
      </c>
      <c r="G1988" s="39" t="str">
        <f aca="false">IFERROR(INDEX(medicine_master!$B$2:$B$26,MATCH($C1988,medicine_master!$A$2:$A$26,0)),"Not found")</f>
        <v>Atorvastatin 10mg</v>
      </c>
      <c r="H1988" s="39" t="str">
        <f aca="false">IFERROR(INDEX(medicine_master!$C$2:$C$26,MATCH($C1988,medicine_master!$A$2:$A$26,0)),"Not found")</f>
        <v>Cardiac</v>
      </c>
      <c r="I1988" s="39" t="n">
        <f aca="false">YEAR(B1988)</f>
        <v>2026</v>
      </c>
      <c r="J1988" s="39" t="n">
        <f aca="false">MONTH(B1988)</f>
        <v>10</v>
      </c>
      <c r="K1988" s="39" t="str">
        <f aca="false">TEXT(B1988,"mmm")</f>
        <v>Oct</v>
      </c>
      <c r="L1988" s="45" t="n">
        <f aca="false">IFERROR(INDEX(medicine_master!$I$2:$I$26,MATCH($C1988,medicine_master!$A$2:$A$26,0)),0)</f>
        <v>28</v>
      </c>
      <c r="M1988" s="45" t="n">
        <f aca="false">IFERROR(INDEX(medicine_master!$G$2:$G$26,MATCH($C1988,medicine_master!$A$2:$A$26,0)),0)</f>
        <v>19</v>
      </c>
      <c r="N1988" s="45" t="n">
        <f aca="false">IF(D1988="Sale",E1988*L1988,0)</f>
        <v>1120</v>
      </c>
      <c r="O1988" s="45" t="n">
        <f aca="false">IF(D1988="Sale",E1988*M1988,0)</f>
        <v>760</v>
      </c>
      <c r="P1988" s="45" t="n">
        <f aca="false">N1988-O1988</f>
        <v>360</v>
      </c>
      <c r="Q1988" s="45" t="n">
        <f aca="false">IF(D1988="Purchase",E1988*M1988,0)</f>
        <v>0</v>
      </c>
    </row>
    <row r="1989" customFormat="false" ht="15" hidden="false" customHeight="false" outlineLevel="0" collapsed="false">
      <c r="A1989" s="39" t="s">
        <v>2313</v>
      </c>
      <c r="B1989" s="44" t="n">
        <v>46075</v>
      </c>
      <c r="C1989" s="39" t="s">
        <v>404</v>
      </c>
      <c r="D1989" s="39" t="s">
        <v>137</v>
      </c>
      <c r="E1989" s="39" t="n">
        <v>40</v>
      </c>
      <c r="F1989" s="39" t="str">
        <f aca="false">IF(COUNTIF(medicine_master!$A$2:$A$26,C1989)&gt;0,"Valid","Invalid")</f>
        <v>Valid</v>
      </c>
      <c r="G1989" s="39" t="str">
        <f aca="false">IFERROR(INDEX(medicine_master!$B$2:$B$26,MATCH($C1989,medicine_master!$A$2:$A$26,0)),"Not found")</f>
        <v>ORS Sachet</v>
      </c>
      <c r="H1989" s="39" t="str">
        <f aca="false">IFERROR(INDEX(medicine_master!$C$2:$C$26,MATCH($C1989,medicine_master!$A$2:$A$26,0)),"Not found")</f>
        <v>First Aid</v>
      </c>
      <c r="I1989" s="39" t="n">
        <f aca="false">YEAR(B1989)</f>
        <v>2026</v>
      </c>
      <c r="J1989" s="39" t="n">
        <f aca="false">MONTH(B1989)</f>
        <v>2</v>
      </c>
      <c r="K1989" s="39" t="str">
        <f aca="false">TEXT(B1989,"mmm")</f>
        <v>Feb</v>
      </c>
      <c r="L1989" s="45" t="n">
        <f aca="false">IFERROR(INDEX(medicine_master!$I$2:$I$26,MATCH($C1989,medicine_master!$A$2:$A$26,0)),0)</f>
        <v>10</v>
      </c>
      <c r="M1989" s="45" t="n">
        <f aca="false">IFERROR(INDEX(medicine_master!$G$2:$G$26,MATCH($C1989,medicine_master!$A$2:$A$26,0)),0)</f>
        <v>6</v>
      </c>
      <c r="N1989" s="45" t="n">
        <f aca="false">IF(D1989="Sale",E1989*L1989,0)</f>
        <v>400</v>
      </c>
      <c r="O1989" s="45" t="n">
        <f aca="false">IF(D1989="Sale",E1989*M1989,0)</f>
        <v>240</v>
      </c>
      <c r="P1989" s="45" t="n">
        <f aca="false">N1989-O1989</f>
        <v>160</v>
      </c>
      <c r="Q1989" s="45" t="n">
        <f aca="false">IF(D1989="Purchase",E1989*M1989,0)</f>
        <v>0</v>
      </c>
    </row>
    <row r="1990" customFormat="false" ht="15" hidden="false" customHeight="false" outlineLevel="0" collapsed="false">
      <c r="A1990" s="39" t="s">
        <v>2314</v>
      </c>
      <c r="B1990" s="44" t="n">
        <v>46127</v>
      </c>
      <c r="C1990" s="39" t="s">
        <v>321</v>
      </c>
      <c r="D1990" s="39" t="s">
        <v>138</v>
      </c>
      <c r="E1990" s="39" t="n">
        <v>10</v>
      </c>
      <c r="F1990" s="39" t="str">
        <f aca="false">IF(COUNTIF(medicine_master!$A$2:$A$26,C1990)&gt;0,"Valid","Invalid")</f>
        <v>Valid</v>
      </c>
      <c r="G1990" s="39" t="str">
        <f aca="false">IFERROR(INDEX(medicine_master!$B$2:$B$26,MATCH($C1990,medicine_master!$A$2:$A$26,0)),"Not found")</f>
        <v>Levocetirizine 5mg</v>
      </c>
      <c r="H1990" s="39" t="str">
        <f aca="false">IFERROR(INDEX(medicine_master!$C$2:$C$26,MATCH($C1990,medicine_master!$A$2:$A$26,0)),"Not found")</f>
        <v>Allergy</v>
      </c>
      <c r="I1990" s="39" t="n">
        <f aca="false">YEAR(B1990)</f>
        <v>2026</v>
      </c>
      <c r="J1990" s="39" t="n">
        <f aca="false">MONTH(B1990)</f>
        <v>4</v>
      </c>
      <c r="K1990" s="39" t="str">
        <f aca="false">TEXT(B1990,"mmm")</f>
        <v>Apr</v>
      </c>
      <c r="L1990" s="45" t="n">
        <f aca="false">IFERROR(INDEX(medicine_master!$I$2:$I$26,MATCH($C1990,medicine_master!$A$2:$A$26,0)),0)</f>
        <v>22</v>
      </c>
      <c r="M1990" s="45" t="n">
        <f aca="false">IFERROR(INDEX(medicine_master!$G$2:$G$26,MATCH($C1990,medicine_master!$A$2:$A$26,0)),0)</f>
        <v>14</v>
      </c>
      <c r="N1990" s="45" t="n">
        <f aca="false">IF(D1990="Sale",E1990*L1990,0)</f>
        <v>0</v>
      </c>
      <c r="O1990" s="45" t="n">
        <f aca="false">IF(D1990="Sale",E1990*M1990,0)</f>
        <v>0</v>
      </c>
      <c r="P1990" s="45" t="n">
        <f aca="false">N1990-O1990</f>
        <v>0</v>
      </c>
      <c r="Q1990" s="45" t="n">
        <f aca="false">IF(D1990="Purchase",E1990*M1990,0)</f>
        <v>140</v>
      </c>
    </row>
    <row r="1991" customFormat="false" ht="15" hidden="false" customHeight="false" outlineLevel="0" collapsed="false">
      <c r="A1991" s="39" t="s">
        <v>2315</v>
      </c>
      <c r="B1991" s="44" t="n">
        <v>46189</v>
      </c>
      <c r="C1991" s="39" t="s">
        <v>326</v>
      </c>
      <c r="D1991" s="39" t="s">
        <v>138</v>
      </c>
      <c r="E1991" s="39" t="n">
        <v>30</v>
      </c>
      <c r="F1991" s="39" t="str">
        <f aca="false">IF(COUNTIF(medicine_master!$A$2:$A$26,C1991)&gt;0,"Valid","Invalid")</f>
        <v>Valid</v>
      </c>
      <c r="G1991" s="39" t="str">
        <f aca="false">IFERROR(INDEX(medicine_master!$B$2:$B$26,MATCH($C1991,medicine_master!$A$2:$A$26,0)),"Not found")</f>
        <v>Omeprazole 20mg</v>
      </c>
      <c r="H1991" s="39" t="str">
        <f aca="false">IFERROR(INDEX(medicine_master!$C$2:$C$26,MATCH($C1991,medicine_master!$A$2:$A$26,0)),"Not found")</f>
        <v>Gastric</v>
      </c>
      <c r="I1991" s="39" t="n">
        <f aca="false">YEAR(B1991)</f>
        <v>2026</v>
      </c>
      <c r="J1991" s="39" t="n">
        <f aca="false">MONTH(B1991)</f>
        <v>6</v>
      </c>
      <c r="K1991" s="39" t="str">
        <f aca="false">TEXT(B1991,"mmm")</f>
        <v>Jun</v>
      </c>
      <c r="L1991" s="45" t="n">
        <f aca="false">IFERROR(INDEX(medicine_master!$I$2:$I$26,MATCH($C1991,medicine_master!$A$2:$A$26,0)),0)</f>
        <v>26</v>
      </c>
      <c r="M1991" s="45" t="n">
        <f aca="false">IFERROR(INDEX(medicine_master!$G$2:$G$26,MATCH($C1991,medicine_master!$A$2:$A$26,0)),0)</f>
        <v>18</v>
      </c>
      <c r="N1991" s="45" t="n">
        <f aca="false">IF(D1991="Sale",E1991*L1991,0)</f>
        <v>0</v>
      </c>
      <c r="O1991" s="45" t="n">
        <f aca="false">IF(D1991="Sale",E1991*M1991,0)</f>
        <v>0</v>
      </c>
      <c r="P1991" s="45" t="n">
        <f aca="false">N1991-O1991</f>
        <v>0</v>
      </c>
      <c r="Q1991" s="45" t="n">
        <f aca="false">IF(D1991="Purchase",E1991*M1991,0)</f>
        <v>540</v>
      </c>
    </row>
    <row r="1992" customFormat="false" ht="15" hidden="false" customHeight="false" outlineLevel="0" collapsed="false">
      <c r="A1992" s="39" t="s">
        <v>2316</v>
      </c>
      <c r="B1992" s="44" t="n">
        <v>46261</v>
      </c>
      <c r="C1992" s="39" t="s">
        <v>180</v>
      </c>
      <c r="D1992" s="39" t="s">
        <v>137</v>
      </c>
      <c r="E1992" s="39" t="n">
        <v>25</v>
      </c>
      <c r="F1992" s="39" t="str">
        <f aca="false">IF(COUNTIF(medicine_master!$A$2:$A$26,C1992)&gt;0,"Valid","Invalid")</f>
        <v>Valid</v>
      </c>
      <c r="G1992" s="39" t="str">
        <f aca="false">IFERROR(INDEX(medicine_master!$B$2:$B$26,MATCH($C1992,medicine_master!$A$2:$A$26,0)),"Not found")</f>
        <v>Vitamin C 500mg</v>
      </c>
      <c r="H1992" s="39" t="str">
        <f aca="false">IFERROR(INDEX(medicine_master!$C$2:$C$26,MATCH($C1992,medicine_master!$A$2:$A$26,0)),"Not found")</f>
        <v>Vitamin</v>
      </c>
      <c r="I1992" s="39" t="n">
        <f aca="false">YEAR(B1992)</f>
        <v>2026</v>
      </c>
      <c r="J1992" s="39" t="n">
        <f aca="false">MONTH(B1992)</f>
        <v>8</v>
      </c>
      <c r="K1992" s="39" t="str">
        <f aca="false">TEXT(B1992,"mmm")</f>
        <v>Aug</v>
      </c>
      <c r="L1992" s="45" t="n">
        <f aca="false">IFERROR(INDEX(medicine_master!$I$2:$I$26,MATCH($C1992,medicine_master!$A$2:$A$26,0)),0)</f>
        <v>22</v>
      </c>
      <c r="M1992" s="45" t="n">
        <f aca="false">IFERROR(INDEX(medicine_master!$G$2:$G$26,MATCH($C1992,medicine_master!$A$2:$A$26,0)),0)</f>
        <v>14</v>
      </c>
      <c r="N1992" s="45" t="n">
        <f aca="false">IF(D1992="Sale",E1992*L1992,0)</f>
        <v>550</v>
      </c>
      <c r="O1992" s="45" t="n">
        <f aca="false">IF(D1992="Sale",E1992*M1992,0)</f>
        <v>350</v>
      </c>
      <c r="P1992" s="45" t="n">
        <f aca="false">N1992-O1992</f>
        <v>200</v>
      </c>
      <c r="Q1992" s="45" t="n">
        <f aca="false">IF(D1992="Purchase",E1992*M1992,0)</f>
        <v>0</v>
      </c>
    </row>
    <row r="1993" customFormat="false" ht="15" hidden="false" customHeight="false" outlineLevel="0" collapsed="false">
      <c r="A1993" s="39" t="s">
        <v>2317</v>
      </c>
      <c r="B1993" s="44" t="n">
        <v>46059</v>
      </c>
      <c r="C1993" s="39" t="s">
        <v>180</v>
      </c>
      <c r="D1993" s="39" t="s">
        <v>137</v>
      </c>
      <c r="E1993" s="39" t="n">
        <v>20</v>
      </c>
      <c r="F1993" s="39" t="str">
        <f aca="false">IF(COUNTIF(medicine_master!$A$2:$A$26,C1993)&gt;0,"Valid","Invalid")</f>
        <v>Valid</v>
      </c>
      <c r="G1993" s="39" t="str">
        <f aca="false">IFERROR(INDEX(medicine_master!$B$2:$B$26,MATCH($C1993,medicine_master!$A$2:$A$26,0)),"Not found")</f>
        <v>Vitamin C 500mg</v>
      </c>
      <c r="H1993" s="39" t="str">
        <f aca="false">IFERROR(INDEX(medicine_master!$C$2:$C$26,MATCH($C1993,medicine_master!$A$2:$A$26,0)),"Not found")</f>
        <v>Vitamin</v>
      </c>
      <c r="I1993" s="39" t="n">
        <f aca="false">YEAR(B1993)</f>
        <v>2026</v>
      </c>
      <c r="J1993" s="39" t="n">
        <f aca="false">MONTH(B1993)</f>
        <v>2</v>
      </c>
      <c r="K1993" s="39" t="str">
        <f aca="false">TEXT(B1993,"mmm")</f>
        <v>Feb</v>
      </c>
      <c r="L1993" s="45" t="n">
        <f aca="false">IFERROR(INDEX(medicine_master!$I$2:$I$26,MATCH($C1993,medicine_master!$A$2:$A$26,0)),0)</f>
        <v>22</v>
      </c>
      <c r="M1993" s="45" t="n">
        <f aca="false">IFERROR(INDEX(medicine_master!$G$2:$G$26,MATCH($C1993,medicine_master!$A$2:$A$26,0)),0)</f>
        <v>14</v>
      </c>
      <c r="N1993" s="45" t="n">
        <f aca="false">IF(D1993="Sale",E1993*L1993,0)</f>
        <v>440</v>
      </c>
      <c r="O1993" s="45" t="n">
        <f aca="false">IF(D1993="Sale",E1993*M1993,0)</f>
        <v>280</v>
      </c>
      <c r="P1993" s="45" t="n">
        <f aca="false">N1993-O1993</f>
        <v>160</v>
      </c>
      <c r="Q1993" s="45" t="n">
        <f aca="false">IF(D1993="Purchase",E1993*M1993,0)</f>
        <v>0</v>
      </c>
    </row>
    <row r="1994" customFormat="false" ht="15" hidden="false" customHeight="false" outlineLevel="0" collapsed="false">
      <c r="A1994" s="39" t="s">
        <v>2318</v>
      </c>
      <c r="B1994" s="44" t="n">
        <v>46359</v>
      </c>
      <c r="C1994" s="39" t="s">
        <v>321</v>
      </c>
      <c r="D1994" s="39" t="s">
        <v>138</v>
      </c>
      <c r="E1994" s="39" t="n">
        <v>10</v>
      </c>
      <c r="F1994" s="39" t="str">
        <f aca="false">IF(COUNTIF(medicine_master!$A$2:$A$26,C1994)&gt;0,"Valid","Invalid")</f>
        <v>Valid</v>
      </c>
      <c r="G1994" s="39" t="str">
        <f aca="false">IFERROR(INDEX(medicine_master!$B$2:$B$26,MATCH($C1994,medicine_master!$A$2:$A$26,0)),"Not found")</f>
        <v>Levocetirizine 5mg</v>
      </c>
      <c r="H1994" s="39" t="str">
        <f aca="false">IFERROR(INDEX(medicine_master!$C$2:$C$26,MATCH($C1994,medicine_master!$A$2:$A$26,0)),"Not found")</f>
        <v>Allergy</v>
      </c>
      <c r="I1994" s="39" t="n">
        <f aca="false">YEAR(B1994)</f>
        <v>2026</v>
      </c>
      <c r="J1994" s="39" t="n">
        <f aca="false">MONTH(B1994)</f>
        <v>12</v>
      </c>
      <c r="K1994" s="39" t="str">
        <f aca="false">TEXT(B1994,"mmm")</f>
        <v>Dec</v>
      </c>
      <c r="L1994" s="45" t="n">
        <f aca="false">IFERROR(INDEX(medicine_master!$I$2:$I$26,MATCH($C1994,medicine_master!$A$2:$A$26,0)),0)</f>
        <v>22</v>
      </c>
      <c r="M1994" s="45" t="n">
        <f aca="false">IFERROR(INDEX(medicine_master!$G$2:$G$26,MATCH($C1994,medicine_master!$A$2:$A$26,0)),0)</f>
        <v>14</v>
      </c>
      <c r="N1994" s="45" t="n">
        <f aca="false">IF(D1994="Sale",E1994*L1994,0)</f>
        <v>0</v>
      </c>
      <c r="O1994" s="45" t="n">
        <f aca="false">IF(D1994="Sale",E1994*M1994,0)</f>
        <v>0</v>
      </c>
      <c r="P1994" s="45" t="n">
        <f aca="false">N1994-O1994</f>
        <v>0</v>
      </c>
      <c r="Q1994" s="45" t="n">
        <f aca="false">IF(D1994="Purchase",E1994*M1994,0)</f>
        <v>140</v>
      </c>
    </row>
    <row r="1995" customFormat="false" ht="15" hidden="false" customHeight="false" outlineLevel="0" collapsed="false">
      <c r="A1995" s="39" t="s">
        <v>2319</v>
      </c>
      <c r="B1995" s="44" t="n">
        <v>46183</v>
      </c>
      <c r="C1995" s="39" t="s">
        <v>179</v>
      </c>
      <c r="D1995" s="39" t="s">
        <v>137</v>
      </c>
      <c r="E1995" s="39" t="n">
        <v>20</v>
      </c>
      <c r="F1995" s="39" t="str">
        <f aca="false">IF(COUNTIF(medicine_master!$A$2:$A$26,C1995)&gt;0,"Valid","Invalid")</f>
        <v>Valid</v>
      </c>
      <c r="G1995" s="39" t="str">
        <f aca="false">IFERROR(INDEX(medicine_master!$B$2:$B$26,MATCH($C1995,medicine_master!$A$2:$A$26,0)),"Not found")</f>
        <v>Ibuprofen 400mg</v>
      </c>
      <c r="H1995" s="39" t="str">
        <f aca="false">IFERROR(INDEX(medicine_master!$C$2:$C$26,MATCH($C1995,medicine_master!$A$2:$A$26,0)),"Not found")</f>
        <v>Pain Relief</v>
      </c>
      <c r="I1995" s="39" t="n">
        <f aca="false">YEAR(B1995)</f>
        <v>2026</v>
      </c>
      <c r="J1995" s="39" t="n">
        <f aca="false">MONTH(B1995)</f>
        <v>6</v>
      </c>
      <c r="K1995" s="39" t="str">
        <f aca="false">TEXT(B1995,"mmm")</f>
        <v>Jun</v>
      </c>
      <c r="L1995" s="45" t="n">
        <f aca="false">IFERROR(INDEX(medicine_master!$I$2:$I$26,MATCH($C1995,medicine_master!$A$2:$A$26,0)),0)</f>
        <v>30</v>
      </c>
      <c r="M1995" s="45" t="n">
        <f aca="false">IFERROR(INDEX(medicine_master!$G$2:$G$26,MATCH($C1995,medicine_master!$A$2:$A$26,0)),0)</f>
        <v>22</v>
      </c>
      <c r="N1995" s="45" t="n">
        <f aca="false">IF(D1995="Sale",E1995*L1995,0)</f>
        <v>600</v>
      </c>
      <c r="O1995" s="45" t="n">
        <f aca="false">IF(D1995="Sale",E1995*M1995,0)</f>
        <v>440</v>
      </c>
      <c r="P1995" s="45" t="n">
        <f aca="false">N1995-O1995</f>
        <v>160</v>
      </c>
      <c r="Q1995" s="45" t="n">
        <f aca="false">IF(D1995="Purchase",E1995*M1995,0)</f>
        <v>0</v>
      </c>
    </row>
    <row r="1996" customFormat="false" ht="15" hidden="false" customHeight="false" outlineLevel="0" collapsed="false">
      <c r="A1996" s="39" t="s">
        <v>2320</v>
      </c>
      <c r="B1996" s="44" t="n">
        <v>46104</v>
      </c>
      <c r="C1996" s="39" t="s">
        <v>495</v>
      </c>
      <c r="D1996" s="39" t="s">
        <v>137</v>
      </c>
      <c r="E1996" s="39" t="n">
        <v>15</v>
      </c>
      <c r="F1996" s="39" t="str">
        <f aca="false">IF(COUNTIF(medicine_master!$A$2:$A$26,C1996)&gt;0,"Valid","Invalid")</f>
        <v>Valid</v>
      </c>
      <c r="G1996" s="39" t="str">
        <f aca="false">IFERROR(INDEX(medicine_master!$B$2:$B$26,MATCH($C1996,medicine_master!$A$2:$A$26,0)),"Not found")</f>
        <v>Metformin 500mg</v>
      </c>
      <c r="H1996" s="39" t="str">
        <f aca="false">IFERROR(INDEX(medicine_master!$C$2:$C$26,MATCH($C1996,medicine_master!$A$2:$A$26,0)),"Not found")</f>
        <v>Diabetes</v>
      </c>
      <c r="I1996" s="39" t="n">
        <f aca="false">YEAR(B1996)</f>
        <v>2026</v>
      </c>
      <c r="J1996" s="39" t="n">
        <f aca="false">MONTH(B1996)</f>
        <v>3</v>
      </c>
      <c r="K1996" s="39" t="str">
        <f aca="false">TEXT(B1996,"mmm")</f>
        <v>Mar</v>
      </c>
      <c r="L1996" s="45" t="n">
        <f aca="false">IFERROR(INDEX(medicine_master!$I$2:$I$26,MATCH($C1996,medicine_master!$A$2:$A$26,0)),0)</f>
        <v>24</v>
      </c>
      <c r="M1996" s="45" t="n">
        <f aca="false">IFERROR(INDEX(medicine_master!$G$2:$G$26,MATCH($C1996,medicine_master!$A$2:$A$26,0)),0)</f>
        <v>16</v>
      </c>
      <c r="N1996" s="45" t="n">
        <f aca="false">IF(D1996="Sale",E1996*L1996,0)</f>
        <v>360</v>
      </c>
      <c r="O1996" s="45" t="n">
        <f aca="false">IF(D1996="Sale",E1996*M1996,0)</f>
        <v>240</v>
      </c>
      <c r="P1996" s="45" t="n">
        <f aca="false">N1996-O1996</f>
        <v>120</v>
      </c>
      <c r="Q1996" s="45" t="n">
        <f aca="false">IF(D1996="Purchase",E1996*M1996,0)</f>
        <v>0</v>
      </c>
    </row>
    <row r="1997" customFormat="false" ht="15" hidden="false" customHeight="false" outlineLevel="0" collapsed="false">
      <c r="A1997" s="39" t="s">
        <v>2321</v>
      </c>
      <c r="B1997" s="44" t="n">
        <v>46154</v>
      </c>
      <c r="C1997" s="39" t="s">
        <v>152</v>
      </c>
      <c r="D1997" s="39" t="s">
        <v>137</v>
      </c>
      <c r="E1997" s="39" t="n">
        <v>50</v>
      </c>
      <c r="F1997" s="39" t="str">
        <f aca="false">IF(COUNTIF(medicine_master!$A$2:$A$26,C1997)&gt;0,"Valid","Invalid")</f>
        <v>Valid</v>
      </c>
      <c r="G1997" s="39" t="str">
        <f aca="false">IFERROR(INDEX(medicine_master!$B$2:$B$26,MATCH($C1997,medicine_master!$A$2:$A$26,0)),"Not found")</f>
        <v>Amoxicillin 500mg</v>
      </c>
      <c r="H1997" s="39" t="str">
        <f aca="false">IFERROR(INDEX(medicine_master!$C$2:$C$26,MATCH($C1997,medicine_master!$A$2:$A$26,0)),"Not found")</f>
        <v>Antibiotic</v>
      </c>
      <c r="I1997" s="39" t="n">
        <f aca="false">YEAR(B1997)</f>
        <v>2026</v>
      </c>
      <c r="J1997" s="39" t="n">
        <f aca="false">MONTH(B1997)</f>
        <v>5</v>
      </c>
      <c r="K1997" s="39" t="str">
        <f aca="false">TEXT(B1997,"mmm")</f>
        <v>May</v>
      </c>
      <c r="L1997" s="45" t="n">
        <f aca="false">IFERROR(INDEX(medicine_master!$I$2:$I$26,MATCH($C1997,medicine_master!$A$2:$A$26,0)),0)</f>
        <v>40</v>
      </c>
      <c r="M1997" s="45" t="n">
        <f aca="false">IFERROR(INDEX(medicine_master!$G$2:$G$26,MATCH($C1997,medicine_master!$A$2:$A$26,0)),0)</f>
        <v>28</v>
      </c>
      <c r="N1997" s="45" t="n">
        <f aca="false">IF(D1997="Sale",E1997*L1997,0)</f>
        <v>2000</v>
      </c>
      <c r="O1997" s="45" t="n">
        <f aca="false">IF(D1997="Sale",E1997*M1997,0)</f>
        <v>1400</v>
      </c>
      <c r="P1997" s="45" t="n">
        <f aca="false">N1997-O1997</f>
        <v>600</v>
      </c>
      <c r="Q1997" s="45" t="n">
        <f aca="false">IF(D1997="Purchase",E1997*M1997,0)</f>
        <v>0</v>
      </c>
    </row>
    <row r="1998" customFormat="false" ht="15" hidden="false" customHeight="false" outlineLevel="0" collapsed="false">
      <c r="A1998" s="39" t="s">
        <v>2322</v>
      </c>
      <c r="B1998" s="44" t="n">
        <v>46275</v>
      </c>
      <c r="C1998" s="39" t="s">
        <v>147</v>
      </c>
      <c r="D1998" s="39" t="s">
        <v>137</v>
      </c>
      <c r="E1998" s="39" t="n">
        <v>10</v>
      </c>
      <c r="F1998" s="39" t="str">
        <f aca="false">IF(COUNTIF(medicine_master!$A$2:$A$26,C1998)&gt;0,"Valid","Invalid")</f>
        <v>Valid</v>
      </c>
      <c r="G1998" s="39" t="str">
        <f aca="false">IFERROR(INDEX(medicine_master!$B$2:$B$26,MATCH($C1998,medicine_master!$A$2:$A$26,0)),"Not found")</f>
        <v>Insulin Injection</v>
      </c>
      <c r="H1998" s="39" t="str">
        <f aca="false">IFERROR(INDEX(medicine_master!$C$2:$C$26,MATCH($C1998,medicine_master!$A$2:$A$26,0)),"Not found")</f>
        <v>Diabetes</v>
      </c>
      <c r="I1998" s="39" t="n">
        <f aca="false">YEAR(B1998)</f>
        <v>2026</v>
      </c>
      <c r="J1998" s="39" t="n">
        <f aca="false">MONTH(B1998)</f>
        <v>9</v>
      </c>
      <c r="K1998" s="39" t="str">
        <f aca="false">TEXT(B1998,"mmm")</f>
        <v>Sep</v>
      </c>
      <c r="L1998" s="45" t="n">
        <f aca="false">IFERROR(INDEX(medicine_master!$I$2:$I$26,MATCH($C1998,medicine_master!$A$2:$A$26,0)),0)</f>
        <v>225</v>
      </c>
      <c r="M1998" s="45" t="n">
        <f aca="false">IFERROR(INDEX(medicine_master!$G$2:$G$26,MATCH($C1998,medicine_master!$A$2:$A$26,0)),0)</f>
        <v>165</v>
      </c>
      <c r="N1998" s="45" t="n">
        <f aca="false">IF(D1998="Sale",E1998*L1998,0)</f>
        <v>2250</v>
      </c>
      <c r="O1998" s="45" t="n">
        <f aca="false">IF(D1998="Sale",E1998*M1998,0)</f>
        <v>1650</v>
      </c>
      <c r="P1998" s="45" t="n">
        <f aca="false">N1998-O1998</f>
        <v>600</v>
      </c>
      <c r="Q1998" s="45" t="n">
        <f aca="false">IF(D1998="Purchase",E1998*M1998,0)</f>
        <v>0</v>
      </c>
    </row>
    <row r="1999" customFormat="false" ht="15" hidden="false" customHeight="false" outlineLevel="0" collapsed="false">
      <c r="A1999" s="39" t="s">
        <v>2323</v>
      </c>
      <c r="B1999" s="44" t="n">
        <v>46223</v>
      </c>
      <c r="C1999" s="39" t="s">
        <v>151</v>
      </c>
      <c r="D1999" s="39" t="s">
        <v>137</v>
      </c>
      <c r="E1999" s="39" t="n">
        <v>20</v>
      </c>
      <c r="F1999" s="39" t="str">
        <f aca="false">IF(COUNTIF(medicine_master!$A$2:$A$26,C1999)&gt;0,"Valid","Invalid")</f>
        <v>Valid</v>
      </c>
      <c r="G1999" s="39" t="str">
        <f aca="false">IFERROR(INDEX(medicine_master!$B$2:$B$26,MATCH($C1999,medicine_master!$A$2:$A$26,0)),"Not found")</f>
        <v>Cetirizine 10mg</v>
      </c>
      <c r="H1999" s="39" t="str">
        <f aca="false">IFERROR(INDEX(medicine_master!$C$2:$C$26,MATCH($C1999,medicine_master!$A$2:$A$26,0)),"Not found")</f>
        <v>Allergy</v>
      </c>
      <c r="I1999" s="39" t="n">
        <f aca="false">YEAR(B1999)</f>
        <v>2026</v>
      </c>
      <c r="J1999" s="39" t="n">
        <f aca="false">MONTH(B1999)</f>
        <v>7</v>
      </c>
      <c r="K1999" s="39" t="str">
        <f aca="false">TEXT(B1999,"mmm")</f>
        <v>Jul</v>
      </c>
      <c r="L1999" s="45" t="n">
        <f aca="false">IFERROR(INDEX(medicine_master!$I$2:$I$26,MATCH($C1999,medicine_master!$A$2:$A$26,0)),0)</f>
        <v>13</v>
      </c>
      <c r="M1999" s="45" t="n">
        <f aca="false">IFERROR(INDEX(medicine_master!$G$2:$G$26,MATCH($C1999,medicine_master!$A$2:$A$26,0)),0)</f>
        <v>8</v>
      </c>
      <c r="N1999" s="45" t="n">
        <f aca="false">IF(D1999="Sale",E1999*L1999,0)</f>
        <v>260</v>
      </c>
      <c r="O1999" s="45" t="n">
        <f aca="false">IF(D1999="Sale",E1999*M1999,0)</f>
        <v>160</v>
      </c>
      <c r="P1999" s="45" t="n">
        <f aca="false">N1999-O1999</f>
        <v>100</v>
      </c>
      <c r="Q1999" s="45" t="n">
        <f aca="false">IF(D1999="Purchase",E1999*M1999,0)</f>
        <v>0</v>
      </c>
    </row>
    <row r="2000" customFormat="false" ht="15" hidden="false" customHeight="false" outlineLevel="0" collapsed="false">
      <c r="A2000" s="39" t="s">
        <v>2324</v>
      </c>
      <c r="B2000" s="44" t="n">
        <v>46343</v>
      </c>
      <c r="C2000" s="39" t="s">
        <v>150</v>
      </c>
      <c r="D2000" s="39" t="s">
        <v>137</v>
      </c>
      <c r="E2000" s="39" t="n">
        <v>5</v>
      </c>
      <c r="F2000" s="39" t="str">
        <f aca="false">IF(COUNTIF(medicine_master!$A$2:$A$26,C2000)&gt;0,"Valid","Invalid")</f>
        <v>Valid</v>
      </c>
      <c r="G2000" s="39" t="str">
        <f aca="false">IFERROR(INDEX(medicine_master!$B$2:$B$26,MATCH($C2000,medicine_master!$A$2:$A$26,0)),"Not found")</f>
        <v>Pantoprazole 40mg</v>
      </c>
      <c r="H2000" s="39" t="str">
        <f aca="false">IFERROR(INDEX(medicine_master!$C$2:$C$26,MATCH($C2000,medicine_master!$A$2:$A$26,0)),"Not found")</f>
        <v>Gastric</v>
      </c>
      <c r="I2000" s="39" t="n">
        <f aca="false">YEAR(B2000)</f>
        <v>2026</v>
      </c>
      <c r="J2000" s="39" t="n">
        <f aca="false">MONTH(B2000)</f>
        <v>11</v>
      </c>
      <c r="K2000" s="39" t="str">
        <f aca="false">TEXT(B2000,"mmm")</f>
        <v>Nov</v>
      </c>
      <c r="L2000" s="45" t="n">
        <f aca="false">IFERROR(INDEX(medicine_master!$I$2:$I$26,MATCH($C2000,medicine_master!$A$2:$A$26,0)),0)</f>
        <v>35</v>
      </c>
      <c r="M2000" s="45" t="n">
        <f aca="false">IFERROR(INDEX(medicine_master!$G$2:$G$26,MATCH($C2000,medicine_master!$A$2:$A$26,0)),0)</f>
        <v>24</v>
      </c>
      <c r="N2000" s="45" t="n">
        <f aca="false">IF(D2000="Sale",E2000*L2000,0)</f>
        <v>175</v>
      </c>
      <c r="O2000" s="45" t="n">
        <f aca="false">IF(D2000="Sale",E2000*M2000,0)</f>
        <v>120</v>
      </c>
      <c r="P2000" s="45" t="n">
        <f aca="false">N2000-O2000</f>
        <v>55</v>
      </c>
      <c r="Q2000" s="45" t="n">
        <f aca="false">IF(D2000="Purchase",E2000*M2000,0)</f>
        <v>0</v>
      </c>
    </row>
    <row r="2001" customFormat="false" ht="15" hidden="false" customHeight="false" outlineLevel="0" collapsed="false">
      <c r="A2001" s="39" t="s">
        <v>2325</v>
      </c>
      <c r="B2001" s="44" t="n">
        <v>46293</v>
      </c>
      <c r="C2001" s="39" t="s">
        <v>151</v>
      </c>
      <c r="D2001" s="39" t="s">
        <v>137</v>
      </c>
      <c r="E2001" s="39" t="n">
        <v>15</v>
      </c>
      <c r="F2001" s="39" t="str">
        <f aca="false">IF(COUNTIF(medicine_master!$A$2:$A$26,C2001)&gt;0,"Valid","Invalid")</f>
        <v>Valid</v>
      </c>
      <c r="G2001" s="39" t="str">
        <f aca="false">IFERROR(INDEX(medicine_master!$B$2:$B$26,MATCH($C2001,medicine_master!$A$2:$A$26,0)),"Not found")</f>
        <v>Cetirizine 10mg</v>
      </c>
      <c r="H2001" s="39" t="str">
        <f aca="false">IFERROR(INDEX(medicine_master!$C$2:$C$26,MATCH($C2001,medicine_master!$A$2:$A$26,0)),"Not found")</f>
        <v>Allergy</v>
      </c>
      <c r="I2001" s="39" t="n">
        <f aca="false">YEAR(B2001)</f>
        <v>2026</v>
      </c>
      <c r="J2001" s="39" t="n">
        <f aca="false">MONTH(B2001)</f>
        <v>9</v>
      </c>
      <c r="K2001" s="39" t="str">
        <f aca="false">TEXT(B2001,"mmm")</f>
        <v>Sep</v>
      </c>
      <c r="L2001" s="45" t="n">
        <f aca="false">IFERROR(INDEX(medicine_master!$I$2:$I$26,MATCH($C2001,medicine_master!$A$2:$A$26,0)),0)</f>
        <v>13</v>
      </c>
      <c r="M2001" s="45" t="n">
        <f aca="false">IFERROR(INDEX(medicine_master!$G$2:$G$26,MATCH($C2001,medicine_master!$A$2:$A$26,0)),0)</f>
        <v>8</v>
      </c>
      <c r="N2001" s="45" t="n">
        <f aca="false">IF(D2001="Sale",E2001*L2001,0)</f>
        <v>195</v>
      </c>
      <c r="O2001" s="45" t="n">
        <f aca="false">IF(D2001="Sale",E2001*M2001,0)</f>
        <v>120</v>
      </c>
      <c r="P2001" s="45" t="n">
        <f aca="false">N2001-O2001</f>
        <v>75</v>
      </c>
      <c r="Q2001" s="45" t="n">
        <f aca="false">IF(D2001="Purchase",E2001*M2001,0)</f>
        <v>0</v>
      </c>
    </row>
    <row r="2002" customFormat="false" ht="15" hidden="false" customHeight="false" outlineLevel="0" collapsed="false">
      <c r="A2002" s="39" t="s">
        <v>2326</v>
      </c>
      <c r="B2002" s="44" t="n">
        <v>46342</v>
      </c>
      <c r="C2002" s="39" t="s">
        <v>326</v>
      </c>
      <c r="D2002" s="39" t="s">
        <v>137</v>
      </c>
      <c r="E2002" s="39" t="n">
        <v>10</v>
      </c>
      <c r="F2002" s="39" t="str">
        <f aca="false">IF(COUNTIF(medicine_master!$A$2:$A$26,C2002)&gt;0,"Valid","Invalid")</f>
        <v>Valid</v>
      </c>
      <c r="G2002" s="39" t="str">
        <f aca="false">IFERROR(INDEX(medicine_master!$B$2:$B$26,MATCH($C2002,medicine_master!$A$2:$A$26,0)),"Not found")</f>
        <v>Omeprazole 20mg</v>
      </c>
      <c r="H2002" s="39" t="str">
        <f aca="false">IFERROR(INDEX(medicine_master!$C$2:$C$26,MATCH($C2002,medicine_master!$A$2:$A$26,0)),"Not found")</f>
        <v>Gastric</v>
      </c>
      <c r="I2002" s="39" t="n">
        <f aca="false">YEAR(B2002)</f>
        <v>2026</v>
      </c>
      <c r="J2002" s="39" t="n">
        <f aca="false">MONTH(B2002)</f>
        <v>11</v>
      </c>
      <c r="K2002" s="39" t="str">
        <f aca="false">TEXT(B2002,"mmm")</f>
        <v>Nov</v>
      </c>
      <c r="L2002" s="45" t="n">
        <f aca="false">IFERROR(INDEX(medicine_master!$I$2:$I$26,MATCH($C2002,medicine_master!$A$2:$A$26,0)),0)</f>
        <v>26</v>
      </c>
      <c r="M2002" s="45" t="n">
        <f aca="false">IFERROR(INDEX(medicine_master!$G$2:$G$26,MATCH($C2002,medicine_master!$A$2:$A$26,0)),0)</f>
        <v>18</v>
      </c>
      <c r="N2002" s="45" t="n">
        <f aca="false">IF(D2002="Sale",E2002*L2002,0)</f>
        <v>260</v>
      </c>
      <c r="O2002" s="45" t="n">
        <f aca="false">IF(D2002="Sale",E2002*M2002,0)</f>
        <v>180</v>
      </c>
      <c r="P2002" s="45" t="n">
        <f aca="false">N2002-O2002</f>
        <v>80</v>
      </c>
      <c r="Q2002" s="45" t="n">
        <f aca="false">IF(D2002="Purchase",E2002*M2002,0)</f>
        <v>0</v>
      </c>
    </row>
    <row r="2003" customFormat="false" ht="15" hidden="false" customHeight="false" outlineLevel="0" collapsed="false">
      <c r="A2003" s="39" t="s">
        <v>2327</v>
      </c>
      <c r="B2003" s="44" t="n">
        <v>46258</v>
      </c>
      <c r="C2003" s="39" t="s">
        <v>178</v>
      </c>
      <c r="D2003" s="39" t="s">
        <v>138</v>
      </c>
      <c r="E2003" s="39" t="n">
        <v>10</v>
      </c>
      <c r="F2003" s="39" t="str">
        <f aca="false">IF(COUNTIF(medicine_master!$A$2:$A$26,C2003)&gt;0,"Valid","Invalid")</f>
        <v>Valid</v>
      </c>
      <c r="G2003" s="39" t="str">
        <f aca="false">IFERROR(INDEX(medicine_master!$B$2:$B$26,MATCH($C2003,medicine_master!$A$2:$A$26,0)),"Not found")</f>
        <v>Aspirin 75mg</v>
      </c>
      <c r="H2003" s="39" t="str">
        <f aca="false">IFERROR(INDEX(medicine_master!$C$2:$C$26,MATCH($C2003,medicine_master!$A$2:$A$26,0)),"Not found")</f>
        <v>Cardiac</v>
      </c>
      <c r="I2003" s="39" t="n">
        <f aca="false">YEAR(B2003)</f>
        <v>2026</v>
      </c>
      <c r="J2003" s="39" t="n">
        <f aca="false">MONTH(B2003)</f>
        <v>8</v>
      </c>
      <c r="K2003" s="39" t="str">
        <f aca="false">TEXT(B2003,"mmm")</f>
        <v>Aug</v>
      </c>
      <c r="L2003" s="45" t="n">
        <f aca="false">IFERROR(INDEX(medicine_master!$I$2:$I$26,MATCH($C2003,medicine_master!$A$2:$A$26,0)),0)</f>
        <v>15</v>
      </c>
      <c r="M2003" s="45" t="n">
        <f aca="false">IFERROR(INDEX(medicine_master!$G$2:$G$26,MATCH($C2003,medicine_master!$A$2:$A$26,0)),0)</f>
        <v>10</v>
      </c>
      <c r="N2003" s="45" t="n">
        <f aca="false">IF(D2003="Sale",E2003*L2003,0)</f>
        <v>0</v>
      </c>
      <c r="O2003" s="45" t="n">
        <f aca="false">IF(D2003="Sale",E2003*M2003,0)</f>
        <v>0</v>
      </c>
      <c r="P2003" s="45" t="n">
        <f aca="false">N2003-O2003</f>
        <v>0</v>
      </c>
      <c r="Q2003" s="45" t="n">
        <f aca="false">IF(D2003="Purchase",E2003*M2003,0)</f>
        <v>100</v>
      </c>
    </row>
    <row r="2004" customFormat="false" ht="15" hidden="false" customHeight="false" outlineLevel="0" collapsed="false">
      <c r="A2004" s="39" t="s">
        <v>2328</v>
      </c>
      <c r="B2004" s="44" t="n">
        <v>46184</v>
      </c>
      <c r="C2004" s="39" t="s">
        <v>326</v>
      </c>
      <c r="D2004" s="39" t="s">
        <v>138</v>
      </c>
      <c r="E2004" s="39" t="n">
        <v>15</v>
      </c>
      <c r="F2004" s="39" t="str">
        <f aca="false">IF(COUNTIF(medicine_master!$A$2:$A$26,C2004)&gt;0,"Valid","Invalid")</f>
        <v>Valid</v>
      </c>
      <c r="G2004" s="39" t="str">
        <f aca="false">IFERROR(INDEX(medicine_master!$B$2:$B$26,MATCH($C2004,medicine_master!$A$2:$A$26,0)),"Not found")</f>
        <v>Omeprazole 20mg</v>
      </c>
      <c r="H2004" s="39" t="str">
        <f aca="false">IFERROR(INDEX(medicine_master!$C$2:$C$26,MATCH($C2004,medicine_master!$A$2:$A$26,0)),"Not found")</f>
        <v>Gastric</v>
      </c>
      <c r="I2004" s="39" t="n">
        <f aca="false">YEAR(B2004)</f>
        <v>2026</v>
      </c>
      <c r="J2004" s="39" t="n">
        <f aca="false">MONTH(B2004)</f>
        <v>6</v>
      </c>
      <c r="K2004" s="39" t="str">
        <f aca="false">TEXT(B2004,"mmm")</f>
        <v>Jun</v>
      </c>
      <c r="L2004" s="45" t="n">
        <f aca="false">IFERROR(INDEX(medicine_master!$I$2:$I$26,MATCH($C2004,medicine_master!$A$2:$A$26,0)),0)</f>
        <v>26</v>
      </c>
      <c r="M2004" s="45" t="n">
        <f aca="false">IFERROR(INDEX(medicine_master!$G$2:$G$26,MATCH($C2004,medicine_master!$A$2:$A$26,0)),0)</f>
        <v>18</v>
      </c>
      <c r="N2004" s="45" t="n">
        <f aca="false">IF(D2004="Sale",E2004*L2004,0)</f>
        <v>0</v>
      </c>
      <c r="O2004" s="45" t="n">
        <f aca="false">IF(D2004="Sale",E2004*M2004,0)</f>
        <v>0</v>
      </c>
      <c r="P2004" s="45" t="n">
        <f aca="false">N2004-O2004</f>
        <v>0</v>
      </c>
      <c r="Q2004" s="45" t="n">
        <f aca="false">IF(D2004="Purchase",E2004*M2004,0)</f>
        <v>270</v>
      </c>
    </row>
    <row r="2005" customFormat="false" ht="15" hidden="false" customHeight="false" outlineLevel="0" collapsed="false">
      <c r="A2005" s="39" t="s">
        <v>2329</v>
      </c>
      <c r="B2005" s="44" t="n">
        <v>46329</v>
      </c>
      <c r="C2005" s="39" t="s">
        <v>158</v>
      </c>
      <c r="D2005" s="39" t="s">
        <v>138</v>
      </c>
      <c r="E2005" s="39" t="n">
        <v>50</v>
      </c>
      <c r="F2005" s="39" t="str">
        <f aca="false">IF(COUNTIF(medicine_master!$A$2:$A$26,C2005)&gt;0,"Valid","Invalid")</f>
        <v>Valid</v>
      </c>
      <c r="G2005" s="39" t="str">
        <f aca="false">IFERROR(INDEX(medicine_master!$B$2:$B$26,MATCH($C2005,medicine_master!$A$2:$A$26,0)),"Not found")</f>
        <v>Cough Syrup 100ml</v>
      </c>
      <c r="H2005" s="39" t="str">
        <f aca="false">IFERROR(INDEX(medicine_master!$C$2:$C$26,MATCH($C2005,medicine_master!$A$2:$A$26,0)),"Not found")</f>
        <v>Cold &amp; Cough</v>
      </c>
      <c r="I2005" s="39" t="n">
        <f aca="false">YEAR(B2005)</f>
        <v>2026</v>
      </c>
      <c r="J2005" s="39" t="n">
        <f aca="false">MONTH(B2005)</f>
        <v>11</v>
      </c>
      <c r="K2005" s="39" t="str">
        <f aca="false">TEXT(B2005,"mmm")</f>
        <v>Nov</v>
      </c>
      <c r="L2005" s="45" t="n">
        <f aca="false">IFERROR(INDEX(medicine_master!$I$2:$I$26,MATCH($C2005,medicine_master!$A$2:$A$26,0)),0)</f>
        <v>72</v>
      </c>
      <c r="M2005" s="45" t="n">
        <f aca="false">IFERROR(INDEX(medicine_master!$G$2:$G$26,MATCH($C2005,medicine_master!$A$2:$A$26,0)),0)</f>
        <v>52</v>
      </c>
      <c r="N2005" s="45" t="n">
        <f aca="false">IF(D2005="Sale",E2005*L2005,0)</f>
        <v>0</v>
      </c>
      <c r="O2005" s="45" t="n">
        <f aca="false">IF(D2005="Sale",E2005*M2005,0)</f>
        <v>0</v>
      </c>
      <c r="P2005" s="45" t="n">
        <f aca="false">N2005-O2005</f>
        <v>0</v>
      </c>
      <c r="Q2005" s="45" t="n">
        <f aca="false">IF(D2005="Purchase",E2005*M2005,0)</f>
        <v>2600</v>
      </c>
    </row>
    <row r="2006" customFormat="false" ht="15" hidden="false" customHeight="false" outlineLevel="0" collapsed="false">
      <c r="A2006" s="39" t="s">
        <v>2330</v>
      </c>
      <c r="B2006" s="44" t="n">
        <v>46084</v>
      </c>
      <c r="C2006" s="39" t="s">
        <v>153</v>
      </c>
      <c r="D2006" s="39" t="s">
        <v>137</v>
      </c>
      <c r="E2006" s="39" t="n">
        <v>25</v>
      </c>
      <c r="F2006" s="39" t="str">
        <f aca="false">IF(COUNTIF(medicine_master!$A$2:$A$26,C2006)&gt;0,"Valid","Invalid")</f>
        <v>Valid</v>
      </c>
      <c r="G2006" s="39" t="str">
        <f aca="false">IFERROR(INDEX(medicine_master!$B$2:$B$26,MATCH($C2006,medicine_master!$A$2:$A$26,0)),"Not found")</f>
        <v>Atorvastatin 10mg</v>
      </c>
      <c r="H2006" s="39" t="str">
        <f aca="false">IFERROR(INDEX(medicine_master!$C$2:$C$26,MATCH($C2006,medicine_master!$A$2:$A$26,0)),"Not found")</f>
        <v>Cardiac</v>
      </c>
      <c r="I2006" s="39" t="n">
        <f aca="false">YEAR(B2006)</f>
        <v>2026</v>
      </c>
      <c r="J2006" s="39" t="n">
        <f aca="false">MONTH(B2006)</f>
        <v>3</v>
      </c>
      <c r="K2006" s="39" t="str">
        <f aca="false">TEXT(B2006,"mmm")</f>
        <v>Mar</v>
      </c>
      <c r="L2006" s="45" t="n">
        <f aca="false">IFERROR(INDEX(medicine_master!$I$2:$I$26,MATCH($C2006,medicine_master!$A$2:$A$26,0)),0)</f>
        <v>28</v>
      </c>
      <c r="M2006" s="45" t="n">
        <f aca="false">IFERROR(INDEX(medicine_master!$G$2:$G$26,MATCH($C2006,medicine_master!$A$2:$A$26,0)),0)</f>
        <v>19</v>
      </c>
      <c r="N2006" s="45" t="n">
        <f aca="false">IF(D2006="Sale",E2006*L2006,0)</f>
        <v>700</v>
      </c>
      <c r="O2006" s="45" t="n">
        <f aca="false">IF(D2006="Sale",E2006*M2006,0)</f>
        <v>475</v>
      </c>
      <c r="P2006" s="45" t="n">
        <f aca="false">N2006-O2006</f>
        <v>225</v>
      </c>
      <c r="Q2006" s="45" t="n">
        <f aca="false">IF(D2006="Purchase",E2006*M2006,0)</f>
        <v>0</v>
      </c>
    </row>
    <row r="2007" customFormat="false" ht="15" hidden="false" customHeight="false" outlineLevel="0" collapsed="false">
      <c r="A2007" s="39" t="s">
        <v>2331</v>
      </c>
      <c r="B2007" s="44" t="n">
        <v>46030</v>
      </c>
      <c r="C2007" s="39" t="s">
        <v>149</v>
      </c>
      <c r="D2007" s="39" t="s">
        <v>138</v>
      </c>
      <c r="E2007" s="39" t="n">
        <v>40</v>
      </c>
      <c r="F2007" s="39" t="str">
        <f aca="false">IF(COUNTIF(medicine_master!$A$2:$A$26,C2007)&gt;0,"Valid","Invalid")</f>
        <v>Valid</v>
      </c>
      <c r="G2007" s="39" t="str">
        <f aca="false">IFERROR(INDEX(medicine_master!$B$2:$B$26,MATCH($C2007,medicine_master!$A$2:$A$26,0)),"Not found")</f>
        <v>Azithromycin 500mg</v>
      </c>
      <c r="H2007" s="39" t="str">
        <f aca="false">IFERROR(INDEX(medicine_master!$C$2:$C$26,MATCH($C2007,medicine_master!$A$2:$A$26,0)),"Not found")</f>
        <v>Antibiotic</v>
      </c>
      <c r="I2007" s="39" t="n">
        <f aca="false">YEAR(B2007)</f>
        <v>2026</v>
      </c>
      <c r="J2007" s="39" t="n">
        <f aca="false">MONTH(B2007)</f>
        <v>1</v>
      </c>
      <c r="K2007" s="39" t="str">
        <f aca="false">TEXT(B2007,"mmm")</f>
        <v>Jan</v>
      </c>
      <c r="L2007" s="45" t="n">
        <f aca="false">IFERROR(INDEX(medicine_master!$I$2:$I$26,MATCH($C2007,medicine_master!$A$2:$A$26,0)),0)</f>
        <v>50</v>
      </c>
      <c r="M2007" s="45" t="n">
        <f aca="false">IFERROR(INDEX(medicine_master!$G$2:$G$26,MATCH($C2007,medicine_master!$A$2:$A$26,0)),0)</f>
        <v>35</v>
      </c>
      <c r="N2007" s="45" t="n">
        <f aca="false">IF(D2007="Sale",E2007*L2007,0)</f>
        <v>0</v>
      </c>
      <c r="O2007" s="45" t="n">
        <f aca="false">IF(D2007="Sale",E2007*M2007,0)</f>
        <v>0</v>
      </c>
      <c r="P2007" s="45" t="n">
        <f aca="false">N2007-O2007</f>
        <v>0</v>
      </c>
      <c r="Q2007" s="45" t="n">
        <f aca="false">IF(D2007="Purchase",E2007*M2007,0)</f>
        <v>1400</v>
      </c>
    </row>
    <row r="2008" customFormat="false" ht="15" hidden="false" customHeight="false" outlineLevel="0" collapsed="false">
      <c r="A2008" s="39" t="s">
        <v>2332</v>
      </c>
      <c r="B2008" s="44" t="n">
        <v>46230</v>
      </c>
      <c r="C2008" s="39" t="s">
        <v>321</v>
      </c>
      <c r="D2008" s="39" t="s">
        <v>137</v>
      </c>
      <c r="E2008" s="39" t="n">
        <v>30</v>
      </c>
      <c r="F2008" s="39" t="str">
        <f aca="false">IF(COUNTIF(medicine_master!$A$2:$A$26,C2008)&gt;0,"Valid","Invalid")</f>
        <v>Valid</v>
      </c>
      <c r="G2008" s="39" t="str">
        <f aca="false">IFERROR(INDEX(medicine_master!$B$2:$B$26,MATCH($C2008,medicine_master!$A$2:$A$26,0)),"Not found")</f>
        <v>Levocetirizine 5mg</v>
      </c>
      <c r="H2008" s="39" t="str">
        <f aca="false">IFERROR(INDEX(medicine_master!$C$2:$C$26,MATCH($C2008,medicine_master!$A$2:$A$26,0)),"Not found")</f>
        <v>Allergy</v>
      </c>
      <c r="I2008" s="39" t="n">
        <f aca="false">YEAR(B2008)</f>
        <v>2026</v>
      </c>
      <c r="J2008" s="39" t="n">
        <f aca="false">MONTH(B2008)</f>
        <v>7</v>
      </c>
      <c r="K2008" s="39" t="str">
        <f aca="false">TEXT(B2008,"mmm")</f>
        <v>Jul</v>
      </c>
      <c r="L2008" s="45" t="n">
        <f aca="false">IFERROR(INDEX(medicine_master!$I$2:$I$26,MATCH($C2008,medicine_master!$A$2:$A$26,0)),0)</f>
        <v>22</v>
      </c>
      <c r="M2008" s="45" t="n">
        <f aca="false">IFERROR(INDEX(medicine_master!$G$2:$G$26,MATCH($C2008,medicine_master!$A$2:$A$26,0)),0)</f>
        <v>14</v>
      </c>
      <c r="N2008" s="45" t="n">
        <f aca="false">IF(D2008="Sale",E2008*L2008,0)</f>
        <v>660</v>
      </c>
      <c r="O2008" s="45" t="n">
        <f aca="false">IF(D2008="Sale",E2008*M2008,0)</f>
        <v>420</v>
      </c>
      <c r="P2008" s="45" t="n">
        <f aca="false">N2008-O2008</f>
        <v>240</v>
      </c>
      <c r="Q2008" s="45" t="n">
        <f aca="false">IF(D2008="Purchase",E2008*M2008,0)</f>
        <v>0</v>
      </c>
    </row>
    <row r="2009" customFormat="false" ht="15" hidden="false" customHeight="false" outlineLevel="0" collapsed="false">
      <c r="A2009" s="39" t="s">
        <v>2333</v>
      </c>
      <c r="B2009" s="44" t="n">
        <v>46252</v>
      </c>
      <c r="C2009" s="39" t="s">
        <v>150</v>
      </c>
      <c r="D2009" s="39" t="s">
        <v>138</v>
      </c>
      <c r="E2009" s="39" t="n">
        <v>15</v>
      </c>
      <c r="F2009" s="39" t="str">
        <f aca="false">IF(COUNTIF(medicine_master!$A$2:$A$26,C2009)&gt;0,"Valid","Invalid")</f>
        <v>Valid</v>
      </c>
      <c r="G2009" s="39" t="str">
        <f aca="false">IFERROR(INDEX(medicine_master!$B$2:$B$26,MATCH($C2009,medicine_master!$A$2:$A$26,0)),"Not found")</f>
        <v>Pantoprazole 40mg</v>
      </c>
      <c r="H2009" s="39" t="str">
        <f aca="false">IFERROR(INDEX(medicine_master!$C$2:$C$26,MATCH($C2009,medicine_master!$A$2:$A$26,0)),"Not found")</f>
        <v>Gastric</v>
      </c>
      <c r="I2009" s="39" t="n">
        <f aca="false">YEAR(B2009)</f>
        <v>2026</v>
      </c>
      <c r="J2009" s="39" t="n">
        <f aca="false">MONTH(B2009)</f>
        <v>8</v>
      </c>
      <c r="K2009" s="39" t="str">
        <f aca="false">TEXT(B2009,"mmm")</f>
        <v>Aug</v>
      </c>
      <c r="L2009" s="45" t="n">
        <f aca="false">IFERROR(INDEX(medicine_master!$I$2:$I$26,MATCH($C2009,medicine_master!$A$2:$A$26,0)),0)</f>
        <v>35</v>
      </c>
      <c r="M2009" s="45" t="n">
        <f aca="false">IFERROR(INDEX(medicine_master!$G$2:$G$26,MATCH($C2009,medicine_master!$A$2:$A$26,0)),0)</f>
        <v>24</v>
      </c>
      <c r="N2009" s="45" t="n">
        <f aca="false">IF(D2009="Sale",E2009*L2009,0)</f>
        <v>0</v>
      </c>
      <c r="O2009" s="45" t="n">
        <f aca="false">IF(D2009="Sale",E2009*M2009,0)</f>
        <v>0</v>
      </c>
      <c r="P2009" s="45" t="n">
        <f aca="false">N2009-O2009</f>
        <v>0</v>
      </c>
      <c r="Q2009" s="45" t="n">
        <f aca="false">IF(D2009="Purchase",E2009*M2009,0)</f>
        <v>360</v>
      </c>
    </row>
    <row r="2010" customFormat="false" ht="15" hidden="false" customHeight="false" outlineLevel="0" collapsed="false">
      <c r="A2010" s="39" t="s">
        <v>2334</v>
      </c>
      <c r="B2010" s="44" t="n">
        <v>46032</v>
      </c>
      <c r="C2010" s="39" t="s">
        <v>150</v>
      </c>
      <c r="D2010" s="39" t="s">
        <v>138</v>
      </c>
      <c r="E2010" s="39" t="n">
        <v>20</v>
      </c>
      <c r="F2010" s="39" t="str">
        <f aca="false">IF(COUNTIF(medicine_master!$A$2:$A$26,C2010)&gt;0,"Valid","Invalid")</f>
        <v>Valid</v>
      </c>
      <c r="G2010" s="39" t="str">
        <f aca="false">IFERROR(INDEX(medicine_master!$B$2:$B$26,MATCH($C2010,medicine_master!$A$2:$A$26,0)),"Not found")</f>
        <v>Pantoprazole 40mg</v>
      </c>
      <c r="H2010" s="39" t="str">
        <f aca="false">IFERROR(INDEX(medicine_master!$C$2:$C$26,MATCH($C2010,medicine_master!$A$2:$A$26,0)),"Not found")</f>
        <v>Gastric</v>
      </c>
      <c r="I2010" s="39" t="n">
        <f aca="false">YEAR(B2010)</f>
        <v>2026</v>
      </c>
      <c r="J2010" s="39" t="n">
        <f aca="false">MONTH(B2010)</f>
        <v>1</v>
      </c>
      <c r="K2010" s="39" t="str">
        <f aca="false">TEXT(B2010,"mmm")</f>
        <v>Jan</v>
      </c>
      <c r="L2010" s="45" t="n">
        <f aca="false">IFERROR(INDEX(medicine_master!$I$2:$I$26,MATCH($C2010,medicine_master!$A$2:$A$26,0)),0)</f>
        <v>35</v>
      </c>
      <c r="M2010" s="45" t="n">
        <f aca="false">IFERROR(INDEX(medicine_master!$G$2:$G$26,MATCH($C2010,medicine_master!$A$2:$A$26,0)),0)</f>
        <v>24</v>
      </c>
      <c r="N2010" s="45" t="n">
        <f aca="false">IF(D2010="Sale",E2010*L2010,0)</f>
        <v>0</v>
      </c>
      <c r="O2010" s="45" t="n">
        <f aca="false">IF(D2010="Sale",E2010*M2010,0)</f>
        <v>0</v>
      </c>
      <c r="P2010" s="45" t="n">
        <f aca="false">N2010-O2010</f>
        <v>0</v>
      </c>
      <c r="Q2010" s="45" t="n">
        <f aca="false">IF(D2010="Purchase",E2010*M2010,0)</f>
        <v>480</v>
      </c>
    </row>
    <row r="2011" customFormat="false" ht="15" hidden="false" customHeight="false" outlineLevel="0" collapsed="false">
      <c r="A2011" s="39" t="s">
        <v>2335</v>
      </c>
      <c r="B2011" s="44" t="n">
        <v>46299</v>
      </c>
      <c r="C2011" s="39" t="s">
        <v>345</v>
      </c>
      <c r="D2011" s="39" t="s">
        <v>137</v>
      </c>
      <c r="E2011" s="39" t="n">
        <v>15</v>
      </c>
      <c r="F2011" s="39" t="str">
        <f aca="false">IF(COUNTIF(medicine_master!$A$2:$A$26,C2011)&gt;0,"Valid","Invalid")</f>
        <v>Valid</v>
      </c>
      <c r="G2011" s="39" t="str">
        <f aca="false">IFERROR(INDEX(medicine_master!$B$2:$B$26,MATCH($C2011,medicine_master!$A$2:$A$26,0)),"Not found")</f>
        <v>Paracetamol 500mg</v>
      </c>
      <c r="H2011" s="39" t="str">
        <f aca="false">IFERROR(INDEX(medicine_master!$C$2:$C$26,MATCH($C2011,medicine_master!$A$2:$A$26,0)),"Not found")</f>
        <v>Pain Relief</v>
      </c>
      <c r="I2011" s="39" t="n">
        <f aca="false">YEAR(B2011)</f>
        <v>2026</v>
      </c>
      <c r="J2011" s="39" t="n">
        <f aca="false">MONTH(B2011)</f>
        <v>10</v>
      </c>
      <c r="K2011" s="39" t="str">
        <f aca="false">TEXT(B2011,"mmm")</f>
        <v>Oct</v>
      </c>
      <c r="L2011" s="45" t="n">
        <f aca="false">IFERROR(INDEX(medicine_master!$I$2:$I$26,MATCH($C2011,medicine_master!$A$2:$A$26,0)),0)</f>
        <v>18</v>
      </c>
      <c r="M2011" s="45" t="n">
        <f aca="false">IFERROR(INDEX(medicine_master!$G$2:$G$26,MATCH($C2011,medicine_master!$A$2:$A$26,0)),0)</f>
        <v>12</v>
      </c>
      <c r="N2011" s="45" t="n">
        <f aca="false">IF(D2011="Sale",E2011*L2011,0)</f>
        <v>270</v>
      </c>
      <c r="O2011" s="45" t="n">
        <f aca="false">IF(D2011="Sale",E2011*M2011,0)</f>
        <v>180</v>
      </c>
      <c r="P2011" s="45" t="n">
        <f aca="false">N2011-O2011</f>
        <v>90</v>
      </c>
      <c r="Q2011" s="45" t="n">
        <f aca="false">IF(D2011="Purchase",E2011*M2011,0)</f>
        <v>0</v>
      </c>
    </row>
    <row r="2012" customFormat="false" ht="15" hidden="false" customHeight="false" outlineLevel="0" collapsed="false">
      <c r="A2012" s="39" t="s">
        <v>2336</v>
      </c>
      <c r="B2012" s="44" t="n">
        <v>46160</v>
      </c>
      <c r="C2012" s="39" t="s">
        <v>148</v>
      </c>
      <c r="D2012" s="39" t="s">
        <v>137</v>
      </c>
      <c r="E2012" s="39" t="n">
        <v>30</v>
      </c>
      <c r="F2012" s="39" t="str">
        <f aca="false">IF(COUNTIF(medicine_master!$A$2:$A$26,C2012)&gt;0,"Valid","Invalid")</f>
        <v>Valid</v>
      </c>
      <c r="G2012" s="39" t="str">
        <f aca="false">IFERROR(INDEX(medicine_master!$B$2:$B$26,MATCH($C2012,medicine_master!$A$2:$A$26,0)),"Not found")</f>
        <v>Dextromethorphan Syrup</v>
      </c>
      <c r="H2012" s="39" t="str">
        <f aca="false">IFERROR(INDEX(medicine_master!$C$2:$C$26,MATCH($C2012,medicine_master!$A$2:$A$26,0)),"Not found")</f>
        <v>Cold &amp; Cough</v>
      </c>
      <c r="I2012" s="39" t="n">
        <f aca="false">YEAR(B2012)</f>
        <v>2026</v>
      </c>
      <c r="J2012" s="39" t="n">
        <f aca="false">MONTH(B2012)</f>
        <v>5</v>
      </c>
      <c r="K2012" s="39" t="str">
        <f aca="false">TEXT(B2012,"mmm")</f>
        <v>May</v>
      </c>
      <c r="L2012" s="45" t="n">
        <f aca="false">IFERROR(INDEX(medicine_master!$I$2:$I$26,MATCH($C2012,medicine_master!$A$2:$A$26,0)),0)</f>
        <v>80</v>
      </c>
      <c r="M2012" s="45" t="n">
        <f aca="false">IFERROR(INDEX(medicine_master!$G$2:$G$26,MATCH($C2012,medicine_master!$A$2:$A$26,0)),0)</f>
        <v>58</v>
      </c>
      <c r="N2012" s="45" t="n">
        <f aca="false">IF(D2012="Sale",E2012*L2012,0)</f>
        <v>2400</v>
      </c>
      <c r="O2012" s="45" t="n">
        <f aca="false">IF(D2012="Sale",E2012*M2012,0)</f>
        <v>1740</v>
      </c>
      <c r="P2012" s="45" t="n">
        <f aca="false">N2012-O2012</f>
        <v>660</v>
      </c>
      <c r="Q2012" s="45" t="n">
        <f aca="false">IF(D2012="Purchase",E2012*M2012,0)</f>
        <v>0</v>
      </c>
    </row>
    <row r="2013" customFormat="false" ht="15" hidden="false" customHeight="false" outlineLevel="0" collapsed="false">
      <c r="A2013" s="39" t="s">
        <v>2337</v>
      </c>
      <c r="B2013" s="44" t="n">
        <v>46055</v>
      </c>
      <c r="C2013" s="39" t="s">
        <v>179</v>
      </c>
      <c r="D2013" s="39" t="s">
        <v>137</v>
      </c>
      <c r="E2013" s="39" t="n">
        <v>15</v>
      </c>
      <c r="F2013" s="39" t="str">
        <f aca="false">IF(COUNTIF(medicine_master!$A$2:$A$26,C2013)&gt;0,"Valid","Invalid")</f>
        <v>Valid</v>
      </c>
      <c r="G2013" s="39" t="str">
        <f aca="false">IFERROR(INDEX(medicine_master!$B$2:$B$26,MATCH($C2013,medicine_master!$A$2:$A$26,0)),"Not found")</f>
        <v>Ibuprofen 400mg</v>
      </c>
      <c r="H2013" s="39" t="str">
        <f aca="false">IFERROR(INDEX(medicine_master!$C$2:$C$26,MATCH($C2013,medicine_master!$A$2:$A$26,0)),"Not found")</f>
        <v>Pain Relief</v>
      </c>
      <c r="I2013" s="39" t="n">
        <f aca="false">YEAR(B2013)</f>
        <v>2026</v>
      </c>
      <c r="J2013" s="39" t="n">
        <f aca="false">MONTH(B2013)</f>
        <v>2</v>
      </c>
      <c r="K2013" s="39" t="str">
        <f aca="false">TEXT(B2013,"mmm")</f>
        <v>Feb</v>
      </c>
      <c r="L2013" s="45" t="n">
        <f aca="false">IFERROR(INDEX(medicine_master!$I$2:$I$26,MATCH($C2013,medicine_master!$A$2:$A$26,0)),0)</f>
        <v>30</v>
      </c>
      <c r="M2013" s="45" t="n">
        <f aca="false">IFERROR(INDEX(medicine_master!$G$2:$G$26,MATCH($C2013,medicine_master!$A$2:$A$26,0)),0)</f>
        <v>22</v>
      </c>
      <c r="N2013" s="45" t="n">
        <f aca="false">IF(D2013="Sale",E2013*L2013,0)</f>
        <v>450</v>
      </c>
      <c r="O2013" s="45" t="n">
        <f aca="false">IF(D2013="Sale",E2013*M2013,0)</f>
        <v>330</v>
      </c>
      <c r="P2013" s="45" t="n">
        <f aca="false">N2013-O2013</f>
        <v>120</v>
      </c>
      <c r="Q2013" s="45" t="n">
        <f aca="false">IF(D2013="Purchase",E2013*M2013,0)</f>
        <v>0</v>
      </c>
    </row>
    <row r="2014" customFormat="false" ht="15" hidden="false" customHeight="false" outlineLevel="0" collapsed="false">
      <c r="A2014" s="39" t="s">
        <v>2338</v>
      </c>
      <c r="B2014" s="44" t="n">
        <v>46362</v>
      </c>
      <c r="C2014" s="39" t="s">
        <v>345</v>
      </c>
      <c r="D2014" s="39" t="s">
        <v>138</v>
      </c>
      <c r="E2014" s="39" t="n">
        <v>25</v>
      </c>
      <c r="F2014" s="39" t="str">
        <f aca="false">IF(COUNTIF(medicine_master!$A$2:$A$26,C2014)&gt;0,"Valid","Invalid")</f>
        <v>Valid</v>
      </c>
      <c r="G2014" s="39" t="str">
        <f aca="false">IFERROR(INDEX(medicine_master!$B$2:$B$26,MATCH($C2014,medicine_master!$A$2:$A$26,0)),"Not found")</f>
        <v>Paracetamol 500mg</v>
      </c>
      <c r="H2014" s="39" t="str">
        <f aca="false">IFERROR(INDEX(medicine_master!$C$2:$C$26,MATCH($C2014,medicine_master!$A$2:$A$26,0)),"Not found")</f>
        <v>Pain Relief</v>
      </c>
      <c r="I2014" s="39" t="n">
        <f aca="false">YEAR(B2014)</f>
        <v>2026</v>
      </c>
      <c r="J2014" s="39" t="n">
        <f aca="false">MONTH(B2014)</f>
        <v>12</v>
      </c>
      <c r="K2014" s="39" t="str">
        <f aca="false">TEXT(B2014,"mmm")</f>
        <v>Dec</v>
      </c>
      <c r="L2014" s="45" t="n">
        <f aca="false">IFERROR(INDEX(medicine_master!$I$2:$I$26,MATCH($C2014,medicine_master!$A$2:$A$26,0)),0)</f>
        <v>18</v>
      </c>
      <c r="M2014" s="45" t="n">
        <f aca="false">IFERROR(INDEX(medicine_master!$G$2:$G$26,MATCH($C2014,medicine_master!$A$2:$A$26,0)),0)</f>
        <v>12</v>
      </c>
      <c r="N2014" s="45" t="n">
        <f aca="false">IF(D2014="Sale",E2014*L2014,0)</f>
        <v>0</v>
      </c>
      <c r="O2014" s="45" t="n">
        <f aca="false">IF(D2014="Sale",E2014*M2014,0)</f>
        <v>0</v>
      </c>
      <c r="P2014" s="45" t="n">
        <f aca="false">N2014-O2014</f>
        <v>0</v>
      </c>
      <c r="Q2014" s="45" t="n">
        <f aca="false">IF(D2014="Purchase",E2014*M2014,0)</f>
        <v>300</v>
      </c>
    </row>
    <row r="2015" customFormat="false" ht="15" hidden="false" customHeight="false" outlineLevel="0" collapsed="false">
      <c r="A2015" s="39" t="s">
        <v>2339</v>
      </c>
      <c r="B2015" s="44" t="n">
        <v>46293</v>
      </c>
      <c r="C2015" s="39" t="s">
        <v>145</v>
      </c>
      <c r="D2015" s="39" t="s">
        <v>138</v>
      </c>
      <c r="E2015" s="39" t="n">
        <v>50</v>
      </c>
      <c r="F2015" s="39" t="str">
        <f aca="false">IF(COUNTIF(medicine_master!$A$2:$A$26,C2015)&gt;0,"Valid","Invalid")</f>
        <v>Valid</v>
      </c>
      <c r="G2015" s="39" t="str">
        <f aca="false">IFERROR(INDEX(medicine_master!$B$2:$B$26,MATCH($C2015,medicine_master!$A$2:$A$26,0)),"Not found")</f>
        <v>Clotrimazole Cream</v>
      </c>
      <c r="H2015" s="39" t="str">
        <f aca="false">IFERROR(INDEX(medicine_master!$C$2:$C$26,MATCH($C2015,medicine_master!$A$2:$A$26,0)),"Not found")</f>
        <v>Dermatology</v>
      </c>
      <c r="I2015" s="39" t="n">
        <f aca="false">YEAR(B2015)</f>
        <v>2026</v>
      </c>
      <c r="J2015" s="39" t="n">
        <f aca="false">MONTH(B2015)</f>
        <v>9</v>
      </c>
      <c r="K2015" s="39" t="str">
        <f aca="false">TEXT(B2015,"mmm")</f>
        <v>Sep</v>
      </c>
      <c r="L2015" s="45" t="n">
        <f aca="false">IFERROR(INDEX(medicine_master!$I$2:$I$26,MATCH($C2015,medicine_master!$A$2:$A$26,0)),0)</f>
        <v>48</v>
      </c>
      <c r="M2015" s="45" t="n">
        <f aca="false">IFERROR(INDEX(medicine_master!$G$2:$G$26,MATCH($C2015,medicine_master!$A$2:$A$26,0)),0)</f>
        <v>32</v>
      </c>
      <c r="N2015" s="45" t="n">
        <f aca="false">IF(D2015="Sale",E2015*L2015,0)</f>
        <v>0</v>
      </c>
      <c r="O2015" s="45" t="n">
        <f aca="false">IF(D2015="Sale",E2015*M2015,0)</f>
        <v>0</v>
      </c>
      <c r="P2015" s="45" t="n">
        <f aca="false">N2015-O2015</f>
        <v>0</v>
      </c>
      <c r="Q2015" s="45" t="n">
        <f aca="false">IF(D2015="Purchase",E2015*M2015,0)</f>
        <v>1600</v>
      </c>
    </row>
    <row r="2016" customFormat="false" ht="15" hidden="false" customHeight="false" outlineLevel="0" collapsed="false">
      <c r="A2016" s="39" t="s">
        <v>2340</v>
      </c>
      <c r="B2016" s="44" t="n">
        <v>46131</v>
      </c>
      <c r="C2016" s="39" t="s">
        <v>495</v>
      </c>
      <c r="D2016" s="39" t="s">
        <v>138</v>
      </c>
      <c r="E2016" s="39" t="n">
        <v>10</v>
      </c>
      <c r="F2016" s="39" t="str">
        <f aca="false">IF(COUNTIF(medicine_master!$A$2:$A$26,C2016)&gt;0,"Valid","Invalid")</f>
        <v>Valid</v>
      </c>
      <c r="G2016" s="39" t="str">
        <f aca="false">IFERROR(INDEX(medicine_master!$B$2:$B$26,MATCH($C2016,medicine_master!$A$2:$A$26,0)),"Not found")</f>
        <v>Metformin 500mg</v>
      </c>
      <c r="H2016" s="39" t="str">
        <f aca="false">IFERROR(INDEX(medicine_master!$C$2:$C$26,MATCH($C2016,medicine_master!$A$2:$A$26,0)),"Not found")</f>
        <v>Diabetes</v>
      </c>
      <c r="I2016" s="39" t="n">
        <f aca="false">YEAR(B2016)</f>
        <v>2026</v>
      </c>
      <c r="J2016" s="39" t="n">
        <f aca="false">MONTH(B2016)</f>
        <v>4</v>
      </c>
      <c r="K2016" s="39" t="str">
        <f aca="false">TEXT(B2016,"mmm")</f>
        <v>Apr</v>
      </c>
      <c r="L2016" s="45" t="n">
        <f aca="false">IFERROR(INDEX(medicine_master!$I$2:$I$26,MATCH($C2016,medicine_master!$A$2:$A$26,0)),0)</f>
        <v>24</v>
      </c>
      <c r="M2016" s="45" t="n">
        <f aca="false">IFERROR(INDEX(medicine_master!$G$2:$G$26,MATCH($C2016,medicine_master!$A$2:$A$26,0)),0)</f>
        <v>16</v>
      </c>
      <c r="N2016" s="45" t="n">
        <f aca="false">IF(D2016="Sale",E2016*L2016,0)</f>
        <v>0</v>
      </c>
      <c r="O2016" s="45" t="n">
        <f aca="false">IF(D2016="Sale",E2016*M2016,0)</f>
        <v>0</v>
      </c>
      <c r="P2016" s="45" t="n">
        <f aca="false">N2016-O2016</f>
        <v>0</v>
      </c>
      <c r="Q2016" s="45" t="n">
        <f aca="false">IF(D2016="Purchase",E2016*M2016,0)</f>
        <v>160</v>
      </c>
    </row>
    <row r="2017" customFormat="false" ht="15" hidden="false" customHeight="false" outlineLevel="0" collapsed="false">
      <c r="A2017" s="39" t="s">
        <v>2341</v>
      </c>
      <c r="B2017" s="44" t="n">
        <v>46161</v>
      </c>
      <c r="C2017" s="39" t="s">
        <v>150</v>
      </c>
      <c r="D2017" s="39" t="s">
        <v>138</v>
      </c>
      <c r="E2017" s="39" t="n">
        <v>20</v>
      </c>
      <c r="F2017" s="39" t="str">
        <f aca="false">IF(COUNTIF(medicine_master!$A$2:$A$26,C2017)&gt;0,"Valid","Invalid")</f>
        <v>Valid</v>
      </c>
      <c r="G2017" s="39" t="str">
        <f aca="false">IFERROR(INDEX(medicine_master!$B$2:$B$26,MATCH($C2017,medicine_master!$A$2:$A$26,0)),"Not found")</f>
        <v>Pantoprazole 40mg</v>
      </c>
      <c r="H2017" s="39" t="str">
        <f aca="false">IFERROR(INDEX(medicine_master!$C$2:$C$26,MATCH($C2017,medicine_master!$A$2:$A$26,0)),"Not found")</f>
        <v>Gastric</v>
      </c>
      <c r="I2017" s="39" t="n">
        <f aca="false">YEAR(B2017)</f>
        <v>2026</v>
      </c>
      <c r="J2017" s="39" t="n">
        <f aca="false">MONTH(B2017)</f>
        <v>5</v>
      </c>
      <c r="K2017" s="39" t="str">
        <f aca="false">TEXT(B2017,"mmm")</f>
        <v>May</v>
      </c>
      <c r="L2017" s="45" t="n">
        <f aca="false">IFERROR(INDEX(medicine_master!$I$2:$I$26,MATCH($C2017,medicine_master!$A$2:$A$26,0)),0)</f>
        <v>35</v>
      </c>
      <c r="M2017" s="45" t="n">
        <f aca="false">IFERROR(INDEX(medicine_master!$G$2:$G$26,MATCH($C2017,medicine_master!$A$2:$A$26,0)),0)</f>
        <v>24</v>
      </c>
      <c r="N2017" s="45" t="n">
        <f aca="false">IF(D2017="Sale",E2017*L2017,0)</f>
        <v>0</v>
      </c>
      <c r="O2017" s="45" t="n">
        <f aca="false">IF(D2017="Sale",E2017*M2017,0)</f>
        <v>0</v>
      </c>
      <c r="P2017" s="45" t="n">
        <f aca="false">N2017-O2017</f>
        <v>0</v>
      </c>
      <c r="Q2017" s="45" t="n">
        <f aca="false">IF(D2017="Purchase",E2017*M2017,0)</f>
        <v>480</v>
      </c>
    </row>
    <row r="2018" customFormat="false" ht="15" hidden="false" customHeight="false" outlineLevel="0" collapsed="false">
      <c r="A2018" s="39" t="s">
        <v>2342</v>
      </c>
      <c r="B2018" s="44" t="n">
        <v>46342</v>
      </c>
      <c r="C2018" s="39" t="s">
        <v>145</v>
      </c>
      <c r="D2018" s="39" t="s">
        <v>137</v>
      </c>
      <c r="E2018" s="39" t="n">
        <v>20</v>
      </c>
      <c r="F2018" s="39" t="str">
        <f aca="false">IF(COUNTIF(medicine_master!$A$2:$A$26,C2018)&gt;0,"Valid","Invalid")</f>
        <v>Valid</v>
      </c>
      <c r="G2018" s="39" t="str">
        <f aca="false">IFERROR(INDEX(medicine_master!$B$2:$B$26,MATCH($C2018,medicine_master!$A$2:$A$26,0)),"Not found")</f>
        <v>Clotrimazole Cream</v>
      </c>
      <c r="H2018" s="39" t="str">
        <f aca="false">IFERROR(INDEX(medicine_master!$C$2:$C$26,MATCH($C2018,medicine_master!$A$2:$A$26,0)),"Not found")</f>
        <v>Dermatology</v>
      </c>
      <c r="I2018" s="39" t="n">
        <f aca="false">YEAR(B2018)</f>
        <v>2026</v>
      </c>
      <c r="J2018" s="39" t="n">
        <f aca="false">MONTH(B2018)</f>
        <v>11</v>
      </c>
      <c r="K2018" s="39" t="str">
        <f aca="false">TEXT(B2018,"mmm")</f>
        <v>Nov</v>
      </c>
      <c r="L2018" s="45" t="n">
        <f aca="false">IFERROR(INDEX(medicine_master!$I$2:$I$26,MATCH($C2018,medicine_master!$A$2:$A$26,0)),0)</f>
        <v>48</v>
      </c>
      <c r="M2018" s="45" t="n">
        <f aca="false">IFERROR(INDEX(medicine_master!$G$2:$G$26,MATCH($C2018,medicine_master!$A$2:$A$26,0)),0)</f>
        <v>32</v>
      </c>
      <c r="N2018" s="45" t="n">
        <f aca="false">IF(D2018="Sale",E2018*L2018,0)</f>
        <v>960</v>
      </c>
      <c r="O2018" s="45" t="n">
        <f aca="false">IF(D2018="Sale",E2018*M2018,0)</f>
        <v>640</v>
      </c>
      <c r="P2018" s="45" t="n">
        <f aca="false">N2018-O2018</f>
        <v>320</v>
      </c>
      <c r="Q2018" s="45" t="n">
        <f aca="false">IF(D2018="Purchase",E2018*M2018,0)</f>
        <v>0</v>
      </c>
    </row>
    <row r="2019" customFormat="false" ht="15" hidden="false" customHeight="false" outlineLevel="0" collapsed="false">
      <c r="A2019" s="39" t="s">
        <v>2343</v>
      </c>
      <c r="B2019" s="44" t="n">
        <v>46227</v>
      </c>
      <c r="C2019" s="39" t="s">
        <v>160</v>
      </c>
      <c r="D2019" s="39" t="s">
        <v>137</v>
      </c>
      <c r="E2019" s="39" t="n">
        <v>5</v>
      </c>
      <c r="F2019" s="39" t="str">
        <f aca="false">IF(COUNTIF(medicine_master!$A$2:$A$26,C2019)&gt;0,"Valid","Invalid")</f>
        <v>Valid</v>
      </c>
      <c r="G2019" s="39" t="str">
        <f aca="false">IFERROR(INDEX(medicine_master!$B$2:$B$26,MATCH($C2019,medicine_master!$A$2:$A$26,0)),"Not found")</f>
        <v>Calamine Lotion</v>
      </c>
      <c r="H2019" s="39" t="str">
        <f aca="false">IFERROR(INDEX(medicine_master!$C$2:$C$26,MATCH($C2019,medicine_master!$A$2:$A$26,0)),"Not found")</f>
        <v>Dermatology</v>
      </c>
      <c r="I2019" s="39" t="n">
        <f aca="false">YEAR(B2019)</f>
        <v>2026</v>
      </c>
      <c r="J2019" s="39" t="n">
        <f aca="false">MONTH(B2019)</f>
        <v>7</v>
      </c>
      <c r="K2019" s="39" t="str">
        <f aca="false">TEXT(B2019,"mmm")</f>
        <v>Jul</v>
      </c>
      <c r="L2019" s="45" t="n">
        <f aca="false">IFERROR(INDEX(medicine_master!$I$2:$I$26,MATCH($C2019,medicine_master!$A$2:$A$26,0)),0)</f>
        <v>60</v>
      </c>
      <c r="M2019" s="45" t="n">
        <f aca="false">IFERROR(INDEX(medicine_master!$G$2:$G$26,MATCH($C2019,medicine_master!$A$2:$A$26,0)),0)</f>
        <v>42</v>
      </c>
      <c r="N2019" s="45" t="n">
        <f aca="false">IF(D2019="Sale",E2019*L2019,0)</f>
        <v>300</v>
      </c>
      <c r="O2019" s="45" t="n">
        <f aca="false">IF(D2019="Sale",E2019*M2019,0)</f>
        <v>210</v>
      </c>
      <c r="P2019" s="45" t="n">
        <f aca="false">N2019-O2019</f>
        <v>90</v>
      </c>
      <c r="Q2019" s="45" t="n">
        <f aca="false">IF(D2019="Purchase",E2019*M2019,0)</f>
        <v>0</v>
      </c>
    </row>
    <row r="2020" customFormat="false" ht="15" hidden="false" customHeight="false" outlineLevel="0" collapsed="false">
      <c r="A2020" s="39" t="s">
        <v>2344</v>
      </c>
      <c r="B2020" s="44" t="n">
        <v>46042</v>
      </c>
      <c r="C2020" s="39" t="s">
        <v>177</v>
      </c>
      <c r="D2020" s="39" t="s">
        <v>137</v>
      </c>
      <c r="E2020" s="39" t="n">
        <v>10</v>
      </c>
      <c r="F2020" s="39" t="str">
        <f aca="false">IF(COUNTIF(medicine_master!$A$2:$A$26,C2020)&gt;0,"Valid","Invalid")</f>
        <v>Valid</v>
      </c>
      <c r="G2020" s="39" t="str">
        <f aca="false">IFERROR(INDEX(medicine_master!$B$2:$B$26,MATCH($C2020,medicine_master!$A$2:$A$26,0)),"Not found")</f>
        <v>Bandage Roll</v>
      </c>
      <c r="H2020" s="39" t="str">
        <f aca="false">IFERROR(INDEX(medicine_master!$C$2:$C$26,MATCH($C2020,medicine_master!$A$2:$A$26,0)),"Not found")</f>
        <v>First Aid</v>
      </c>
      <c r="I2020" s="39" t="n">
        <f aca="false">YEAR(B2020)</f>
        <v>2026</v>
      </c>
      <c r="J2020" s="39" t="n">
        <f aca="false">MONTH(B2020)</f>
        <v>1</v>
      </c>
      <c r="K2020" s="39" t="str">
        <f aca="false">TEXT(B2020,"mmm")</f>
        <v>Jan</v>
      </c>
      <c r="L2020" s="45" t="n">
        <f aca="false">IFERROR(INDEX(medicine_master!$I$2:$I$26,MATCH($C2020,medicine_master!$A$2:$A$26,0)),0)</f>
        <v>25</v>
      </c>
      <c r="M2020" s="45" t="n">
        <f aca="false">IFERROR(INDEX(medicine_master!$G$2:$G$26,MATCH($C2020,medicine_master!$A$2:$A$26,0)),0)</f>
        <v>15</v>
      </c>
      <c r="N2020" s="45" t="n">
        <f aca="false">IF(D2020="Sale",E2020*L2020,0)</f>
        <v>250</v>
      </c>
      <c r="O2020" s="45" t="n">
        <f aca="false">IF(D2020="Sale",E2020*M2020,0)</f>
        <v>150</v>
      </c>
      <c r="P2020" s="45" t="n">
        <f aca="false">N2020-O2020</f>
        <v>100</v>
      </c>
      <c r="Q2020" s="45" t="n">
        <f aca="false">IF(D2020="Purchase",E2020*M2020,0)</f>
        <v>0</v>
      </c>
    </row>
    <row r="2021" customFormat="false" ht="15" hidden="false" customHeight="false" outlineLevel="0" collapsed="false">
      <c r="A2021" s="39" t="s">
        <v>2345</v>
      </c>
      <c r="B2021" s="44" t="n">
        <v>46154</v>
      </c>
      <c r="C2021" s="39" t="s">
        <v>149</v>
      </c>
      <c r="D2021" s="39" t="s">
        <v>137</v>
      </c>
      <c r="E2021" s="39" t="n">
        <v>40</v>
      </c>
      <c r="F2021" s="39" t="str">
        <f aca="false">IF(COUNTIF(medicine_master!$A$2:$A$26,C2021)&gt;0,"Valid","Invalid")</f>
        <v>Valid</v>
      </c>
      <c r="G2021" s="39" t="str">
        <f aca="false">IFERROR(INDEX(medicine_master!$B$2:$B$26,MATCH($C2021,medicine_master!$A$2:$A$26,0)),"Not found")</f>
        <v>Azithromycin 500mg</v>
      </c>
      <c r="H2021" s="39" t="str">
        <f aca="false">IFERROR(INDEX(medicine_master!$C$2:$C$26,MATCH($C2021,medicine_master!$A$2:$A$26,0)),"Not found")</f>
        <v>Antibiotic</v>
      </c>
      <c r="I2021" s="39" t="n">
        <f aca="false">YEAR(B2021)</f>
        <v>2026</v>
      </c>
      <c r="J2021" s="39" t="n">
        <f aca="false">MONTH(B2021)</f>
        <v>5</v>
      </c>
      <c r="K2021" s="39" t="str">
        <f aca="false">TEXT(B2021,"mmm")</f>
        <v>May</v>
      </c>
      <c r="L2021" s="45" t="n">
        <f aca="false">IFERROR(INDEX(medicine_master!$I$2:$I$26,MATCH($C2021,medicine_master!$A$2:$A$26,0)),0)</f>
        <v>50</v>
      </c>
      <c r="M2021" s="45" t="n">
        <f aca="false">IFERROR(INDEX(medicine_master!$G$2:$G$26,MATCH($C2021,medicine_master!$A$2:$A$26,0)),0)</f>
        <v>35</v>
      </c>
      <c r="N2021" s="45" t="n">
        <f aca="false">IF(D2021="Sale",E2021*L2021,0)</f>
        <v>2000</v>
      </c>
      <c r="O2021" s="45" t="n">
        <f aca="false">IF(D2021="Sale",E2021*M2021,0)</f>
        <v>1400</v>
      </c>
      <c r="P2021" s="45" t="n">
        <f aca="false">N2021-O2021</f>
        <v>600</v>
      </c>
      <c r="Q2021" s="45" t="n">
        <f aca="false">IF(D2021="Purchase",E2021*M2021,0)</f>
        <v>0</v>
      </c>
    </row>
    <row r="2022" customFormat="false" ht="15" hidden="false" customHeight="false" outlineLevel="0" collapsed="false">
      <c r="A2022" s="39" t="s">
        <v>2346</v>
      </c>
      <c r="B2022" s="44" t="n">
        <v>46287</v>
      </c>
      <c r="C2022" s="39" t="s">
        <v>321</v>
      </c>
      <c r="D2022" s="39" t="s">
        <v>137</v>
      </c>
      <c r="E2022" s="39" t="n">
        <v>20</v>
      </c>
      <c r="F2022" s="39" t="str">
        <f aca="false">IF(COUNTIF(medicine_master!$A$2:$A$26,C2022)&gt;0,"Valid","Invalid")</f>
        <v>Valid</v>
      </c>
      <c r="G2022" s="39" t="str">
        <f aca="false">IFERROR(INDEX(medicine_master!$B$2:$B$26,MATCH($C2022,medicine_master!$A$2:$A$26,0)),"Not found")</f>
        <v>Levocetirizine 5mg</v>
      </c>
      <c r="H2022" s="39" t="str">
        <f aca="false">IFERROR(INDEX(medicine_master!$C$2:$C$26,MATCH($C2022,medicine_master!$A$2:$A$26,0)),"Not found")</f>
        <v>Allergy</v>
      </c>
      <c r="I2022" s="39" t="n">
        <f aca="false">YEAR(B2022)</f>
        <v>2026</v>
      </c>
      <c r="J2022" s="39" t="n">
        <f aca="false">MONTH(B2022)</f>
        <v>9</v>
      </c>
      <c r="K2022" s="39" t="str">
        <f aca="false">TEXT(B2022,"mmm")</f>
        <v>Sep</v>
      </c>
      <c r="L2022" s="45" t="n">
        <f aca="false">IFERROR(INDEX(medicine_master!$I$2:$I$26,MATCH($C2022,medicine_master!$A$2:$A$26,0)),0)</f>
        <v>22</v>
      </c>
      <c r="M2022" s="45" t="n">
        <f aca="false">IFERROR(INDEX(medicine_master!$G$2:$G$26,MATCH($C2022,medicine_master!$A$2:$A$26,0)),0)</f>
        <v>14</v>
      </c>
      <c r="N2022" s="45" t="n">
        <f aca="false">IF(D2022="Sale",E2022*L2022,0)</f>
        <v>440</v>
      </c>
      <c r="O2022" s="45" t="n">
        <f aca="false">IF(D2022="Sale",E2022*M2022,0)</f>
        <v>280</v>
      </c>
      <c r="P2022" s="45" t="n">
        <f aca="false">N2022-O2022</f>
        <v>160</v>
      </c>
      <c r="Q2022" s="45" t="n">
        <f aca="false">IF(D2022="Purchase",E2022*M2022,0)</f>
        <v>0</v>
      </c>
    </row>
    <row r="2023" customFormat="false" ht="15" hidden="false" customHeight="false" outlineLevel="0" collapsed="false">
      <c r="A2023" s="39" t="s">
        <v>2347</v>
      </c>
      <c r="B2023" s="44" t="n">
        <v>46065</v>
      </c>
      <c r="C2023" s="39" t="s">
        <v>150</v>
      </c>
      <c r="D2023" s="39" t="s">
        <v>137</v>
      </c>
      <c r="E2023" s="39" t="n">
        <v>15</v>
      </c>
      <c r="F2023" s="39" t="str">
        <f aca="false">IF(COUNTIF(medicine_master!$A$2:$A$26,C2023)&gt;0,"Valid","Invalid")</f>
        <v>Valid</v>
      </c>
      <c r="G2023" s="39" t="str">
        <f aca="false">IFERROR(INDEX(medicine_master!$B$2:$B$26,MATCH($C2023,medicine_master!$A$2:$A$26,0)),"Not found")</f>
        <v>Pantoprazole 40mg</v>
      </c>
      <c r="H2023" s="39" t="str">
        <f aca="false">IFERROR(INDEX(medicine_master!$C$2:$C$26,MATCH($C2023,medicine_master!$A$2:$A$26,0)),"Not found")</f>
        <v>Gastric</v>
      </c>
      <c r="I2023" s="39" t="n">
        <f aca="false">YEAR(B2023)</f>
        <v>2026</v>
      </c>
      <c r="J2023" s="39" t="n">
        <f aca="false">MONTH(B2023)</f>
        <v>2</v>
      </c>
      <c r="K2023" s="39" t="str">
        <f aca="false">TEXT(B2023,"mmm")</f>
        <v>Feb</v>
      </c>
      <c r="L2023" s="45" t="n">
        <f aca="false">IFERROR(INDEX(medicine_master!$I$2:$I$26,MATCH($C2023,medicine_master!$A$2:$A$26,0)),0)</f>
        <v>35</v>
      </c>
      <c r="M2023" s="45" t="n">
        <f aca="false">IFERROR(INDEX(medicine_master!$G$2:$G$26,MATCH($C2023,medicine_master!$A$2:$A$26,0)),0)</f>
        <v>24</v>
      </c>
      <c r="N2023" s="45" t="n">
        <f aca="false">IF(D2023="Sale",E2023*L2023,0)</f>
        <v>525</v>
      </c>
      <c r="O2023" s="45" t="n">
        <f aca="false">IF(D2023="Sale",E2023*M2023,0)</f>
        <v>360</v>
      </c>
      <c r="P2023" s="45" t="n">
        <f aca="false">N2023-O2023</f>
        <v>165</v>
      </c>
      <c r="Q2023" s="45" t="n">
        <f aca="false">IF(D2023="Purchase",E2023*M2023,0)</f>
        <v>0</v>
      </c>
    </row>
    <row r="2024" customFormat="false" ht="15" hidden="false" customHeight="false" outlineLevel="0" collapsed="false">
      <c r="A2024" s="39" t="s">
        <v>2348</v>
      </c>
      <c r="B2024" s="44" t="n">
        <v>46152</v>
      </c>
      <c r="C2024" s="39" t="s">
        <v>179</v>
      </c>
      <c r="D2024" s="39" t="s">
        <v>137</v>
      </c>
      <c r="E2024" s="39" t="n">
        <v>10</v>
      </c>
      <c r="F2024" s="39" t="str">
        <f aca="false">IF(COUNTIF(medicine_master!$A$2:$A$26,C2024)&gt;0,"Valid","Invalid")</f>
        <v>Valid</v>
      </c>
      <c r="G2024" s="39" t="str">
        <f aca="false">IFERROR(INDEX(medicine_master!$B$2:$B$26,MATCH($C2024,medicine_master!$A$2:$A$26,0)),"Not found")</f>
        <v>Ibuprofen 400mg</v>
      </c>
      <c r="H2024" s="39" t="str">
        <f aca="false">IFERROR(INDEX(medicine_master!$C$2:$C$26,MATCH($C2024,medicine_master!$A$2:$A$26,0)),"Not found")</f>
        <v>Pain Relief</v>
      </c>
      <c r="I2024" s="39" t="n">
        <f aca="false">YEAR(B2024)</f>
        <v>2026</v>
      </c>
      <c r="J2024" s="39" t="n">
        <f aca="false">MONTH(B2024)</f>
        <v>5</v>
      </c>
      <c r="K2024" s="39" t="str">
        <f aca="false">TEXT(B2024,"mmm")</f>
        <v>May</v>
      </c>
      <c r="L2024" s="45" t="n">
        <f aca="false">IFERROR(INDEX(medicine_master!$I$2:$I$26,MATCH($C2024,medicine_master!$A$2:$A$26,0)),0)</f>
        <v>30</v>
      </c>
      <c r="M2024" s="45" t="n">
        <f aca="false">IFERROR(INDEX(medicine_master!$G$2:$G$26,MATCH($C2024,medicine_master!$A$2:$A$26,0)),0)</f>
        <v>22</v>
      </c>
      <c r="N2024" s="45" t="n">
        <f aca="false">IF(D2024="Sale",E2024*L2024,0)</f>
        <v>300</v>
      </c>
      <c r="O2024" s="45" t="n">
        <f aca="false">IF(D2024="Sale",E2024*M2024,0)</f>
        <v>220</v>
      </c>
      <c r="P2024" s="45" t="n">
        <f aca="false">N2024-O2024</f>
        <v>80</v>
      </c>
      <c r="Q2024" s="45" t="n">
        <f aca="false">IF(D2024="Purchase",E2024*M2024,0)</f>
        <v>0</v>
      </c>
    </row>
    <row r="2025" customFormat="false" ht="15" hidden="false" customHeight="false" outlineLevel="0" collapsed="false">
      <c r="A2025" s="39" t="s">
        <v>2349</v>
      </c>
      <c r="B2025" s="44" t="n">
        <v>46023</v>
      </c>
      <c r="C2025" s="39" t="s">
        <v>390</v>
      </c>
      <c r="D2025" s="39" t="s">
        <v>138</v>
      </c>
      <c r="E2025" s="39" t="n">
        <v>40</v>
      </c>
      <c r="F2025" s="39" t="str">
        <f aca="false">IF(COUNTIF(medicine_master!$A$2:$A$26,C2025)&gt;0,"Valid","Invalid")</f>
        <v>Valid</v>
      </c>
      <c r="G2025" s="39" t="str">
        <f aca="false">IFERROR(INDEX(medicine_master!$B$2:$B$26,MATCH($C2025,medicine_master!$A$2:$A$26,0)),"Not found")</f>
        <v>Montelukast 10mg</v>
      </c>
      <c r="H2025" s="39" t="str">
        <f aca="false">IFERROR(INDEX(medicine_master!$C$2:$C$26,MATCH($C2025,medicine_master!$A$2:$A$26,0)),"Not found")</f>
        <v>Allergy</v>
      </c>
      <c r="I2025" s="39" t="n">
        <f aca="false">YEAR(B2025)</f>
        <v>2026</v>
      </c>
      <c r="J2025" s="39" t="n">
        <f aca="false">MONTH(B2025)</f>
        <v>1</v>
      </c>
      <c r="K2025" s="39" t="str">
        <f aca="false">TEXT(B2025,"mmm")</f>
        <v>Jan</v>
      </c>
      <c r="L2025" s="45" t="n">
        <f aca="false">IFERROR(INDEX(medicine_master!$I$2:$I$26,MATCH($C2025,medicine_master!$A$2:$A$26,0)),0)</f>
        <v>39</v>
      </c>
      <c r="M2025" s="45" t="n">
        <f aca="false">IFERROR(INDEX(medicine_master!$G$2:$G$26,MATCH($C2025,medicine_master!$A$2:$A$26,0)),0)</f>
        <v>27</v>
      </c>
      <c r="N2025" s="45" t="n">
        <f aca="false">IF(D2025="Sale",E2025*L2025,0)</f>
        <v>0</v>
      </c>
      <c r="O2025" s="45" t="n">
        <f aca="false">IF(D2025="Sale",E2025*M2025,0)</f>
        <v>0</v>
      </c>
      <c r="P2025" s="45" t="n">
        <f aca="false">N2025-O2025</f>
        <v>0</v>
      </c>
      <c r="Q2025" s="45" t="n">
        <f aca="false">IF(D2025="Purchase",E2025*M2025,0)</f>
        <v>1080</v>
      </c>
    </row>
    <row r="2026" customFormat="false" ht="15" hidden="false" customHeight="false" outlineLevel="0" collapsed="false">
      <c r="A2026" s="39" t="s">
        <v>2350</v>
      </c>
      <c r="B2026" s="44" t="n">
        <v>46037</v>
      </c>
      <c r="C2026" s="39" t="s">
        <v>390</v>
      </c>
      <c r="D2026" s="39" t="s">
        <v>138</v>
      </c>
      <c r="E2026" s="39" t="n">
        <v>40</v>
      </c>
      <c r="F2026" s="39" t="str">
        <f aca="false">IF(COUNTIF(medicine_master!$A$2:$A$26,C2026)&gt;0,"Valid","Invalid")</f>
        <v>Valid</v>
      </c>
      <c r="G2026" s="39" t="str">
        <f aca="false">IFERROR(INDEX(medicine_master!$B$2:$B$26,MATCH($C2026,medicine_master!$A$2:$A$26,0)),"Not found")</f>
        <v>Montelukast 10mg</v>
      </c>
      <c r="H2026" s="39" t="str">
        <f aca="false">IFERROR(INDEX(medicine_master!$C$2:$C$26,MATCH($C2026,medicine_master!$A$2:$A$26,0)),"Not found")</f>
        <v>Allergy</v>
      </c>
      <c r="I2026" s="39" t="n">
        <f aca="false">YEAR(B2026)</f>
        <v>2026</v>
      </c>
      <c r="J2026" s="39" t="n">
        <f aca="false">MONTH(B2026)</f>
        <v>1</v>
      </c>
      <c r="K2026" s="39" t="str">
        <f aca="false">TEXT(B2026,"mmm")</f>
        <v>Jan</v>
      </c>
      <c r="L2026" s="45" t="n">
        <f aca="false">IFERROR(INDEX(medicine_master!$I$2:$I$26,MATCH($C2026,medicine_master!$A$2:$A$26,0)),0)</f>
        <v>39</v>
      </c>
      <c r="M2026" s="45" t="n">
        <f aca="false">IFERROR(INDEX(medicine_master!$G$2:$G$26,MATCH($C2026,medicine_master!$A$2:$A$26,0)),0)</f>
        <v>27</v>
      </c>
      <c r="N2026" s="45" t="n">
        <f aca="false">IF(D2026="Sale",E2026*L2026,0)</f>
        <v>0</v>
      </c>
      <c r="O2026" s="45" t="n">
        <f aca="false">IF(D2026="Sale",E2026*M2026,0)</f>
        <v>0</v>
      </c>
      <c r="P2026" s="45" t="n">
        <f aca="false">N2026-O2026</f>
        <v>0</v>
      </c>
      <c r="Q2026" s="45" t="n">
        <f aca="false">IF(D2026="Purchase",E2026*M2026,0)</f>
        <v>1080</v>
      </c>
    </row>
    <row r="2027" customFormat="false" ht="15" hidden="false" customHeight="false" outlineLevel="0" collapsed="false">
      <c r="A2027" s="39" t="s">
        <v>2351</v>
      </c>
      <c r="B2027" s="44" t="n">
        <v>46347</v>
      </c>
      <c r="C2027" s="39" t="s">
        <v>160</v>
      </c>
      <c r="D2027" s="39" t="s">
        <v>137</v>
      </c>
      <c r="E2027" s="39" t="n">
        <v>10</v>
      </c>
      <c r="F2027" s="39" t="str">
        <f aca="false">IF(COUNTIF(medicine_master!$A$2:$A$26,C2027)&gt;0,"Valid","Invalid")</f>
        <v>Valid</v>
      </c>
      <c r="G2027" s="39" t="str">
        <f aca="false">IFERROR(INDEX(medicine_master!$B$2:$B$26,MATCH($C2027,medicine_master!$A$2:$A$26,0)),"Not found")</f>
        <v>Calamine Lotion</v>
      </c>
      <c r="H2027" s="39" t="str">
        <f aca="false">IFERROR(INDEX(medicine_master!$C$2:$C$26,MATCH($C2027,medicine_master!$A$2:$A$26,0)),"Not found")</f>
        <v>Dermatology</v>
      </c>
      <c r="I2027" s="39" t="n">
        <f aca="false">YEAR(B2027)</f>
        <v>2026</v>
      </c>
      <c r="J2027" s="39" t="n">
        <f aca="false">MONTH(B2027)</f>
        <v>11</v>
      </c>
      <c r="K2027" s="39" t="str">
        <f aca="false">TEXT(B2027,"mmm")</f>
        <v>Nov</v>
      </c>
      <c r="L2027" s="45" t="n">
        <f aca="false">IFERROR(INDEX(medicine_master!$I$2:$I$26,MATCH($C2027,medicine_master!$A$2:$A$26,0)),0)</f>
        <v>60</v>
      </c>
      <c r="M2027" s="45" t="n">
        <f aca="false">IFERROR(INDEX(medicine_master!$G$2:$G$26,MATCH($C2027,medicine_master!$A$2:$A$26,0)),0)</f>
        <v>42</v>
      </c>
      <c r="N2027" s="45" t="n">
        <f aca="false">IF(D2027="Sale",E2027*L2027,0)</f>
        <v>600</v>
      </c>
      <c r="O2027" s="45" t="n">
        <f aca="false">IF(D2027="Sale",E2027*M2027,0)</f>
        <v>420</v>
      </c>
      <c r="P2027" s="45" t="n">
        <f aca="false">N2027-O2027</f>
        <v>180</v>
      </c>
      <c r="Q2027" s="45" t="n">
        <f aca="false">IF(D2027="Purchase",E2027*M2027,0)</f>
        <v>0</v>
      </c>
    </row>
    <row r="2028" customFormat="false" ht="15" hidden="false" customHeight="false" outlineLevel="0" collapsed="false">
      <c r="A2028" s="39" t="s">
        <v>2352</v>
      </c>
      <c r="B2028" s="44" t="n">
        <v>46161</v>
      </c>
      <c r="C2028" s="39" t="s">
        <v>390</v>
      </c>
      <c r="D2028" s="39" t="s">
        <v>138</v>
      </c>
      <c r="E2028" s="39" t="n">
        <v>25</v>
      </c>
      <c r="F2028" s="39" t="str">
        <f aca="false">IF(COUNTIF(medicine_master!$A$2:$A$26,C2028)&gt;0,"Valid","Invalid")</f>
        <v>Valid</v>
      </c>
      <c r="G2028" s="39" t="str">
        <f aca="false">IFERROR(INDEX(medicine_master!$B$2:$B$26,MATCH($C2028,medicine_master!$A$2:$A$26,0)),"Not found")</f>
        <v>Montelukast 10mg</v>
      </c>
      <c r="H2028" s="39" t="str">
        <f aca="false">IFERROR(INDEX(medicine_master!$C$2:$C$26,MATCH($C2028,medicine_master!$A$2:$A$26,0)),"Not found")</f>
        <v>Allergy</v>
      </c>
      <c r="I2028" s="39" t="n">
        <f aca="false">YEAR(B2028)</f>
        <v>2026</v>
      </c>
      <c r="J2028" s="39" t="n">
        <f aca="false">MONTH(B2028)</f>
        <v>5</v>
      </c>
      <c r="K2028" s="39" t="str">
        <f aca="false">TEXT(B2028,"mmm")</f>
        <v>May</v>
      </c>
      <c r="L2028" s="45" t="n">
        <f aca="false">IFERROR(INDEX(medicine_master!$I$2:$I$26,MATCH($C2028,medicine_master!$A$2:$A$26,0)),0)</f>
        <v>39</v>
      </c>
      <c r="M2028" s="45" t="n">
        <f aca="false">IFERROR(INDEX(medicine_master!$G$2:$G$26,MATCH($C2028,medicine_master!$A$2:$A$26,0)),0)</f>
        <v>27</v>
      </c>
      <c r="N2028" s="45" t="n">
        <f aca="false">IF(D2028="Sale",E2028*L2028,0)</f>
        <v>0</v>
      </c>
      <c r="O2028" s="45" t="n">
        <f aca="false">IF(D2028="Sale",E2028*M2028,0)</f>
        <v>0</v>
      </c>
      <c r="P2028" s="45" t="n">
        <f aca="false">N2028-O2028</f>
        <v>0</v>
      </c>
      <c r="Q2028" s="45" t="n">
        <f aca="false">IF(D2028="Purchase",E2028*M2028,0)</f>
        <v>675</v>
      </c>
    </row>
    <row r="2029" customFormat="false" ht="15" hidden="false" customHeight="false" outlineLevel="0" collapsed="false">
      <c r="A2029" s="39" t="s">
        <v>2353</v>
      </c>
      <c r="B2029" s="44" t="n">
        <v>46360</v>
      </c>
      <c r="C2029" s="39" t="s">
        <v>178</v>
      </c>
      <c r="D2029" s="39" t="s">
        <v>137</v>
      </c>
      <c r="E2029" s="39" t="n">
        <v>30</v>
      </c>
      <c r="F2029" s="39" t="str">
        <f aca="false">IF(COUNTIF(medicine_master!$A$2:$A$26,C2029)&gt;0,"Valid","Invalid")</f>
        <v>Valid</v>
      </c>
      <c r="G2029" s="39" t="str">
        <f aca="false">IFERROR(INDEX(medicine_master!$B$2:$B$26,MATCH($C2029,medicine_master!$A$2:$A$26,0)),"Not found")</f>
        <v>Aspirin 75mg</v>
      </c>
      <c r="H2029" s="39" t="str">
        <f aca="false">IFERROR(INDEX(medicine_master!$C$2:$C$26,MATCH($C2029,medicine_master!$A$2:$A$26,0)),"Not found")</f>
        <v>Cardiac</v>
      </c>
      <c r="I2029" s="39" t="n">
        <f aca="false">YEAR(B2029)</f>
        <v>2026</v>
      </c>
      <c r="J2029" s="39" t="n">
        <f aca="false">MONTH(B2029)</f>
        <v>12</v>
      </c>
      <c r="K2029" s="39" t="str">
        <f aca="false">TEXT(B2029,"mmm")</f>
        <v>Dec</v>
      </c>
      <c r="L2029" s="45" t="n">
        <f aca="false">IFERROR(INDEX(medicine_master!$I$2:$I$26,MATCH($C2029,medicine_master!$A$2:$A$26,0)),0)</f>
        <v>15</v>
      </c>
      <c r="M2029" s="45" t="n">
        <f aca="false">IFERROR(INDEX(medicine_master!$G$2:$G$26,MATCH($C2029,medicine_master!$A$2:$A$26,0)),0)</f>
        <v>10</v>
      </c>
      <c r="N2029" s="45" t="n">
        <f aca="false">IF(D2029="Sale",E2029*L2029,0)</f>
        <v>450</v>
      </c>
      <c r="O2029" s="45" t="n">
        <f aca="false">IF(D2029="Sale",E2029*M2029,0)</f>
        <v>300</v>
      </c>
      <c r="P2029" s="45" t="n">
        <f aca="false">N2029-O2029</f>
        <v>150</v>
      </c>
      <c r="Q2029" s="45" t="n">
        <f aca="false">IF(D2029="Purchase",E2029*M2029,0)</f>
        <v>0</v>
      </c>
    </row>
    <row r="2030" customFormat="false" ht="15" hidden="false" customHeight="false" outlineLevel="0" collapsed="false">
      <c r="A2030" s="39" t="s">
        <v>2354</v>
      </c>
      <c r="B2030" s="44" t="n">
        <v>46223</v>
      </c>
      <c r="C2030" s="39" t="s">
        <v>153</v>
      </c>
      <c r="D2030" s="39" t="s">
        <v>138</v>
      </c>
      <c r="E2030" s="39" t="n">
        <v>20</v>
      </c>
      <c r="F2030" s="39" t="str">
        <f aca="false">IF(COUNTIF(medicine_master!$A$2:$A$26,C2030)&gt;0,"Valid","Invalid")</f>
        <v>Valid</v>
      </c>
      <c r="G2030" s="39" t="str">
        <f aca="false">IFERROR(INDEX(medicine_master!$B$2:$B$26,MATCH($C2030,medicine_master!$A$2:$A$26,0)),"Not found")</f>
        <v>Atorvastatin 10mg</v>
      </c>
      <c r="H2030" s="39" t="str">
        <f aca="false">IFERROR(INDEX(medicine_master!$C$2:$C$26,MATCH($C2030,medicine_master!$A$2:$A$26,0)),"Not found")</f>
        <v>Cardiac</v>
      </c>
      <c r="I2030" s="39" t="n">
        <f aca="false">YEAR(B2030)</f>
        <v>2026</v>
      </c>
      <c r="J2030" s="39" t="n">
        <f aca="false">MONTH(B2030)</f>
        <v>7</v>
      </c>
      <c r="K2030" s="39" t="str">
        <f aca="false">TEXT(B2030,"mmm")</f>
        <v>Jul</v>
      </c>
      <c r="L2030" s="45" t="n">
        <f aca="false">IFERROR(INDEX(medicine_master!$I$2:$I$26,MATCH($C2030,medicine_master!$A$2:$A$26,0)),0)</f>
        <v>28</v>
      </c>
      <c r="M2030" s="45" t="n">
        <f aca="false">IFERROR(INDEX(medicine_master!$G$2:$G$26,MATCH($C2030,medicine_master!$A$2:$A$26,0)),0)</f>
        <v>19</v>
      </c>
      <c r="N2030" s="45" t="n">
        <f aca="false">IF(D2030="Sale",E2030*L2030,0)</f>
        <v>0</v>
      </c>
      <c r="O2030" s="45" t="n">
        <f aca="false">IF(D2030="Sale",E2030*M2030,0)</f>
        <v>0</v>
      </c>
      <c r="P2030" s="45" t="n">
        <f aca="false">N2030-O2030</f>
        <v>0</v>
      </c>
      <c r="Q2030" s="45" t="n">
        <f aca="false">IF(D2030="Purchase",E2030*M2030,0)</f>
        <v>380</v>
      </c>
    </row>
    <row r="2031" customFormat="false" ht="15" hidden="false" customHeight="false" outlineLevel="0" collapsed="false">
      <c r="A2031" s="39" t="s">
        <v>2355</v>
      </c>
      <c r="B2031" s="44" t="n">
        <v>46090</v>
      </c>
      <c r="C2031" s="39" t="s">
        <v>158</v>
      </c>
      <c r="D2031" s="39" t="s">
        <v>138</v>
      </c>
      <c r="E2031" s="39" t="n">
        <v>15</v>
      </c>
      <c r="F2031" s="39" t="str">
        <f aca="false">IF(COUNTIF(medicine_master!$A$2:$A$26,C2031)&gt;0,"Valid","Invalid")</f>
        <v>Valid</v>
      </c>
      <c r="G2031" s="39" t="str">
        <f aca="false">IFERROR(INDEX(medicine_master!$B$2:$B$26,MATCH($C2031,medicine_master!$A$2:$A$26,0)),"Not found")</f>
        <v>Cough Syrup 100ml</v>
      </c>
      <c r="H2031" s="39" t="str">
        <f aca="false">IFERROR(INDEX(medicine_master!$C$2:$C$26,MATCH($C2031,medicine_master!$A$2:$A$26,0)),"Not found")</f>
        <v>Cold &amp; Cough</v>
      </c>
      <c r="I2031" s="39" t="n">
        <f aca="false">YEAR(B2031)</f>
        <v>2026</v>
      </c>
      <c r="J2031" s="39" t="n">
        <f aca="false">MONTH(B2031)</f>
        <v>3</v>
      </c>
      <c r="K2031" s="39" t="str">
        <f aca="false">TEXT(B2031,"mmm")</f>
        <v>Mar</v>
      </c>
      <c r="L2031" s="45" t="n">
        <f aca="false">IFERROR(INDEX(medicine_master!$I$2:$I$26,MATCH($C2031,medicine_master!$A$2:$A$26,0)),0)</f>
        <v>72</v>
      </c>
      <c r="M2031" s="45" t="n">
        <f aca="false">IFERROR(INDEX(medicine_master!$G$2:$G$26,MATCH($C2031,medicine_master!$A$2:$A$26,0)),0)</f>
        <v>52</v>
      </c>
      <c r="N2031" s="45" t="n">
        <f aca="false">IF(D2031="Sale",E2031*L2031,0)</f>
        <v>0</v>
      </c>
      <c r="O2031" s="45" t="n">
        <f aca="false">IF(D2031="Sale",E2031*M2031,0)</f>
        <v>0</v>
      </c>
      <c r="P2031" s="45" t="n">
        <f aca="false">N2031-O2031</f>
        <v>0</v>
      </c>
      <c r="Q2031" s="45" t="n">
        <f aca="false">IF(D2031="Purchase",E2031*M2031,0)</f>
        <v>780</v>
      </c>
    </row>
    <row r="2032" customFormat="false" ht="15" hidden="false" customHeight="false" outlineLevel="0" collapsed="false">
      <c r="A2032" s="39" t="s">
        <v>2356</v>
      </c>
      <c r="B2032" s="44" t="n">
        <v>46381</v>
      </c>
      <c r="C2032" s="39" t="s">
        <v>145</v>
      </c>
      <c r="D2032" s="39" t="s">
        <v>137</v>
      </c>
      <c r="E2032" s="39" t="n">
        <v>25</v>
      </c>
      <c r="F2032" s="39" t="str">
        <f aca="false">IF(COUNTIF(medicine_master!$A$2:$A$26,C2032)&gt;0,"Valid","Invalid")</f>
        <v>Valid</v>
      </c>
      <c r="G2032" s="39" t="str">
        <f aca="false">IFERROR(INDEX(medicine_master!$B$2:$B$26,MATCH($C2032,medicine_master!$A$2:$A$26,0)),"Not found")</f>
        <v>Clotrimazole Cream</v>
      </c>
      <c r="H2032" s="39" t="str">
        <f aca="false">IFERROR(INDEX(medicine_master!$C$2:$C$26,MATCH($C2032,medicine_master!$A$2:$A$26,0)),"Not found")</f>
        <v>Dermatology</v>
      </c>
      <c r="I2032" s="39" t="n">
        <f aca="false">YEAR(B2032)</f>
        <v>2026</v>
      </c>
      <c r="J2032" s="39" t="n">
        <f aca="false">MONTH(B2032)</f>
        <v>12</v>
      </c>
      <c r="K2032" s="39" t="str">
        <f aca="false">TEXT(B2032,"mmm")</f>
        <v>Dec</v>
      </c>
      <c r="L2032" s="45" t="n">
        <f aca="false">IFERROR(INDEX(medicine_master!$I$2:$I$26,MATCH($C2032,medicine_master!$A$2:$A$26,0)),0)</f>
        <v>48</v>
      </c>
      <c r="M2032" s="45" t="n">
        <f aca="false">IFERROR(INDEX(medicine_master!$G$2:$G$26,MATCH($C2032,medicine_master!$A$2:$A$26,0)),0)</f>
        <v>32</v>
      </c>
      <c r="N2032" s="45" t="n">
        <f aca="false">IF(D2032="Sale",E2032*L2032,0)</f>
        <v>1200</v>
      </c>
      <c r="O2032" s="45" t="n">
        <f aca="false">IF(D2032="Sale",E2032*M2032,0)</f>
        <v>800</v>
      </c>
      <c r="P2032" s="45" t="n">
        <f aca="false">N2032-O2032</f>
        <v>400</v>
      </c>
      <c r="Q2032" s="45" t="n">
        <f aca="false">IF(D2032="Purchase",E2032*M2032,0)</f>
        <v>0</v>
      </c>
    </row>
    <row r="2033" customFormat="false" ht="15" hidden="false" customHeight="false" outlineLevel="0" collapsed="false">
      <c r="A2033" s="39" t="s">
        <v>2357</v>
      </c>
      <c r="B2033" s="44" t="n">
        <v>46348</v>
      </c>
      <c r="C2033" s="39" t="s">
        <v>495</v>
      </c>
      <c r="D2033" s="39" t="s">
        <v>137</v>
      </c>
      <c r="E2033" s="39" t="n">
        <v>50</v>
      </c>
      <c r="F2033" s="39" t="str">
        <f aca="false">IF(COUNTIF(medicine_master!$A$2:$A$26,C2033)&gt;0,"Valid","Invalid")</f>
        <v>Valid</v>
      </c>
      <c r="G2033" s="39" t="str">
        <f aca="false">IFERROR(INDEX(medicine_master!$B$2:$B$26,MATCH($C2033,medicine_master!$A$2:$A$26,0)),"Not found")</f>
        <v>Metformin 500mg</v>
      </c>
      <c r="H2033" s="39" t="str">
        <f aca="false">IFERROR(INDEX(medicine_master!$C$2:$C$26,MATCH($C2033,medicine_master!$A$2:$A$26,0)),"Not found")</f>
        <v>Diabetes</v>
      </c>
      <c r="I2033" s="39" t="n">
        <f aca="false">YEAR(B2033)</f>
        <v>2026</v>
      </c>
      <c r="J2033" s="39" t="n">
        <f aca="false">MONTH(B2033)</f>
        <v>11</v>
      </c>
      <c r="K2033" s="39" t="str">
        <f aca="false">TEXT(B2033,"mmm")</f>
        <v>Nov</v>
      </c>
      <c r="L2033" s="45" t="n">
        <f aca="false">IFERROR(INDEX(medicine_master!$I$2:$I$26,MATCH($C2033,medicine_master!$A$2:$A$26,0)),0)</f>
        <v>24</v>
      </c>
      <c r="M2033" s="45" t="n">
        <f aca="false">IFERROR(INDEX(medicine_master!$G$2:$G$26,MATCH($C2033,medicine_master!$A$2:$A$26,0)),0)</f>
        <v>16</v>
      </c>
      <c r="N2033" s="45" t="n">
        <f aca="false">IF(D2033="Sale",E2033*L2033,0)</f>
        <v>1200</v>
      </c>
      <c r="O2033" s="45" t="n">
        <f aca="false">IF(D2033="Sale",E2033*M2033,0)</f>
        <v>800</v>
      </c>
      <c r="P2033" s="45" t="n">
        <f aca="false">N2033-O2033</f>
        <v>400</v>
      </c>
      <c r="Q2033" s="45" t="n">
        <f aca="false">IF(D2033="Purchase",E2033*M2033,0)</f>
        <v>0</v>
      </c>
    </row>
    <row r="2034" customFormat="false" ht="15" hidden="false" customHeight="false" outlineLevel="0" collapsed="false">
      <c r="A2034" s="39" t="s">
        <v>2358</v>
      </c>
      <c r="B2034" s="44" t="n">
        <v>46097</v>
      </c>
      <c r="C2034" s="39" t="s">
        <v>180</v>
      </c>
      <c r="D2034" s="39" t="s">
        <v>138</v>
      </c>
      <c r="E2034" s="39" t="n">
        <v>40</v>
      </c>
      <c r="F2034" s="39" t="str">
        <f aca="false">IF(COUNTIF(medicine_master!$A$2:$A$26,C2034)&gt;0,"Valid","Invalid")</f>
        <v>Valid</v>
      </c>
      <c r="G2034" s="39" t="str">
        <f aca="false">IFERROR(INDEX(medicine_master!$B$2:$B$26,MATCH($C2034,medicine_master!$A$2:$A$26,0)),"Not found")</f>
        <v>Vitamin C 500mg</v>
      </c>
      <c r="H2034" s="39" t="str">
        <f aca="false">IFERROR(INDEX(medicine_master!$C$2:$C$26,MATCH($C2034,medicine_master!$A$2:$A$26,0)),"Not found")</f>
        <v>Vitamin</v>
      </c>
      <c r="I2034" s="39" t="n">
        <f aca="false">YEAR(B2034)</f>
        <v>2026</v>
      </c>
      <c r="J2034" s="39" t="n">
        <f aca="false">MONTH(B2034)</f>
        <v>3</v>
      </c>
      <c r="K2034" s="39" t="str">
        <f aca="false">TEXT(B2034,"mmm")</f>
        <v>Mar</v>
      </c>
      <c r="L2034" s="45" t="n">
        <f aca="false">IFERROR(INDEX(medicine_master!$I$2:$I$26,MATCH($C2034,medicine_master!$A$2:$A$26,0)),0)</f>
        <v>22</v>
      </c>
      <c r="M2034" s="45" t="n">
        <f aca="false">IFERROR(INDEX(medicine_master!$G$2:$G$26,MATCH($C2034,medicine_master!$A$2:$A$26,0)),0)</f>
        <v>14</v>
      </c>
      <c r="N2034" s="45" t="n">
        <f aca="false">IF(D2034="Sale",E2034*L2034,0)</f>
        <v>0</v>
      </c>
      <c r="O2034" s="45" t="n">
        <f aca="false">IF(D2034="Sale",E2034*M2034,0)</f>
        <v>0</v>
      </c>
      <c r="P2034" s="45" t="n">
        <f aca="false">N2034-O2034</f>
        <v>0</v>
      </c>
      <c r="Q2034" s="45" t="n">
        <f aca="false">IF(D2034="Purchase",E2034*M2034,0)</f>
        <v>560</v>
      </c>
    </row>
    <row r="2035" customFormat="false" ht="15" hidden="false" customHeight="false" outlineLevel="0" collapsed="false">
      <c r="A2035" s="39" t="s">
        <v>2359</v>
      </c>
      <c r="B2035" s="44" t="n">
        <v>46041</v>
      </c>
      <c r="C2035" s="39" t="s">
        <v>150</v>
      </c>
      <c r="D2035" s="39" t="s">
        <v>137</v>
      </c>
      <c r="E2035" s="39" t="n">
        <v>15</v>
      </c>
      <c r="F2035" s="39" t="str">
        <f aca="false">IF(COUNTIF(medicine_master!$A$2:$A$26,C2035)&gt;0,"Valid","Invalid")</f>
        <v>Valid</v>
      </c>
      <c r="G2035" s="39" t="str">
        <f aca="false">IFERROR(INDEX(medicine_master!$B$2:$B$26,MATCH($C2035,medicine_master!$A$2:$A$26,0)),"Not found")</f>
        <v>Pantoprazole 40mg</v>
      </c>
      <c r="H2035" s="39" t="str">
        <f aca="false">IFERROR(INDEX(medicine_master!$C$2:$C$26,MATCH($C2035,medicine_master!$A$2:$A$26,0)),"Not found")</f>
        <v>Gastric</v>
      </c>
      <c r="I2035" s="39" t="n">
        <f aca="false">YEAR(B2035)</f>
        <v>2026</v>
      </c>
      <c r="J2035" s="39" t="n">
        <f aca="false">MONTH(B2035)</f>
        <v>1</v>
      </c>
      <c r="K2035" s="39" t="str">
        <f aca="false">TEXT(B2035,"mmm")</f>
        <v>Jan</v>
      </c>
      <c r="L2035" s="45" t="n">
        <f aca="false">IFERROR(INDEX(medicine_master!$I$2:$I$26,MATCH($C2035,medicine_master!$A$2:$A$26,0)),0)</f>
        <v>35</v>
      </c>
      <c r="M2035" s="45" t="n">
        <f aca="false">IFERROR(INDEX(medicine_master!$G$2:$G$26,MATCH($C2035,medicine_master!$A$2:$A$26,0)),0)</f>
        <v>24</v>
      </c>
      <c r="N2035" s="45" t="n">
        <f aca="false">IF(D2035="Sale",E2035*L2035,0)</f>
        <v>525</v>
      </c>
      <c r="O2035" s="45" t="n">
        <f aca="false">IF(D2035="Sale",E2035*M2035,0)</f>
        <v>360</v>
      </c>
      <c r="P2035" s="45" t="n">
        <f aca="false">N2035-O2035</f>
        <v>165</v>
      </c>
      <c r="Q2035" s="45" t="n">
        <f aca="false">IF(D2035="Purchase",E2035*M2035,0)</f>
        <v>0</v>
      </c>
    </row>
    <row r="2036" customFormat="false" ht="15" hidden="false" customHeight="false" outlineLevel="0" collapsed="false">
      <c r="A2036" s="39" t="s">
        <v>2360</v>
      </c>
      <c r="B2036" s="44" t="n">
        <v>46035</v>
      </c>
      <c r="C2036" s="39" t="s">
        <v>178</v>
      </c>
      <c r="D2036" s="39" t="s">
        <v>138</v>
      </c>
      <c r="E2036" s="39" t="n">
        <v>25</v>
      </c>
      <c r="F2036" s="39" t="str">
        <f aca="false">IF(COUNTIF(medicine_master!$A$2:$A$26,C2036)&gt;0,"Valid","Invalid")</f>
        <v>Valid</v>
      </c>
      <c r="G2036" s="39" t="str">
        <f aca="false">IFERROR(INDEX(medicine_master!$B$2:$B$26,MATCH($C2036,medicine_master!$A$2:$A$26,0)),"Not found")</f>
        <v>Aspirin 75mg</v>
      </c>
      <c r="H2036" s="39" t="str">
        <f aca="false">IFERROR(INDEX(medicine_master!$C$2:$C$26,MATCH($C2036,medicine_master!$A$2:$A$26,0)),"Not found")</f>
        <v>Cardiac</v>
      </c>
      <c r="I2036" s="39" t="n">
        <f aca="false">YEAR(B2036)</f>
        <v>2026</v>
      </c>
      <c r="J2036" s="39" t="n">
        <f aca="false">MONTH(B2036)</f>
        <v>1</v>
      </c>
      <c r="K2036" s="39" t="str">
        <f aca="false">TEXT(B2036,"mmm")</f>
        <v>Jan</v>
      </c>
      <c r="L2036" s="45" t="n">
        <f aca="false">IFERROR(INDEX(medicine_master!$I$2:$I$26,MATCH($C2036,medicine_master!$A$2:$A$26,0)),0)</f>
        <v>15</v>
      </c>
      <c r="M2036" s="45" t="n">
        <f aca="false">IFERROR(INDEX(medicine_master!$G$2:$G$26,MATCH($C2036,medicine_master!$A$2:$A$26,0)),0)</f>
        <v>10</v>
      </c>
      <c r="N2036" s="45" t="n">
        <f aca="false">IF(D2036="Sale",E2036*L2036,0)</f>
        <v>0</v>
      </c>
      <c r="O2036" s="45" t="n">
        <f aca="false">IF(D2036="Sale",E2036*M2036,0)</f>
        <v>0</v>
      </c>
      <c r="P2036" s="45" t="n">
        <f aca="false">N2036-O2036</f>
        <v>0</v>
      </c>
      <c r="Q2036" s="45" t="n">
        <f aca="false">IF(D2036="Purchase",E2036*M2036,0)</f>
        <v>250</v>
      </c>
    </row>
    <row r="2037" customFormat="false" ht="15" hidden="false" customHeight="false" outlineLevel="0" collapsed="false">
      <c r="A2037" s="39" t="s">
        <v>2361</v>
      </c>
      <c r="B2037" s="44" t="n">
        <v>46178</v>
      </c>
      <c r="C2037" s="39" t="s">
        <v>167</v>
      </c>
      <c r="D2037" s="39" t="s">
        <v>137</v>
      </c>
      <c r="E2037" s="39" t="n">
        <v>10</v>
      </c>
      <c r="F2037" s="39" t="str">
        <f aca="false">IF(COUNTIF(medicine_master!$A$2:$A$26,C2037)&gt;0,"Valid","Invalid")</f>
        <v>Valid</v>
      </c>
      <c r="G2037" s="39" t="str">
        <f aca="false">IFERROR(INDEX(medicine_master!$B$2:$B$26,MATCH($C2037,medicine_master!$A$2:$A$26,0)),"Not found")</f>
        <v>Amlodipine 5mg</v>
      </c>
      <c r="H2037" s="39" t="str">
        <f aca="false">IFERROR(INDEX(medicine_master!$C$2:$C$26,MATCH($C2037,medicine_master!$A$2:$A$26,0)),"Not found")</f>
        <v>Cardiac</v>
      </c>
      <c r="I2037" s="39" t="n">
        <f aca="false">YEAR(B2037)</f>
        <v>2026</v>
      </c>
      <c r="J2037" s="39" t="n">
        <f aca="false">MONTH(B2037)</f>
        <v>6</v>
      </c>
      <c r="K2037" s="39" t="str">
        <f aca="false">TEXT(B2037,"mmm")</f>
        <v>Jun</v>
      </c>
      <c r="L2037" s="45" t="n">
        <f aca="false">IFERROR(INDEX(medicine_master!$I$2:$I$26,MATCH($C2037,medicine_master!$A$2:$A$26,0)),0)</f>
        <v>19</v>
      </c>
      <c r="M2037" s="45" t="n">
        <f aca="false">IFERROR(INDEX(medicine_master!$G$2:$G$26,MATCH($C2037,medicine_master!$A$2:$A$26,0)),0)</f>
        <v>13</v>
      </c>
      <c r="N2037" s="45" t="n">
        <f aca="false">IF(D2037="Sale",E2037*L2037,0)</f>
        <v>190</v>
      </c>
      <c r="O2037" s="45" t="n">
        <f aca="false">IF(D2037="Sale",E2037*M2037,0)</f>
        <v>130</v>
      </c>
      <c r="P2037" s="45" t="n">
        <f aca="false">N2037-O2037</f>
        <v>60</v>
      </c>
      <c r="Q2037" s="45" t="n">
        <f aca="false">IF(D2037="Purchase",E2037*M2037,0)</f>
        <v>0</v>
      </c>
    </row>
    <row r="2038" customFormat="false" ht="15" hidden="false" customHeight="false" outlineLevel="0" collapsed="false">
      <c r="A2038" s="39" t="s">
        <v>2362</v>
      </c>
      <c r="B2038" s="44" t="n">
        <v>46107</v>
      </c>
      <c r="C2038" s="39" t="s">
        <v>321</v>
      </c>
      <c r="D2038" s="39" t="s">
        <v>138</v>
      </c>
      <c r="E2038" s="39" t="n">
        <v>15</v>
      </c>
      <c r="F2038" s="39" t="str">
        <f aca="false">IF(COUNTIF(medicine_master!$A$2:$A$26,C2038)&gt;0,"Valid","Invalid")</f>
        <v>Valid</v>
      </c>
      <c r="G2038" s="39" t="str">
        <f aca="false">IFERROR(INDEX(medicine_master!$B$2:$B$26,MATCH($C2038,medicine_master!$A$2:$A$26,0)),"Not found")</f>
        <v>Levocetirizine 5mg</v>
      </c>
      <c r="H2038" s="39" t="str">
        <f aca="false">IFERROR(INDEX(medicine_master!$C$2:$C$26,MATCH($C2038,medicine_master!$A$2:$A$26,0)),"Not found")</f>
        <v>Allergy</v>
      </c>
      <c r="I2038" s="39" t="n">
        <f aca="false">YEAR(B2038)</f>
        <v>2026</v>
      </c>
      <c r="J2038" s="39" t="n">
        <f aca="false">MONTH(B2038)</f>
        <v>3</v>
      </c>
      <c r="K2038" s="39" t="str">
        <f aca="false">TEXT(B2038,"mmm")</f>
        <v>Mar</v>
      </c>
      <c r="L2038" s="45" t="n">
        <f aca="false">IFERROR(INDEX(medicine_master!$I$2:$I$26,MATCH($C2038,medicine_master!$A$2:$A$26,0)),0)</f>
        <v>22</v>
      </c>
      <c r="M2038" s="45" t="n">
        <f aca="false">IFERROR(INDEX(medicine_master!$G$2:$G$26,MATCH($C2038,medicine_master!$A$2:$A$26,0)),0)</f>
        <v>14</v>
      </c>
      <c r="N2038" s="45" t="n">
        <f aca="false">IF(D2038="Sale",E2038*L2038,0)</f>
        <v>0</v>
      </c>
      <c r="O2038" s="45" t="n">
        <f aca="false">IF(D2038="Sale",E2038*M2038,0)</f>
        <v>0</v>
      </c>
      <c r="P2038" s="45" t="n">
        <f aca="false">N2038-O2038</f>
        <v>0</v>
      </c>
      <c r="Q2038" s="45" t="n">
        <f aca="false">IF(D2038="Purchase",E2038*M2038,0)</f>
        <v>210</v>
      </c>
    </row>
    <row r="2039" customFormat="false" ht="15" hidden="false" customHeight="false" outlineLevel="0" collapsed="false">
      <c r="A2039" s="39" t="s">
        <v>2363</v>
      </c>
      <c r="B2039" s="44" t="n">
        <v>46134</v>
      </c>
      <c r="C2039" s="39" t="s">
        <v>179</v>
      </c>
      <c r="D2039" s="39" t="s">
        <v>138</v>
      </c>
      <c r="E2039" s="39" t="n">
        <v>20</v>
      </c>
      <c r="F2039" s="39" t="str">
        <f aca="false">IF(COUNTIF(medicine_master!$A$2:$A$26,C2039)&gt;0,"Valid","Invalid")</f>
        <v>Valid</v>
      </c>
      <c r="G2039" s="39" t="str">
        <f aca="false">IFERROR(INDEX(medicine_master!$B$2:$B$26,MATCH($C2039,medicine_master!$A$2:$A$26,0)),"Not found")</f>
        <v>Ibuprofen 400mg</v>
      </c>
      <c r="H2039" s="39" t="str">
        <f aca="false">IFERROR(INDEX(medicine_master!$C$2:$C$26,MATCH($C2039,medicine_master!$A$2:$A$26,0)),"Not found")</f>
        <v>Pain Relief</v>
      </c>
      <c r="I2039" s="39" t="n">
        <f aca="false">YEAR(B2039)</f>
        <v>2026</v>
      </c>
      <c r="J2039" s="39" t="n">
        <f aca="false">MONTH(B2039)</f>
        <v>4</v>
      </c>
      <c r="K2039" s="39" t="str">
        <f aca="false">TEXT(B2039,"mmm")</f>
        <v>Apr</v>
      </c>
      <c r="L2039" s="45" t="n">
        <f aca="false">IFERROR(INDEX(medicine_master!$I$2:$I$26,MATCH($C2039,medicine_master!$A$2:$A$26,0)),0)</f>
        <v>30</v>
      </c>
      <c r="M2039" s="45" t="n">
        <f aca="false">IFERROR(INDEX(medicine_master!$G$2:$G$26,MATCH($C2039,medicine_master!$A$2:$A$26,0)),0)</f>
        <v>22</v>
      </c>
      <c r="N2039" s="45" t="n">
        <f aca="false">IF(D2039="Sale",E2039*L2039,0)</f>
        <v>0</v>
      </c>
      <c r="O2039" s="45" t="n">
        <f aca="false">IF(D2039="Sale",E2039*M2039,0)</f>
        <v>0</v>
      </c>
      <c r="P2039" s="45" t="n">
        <f aca="false">N2039-O2039</f>
        <v>0</v>
      </c>
      <c r="Q2039" s="45" t="n">
        <f aca="false">IF(D2039="Purchase",E2039*M2039,0)</f>
        <v>440</v>
      </c>
    </row>
    <row r="2040" customFormat="false" ht="15" hidden="false" customHeight="false" outlineLevel="0" collapsed="false">
      <c r="A2040" s="39" t="s">
        <v>2364</v>
      </c>
      <c r="B2040" s="44" t="n">
        <v>46178</v>
      </c>
      <c r="C2040" s="39" t="s">
        <v>152</v>
      </c>
      <c r="D2040" s="39" t="s">
        <v>137</v>
      </c>
      <c r="E2040" s="39" t="n">
        <v>15</v>
      </c>
      <c r="F2040" s="39" t="str">
        <f aca="false">IF(COUNTIF(medicine_master!$A$2:$A$26,C2040)&gt;0,"Valid","Invalid")</f>
        <v>Valid</v>
      </c>
      <c r="G2040" s="39" t="str">
        <f aca="false">IFERROR(INDEX(medicine_master!$B$2:$B$26,MATCH($C2040,medicine_master!$A$2:$A$26,0)),"Not found")</f>
        <v>Amoxicillin 500mg</v>
      </c>
      <c r="H2040" s="39" t="str">
        <f aca="false">IFERROR(INDEX(medicine_master!$C$2:$C$26,MATCH($C2040,medicine_master!$A$2:$A$26,0)),"Not found")</f>
        <v>Antibiotic</v>
      </c>
      <c r="I2040" s="39" t="n">
        <f aca="false">YEAR(B2040)</f>
        <v>2026</v>
      </c>
      <c r="J2040" s="39" t="n">
        <f aca="false">MONTH(B2040)</f>
        <v>6</v>
      </c>
      <c r="K2040" s="39" t="str">
        <f aca="false">TEXT(B2040,"mmm")</f>
        <v>Jun</v>
      </c>
      <c r="L2040" s="45" t="n">
        <f aca="false">IFERROR(INDEX(medicine_master!$I$2:$I$26,MATCH($C2040,medicine_master!$A$2:$A$26,0)),0)</f>
        <v>40</v>
      </c>
      <c r="M2040" s="45" t="n">
        <f aca="false">IFERROR(INDEX(medicine_master!$G$2:$G$26,MATCH($C2040,medicine_master!$A$2:$A$26,0)),0)</f>
        <v>28</v>
      </c>
      <c r="N2040" s="45" t="n">
        <f aca="false">IF(D2040="Sale",E2040*L2040,0)</f>
        <v>600</v>
      </c>
      <c r="O2040" s="45" t="n">
        <f aca="false">IF(D2040="Sale",E2040*M2040,0)</f>
        <v>420</v>
      </c>
      <c r="P2040" s="45" t="n">
        <f aca="false">N2040-O2040</f>
        <v>180</v>
      </c>
      <c r="Q2040" s="45" t="n">
        <f aca="false">IF(D2040="Purchase",E2040*M2040,0)</f>
        <v>0</v>
      </c>
    </row>
    <row r="2041" customFormat="false" ht="15" hidden="false" customHeight="false" outlineLevel="0" collapsed="false">
      <c r="A2041" s="39" t="s">
        <v>2365</v>
      </c>
      <c r="B2041" s="44" t="n">
        <v>46154</v>
      </c>
      <c r="C2041" s="39" t="s">
        <v>151</v>
      </c>
      <c r="D2041" s="39" t="s">
        <v>137</v>
      </c>
      <c r="E2041" s="39" t="n">
        <v>5</v>
      </c>
      <c r="F2041" s="39" t="str">
        <f aca="false">IF(COUNTIF(medicine_master!$A$2:$A$26,C2041)&gt;0,"Valid","Invalid")</f>
        <v>Valid</v>
      </c>
      <c r="G2041" s="39" t="str">
        <f aca="false">IFERROR(INDEX(medicine_master!$B$2:$B$26,MATCH($C2041,medicine_master!$A$2:$A$26,0)),"Not found")</f>
        <v>Cetirizine 10mg</v>
      </c>
      <c r="H2041" s="39" t="str">
        <f aca="false">IFERROR(INDEX(medicine_master!$C$2:$C$26,MATCH($C2041,medicine_master!$A$2:$A$26,0)),"Not found")</f>
        <v>Allergy</v>
      </c>
      <c r="I2041" s="39" t="n">
        <f aca="false">YEAR(B2041)</f>
        <v>2026</v>
      </c>
      <c r="J2041" s="39" t="n">
        <f aca="false">MONTH(B2041)</f>
        <v>5</v>
      </c>
      <c r="K2041" s="39" t="str">
        <f aca="false">TEXT(B2041,"mmm")</f>
        <v>May</v>
      </c>
      <c r="L2041" s="45" t="n">
        <f aca="false">IFERROR(INDEX(medicine_master!$I$2:$I$26,MATCH($C2041,medicine_master!$A$2:$A$26,0)),0)</f>
        <v>13</v>
      </c>
      <c r="M2041" s="45" t="n">
        <f aca="false">IFERROR(INDEX(medicine_master!$G$2:$G$26,MATCH($C2041,medicine_master!$A$2:$A$26,0)),0)</f>
        <v>8</v>
      </c>
      <c r="N2041" s="45" t="n">
        <f aca="false">IF(D2041="Sale",E2041*L2041,0)</f>
        <v>65</v>
      </c>
      <c r="O2041" s="45" t="n">
        <f aca="false">IF(D2041="Sale",E2041*M2041,0)</f>
        <v>40</v>
      </c>
      <c r="P2041" s="45" t="n">
        <f aca="false">N2041-O2041</f>
        <v>25</v>
      </c>
      <c r="Q2041" s="45" t="n">
        <f aca="false">IF(D2041="Purchase",E2041*M2041,0)</f>
        <v>0</v>
      </c>
    </row>
    <row r="2042" customFormat="false" ht="15" hidden="false" customHeight="false" outlineLevel="0" collapsed="false">
      <c r="A2042" s="39" t="s">
        <v>2366</v>
      </c>
      <c r="B2042" s="44" t="n">
        <v>46292</v>
      </c>
      <c r="C2042" s="39" t="s">
        <v>158</v>
      </c>
      <c r="D2042" s="39" t="s">
        <v>138</v>
      </c>
      <c r="E2042" s="39" t="n">
        <v>40</v>
      </c>
      <c r="F2042" s="39" t="str">
        <f aca="false">IF(COUNTIF(medicine_master!$A$2:$A$26,C2042)&gt;0,"Valid","Invalid")</f>
        <v>Valid</v>
      </c>
      <c r="G2042" s="39" t="str">
        <f aca="false">IFERROR(INDEX(medicine_master!$B$2:$B$26,MATCH($C2042,medicine_master!$A$2:$A$26,0)),"Not found")</f>
        <v>Cough Syrup 100ml</v>
      </c>
      <c r="H2042" s="39" t="str">
        <f aca="false">IFERROR(INDEX(medicine_master!$C$2:$C$26,MATCH($C2042,medicine_master!$A$2:$A$26,0)),"Not found")</f>
        <v>Cold &amp; Cough</v>
      </c>
      <c r="I2042" s="39" t="n">
        <f aca="false">YEAR(B2042)</f>
        <v>2026</v>
      </c>
      <c r="J2042" s="39" t="n">
        <f aca="false">MONTH(B2042)</f>
        <v>9</v>
      </c>
      <c r="K2042" s="39" t="str">
        <f aca="false">TEXT(B2042,"mmm")</f>
        <v>Sep</v>
      </c>
      <c r="L2042" s="45" t="n">
        <f aca="false">IFERROR(INDEX(medicine_master!$I$2:$I$26,MATCH($C2042,medicine_master!$A$2:$A$26,0)),0)</f>
        <v>72</v>
      </c>
      <c r="M2042" s="45" t="n">
        <f aca="false">IFERROR(INDEX(medicine_master!$G$2:$G$26,MATCH($C2042,medicine_master!$A$2:$A$26,0)),0)</f>
        <v>52</v>
      </c>
      <c r="N2042" s="45" t="n">
        <f aca="false">IF(D2042="Sale",E2042*L2042,0)</f>
        <v>0</v>
      </c>
      <c r="O2042" s="45" t="n">
        <f aca="false">IF(D2042="Sale",E2042*M2042,0)</f>
        <v>0</v>
      </c>
      <c r="P2042" s="45" t="n">
        <f aca="false">N2042-O2042</f>
        <v>0</v>
      </c>
      <c r="Q2042" s="45" t="n">
        <f aca="false">IF(D2042="Purchase",E2042*M2042,0)</f>
        <v>2080</v>
      </c>
    </row>
    <row r="2043" customFormat="false" ht="15" hidden="false" customHeight="false" outlineLevel="0" collapsed="false">
      <c r="A2043" s="39" t="s">
        <v>2367</v>
      </c>
      <c r="B2043" s="44" t="n">
        <v>46185</v>
      </c>
      <c r="C2043" s="39" t="s">
        <v>179</v>
      </c>
      <c r="D2043" s="39" t="s">
        <v>137</v>
      </c>
      <c r="E2043" s="39" t="n">
        <v>20</v>
      </c>
      <c r="F2043" s="39" t="str">
        <f aca="false">IF(COUNTIF(medicine_master!$A$2:$A$26,C2043)&gt;0,"Valid","Invalid")</f>
        <v>Valid</v>
      </c>
      <c r="G2043" s="39" t="str">
        <f aca="false">IFERROR(INDEX(medicine_master!$B$2:$B$26,MATCH($C2043,medicine_master!$A$2:$A$26,0)),"Not found")</f>
        <v>Ibuprofen 400mg</v>
      </c>
      <c r="H2043" s="39" t="str">
        <f aca="false">IFERROR(INDEX(medicine_master!$C$2:$C$26,MATCH($C2043,medicine_master!$A$2:$A$26,0)),"Not found")</f>
        <v>Pain Relief</v>
      </c>
      <c r="I2043" s="39" t="n">
        <f aca="false">YEAR(B2043)</f>
        <v>2026</v>
      </c>
      <c r="J2043" s="39" t="n">
        <f aca="false">MONTH(B2043)</f>
        <v>6</v>
      </c>
      <c r="K2043" s="39" t="str">
        <f aca="false">TEXT(B2043,"mmm")</f>
        <v>Jun</v>
      </c>
      <c r="L2043" s="45" t="n">
        <f aca="false">IFERROR(INDEX(medicine_master!$I$2:$I$26,MATCH($C2043,medicine_master!$A$2:$A$26,0)),0)</f>
        <v>30</v>
      </c>
      <c r="M2043" s="45" t="n">
        <f aca="false">IFERROR(INDEX(medicine_master!$G$2:$G$26,MATCH($C2043,medicine_master!$A$2:$A$26,0)),0)</f>
        <v>22</v>
      </c>
      <c r="N2043" s="45" t="n">
        <f aca="false">IF(D2043="Sale",E2043*L2043,0)</f>
        <v>600</v>
      </c>
      <c r="O2043" s="45" t="n">
        <f aca="false">IF(D2043="Sale",E2043*M2043,0)</f>
        <v>440</v>
      </c>
      <c r="P2043" s="45" t="n">
        <f aca="false">N2043-O2043</f>
        <v>160</v>
      </c>
      <c r="Q2043" s="45" t="n">
        <f aca="false">IF(D2043="Purchase",E2043*M2043,0)</f>
        <v>0</v>
      </c>
    </row>
    <row r="2044" customFormat="false" ht="15" hidden="false" customHeight="false" outlineLevel="0" collapsed="false">
      <c r="A2044" s="39" t="s">
        <v>2368</v>
      </c>
      <c r="B2044" s="44" t="n">
        <v>46307</v>
      </c>
      <c r="C2044" s="39" t="s">
        <v>160</v>
      </c>
      <c r="D2044" s="39" t="s">
        <v>137</v>
      </c>
      <c r="E2044" s="39" t="n">
        <v>30</v>
      </c>
      <c r="F2044" s="39" t="str">
        <f aca="false">IF(COUNTIF(medicine_master!$A$2:$A$26,C2044)&gt;0,"Valid","Invalid")</f>
        <v>Valid</v>
      </c>
      <c r="G2044" s="39" t="str">
        <f aca="false">IFERROR(INDEX(medicine_master!$B$2:$B$26,MATCH($C2044,medicine_master!$A$2:$A$26,0)),"Not found")</f>
        <v>Calamine Lotion</v>
      </c>
      <c r="H2044" s="39" t="str">
        <f aca="false">IFERROR(INDEX(medicine_master!$C$2:$C$26,MATCH($C2044,medicine_master!$A$2:$A$26,0)),"Not found")</f>
        <v>Dermatology</v>
      </c>
      <c r="I2044" s="39" t="n">
        <f aca="false">YEAR(B2044)</f>
        <v>2026</v>
      </c>
      <c r="J2044" s="39" t="n">
        <f aca="false">MONTH(B2044)</f>
        <v>10</v>
      </c>
      <c r="K2044" s="39" t="str">
        <f aca="false">TEXT(B2044,"mmm")</f>
        <v>Oct</v>
      </c>
      <c r="L2044" s="45" t="n">
        <f aca="false">IFERROR(INDEX(medicine_master!$I$2:$I$26,MATCH($C2044,medicine_master!$A$2:$A$26,0)),0)</f>
        <v>60</v>
      </c>
      <c r="M2044" s="45" t="n">
        <f aca="false">IFERROR(INDEX(medicine_master!$G$2:$G$26,MATCH($C2044,medicine_master!$A$2:$A$26,0)),0)</f>
        <v>42</v>
      </c>
      <c r="N2044" s="45" t="n">
        <f aca="false">IF(D2044="Sale",E2044*L2044,0)</f>
        <v>1800</v>
      </c>
      <c r="O2044" s="45" t="n">
        <f aca="false">IF(D2044="Sale",E2044*M2044,0)</f>
        <v>1260</v>
      </c>
      <c r="P2044" s="45" t="n">
        <f aca="false">N2044-O2044</f>
        <v>540</v>
      </c>
      <c r="Q2044" s="45" t="n">
        <f aca="false">IF(D2044="Purchase",E2044*M2044,0)</f>
        <v>0</v>
      </c>
    </row>
    <row r="2045" customFormat="false" ht="15" hidden="false" customHeight="false" outlineLevel="0" collapsed="false">
      <c r="A2045" s="39" t="s">
        <v>2369</v>
      </c>
      <c r="B2045" s="44" t="n">
        <v>46332</v>
      </c>
      <c r="C2045" s="39" t="s">
        <v>157</v>
      </c>
      <c r="D2045" s="39" t="s">
        <v>138</v>
      </c>
      <c r="E2045" s="39" t="n">
        <v>15</v>
      </c>
      <c r="F2045" s="39" t="str">
        <f aca="false">IF(COUNTIF(medicine_master!$A$2:$A$26,C2045)&gt;0,"Valid","Invalid")</f>
        <v>Valid</v>
      </c>
      <c r="G2045" s="39" t="str">
        <f aca="false">IFERROR(INDEX(medicine_master!$B$2:$B$26,MATCH($C2045,medicine_master!$A$2:$A$26,0)),"Not found")</f>
        <v>Multivitamin Tablets</v>
      </c>
      <c r="H2045" s="39" t="str">
        <f aca="false">IFERROR(INDEX(medicine_master!$C$2:$C$26,MATCH($C2045,medicine_master!$A$2:$A$26,0)),"Not found")</f>
        <v>Vitamin</v>
      </c>
      <c r="I2045" s="39" t="n">
        <f aca="false">YEAR(B2045)</f>
        <v>2026</v>
      </c>
      <c r="J2045" s="39" t="n">
        <f aca="false">MONTH(B2045)</f>
        <v>11</v>
      </c>
      <c r="K2045" s="39" t="str">
        <f aca="false">TEXT(B2045,"mmm")</f>
        <v>Nov</v>
      </c>
      <c r="L2045" s="45" t="n">
        <f aca="false">IFERROR(INDEX(medicine_master!$I$2:$I$26,MATCH($C2045,medicine_master!$A$2:$A$26,0)),0)</f>
        <v>105</v>
      </c>
      <c r="M2045" s="45" t="n">
        <f aca="false">IFERROR(INDEX(medicine_master!$G$2:$G$26,MATCH($C2045,medicine_master!$A$2:$A$26,0)),0)</f>
        <v>72</v>
      </c>
      <c r="N2045" s="45" t="n">
        <f aca="false">IF(D2045="Sale",E2045*L2045,0)</f>
        <v>0</v>
      </c>
      <c r="O2045" s="45" t="n">
        <f aca="false">IF(D2045="Sale",E2045*M2045,0)</f>
        <v>0</v>
      </c>
      <c r="P2045" s="45" t="n">
        <f aca="false">N2045-O2045</f>
        <v>0</v>
      </c>
      <c r="Q2045" s="45" t="n">
        <f aca="false">IF(D2045="Purchase",E2045*M2045,0)</f>
        <v>1080</v>
      </c>
    </row>
    <row r="2046" customFormat="false" ht="15" hidden="false" customHeight="false" outlineLevel="0" collapsed="false">
      <c r="A2046" s="39" t="s">
        <v>2370</v>
      </c>
      <c r="B2046" s="44" t="n">
        <v>46303</v>
      </c>
      <c r="C2046" s="39" t="s">
        <v>404</v>
      </c>
      <c r="D2046" s="39" t="s">
        <v>137</v>
      </c>
      <c r="E2046" s="39" t="n">
        <v>25</v>
      </c>
      <c r="F2046" s="39" t="str">
        <f aca="false">IF(COUNTIF(medicine_master!$A$2:$A$26,C2046)&gt;0,"Valid","Invalid")</f>
        <v>Valid</v>
      </c>
      <c r="G2046" s="39" t="str">
        <f aca="false">IFERROR(INDEX(medicine_master!$B$2:$B$26,MATCH($C2046,medicine_master!$A$2:$A$26,0)),"Not found")</f>
        <v>ORS Sachet</v>
      </c>
      <c r="H2046" s="39" t="str">
        <f aca="false">IFERROR(INDEX(medicine_master!$C$2:$C$26,MATCH($C2046,medicine_master!$A$2:$A$26,0)),"Not found")</f>
        <v>First Aid</v>
      </c>
      <c r="I2046" s="39" t="n">
        <f aca="false">YEAR(B2046)</f>
        <v>2026</v>
      </c>
      <c r="J2046" s="39" t="n">
        <f aca="false">MONTH(B2046)</f>
        <v>10</v>
      </c>
      <c r="K2046" s="39" t="str">
        <f aca="false">TEXT(B2046,"mmm")</f>
        <v>Oct</v>
      </c>
      <c r="L2046" s="45" t="n">
        <f aca="false">IFERROR(INDEX(medicine_master!$I$2:$I$26,MATCH($C2046,medicine_master!$A$2:$A$26,0)),0)</f>
        <v>10</v>
      </c>
      <c r="M2046" s="45" t="n">
        <f aca="false">IFERROR(INDEX(medicine_master!$G$2:$G$26,MATCH($C2046,medicine_master!$A$2:$A$26,0)),0)</f>
        <v>6</v>
      </c>
      <c r="N2046" s="45" t="n">
        <f aca="false">IF(D2046="Sale",E2046*L2046,0)</f>
        <v>250</v>
      </c>
      <c r="O2046" s="45" t="n">
        <f aca="false">IF(D2046="Sale",E2046*M2046,0)</f>
        <v>150</v>
      </c>
      <c r="P2046" s="45" t="n">
        <f aca="false">N2046-O2046</f>
        <v>100</v>
      </c>
      <c r="Q2046" s="45" t="n">
        <f aca="false">IF(D2046="Purchase",E2046*M2046,0)</f>
        <v>0</v>
      </c>
    </row>
    <row r="2047" customFormat="false" ht="15" hidden="false" customHeight="false" outlineLevel="0" collapsed="false">
      <c r="A2047" s="39" t="s">
        <v>2371</v>
      </c>
      <c r="B2047" s="44" t="n">
        <v>46025</v>
      </c>
      <c r="C2047" s="39" t="s">
        <v>151</v>
      </c>
      <c r="D2047" s="39" t="s">
        <v>137</v>
      </c>
      <c r="E2047" s="39" t="n">
        <v>15</v>
      </c>
      <c r="F2047" s="39" t="str">
        <f aca="false">IF(COUNTIF(medicine_master!$A$2:$A$26,C2047)&gt;0,"Valid","Invalid")</f>
        <v>Valid</v>
      </c>
      <c r="G2047" s="39" t="str">
        <f aca="false">IFERROR(INDEX(medicine_master!$B$2:$B$26,MATCH($C2047,medicine_master!$A$2:$A$26,0)),"Not found")</f>
        <v>Cetirizine 10mg</v>
      </c>
      <c r="H2047" s="39" t="str">
        <f aca="false">IFERROR(INDEX(medicine_master!$C$2:$C$26,MATCH($C2047,medicine_master!$A$2:$A$26,0)),"Not found")</f>
        <v>Allergy</v>
      </c>
      <c r="I2047" s="39" t="n">
        <f aca="false">YEAR(B2047)</f>
        <v>2026</v>
      </c>
      <c r="J2047" s="39" t="n">
        <f aca="false">MONTH(B2047)</f>
        <v>1</v>
      </c>
      <c r="K2047" s="39" t="str">
        <f aca="false">TEXT(B2047,"mmm")</f>
        <v>Jan</v>
      </c>
      <c r="L2047" s="45" t="n">
        <f aca="false">IFERROR(INDEX(medicine_master!$I$2:$I$26,MATCH($C2047,medicine_master!$A$2:$A$26,0)),0)</f>
        <v>13</v>
      </c>
      <c r="M2047" s="45" t="n">
        <f aca="false">IFERROR(INDEX(medicine_master!$G$2:$G$26,MATCH($C2047,medicine_master!$A$2:$A$26,0)),0)</f>
        <v>8</v>
      </c>
      <c r="N2047" s="45" t="n">
        <f aca="false">IF(D2047="Sale",E2047*L2047,0)</f>
        <v>195</v>
      </c>
      <c r="O2047" s="45" t="n">
        <f aca="false">IF(D2047="Sale",E2047*M2047,0)</f>
        <v>120</v>
      </c>
      <c r="P2047" s="45" t="n">
        <f aca="false">N2047-O2047</f>
        <v>75</v>
      </c>
      <c r="Q2047" s="45" t="n">
        <f aca="false">IF(D2047="Purchase",E2047*M2047,0)</f>
        <v>0</v>
      </c>
    </row>
    <row r="2048" customFormat="false" ht="15" hidden="false" customHeight="false" outlineLevel="0" collapsed="false">
      <c r="A2048" s="39" t="s">
        <v>2372</v>
      </c>
      <c r="B2048" s="44" t="n">
        <v>46250</v>
      </c>
      <c r="C2048" s="39" t="s">
        <v>145</v>
      </c>
      <c r="D2048" s="39" t="s">
        <v>137</v>
      </c>
      <c r="E2048" s="39" t="n">
        <v>20</v>
      </c>
      <c r="F2048" s="39" t="str">
        <f aca="false">IF(COUNTIF(medicine_master!$A$2:$A$26,C2048)&gt;0,"Valid","Invalid")</f>
        <v>Valid</v>
      </c>
      <c r="G2048" s="39" t="str">
        <f aca="false">IFERROR(INDEX(medicine_master!$B$2:$B$26,MATCH($C2048,medicine_master!$A$2:$A$26,0)),"Not found")</f>
        <v>Clotrimazole Cream</v>
      </c>
      <c r="H2048" s="39" t="str">
        <f aca="false">IFERROR(INDEX(medicine_master!$C$2:$C$26,MATCH($C2048,medicine_master!$A$2:$A$26,0)),"Not found")</f>
        <v>Dermatology</v>
      </c>
      <c r="I2048" s="39" t="n">
        <f aca="false">YEAR(B2048)</f>
        <v>2026</v>
      </c>
      <c r="J2048" s="39" t="n">
        <f aca="false">MONTH(B2048)</f>
        <v>8</v>
      </c>
      <c r="K2048" s="39" t="str">
        <f aca="false">TEXT(B2048,"mmm")</f>
        <v>Aug</v>
      </c>
      <c r="L2048" s="45" t="n">
        <f aca="false">IFERROR(INDEX(medicine_master!$I$2:$I$26,MATCH($C2048,medicine_master!$A$2:$A$26,0)),0)</f>
        <v>48</v>
      </c>
      <c r="M2048" s="45" t="n">
        <f aca="false">IFERROR(INDEX(medicine_master!$G$2:$G$26,MATCH($C2048,medicine_master!$A$2:$A$26,0)),0)</f>
        <v>32</v>
      </c>
      <c r="N2048" s="45" t="n">
        <f aca="false">IF(D2048="Sale",E2048*L2048,0)</f>
        <v>960</v>
      </c>
      <c r="O2048" s="45" t="n">
        <f aca="false">IF(D2048="Sale",E2048*M2048,0)</f>
        <v>640</v>
      </c>
      <c r="P2048" s="45" t="n">
        <f aca="false">N2048-O2048</f>
        <v>320</v>
      </c>
      <c r="Q2048" s="45" t="n">
        <f aca="false">IF(D2048="Purchase",E2048*M2048,0)</f>
        <v>0</v>
      </c>
    </row>
    <row r="2049" customFormat="false" ht="15" hidden="false" customHeight="false" outlineLevel="0" collapsed="false">
      <c r="A2049" s="39" t="s">
        <v>2373</v>
      </c>
      <c r="B2049" s="44" t="n">
        <v>46372</v>
      </c>
      <c r="C2049" s="39" t="s">
        <v>390</v>
      </c>
      <c r="D2049" s="39" t="s">
        <v>138</v>
      </c>
      <c r="E2049" s="39" t="n">
        <v>5</v>
      </c>
      <c r="F2049" s="39" t="str">
        <f aca="false">IF(COUNTIF(medicine_master!$A$2:$A$26,C2049)&gt;0,"Valid","Invalid")</f>
        <v>Valid</v>
      </c>
      <c r="G2049" s="39" t="str">
        <f aca="false">IFERROR(INDEX(medicine_master!$B$2:$B$26,MATCH($C2049,medicine_master!$A$2:$A$26,0)),"Not found")</f>
        <v>Montelukast 10mg</v>
      </c>
      <c r="H2049" s="39" t="str">
        <f aca="false">IFERROR(INDEX(medicine_master!$C$2:$C$26,MATCH($C2049,medicine_master!$A$2:$A$26,0)),"Not found")</f>
        <v>Allergy</v>
      </c>
      <c r="I2049" s="39" t="n">
        <f aca="false">YEAR(B2049)</f>
        <v>2026</v>
      </c>
      <c r="J2049" s="39" t="n">
        <f aca="false">MONTH(B2049)</f>
        <v>12</v>
      </c>
      <c r="K2049" s="39" t="str">
        <f aca="false">TEXT(B2049,"mmm")</f>
        <v>Dec</v>
      </c>
      <c r="L2049" s="45" t="n">
        <f aca="false">IFERROR(INDEX(medicine_master!$I$2:$I$26,MATCH($C2049,medicine_master!$A$2:$A$26,0)),0)</f>
        <v>39</v>
      </c>
      <c r="M2049" s="45" t="n">
        <f aca="false">IFERROR(INDEX(medicine_master!$G$2:$G$26,MATCH($C2049,medicine_master!$A$2:$A$26,0)),0)</f>
        <v>27</v>
      </c>
      <c r="N2049" s="45" t="n">
        <f aca="false">IF(D2049="Sale",E2049*L2049,0)</f>
        <v>0</v>
      </c>
      <c r="O2049" s="45" t="n">
        <f aca="false">IF(D2049="Sale",E2049*M2049,0)</f>
        <v>0</v>
      </c>
      <c r="P2049" s="45" t="n">
        <f aca="false">N2049-O2049</f>
        <v>0</v>
      </c>
      <c r="Q2049" s="45" t="n">
        <f aca="false">IF(D2049="Purchase",E2049*M2049,0)</f>
        <v>135</v>
      </c>
    </row>
    <row r="2050" customFormat="false" ht="15" hidden="false" customHeight="false" outlineLevel="0" collapsed="false">
      <c r="A2050" s="39" t="s">
        <v>2374</v>
      </c>
      <c r="B2050" s="44" t="n">
        <v>46298</v>
      </c>
      <c r="C2050" s="39" t="s">
        <v>151</v>
      </c>
      <c r="D2050" s="39" t="s">
        <v>137</v>
      </c>
      <c r="E2050" s="39" t="n">
        <v>20</v>
      </c>
      <c r="F2050" s="39" t="str">
        <f aca="false">IF(COUNTIF(medicine_master!$A$2:$A$26,C2050)&gt;0,"Valid","Invalid")</f>
        <v>Valid</v>
      </c>
      <c r="G2050" s="39" t="str">
        <f aca="false">IFERROR(INDEX(medicine_master!$B$2:$B$26,MATCH($C2050,medicine_master!$A$2:$A$26,0)),"Not found")</f>
        <v>Cetirizine 10mg</v>
      </c>
      <c r="H2050" s="39" t="str">
        <f aca="false">IFERROR(INDEX(medicine_master!$C$2:$C$26,MATCH($C2050,medicine_master!$A$2:$A$26,0)),"Not found")</f>
        <v>Allergy</v>
      </c>
      <c r="I2050" s="39" t="n">
        <f aca="false">YEAR(B2050)</f>
        <v>2026</v>
      </c>
      <c r="J2050" s="39" t="n">
        <f aca="false">MONTH(B2050)</f>
        <v>10</v>
      </c>
      <c r="K2050" s="39" t="str">
        <f aca="false">TEXT(B2050,"mmm")</f>
        <v>Oct</v>
      </c>
      <c r="L2050" s="45" t="n">
        <f aca="false">IFERROR(INDEX(medicine_master!$I$2:$I$26,MATCH($C2050,medicine_master!$A$2:$A$26,0)),0)</f>
        <v>13</v>
      </c>
      <c r="M2050" s="45" t="n">
        <f aca="false">IFERROR(INDEX(medicine_master!$G$2:$G$26,MATCH($C2050,medicine_master!$A$2:$A$26,0)),0)</f>
        <v>8</v>
      </c>
      <c r="N2050" s="45" t="n">
        <f aca="false">IF(D2050="Sale",E2050*L2050,0)</f>
        <v>260</v>
      </c>
      <c r="O2050" s="45" t="n">
        <f aca="false">IF(D2050="Sale",E2050*M2050,0)</f>
        <v>160</v>
      </c>
      <c r="P2050" s="45" t="n">
        <f aca="false">N2050-O2050</f>
        <v>100</v>
      </c>
      <c r="Q2050" s="45" t="n">
        <f aca="false">IF(D2050="Purchase",E2050*M2050,0)</f>
        <v>0</v>
      </c>
    </row>
    <row r="2051" customFormat="false" ht="15" hidden="false" customHeight="false" outlineLevel="0" collapsed="false">
      <c r="A2051" s="39" t="s">
        <v>2375</v>
      </c>
      <c r="B2051" s="44" t="n">
        <v>46158</v>
      </c>
      <c r="C2051" s="39" t="s">
        <v>149</v>
      </c>
      <c r="D2051" s="39" t="s">
        <v>137</v>
      </c>
      <c r="E2051" s="39" t="n">
        <v>25</v>
      </c>
      <c r="F2051" s="39" t="str">
        <f aca="false">IF(COUNTIF(medicine_master!$A$2:$A$26,C2051)&gt;0,"Valid","Invalid")</f>
        <v>Valid</v>
      </c>
      <c r="G2051" s="39" t="str">
        <f aca="false">IFERROR(INDEX(medicine_master!$B$2:$B$26,MATCH($C2051,medicine_master!$A$2:$A$26,0)),"Not found")</f>
        <v>Azithromycin 500mg</v>
      </c>
      <c r="H2051" s="39" t="str">
        <f aca="false">IFERROR(INDEX(medicine_master!$C$2:$C$26,MATCH($C2051,medicine_master!$A$2:$A$26,0)),"Not found")</f>
        <v>Antibiotic</v>
      </c>
      <c r="I2051" s="39" t="n">
        <f aca="false">YEAR(B2051)</f>
        <v>2026</v>
      </c>
      <c r="J2051" s="39" t="n">
        <f aca="false">MONTH(B2051)</f>
        <v>5</v>
      </c>
      <c r="K2051" s="39" t="str">
        <f aca="false">TEXT(B2051,"mmm")</f>
        <v>May</v>
      </c>
      <c r="L2051" s="45" t="n">
        <f aca="false">IFERROR(INDEX(medicine_master!$I$2:$I$26,MATCH($C2051,medicine_master!$A$2:$A$26,0)),0)</f>
        <v>50</v>
      </c>
      <c r="M2051" s="45" t="n">
        <f aca="false">IFERROR(INDEX(medicine_master!$G$2:$G$26,MATCH($C2051,medicine_master!$A$2:$A$26,0)),0)</f>
        <v>35</v>
      </c>
      <c r="N2051" s="45" t="n">
        <f aca="false">IF(D2051="Sale",E2051*L2051,0)</f>
        <v>1250</v>
      </c>
      <c r="O2051" s="45" t="n">
        <f aca="false">IF(D2051="Sale",E2051*M2051,0)</f>
        <v>875</v>
      </c>
      <c r="P2051" s="45" t="n">
        <f aca="false">N2051-O2051</f>
        <v>375</v>
      </c>
      <c r="Q2051" s="45" t="n">
        <f aca="false">IF(D2051="Purchase",E2051*M2051,0)</f>
        <v>0</v>
      </c>
    </row>
    <row r="2052" customFormat="false" ht="15" hidden="false" customHeight="false" outlineLevel="0" collapsed="false">
      <c r="A2052" s="39" t="s">
        <v>2376</v>
      </c>
      <c r="B2052" s="44" t="n">
        <v>46069</v>
      </c>
      <c r="C2052" s="39" t="s">
        <v>144</v>
      </c>
      <c r="D2052" s="39" t="s">
        <v>137</v>
      </c>
      <c r="E2052" s="39" t="n">
        <v>10</v>
      </c>
      <c r="F2052" s="39" t="str">
        <f aca="false">IF(COUNTIF(medicine_master!$A$2:$A$26,C2052)&gt;0,"Valid","Invalid")</f>
        <v>Valid</v>
      </c>
      <c r="G2052" s="39" t="str">
        <f aca="false">IFERROR(INDEX(medicine_master!$B$2:$B$26,MATCH($C2052,medicine_master!$A$2:$A$26,0)),"Not found")</f>
        <v>Glimepiride 2mg</v>
      </c>
      <c r="H2052" s="39" t="str">
        <f aca="false">IFERROR(INDEX(medicine_master!$C$2:$C$26,MATCH($C2052,medicine_master!$A$2:$A$26,0)),"Not found")</f>
        <v>Diabetes</v>
      </c>
      <c r="I2052" s="39" t="n">
        <f aca="false">YEAR(B2052)</f>
        <v>2026</v>
      </c>
      <c r="J2052" s="39" t="n">
        <f aca="false">MONTH(B2052)</f>
        <v>2</v>
      </c>
      <c r="K2052" s="39" t="str">
        <f aca="false">TEXT(B2052,"mmm")</f>
        <v>Feb</v>
      </c>
      <c r="L2052" s="45" t="n">
        <f aca="false">IFERROR(INDEX(medicine_master!$I$2:$I$26,MATCH($C2052,medicine_master!$A$2:$A$26,0)),0)</f>
        <v>52</v>
      </c>
      <c r="M2052" s="45" t="n">
        <f aca="false">IFERROR(INDEX(medicine_master!$G$2:$G$26,MATCH($C2052,medicine_master!$A$2:$A$26,0)),0)</f>
        <v>38</v>
      </c>
      <c r="N2052" s="45" t="n">
        <f aca="false">IF(D2052="Sale",E2052*L2052,0)</f>
        <v>520</v>
      </c>
      <c r="O2052" s="45" t="n">
        <f aca="false">IF(D2052="Sale",E2052*M2052,0)</f>
        <v>380</v>
      </c>
      <c r="P2052" s="45" t="n">
        <f aca="false">N2052-O2052</f>
        <v>140</v>
      </c>
      <c r="Q2052" s="45" t="n">
        <f aca="false">IF(D2052="Purchase",E2052*M2052,0)</f>
        <v>0</v>
      </c>
    </row>
    <row r="2053" customFormat="false" ht="15" hidden="false" customHeight="false" outlineLevel="0" collapsed="false">
      <c r="A2053" s="39" t="s">
        <v>2377</v>
      </c>
      <c r="B2053" s="44" t="n">
        <v>46362</v>
      </c>
      <c r="C2053" s="39" t="s">
        <v>149</v>
      </c>
      <c r="D2053" s="39" t="s">
        <v>137</v>
      </c>
      <c r="E2053" s="39" t="n">
        <v>25</v>
      </c>
      <c r="F2053" s="39" t="str">
        <f aca="false">IF(COUNTIF(medicine_master!$A$2:$A$26,C2053)&gt;0,"Valid","Invalid")</f>
        <v>Valid</v>
      </c>
      <c r="G2053" s="39" t="str">
        <f aca="false">IFERROR(INDEX(medicine_master!$B$2:$B$26,MATCH($C2053,medicine_master!$A$2:$A$26,0)),"Not found")</f>
        <v>Azithromycin 500mg</v>
      </c>
      <c r="H2053" s="39" t="str">
        <f aca="false">IFERROR(INDEX(medicine_master!$C$2:$C$26,MATCH($C2053,medicine_master!$A$2:$A$26,0)),"Not found")</f>
        <v>Antibiotic</v>
      </c>
      <c r="I2053" s="39" t="n">
        <f aca="false">YEAR(B2053)</f>
        <v>2026</v>
      </c>
      <c r="J2053" s="39" t="n">
        <f aca="false">MONTH(B2053)</f>
        <v>12</v>
      </c>
      <c r="K2053" s="39" t="str">
        <f aca="false">TEXT(B2053,"mmm")</f>
        <v>Dec</v>
      </c>
      <c r="L2053" s="45" t="n">
        <f aca="false">IFERROR(INDEX(medicine_master!$I$2:$I$26,MATCH($C2053,medicine_master!$A$2:$A$26,0)),0)</f>
        <v>50</v>
      </c>
      <c r="M2053" s="45" t="n">
        <f aca="false">IFERROR(INDEX(medicine_master!$G$2:$G$26,MATCH($C2053,medicine_master!$A$2:$A$26,0)),0)</f>
        <v>35</v>
      </c>
      <c r="N2053" s="45" t="n">
        <f aca="false">IF(D2053="Sale",E2053*L2053,0)</f>
        <v>1250</v>
      </c>
      <c r="O2053" s="45" t="n">
        <f aca="false">IF(D2053="Sale",E2053*M2053,0)</f>
        <v>875</v>
      </c>
      <c r="P2053" s="45" t="n">
        <f aca="false">N2053-O2053</f>
        <v>375</v>
      </c>
      <c r="Q2053" s="45" t="n">
        <f aca="false">IF(D2053="Purchase",E2053*M2053,0)</f>
        <v>0</v>
      </c>
    </row>
    <row r="2054" customFormat="false" ht="15" hidden="false" customHeight="false" outlineLevel="0" collapsed="false">
      <c r="A2054" s="39" t="s">
        <v>2378</v>
      </c>
      <c r="B2054" s="44" t="n">
        <v>46026</v>
      </c>
      <c r="C2054" s="39" t="s">
        <v>144</v>
      </c>
      <c r="D2054" s="39" t="s">
        <v>138</v>
      </c>
      <c r="E2054" s="39" t="n">
        <v>30</v>
      </c>
      <c r="F2054" s="39" t="str">
        <f aca="false">IF(COUNTIF(medicine_master!$A$2:$A$26,C2054)&gt;0,"Valid","Invalid")</f>
        <v>Valid</v>
      </c>
      <c r="G2054" s="39" t="str">
        <f aca="false">IFERROR(INDEX(medicine_master!$B$2:$B$26,MATCH($C2054,medicine_master!$A$2:$A$26,0)),"Not found")</f>
        <v>Glimepiride 2mg</v>
      </c>
      <c r="H2054" s="39" t="str">
        <f aca="false">IFERROR(INDEX(medicine_master!$C$2:$C$26,MATCH($C2054,medicine_master!$A$2:$A$26,0)),"Not found")</f>
        <v>Diabetes</v>
      </c>
      <c r="I2054" s="39" t="n">
        <f aca="false">YEAR(B2054)</f>
        <v>2026</v>
      </c>
      <c r="J2054" s="39" t="n">
        <f aca="false">MONTH(B2054)</f>
        <v>1</v>
      </c>
      <c r="K2054" s="39" t="str">
        <f aca="false">TEXT(B2054,"mmm")</f>
        <v>Jan</v>
      </c>
      <c r="L2054" s="45" t="n">
        <f aca="false">IFERROR(INDEX(medicine_master!$I$2:$I$26,MATCH($C2054,medicine_master!$A$2:$A$26,0)),0)</f>
        <v>52</v>
      </c>
      <c r="M2054" s="45" t="n">
        <f aca="false">IFERROR(INDEX(medicine_master!$G$2:$G$26,MATCH($C2054,medicine_master!$A$2:$A$26,0)),0)</f>
        <v>38</v>
      </c>
      <c r="N2054" s="45" t="n">
        <f aca="false">IF(D2054="Sale",E2054*L2054,0)</f>
        <v>0</v>
      </c>
      <c r="O2054" s="45" t="n">
        <f aca="false">IF(D2054="Sale",E2054*M2054,0)</f>
        <v>0</v>
      </c>
      <c r="P2054" s="45" t="n">
        <f aca="false">N2054-O2054</f>
        <v>0</v>
      </c>
      <c r="Q2054" s="45" t="n">
        <f aca="false">IF(D2054="Purchase",E2054*M2054,0)</f>
        <v>1140</v>
      </c>
    </row>
    <row r="2055" customFormat="false" ht="15" hidden="false" customHeight="false" outlineLevel="0" collapsed="false">
      <c r="A2055" s="39" t="s">
        <v>2379</v>
      </c>
      <c r="B2055" s="44" t="n">
        <v>46124</v>
      </c>
      <c r="C2055" s="39" t="s">
        <v>150</v>
      </c>
      <c r="D2055" s="39" t="s">
        <v>138</v>
      </c>
      <c r="E2055" s="39" t="n">
        <v>20</v>
      </c>
      <c r="F2055" s="39" t="str">
        <f aca="false">IF(COUNTIF(medicine_master!$A$2:$A$26,C2055)&gt;0,"Valid","Invalid")</f>
        <v>Valid</v>
      </c>
      <c r="G2055" s="39" t="str">
        <f aca="false">IFERROR(INDEX(medicine_master!$B$2:$B$26,MATCH($C2055,medicine_master!$A$2:$A$26,0)),"Not found")</f>
        <v>Pantoprazole 40mg</v>
      </c>
      <c r="H2055" s="39" t="str">
        <f aca="false">IFERROR(INDEX(medicine_master!$C$2:$C$26,MATCH($C2055,medicine_master!$A$2:$A$26,0)),"Not found")</f>
        <v>Gastric</v>
      </c>
      <c r="I2055" s="39" t="n">
        <f aca="false">YEAR(B2055)</f>
        <v>2026</v>
      </c>
      <c r="J2055" s="39" t="n">
        <f aca="false">MONTH(B2055)</f>
        <v>4</v>
      </c>
      <c r="K2055" s="39" t="str">
        <f aca="false">TEXT(B2055,"mmm")</f>
        <v>Apr</v>
      </c>
      <c r="L2055" s="45" t="n">
        <f aca="false">IFERROR(INDEX(medicine_master!$I$2:$I$26,MATCH($C2055,medicine_master!$A$2:$A$26,0)),0)</f>
        <v>35</v>
      </c>
      <c r="M2055" s="45" t="n">
        <f aca="false">IFERROR(INDEX(medicine_master!$G$2:$G$26,MATCH($C2055,medicine_master!$A$2:$A$26,0)),0)</f>
        <v>24</v>
      </c>
      <c r="N2055" s="45" t="n">
        <f aca="false">IF(D2055="Sale",E2055*L2055,0)</f>
        <v>0</v>
      </c>
      <c r="O2055" s="45" t="n">
        <f aca="false">IF(D2055="Sale",E2055*M2055,0)</f>
        <v>0</v>
      </c>
      <c r="P2055" s="45" t="n">
        <f aca="false">N2055-O2055</f>
        <v>0</v>
      </c>
      <c r="Q2055" s="45" t="n">
        <f aca="false">IF(D2055="Purchase",E2055*M2055,0)</f>
        <v>480</v>
      </c>
    </row>
    <row r="2056" customFormat="false" ht="15" hidden="false" customHeight="false" outlineLevel="0" collapsed="false">
      <c r="A2056" s="39" t="s">
        <v>2380</v>
      </c>
      <c r="B2056" s="44" t="n">
        <v>46297</v>
      </c>
      <c r="C2056" s="39" t="s">
        <v>147</v>
      </c>
      <c r="D2056" s="39" t="s">
        <v>137</v>
      </c>
      <c r="E2056" s="39" t="n">
        <v>20</v>
      </c>
      <c r="F2056" s="39" t="str">
        <f aca="false">IF(COUNTIF(medicine_master!$A$2:$A$26,C2056)&gt;0,"Valid","Invalid")</f>
        <v>Valid</v>
      </c>
      <c r="G2056" s="39" t="str">
        <f aca="false">IFERROR(INDEX(medicine_master!$B$2:$B$26,MATCH($C2056,medicine_master!$A$2:$A$26,0)),"Not found")</f>
        <v>Insulin Injection</v>
      </c>
      <c r="H2056" s="39" t="str">
        <f aca="false">IFERROR(INDEX(medicine_master!$C$2:$C$26,MATCH($C2056,medicine_master!$A$2:$A$26,0)),"Not found")</f>
        <v>Diabetes</v>
      </c>
      <c r="I2056" s="39" t="n">
        <f aca="false">YEAR(B2056)</f>
        <v>2026</v>
      </c>
      <c r="J2056" s="39" t="n">
        <f aca="false">MONTH(B2056)</f>
        <v>10</v>
      </c>
      <c r="K2056" s="39" t="str">
        <f aca="false">TEXT(B2056,"mmm")</f>
        <v>Oct</v>
      </c>
      <c r="L2056" s="45" t="n">
        <f aca="false">IFERROR(INDEX(medicine_master!$I$2:$I$26,MATCH($C2056,medicine_master!$A$2:$A$26,0)),0)</f>
        <v>225</v>
      </c>
      <c r="M2056" s="45" t="n">
        <f aca="false">IFERROR(INDEX(medicine_master!$G$2:$G$26,MATCH($C2056,medicine_master!$A$2:$A$26,0)),0)</f>
        <v>165</v>
      </c>
      <c r="N2056" s="45" t="n">
        <f aca="false">IF(D2056="Sale",E2056*L2056,0)</f>
        <v>4500</v>
      </c>
      <c r="O2056" s="45" t="n">
        <f aca="false">IF(D2056="Sale",E2056*M2056,0)</f>
        <v>3300</v>
      </c>
      <c r="P2056" s="45" t="n">
        <f aca="false">N2056-O2056</f>
        <v>1200</v>
      </c>
      <c r="Q2056" s="45" t="n">
        <f aca="false">IF(D2056="Purchase",E2056*M2056,0)</f>
        <v>0</v>
      </c>
    </row>
    <row r="2057" customFormat="false" ht="15" hidden="false" customHeight="false" outlineLevel="0" collapsed="false">
      <c r="A2057" s="39" t="s">
        <v>2381</v>
      </c>
      <c r="B2057" s="44" t="n">
        <v>46050</v>
      </c>
      <c r="C2057" s="39" t="s">
        <v>390</v>
      </c>
      <c r="D2057" s="39" t="s">
        <v>137</v>
      </c>
      <c r="E2057" s="39" t="n">
        <v>30</v>
      </c>
      <c r="F2057" s="39" t="str">
        <f aca="false">IF(COUNTIF(medicine_master!$A$2:$A$26,C2057)&gt;0,"Valid","Invalid")</f>
        <v>Valid</v>
      </c>
      <c r="G2057" s="39" t="str">
        <f aca="false">IFERROR(INDEX(medicine_master!$B$2:$B$26,MATCH($C2057,medicine_master!$A$2:$A$26,0)),"Not found")</f>
        <v>Montelukast 10mg</v>
      </c>
      <c r="H2057" s="39" t="str">
        <f aca="false">IFERROR(INDEX(medicine_master!$C$2:$C$26,MATCH($C2057,medicine_master!$A$2:$A$26,0)),"Not found")</f>
        <v>Allergy</v>
      </c>
      <c r="I2057" s="39" t="n">
        <f aca="false">YEAR(B2057)</f>
        <v>2026</v>
      </c>
      <c r="J2057" s="39" t="n">
        <f aca="false">MONTH(B2057)</f>
        <v>1</v>
      </c>
      <c r="K2057" s="39" t="str">
        <f aca="false">TEXT(B2057,"mmm")</f>
        <v>Jan</v>
      </c>
      <c r="L2057" s="45" t="n">
        <f aca="false">IFERROR(INDEX(medicine_master!$I$2:$I$26,MATCH($C2057,medicine_master!$A$2:$A$26,0)),0)</f>
        <v>39</v>
      </c>
      <c r="M2057" s="45" t="n">
        <f aca="false">IFERROR(INDEX(medicine_master!$G$2:$G$26,MATCH($C2057,medicine_master!$A$2:$A$26,0)),0)</f>
        <v>27</v>
      </c>
      <c r="N2057" s="45" t="n">
        <f aca="false">IF(D2057="Sale",E2057*L2057,0)</f>
        <v>1170</v>
      </c>
      <c r="O2057" s="45" t="n">
        <f aca="false">IF(D2057="Sale",E2057*M2057,0)</f>
        <v>810</v>
      </c>
      <c r="P2057" s="45" t="n">
        <f aca="false">N2057-O2057</f>
        <v>360</v>
      </c>
      <c r="Q2057" s="45" t="n">
        <f aca="false">IF(D2057="Purchase",E2057*M2057,0)</f>
        <v>0</v>
      </c>
    </row>
    <row r="2058" customFormat="false" ht="15" hidden="false" customHeight="false" outlineLevel="0" collapsed="false">
      <c r="A2058" s="39" t="s">
        <v>2382</v>
      </c>
      <c r="B2058" s="44" t="n">
        <v>46227</v>
      </c>
      <c r="C2058" s="39" t="s">
        <v>326</v>
      </c>
      <c r="D2058" s="39" t="s">
        <v>137</v>
      </c>
      <c r="E2058" s="39" t="n">
        <v>25</v>
      </c>
      <c r="F2058" s="39" t="str">
        <f aca="false">IF(COUNTIF(medicine_master!$A$2:$A$26,C2058)&gt;0,"Valid","Invalid")</f>
        <v>Valid</v>
      </c>
      <c r="G2058" s="39" t="str">
        <f aca="false">IFERROR(INDEX(medicine_master!$B$2:$B$26,MATCH($C2058,medicine_master!$A$2:$A$26,0)),"Not found")</f>
        <v>Omeprazole 20mg</v>
      </c>
      <c r="H2058" s="39" t="str">
        <f aca="false">IFERROR(INDEX(medicine_master!$C$2:$C$26,MATCH($C2058,medicine_master!$A$2:$A$26,0)),"Not found")</f>
        <v>Gastric</v>
      </c>
      <c r="I2058" s="39" t="n">
        <f aca="false">YEAR(B2058)</f>
        <v>2026</v>
      </c>
      <c r="J2058" s="39" t="n">
        <f aca="false">MONTH(B2058)</f>
        <v>7</v>
      </c>
      <c r="K2058" s="39" t="str">
        <f aca="false">TEXT(B2058,"mmm")</f>
        <v>Jul</v>
      </c>
      <c r="L2058" s="45" t="n">
        <f aca="false">IFERROR(INDEX(medicine_master!$I$2:$I$26,MATCH($C2058,medicine_master!$A$2:$A$26,0)),0)</f>
        <v>26</v>
      </c>
      <c r="M2058" s="45" t="n">
        <f aca="false">IFERROR(INDEX(medicine_master!$G$2:$G$26,MATCH($C2058,medicine_master!$A$2:$A$26,0)),0)</f>
        <v>18</v>
      </c>
      <c r="N2058" s="45" t="n">
        <f aca="false">IF(D2058="Sale",E2058*L2058,0)</f>
        <v>650</v>
      </c>
      <c r="O2058" s="45" t="n">
        <f aca="false">IF(D2058="Sale",E2058*M2058,0)</f>
        <v>450</v>
      </c>
      <c r="P2058" s="45" t="n">
        <f aca="false">N2058-O2058</f>
        <v>200</v>
      </c>
      <c r="Q2058" s="45" t="n">
        <f aca="false">IF(D2058="Purchase",E2058*M2058,0)</f>
        <v>0</v>
      </c>
    </row>
    <row r="2059" customFormat="false" ht="15" hidden="false" customHeight="false" outlineLevel="0" collapsed="false">
      <c r="A2059" s="39" t="s">
        <v>2383</v>
      </c>
      <c r="B2059" s="44" t="n">
        <v>46106</v>
      </c>
      <c r="C2059" s="39" t="s">
        <v>159</v>
      </c>
      <c r="D2059" s="39" t="s">
        <v>137</v>
      </c>
      <c r="E2059" s="39" t="n">
        <v>30</v>
      </c>
      <c r="F2059" s="39" t="str">
        <f aca="false">IF(COUNTIF(medicine_master!$A$2:$A$26,C2059)&gt;0,"Valid","Invalid")</f>
        <v>Valid</v>
      </c>
      <c r="G2059" s="39" t="str">
        <f aca="false">IFERROR(INDEX(medicine_master!$B$2:$B$26,MATCH($C2059,medicine_master!$A$2:$A$26,0)),"Not found")</f>
        <v>Antiseptic Liquid 100ml</v>
      </c>
      <c r="H2059" s="39" t="str">
        <f aca="false">IFERROR(INDEX(medicine_master!$C$2:$C$26,MATCH($C2059,medicine_master!$A$2:$A$26,0)),"Not found")</f>
        <v>First Aid</v>
      </c>
      <c r="I2059" s="39" t="n">
        <f aca="false">YEAR(B2059)</f>
        <v>2026</v>
      </c>
      <c r="J2059" s="39" t="n">
        <f aca="false">MONTH(B2059)</f>
        <v>3</v>
      </c>
      <c r="K2059" s="39" t="str">
        <f aca="false">TEXT(B2059,"mmm")</f>
        <v>Mar</v>
      </c>
      <c r="L2059" s="45" t="n">
        <f aca="false">IFERROR(INDEX(medicine_master!$I$2:$I$26,MATCH($C2059,medicine_master!$A$2:$A$26,0)),0)</f>
        <v>65</v>
      </c>
      <c r="M2059" s="45" t="n">
        <f aca="false">IFERROR(INDEX(medicine_master!$G$2:$G$26,MATCH($C2059,medicine_master!$A$2:$A$26,0)),0)</f>
        <v>48</v>
      </c>
      <c r="N2059" s="45" t="n">
        <f aca="false">IF(D2059="Sale",E2059*L2059,0)</f>
        <v>1950</v>
      </c>
      <c r="O2059" s="45" t="n">
        <f aca="false">IF(D2059="Sale",E2059*M2059,0)</f>
        <v>1440</v>
      </c>
      <c r="P2059" s="45" t="n">
        <f aca="false">N2059-O2059</f>
        <v>510</v>
      </c>
      <c r="Q2059" s="45" t="n">
        <f aca="false">IF(D2059="Purchase",E2059*M2059,0)</f>
        <v>0</v>
      </c>
    </row>
    <row r="2060" customFormat="false" ht="15" hidden="false" customHeight="false" outlineLevel="0" collapsed="false">
      <c r="A2060" s="39" t="s">
        <v>2384</v>
      </c>
      <c r="B2060" s="44" t="n">
        <v>46180</v>
      </c>
      <c r="C2060" s="39" t="s">
        <v>167</v>
      </c>
      <c r="D2060" s="39" t="s">
        <v>137</v>
      </c>
      <c r="E2060" s="39" t="n">
        <v>50</v>
      </c>
      <c r="F2060" s="39" t="str">
        <f aca="false">IF(COUNTIF(medicine_master!$A$2:$A$26,C2060)&gt;0,"Valid","Invalid")</f>
        <v>Valid</v>
      </c>
      <c r="G2060" s="39" t="str">
        <f aca="false">IFERROR(INDEX(medicine_master!$B$2:$B$26,MATCH($C2060,medicine_master!$A$2:$A$26,0)),"Not found")</f>
        <v>Amlodipine 5mg</v>
      </c>
      <c r="H2060" s="39" t="str">
        <f aca="false">IFERROR(INDEX(medicine_master!$C$2:$C$26,MATCH($C2060,medicine_master!$A$2:$A$26,0)),"Not found")</f>
        <v>Cardiac</v>
      </c>
      <c r="I2060" s="39" t="n">
        <f aca="false">YEAR(B2060)</f>
        <v>2026</v>
      </c>
      <c r="J2060" s="39" t="n">
        <f aca="false">MONTH(B2060)</f>
        <v>6</v>
      </c>
      <c r="K2060" s="39" t="str">
        <f aca="false">TEXT(B2060,"mmm")</f>
        <v>Jun</v>
      </c>
      <c r="L2060" s="45" t="n">
        <f aca="false">IFERROR(INDEX(medicine_master!$I$2:$I$26,MATCH($C2060,medicine_master!$A$2:$A$26,0)),0)</f>
        <v>19</v>
      </c>
      <c r="M2060" s="45" t="n">
        <f aca="false">IFERROR(INDEX(medicine_master!$G$2:$G$26,MATCH($C2060,medicine_master!$A$2:$A$26,0)),0)</f>
        <v>13</v>
      </c>
      <c r="N2060" s="45" t="n">
        <f aca="false">IF(D2060="Sale",E2060*L2060,0)</f>
        <v>950</v>
      </c>
      <c r="O2060" s="45" t="n">
        <f aca="false">IF(D2060="Sale",E2060*M2060,0)</f>
        <v>650</v>
      </c>
      <c r="P2060" s="45" t="n">
        <f aca="false">N2060-O2060</f>
        <v>300</v>
      </c>
      <c r="Q2060" s="45" t="n">
        <f aca="false">IF(D2060="Purchase",E2060*M2060,0)</f>
        <v>0</v>
      </c>
    </row>
    <row r="2061" customFormat="false" ht="15" hidden="false" customHeight="false" outlineLevel="0" collapsed="false">
      <c r="A2061" s="39" t="s">
        <v>2385</v>
      </c>
      <c r="B2061" s="44" t="n">
        <v>46166</v>
      </c>
      <c r="C2061" s="39" t="s">
        <v>179</v>
      </c>
      <c r="D2061" s="39" t="s">
        <v>138</v>
      </c>
      <c r="E2061" s="39" t="n">
        <v>40</v>
      </c>
      <c r="F2061" s="39" t="str">
        <f aca="false">IF(COUNTIF(medicine_master!$A$2:$A$26,C2061)&gt;0,"Valid","Invalid")</f>
        <v>Valid</v>
      </c>
      <c r="G2061" s="39" t="str">
        <f aca="false">IFERROR(INDEX(medicine_master!$B$2:$B$26,MATCH($C2061,medicine_master!$A$2:$A$26,0)),"Not found")</f>
        <v>Ibuprofen 400mg</v>
      </c>
      <c r="H2061" s="39" t="str">
        <f aca="false">IFERROR(INDEX(medicine_master!$C$2:$C$26,MATCH($C2061,medicine_master!$A$2:$A$26,0)),"Not found")</f>
        <v>Pain Relief</v>
      </c>
      <c r="I2061" s="39" t="n">
        <f aca="false">YEAR(B2061)</f>
        <v>2026</v>
      </c>
      <c r="J2061" s="39" t="n">
        <f aca="false">MONTH(B2061)</f>
        <v>5</v>
      </c>
      <c r="K2061" s="39" t="str">
        <f aca="false">TEXT(B2061,"mmm")</f>
        <v>May</v>
      </c>
      <c r="L2061" s="45" t="n">
        <f aca="false">IFERROR(INDEX(medicine_master!$I$2:$I$26,MATCH($C2061,medicine_master!$A$2:$A$26,0)),0)</f>
        <v>30</v>
      </c>
      <c r="M2061" s="45" t="n">
        <f aca="false">IFERROR(INDEX(medicine_master!$G$2:$G$26,MATCH($C2061,medicine_master!$A$2:$A$26,0)),0)</f>
        <v>22</v>
      </c>
      <c r="N2061" s="45" t="n">
        <f aca="false">IF(D2061="Sale",E2061*L2061,0)</f>
        <v>0</v>
      </c>
      <c r="O2061" s="45" t="n">
        <f aca="false">IF(D2061="Sale",E2061*M2061,0)</f>
        <v>0</v>
      </c>
      <c r="P2061" s="45" t="n">
        <f aca="false">N2061-O2061</f>
        <v>0</v>
      </c>
      <c r="Q2061" s="45" t="n">
        <f aca="false">IF(D2061="Purchase",E2061*M2061,0)</f>
        <v>880</v>
      </c>
    </row>
    <row r="2062" customFormat="false" ht="15" hidden="false" customHeight="false" outlineLevel="0" collapsed="false">
      <c r="A2062" s="39" t="s">
        <v>2386</v>
      </c>
      <c r="B2062" s="44" t="n">
        <v>46266</v>
      </c>
      <c r="C2062" s="39" t="s">
        <v>151</v>
      </c>
      <c r="D2062" s="39" t="s">
        <v>137</v>
      </c>
      <c r="E2062" s="39" t="n">
        <v>40</v>
      </c>
      <c r="F2062" s="39" t="str">
        <f aca="false">IF(COUNTIF(medicine_master!$A$2:$A$26,C2062)&gt;0,"Valid","Invalid")</f>
        <v>Valid</v>
      </c>
      <c r="G2062" s="39" t="str">
        <f aca="false">IFERROR(INDEX(medicine_master!$B$2:$B$26,MATCH($C2062,medicine_master!$A$2:$A$26,0)),"Not found")</f>
        <v>Cetirizine 10mg</v>
      </c>
      <c r="H2062" s="39" t="str">
        <f aca="false">IFERROR(INDEX(medicine_master!$C$2:$C$26,MATCH($C2062,medicine_master!$A$2:$A$26,0)),"Not found")</f>
        <v>Allergy</v>
      </c>
      <c r="I2062" s="39" t="n">
        <f aca="false">YEAR(B2062)</f>
        <v>2026</v>
      </c>
      <c r="J2062" s="39" t="n">
        <f aca="false">MONTH(B2062)</f>
        <v>9</v>
      </c>
      <c r="K2062" s="39" t="str">
        <f aca="false">TEXT(B2062,"mmm")</f>
        <v>Sep</v>
      </c>
      <c r="L2062" s="45" t="n">
        <f aca="false">IFERROR(INDEX(medicine_master!$I$2:$I$26,MATCH($C2062,medicine_master!$A$2:$A$26,0)),0)</f>
        <v>13</v>
      </c>
      <c r="M2062" s="45" t="n">
        <f aca="false">IFERROR(INDEX(medicine_master!$G$2:$G$26,MATCH($C2062,medicine_master!$A$2:$A$26,0)),0)</f>
        <v>8</v>
      </c>
      <c r="N2062" s="45" t="n">
        <f aca="false">IF(D2062="Sale",E2062*L2062,0)</f>
        <v>520</v>
      </c>
      <c r="O2062" s="45" t="n">
        <f aca="false">IF(D2062="Sale",E2062*M2062,0)</f>
        <v>320</v>
      </c>
      <c r="P2062" s="45" t="n">
        <f aca="false">N2062-O2062</f>
        <v>200</v>
      </c>
      <c r="Q2062" s="45" t="n">
        <f aca="false">IF(D2062="Purchase",E2062*M2062,0)</f>
        <v>0</v>
      </c>
    </row>
    <row r="2063" customFormat="false" ht="15" hidden="false" customHeight="false" outlineLevel="0" collapsed="false">
      <c r="A2063" s="39" t="s">
        <v>2387</v>
      </c>
      <c r="B2063" s="44" t="n">
        <v>46356</v>
      </c>
      <c r="C2063" s="39" t="s">
        <v>177</v>
      </c>
      <c r="D2063" s="39" t="s">
        <v>137</v>
      </c>
      <c r="E2063" s="39" t="n">
        <v>15</v>
      </c>
      <c r="F2063" s="39" t="str">
        <f aca="false">IF(COUNTIF(medicine_master!$A$2:$A$26,C2063)&gt;0,"Valid","Invalid")</f>
        <v>Valid</v>
      </c>
      <c r="G2063" s="39" t="str">
        <f aca="false">IFERROR(INDEX(medicine_master!$B$2:$B$26,MATCH($C2063,medicine_master!$A$2:$A$26,0)),"Not found")</f>
        <v>Bandage Roll</v>
      </c>
      <c r="H2063" s="39" t="str">
        <f aca="false">IFERROR(INDEX(medicine_master!$C$2:$C$26,MATCH($C2063,medicine_master!$A$2:$A$26,0)),"Not found")</f>
        <v>First Aid</v>
      </c>
      <c r="I2063" s="39" t="n">
        <f aca="false">YEAR(B2063)</f>
        <v>2026</v>
      </c>
      <c r="J2063" s="39" t="n">
        <f aca="false">MONTH(B2063)</f>
        <v>11</v>
      </c>
      <c r="K2063" s="39" t="str">
        <f aca="false">TEXT(B2063,"mmm")</f>
        <v>Nov</v>
      </c>
      <c r="L2063" s="45" t="n">
        <f aca="false">IFERROR(INDEX(medicine_master!$I$2:$I$26,MATCH($C2063,medicine_master!$A$2:$A$26,0)),0)</f>
        <v>25</v>
      </c>
      <c r="M2063" s="45" t="n">
        <f aca="false">IFERROR(INDEX(medicine_master!$G$2:$G$26,MATCH($C2063,medicine_master!$A$2:$A$26,0)),0)</f>
        <v>15</v>
      </c>
      <c r="N2063" s="45" t="n">
        <f aca="false">IF(D2063="Sale",E2063*L2063,0)</f>
        <v>375</v>
      </c>
      <c r="O2063" s="45" t="n">
        <f aca="false">IF(D2063="Sale",E2063*M2063,0)</f>
        <v>225</v>
      </c>
      <c r="P2063" s="45" t="n">
        <f aca="false">N2063-O2063</f>
        <v>150</v>
      </c>
      <c r="Q2063" s="45" t="n">
        <f aca="false">IF(D2063="Purchase",E2063*M2063,0)</f>
        <v>0</v>
      </c>
    </row>
    <row r="2064" customFormat="false" ht="15" hidden="false" customHeight="false" outlineLevel="0" collapsed="false">
      <c r="A2064" s="39" t="s">
        <v>2388</v>
      </c>
      <c r="B2064" s="44" t="n">
        <v>46071</v>
      </c>
      <c r="C2064" s="39" t="s">
        <v>404</v>
      </c>
      <c r="D2064" s="39" t="s">
        <v>138</v>
      </c>
      <c r="E2064" s="39" t="n">
        <v>50</v>
      </c>
      <c r="F2064" s="39" t="str">
        <f aca="false">IF(COUNTIF(medicine_master!$A$2:$A$26,C2064)&gt;0,"Valid","Invalid")</f>
        <v>Valid</v>
      </c>
      <c r="G2064" s="39" t="str">
        <f aca="false">IFERROR(INDEX(medicine_master!$B$2:$B$26,MATCH($C2064,medicine_master!$A$2:$A$26,0)),"Not found")</f>
        <v>ORS Sachet</v>
      </c>
      <c r="H2064" s="39" t="str">
        <f aca="false">IFERROR(INDEX(medicine_master!$C$2:$C$26,MATCH($C2064,medicine_master!$A$2:$A$26,0)),"Not found")</f>
        <v>First Aid</v>
      </c>
      <c r="I2064" s="39" t="n">
        <f aca="false">YEAR(B2064)</f>
        <v>2026</v>
      </c>
      <c r="J2064" s="39" t="n">
        <f aca="false">MONTH(B2064)</f>
        <v>2</v>
      </c>
      <c r="K2064" s="39" t="str">
        <f aca="false">TEXT(B2064,"mmm")</f>
        <v>Feb</v>
      </c>
      <c r="L2064" s="45" t="n">
        <f aca="false">IFERROR(INDEX(medicine_master!$I$2:$I$26,MATCH($C2064,medicine_master!$A$2:$A$26,0)),0)</f>
        <v>10</v>
      </c>
      <c r="M2064" s="45" t="n">
        <f aca="false">IFERROR(INDEX(medicine_master!$G$2:$G$26,MATCH($C2064,medicine_master!$A$2:$A$26,0)),0)</f>
        <v>6</v>
      </c>
      <c r="N2064" s="45" t="n">
        <f aca="false">IF(D2064="Sale",E2064*L2064,0)</f>
        <v>0</v>
      </c>
      <c r="O2064" s="45" t="n">
        <f aca="false">IF(D2064="Sale",E2064*M2064,0)</f>
        <v>0</v>
      </c>
      <c r="P2064" s="45" t="n">
        <f aca="false">N2064-O2064</f>
        <v>0</v>
      </c>
      <c r="Q2064" s="45" t="n">
        <f aca="false">IF(D2064="Purchase",E2064*M2064,0)</f>
        <v>300</v>
      </c>
    </row>
    <row r="2065" customFormat="false" ht="15" hidden="false" customHeight="false" outlineLevel="0" collapsed="false">
      <c r="A2065" s="39" t="s">
        <v>2389</v>
      </c>
      <c r="B2065" s="44" t="n">
        <v>46354</v>
      </c>
      <c r="C2065" s="39" t="s">
        <v>159</v>
      </c>
      <c r="D2065" s="39" t="s">
        <v>137</v>
      </c>
      <c r="E2065" s="39" t="n">
        <v>20</v>
      </c>
      <c r="F2065" s="39" t="str">
        <f aca="false">IF(COUNTIF(medicine_master!$A$2:$A$26,C2065)&gt;0,"Valid","Invalid")</f>
        <v>Valid</v>
      </c>
      <c r="G2065" s="39" t="str">
        <f aca="false">IFERROR(INDEX(medicine_master!$B$2:$B$26,MATCH($C2065,medicine_master!$A$2:$A$26,0)),"Not found")</f>
        <v>Antiseptic Liquid 100ml</v>
      </c>
      <c r="H2065" s="39" t="str">
        <f aca="false">IFERROR(INDEX(medicine_master!$C$2:$C$26,MATCH($C2065,medicine_master!$A$2:$A$26,0)),"Not found")</f>
        <v>First Aid</v>
      </c>
      <c r="I2065" s="39" t="n">
        <f aca="false">YEAR(B2065)</f>
        <v>2026</v>
      </c>
      <c r="J2065" s="39" t="n">
        <f aca="false">MONTH(B2065)</f>
        <v>11</v>
      </c>
      <c r="K2065" s="39" t="str">
        <f aca="false">TEXT(B2065,"mmm")</f>
        <v>Nov</v>
      </c>
      <c r="L2065" s="45" t="n">
        <f aca="false">IFERROR(INDEX(medicine_master!$I$2:$I$26,MATCH($C2065,medicine_master!$A$2:$A$26,0)),0)</f>
        <v>65</v>
      </c>
      <c r="M2065" s="45" t="n">
        <f aca="false">IFERROR(INDEX(medicine_master!$G$2:$G$26,MATCH($C2065,medicine_master!$A$2:$A$26,0)),0)</f>
        <v>48</v>
      </c>
      <c r="N2065" s="45" t="n">
        <f aca="false">IF(D2065="Sale",E2065*L2065,0)</f>
        <v>1300</v>
      </c>
      <c r="O2065" s="45" t="n">
        <f aca="false">IF(D2065="Sale",E2065*M2065,0)</f>
        <v>960</v>
      </c>
      <c r="P2065" s="45" t="n">
        <f aca="false">N2065-O2065</f>
        <v>340</v>
      </c>
      <c r="Q2065" s="45" t="n">
        <f aca="false">IF(D2065="Purchase",E2065*M2065,0)</f>
        <v>0</v>
      </c>
    </row>
    <row r="2066" customFormat="false" ht="15" hidden="false" customHeight="false" outlineLevel="0" collapsed="false">
      <c r="A2066" s="39" t="s">
        <v>2390</v>
      </c>
      <c r="B2066" s="44" t="n">
        <v>46301</v>
      </c>
      <c r="C2066" s="39" t="s">
        <v>153</v>
      </c>
      <c r="D2066" s="39" t="s">
        <v>137</v>
      </c>
      <c r="E2066" s="39" t="n">
        <v>40</v>
      </c>
      <c r="F2066" s="39" t="str">
        <f aca="false">IF(COUNTIF(medicine_master!$A$2:$A$26,C2066)&gt;0,"Valid","Invalid")</f>
        <v>Valid</v>
      </c>
      <c r="G2066" s="39" t="str">
        <f aca="false">IFERROR(INDEX(medicine_master!$B$2:$B$26,MATCH($C2066,medicine_master!$A$2:$A$26,0)),"Not found")</f>
        <v>Atorvastatin 10mg</v>
      </c>
      <c r="H2066" s="39" t="str">
        <f aca="false">IFERROR(INDEX(medicine_master!$C$2:$C$26,MATCH($C2066,medicine_master!$A$2:$A$26,0)),"Not found")</f>
        <v>Cardiac</v>
      </c>
      <c r="I2066" s="39" t="n">
        <f aca="false">YEAR(B2066)</f>
        <v>2026</v>
      </c>
      <c r="J2066" s="39" t="n">
        <f aca="false">MONTH(B2066)</f>
        <v>10</v>
      </c>
      <c r="K2066" s="39" t="str">
        <f aca="false">TEXT(B2066,"mmm")</f>
        <v>Oct</v>
      </c>
      <c r="L2066" s="45" t="n">
        <f aca="false">IFERROR(INDEX(medicine_master!$I$2:$I$26,MATCH($C2066,medicine_master!$A$2:$A$26,0)),0)</f>
        <v>28</v>
      </c>
      <c r="M2066" s="45" t="n">
        <f aca="false">IFERROR(INDEX(medicine_master!$G$2:$G$26,MATCH($C2066,medicine_master!$A$2:$A$26,0)),0)</f>
        <v>19</v>
      </c>
      <c r="N2066" s="45" t="n">
        <f aca="false">IF(D2066="Sale",E2066*L2066,0)</f>
        <v>1120</v>
      </c>
      <c r="O2066" s="45" t="n">
        <f aca="false">IF(D2066="Sale",E2066*M2066,0)</f>
        <v>760</v>
      </c>
      <c r="P2066" s="45" t="n">
        <f aca="false">N2066-O2066</f>
        <v>360</v>
      </c>
      <c r="Q2066" s="45" t="n">
        <f aca="false">IF(D2066="Purchase",E2066*M2066,0)</f>
        <v>0</v>
      </c>
    </row>
    <row r="2067" customFormat="false" ht="15" hidden="false" customHeight="false" outlineLevel="0" collapsed="false">
      <c r="A2067" s="39" t="s">
        <v>2391</v>
      </c>
      <c r="B2067" s="44" t="n">
        <v>46221</v>
      </c>
      <c r="C2067" s="39" t="s">
        <v>159</v>
      </c>
      <c r="D2067" s="39" t="s">
        <v>138</v>
      </c>
      <c r="E2067" s="39" t="n">
        <v>25</v>
      </c>
      <c r="F2067" s="39" t="str">
        <f aca="false">IF(COUNTIF(medicine_master!$A$2:$A$26,C2067)&gt;0,"Valid","Invalid")</f>
        <v>Valid</v>
      </c>
      <c r="G2067" s="39" t="str">
        <f aca="false">IFERROR(INDEX(medicine_master!$B$2:$B$26,MATCH($C2067,medicine_master!$A$2:$A$26,0)),"Not found")</f>
        <v>Antiseptic Liquid 100ml</v>
      </c>
      <c r="H2067" s="39" t="str">
        <f aca="false">IFERROR(INDEX(medicine_master!$C$2:$C$26,MATCH($C2067,medicine_master!$A$2:$A$26,0)),"Not found")</f>
        <v>First Aid</v>
      </c>
      <c r="I2067" s="39" t="n">
        <f aca="false">YEAR(B2067)</f>
        <v>2026</v>
      </c>
      <c r="J2067" s="39" t="n">
        <f aca="false">MONTH(B2067)</f>
        <v>7</v>
      </c>
      <c r="K2067" s="39" t="str">
        <f aca="false">TEXT(B2067,"mmm")</f>
        <v>Jul</v>
      </c>
      <c r="L2067" s="45" t="n">
        <f aca="false">IFERROR(INDEX(medicine_master!$I$2:$I$26,MATCH($C2067,medicine_master!$A$2:$A$26,0)),0)</f>
        <v>65</v>
      </c>
      <c r="M2067" s="45" t="n">
        <f aca="false">IFERROR(INDEX(medicine_master!$G$2:$G$26,MATCH($C2067,medicine_master!$A$2:$A$26,0)),0)</f>
        <v>48</v>
      </c>
      <c r="N2067" s="45" t="n">
        <f aca="false">IF(D2067="Sale",E2067*L2067,0)</f>
        <v>0</v>
      </c>
      <c r="O2067" s="45" t="n">
        <f aca="false">IF(D2067="Sale",E2067*M2067,0)</f>
        <v>0</v>
      </c>
      <c r="P2067" s="45" t="n">
        <f aca="false">N2067-O2067</f>
        <v>0</v>
      </c>
      <c r="Q2067" s="45" t="n">
        <f aca="false">IF(D2067="Purchase",E2067*M2067,0)</f>
        <v>1200</v>
      </c>
    </row>
    <row r="2068" customFormat="false" ht="15" hidden="false" customHeight="false" outlineLevel="0" collapsed="false">
      <c r="A2068" s="39" t="s">
        <v>2392</v>
      </c>
      <c r="B2068" s="44" t="n">
        <v>46252</v>
      </c>
      <c r="C2068" s="39" t="s">
        <v>153</v>
      </c>
      <c r="D2068" s="39" t="s">
        <v>137</v>
      </c>
      <c r="E2068" s="39" t="n">
        <v>25</v>
      </c>
      <c r="F2068" s="39" t="str">
        <f aca="false">IF(COUNTIF(medicine_master!$A$2:$A$26,C2068)&gt;0,"Valid","Invalid")</f>
        <v>Valid</v>
      </c>
      <c r="G2068" s="39" t="str">
        <f aca="false">IFERROR(INDEX(medicine_master!$B$2:$B$26,MATCH($C2068,medicine_master!$A$2:$A$26,0)),"Not found")</f>
        <v>Atorvastatin 10mg</v>
      </c>
      <c r="H2068" s="39" t="str">
        <f aca="false">IFERROR(INDEX(medicine_master!$C$2:$C$26,MATCH($C2068,medicine_master!$A$2:$A$26,0)),"Not found")</f>
        <v>Cardiac</v>
      </c>
      <c r="I2068" s="39" t="n">
        <f aca="false">YEAR(B2068)</f>
        <v>2026</v>
      </c>
      <c r="J2068" s="39" t="n">
        <f aca="false">MONTH(B2068)</f>
        <v>8</v>
      </c>
      <c r="K2068" s="39" t="str">
        <f aca="false">TEXT(B2068,"mmm")</f>
        <v>Aug</v>
      </c>
      <c r="L2068" s="45" t="n">
        <f aca="false">IFERROR(INDEX(medicine_master!$I$2:$I$26,MATCH($C2068,medicine_master!$A$2:$A$26,0)),0)</f>
        <v>28</v>
      </c>
      <c r="M2068" s="45" t="n">
        <f aca="false">IFERROR(INDEX(medicine_master!$G$2:$G$26,MATCH($C2068,medicine_master!$A$2:$A$26,0)),0)</f>
        <v>19</v>
      </c>
      <c r="N2068" s="45" t="n">
        <f aca="false">IF(D2068="Sale",E2068*L2068,0)</f>
        <v>700</v>
      </c>
      <c r="O2068" s="45" t="n">
        <f aca="false">IF(D2068="Sale",E2068*M2068,0)</f>
        <v>475</v>
      </c>
      <c r="P2068" s="45" t="n">
        <f aca="false">N2068-O2068</f>
        <v>225</v>
      </c>
      <c r="Q2068" s="45" t="n">
        <f aca="false">IF(D2068="Purchase",E2068*M2068,0)</f>
        <v>0</v>
      </c>
    </row>
    <row r="2069" customFormat="false" ht="15" hidden="false" customHeight="false" outlineLevel="0" collapsed="false">
      <c r="A2069" s="39" t="s">
        <v>2393</v>
      </c>
      <c r="B2069" s="44" t="n">
        <v>46097</v>
      </c>
      <c r="C2069" s="39" t="s">
        <v>178</v>
      </c>
      <c r="D2069" s="39" t="s">
        <v>138</v>
      </c>
      <c r="E2069" s="39" t="n">
        <v>10</v>
      </c>
      <c r="F2069" s="39" t="str">
        <f aca="false">IF(COUNTIF(medicine_master!$A$2:$A$26,C2069)&gt;0,"Valid","Invalid")</f>
        <v>Valid</v>
      </c>
      <c r="G2069" s="39" t="str">
        <f aca="false">IFERROR(INDEX(medicine_master!$B$2:$B$26,MATCH($C2069,medicine_master!$A$2:$A$26,0)),"Not found")</f>
        <v>Aspirin 75mg</v>
      </c>
      <c r="H2069" s="39" t="str">
        <f aca="false">IFERROR(INDEX(medicine_master!$C$2:$C$26,MATCH($C2069,medicine_master!$A$2:$A$26,0)),"Not found")</f>
        <v>Cardiac</v>
      </c>
      <c r="I2069" s="39" t="n">
        <f aca="false">YEAR(B2069)</f>
        <v>2026</v>
      </c>
      <c r="J2069" s="39" t="n">
        <f aca="false">MONTH(B2069)</f>
        <v>3</v>
      </c>
      <c r="K2069" s="39" t="str">
        <f aca="false">TEXT(B2069,"mmm")</f>
        <v>Mar</v>
      </c>
      <c r="L2069" s="45" t="n">
        <f aca="false">IFERROR(INDEX(medicine_master!$I$2:$I$26,MATCH($C2069,medicine_master!$A$2:$A$26,0)),0)</f>
        <v>15</v>
      </c>
      <c r="M2069" s="45" t="n">
        <f aca="false">IFERROR(INDEX(medicine_master!$G$2:$G$26,MATCH($C2069,medicine_master!$A$2:$A$26,0)),0)</f>
        <v>10</v>
      </c>
      <c r="N2069" s="45" t="n">
        <f aca="false">IF(D2069="Sale",E2069*L2069,0)</f>
        <v>0</v>
      </c>
      <c r="O2069" s="45" t="n">
        <f aca="false">IF(D2069="Sale",E2069*M2069,0)</f>
        <v>0</v>
      </c>
      <c r="P2069" s="45" t="n">
        <f aca="false">N2069-O2069</f>
        <v>0</v>
      </c>
      <c r="Q2069" s="45" t="n">
        <f aca="false">IF(D2069="Purchase",E2069*M2069,0)</f>
        <v>100</v>
      </c>
    </row>
    <row r="2070" customFormat="false" ht="15" hidden="false" customHeight="false" outlineLevel="0" collapsed="false">
      <c r="A2070" s="39" t="s">
        <v>2394</v>
      </c>
      <c r="B2070" s="44" t="n">
        <v>46361</v>
      </c>
      <c r="C2070" s="39" t="s">
        <v>179</v>
      </c>
      <c r="D2070" s="39" t="s">
        <v>137</v>
      </c>
      <c r="E2070" s="39" t="n">
        <v>30</v>
      </c>
      <c r="F2070" s="39" t="str">
        <f aca="false">IF(COUNTIF(medicine_master!$A$2:$A$26,C2070)&gt;0,"Valid","Invalid")</f>
        <v>Valid</v>
      </c>
      <c r="G2070" s="39" t="str">
        <f aca="false">IFERROR(INDEX(medicine_master!$B$2:$B$26,MATCH($C2070,medicine_master!$A$2:$A$26,0)),"Not found")</f>
        <v>Ibuprofen 400mg</v>
      </c>
      <c r="H2070" s="39" t="str">
        <f aca="false">IFERROR(INDEX(medicine_master!$C$2:$C$26,MATCH($C2070,medicine_master!$A$2:$A$26,0)),"Not found")</f>
        <v>Pain Relief</v>
      </c>
      <c r="I2070" s="39" t="n">
        <f aca="false">YEAR(B2070)</f>
        <v>2026</v>
      </c>
      <c r="J2070" s="39" t="n">
        <f aca="false">MONTH(B2070)</f>
        <v>12</v>
      </c>
      <c r="K2070" s="39" t="str">
        <f aca="false">TEXT(B2070,"mmm")</f>
        <v>Dec</v>
      </c>
      <c r="L2070" s="45" t="n">
        <f aca="false">IFERROR(INDEX(medicine_master!$I$2:$I$26,MATCH($C2070,medicine_master!$A$2:$A$26,0)),0)</f>
        <v>30</v>
      </c>
      <c r="M2070" s="45" t="n">
        <f aca="false">IFERROR(INDEX(medicine_master!$G$2:$G$26,MATCH($C2070,medicine_master!$A$2:$A$26,0)),0)</f>
        <v>22</v>
      </c>
      <c r="N2070" s="45" t="n">
        <f aca="false">IF(D2070="Sale",E2070*L2070,0)</f>
        <v>900</v>
      </c>
      <c r="O2070" s="45" t="n">
        <f aca="false">IF(D2070="Sale",E2070*M2070,0)</f>
        <v>660</v>
      </c>
      <c r="P2070" s="45" t="n">
        <f aca="false">N2070-O2070</f>
        <v>240</v>
      </c>
      <c r="Q2070" s="45" t="n">
        <f aca="false">IF(D2070="Purchase",E2070*M2070,0)</f>
        <v>0</v>
      </c>
    </row>
    <row r="2071" customFormat="false" ht="15" hidden="false" customHeight="false" outlineLevel="0" collapsed="false">
      <c r="A2071" s="39" t="s">
        <v>2395</v>
      </c>
      <c r="B2071" s="44" t="n">
        <v>46303</v>
      </c>
      <c r="C2071" s="39" t="s">
        <v>153</v>
      </c>
      <c r="D2071" s="39" t="s">
        <v>138</v>
      </c>
      <c r="E2071" s="39" t="n">
        <v>20</v>
      </c>
      <c r="F2071" s="39" t="str">
        <f aca="false">IF(COUNTIF(medicine_master!$A$2:$A$26,C2071)&gt;0,"Valid","Invalid")</f>
        <v>Valid</v>
      </c>
      <c r="G2071" s="39" t="str">
        <f aca="false">IFERROR(INDEX(medicine_master!$B$2:$B$26,MATCH($C2071,medicine_master!$A$2:$A$26,0)),"Not found")</f>
        <v>Atorvastatin 10mg</v>
      </c>
      <c r="H2071" s="39" t="str">
        <f aca="false">IFERROR(INDEX(medicine_master!$C$2:$C$26,MATCH($C2071,medicine_master!$A$2:$A$26,0)),"Not found")</f>
        <v>Cardiac</v>
      </c>
      <c r="I2071" s="39" t="n">
        <f aca="false">YEAR(B2071)</f>
        <v>2026</v>
      </c>
      <c r="J2071" s="39" t="n">
        <f aca="false">MONTH(B2071)</f>
        <v>10</v>
      </c>
      <c r="K2071" s="39" t="str">
        <f aca="false">TEXT(B2071,"mmm")</f>
        <v>Oct</v>
      </c>
      <c r="L2071" s="45" t="n">
        <f aca="false">IFERROR(INDEX(medicine_master!$I$2:$I$26,MATCH($C2071,medicine_master!$A$2:$A$26,0)),0)</f>
        <v>28</v>
      </c>
      <c r="M2071" s="45" t="n">
        <f aca="false">IFERROR(INDEX(medicine_master!$G$2:$G$26,MATCH($C2071,medicine_master!$A$2:$A$26,0)),0)</f>
        <v>19</v>
      </c>
      <c r="N2071" s="45" t="n">
        <f aca="false">IF(D2071="Sale",E2071*L2071,0)</f>
        <v>0</v>
      </c>
      <c r="O2071" s="45" t="n">
        <f aca="false">IF(D2071="Sale",E2071*M2071,0)</f>
        <v>0</v>
      </c>
      <c r="P2071" s="45" t="n">
        <f aca="false">N2071-O2071</f>
        <v>0</v>
      </c>
      <c r="Q2071" s="45" t="n">
        <f aca="false">IF(D2071="Purchase",E2071*M2071,0)</f>
        <v>380</v>
      </c>
    </row>
    <row r="2072" customFormat="false" ht="15" hidden="false" customHeight="false" outlineLevel="0" collapsed="false">
      <c r="A2072" s="39" t="s">
        <v>2396</v>
      </c>
      <c r="B2072" s="44" t="n">
        <v>46155</v>
      </c>
      <c r="C2072" s="39" t="s">
        <v>148</v>
      </c>
      <c r="D2072" s="39" t="s">
        <v>138</v>
      </c>
      <c r="E2072" s="39" t="n">
        <v>30</v>
      </c>
      <c r="F2072" s="39" t="str">
        <f aca="false">IF(COUNTIF(medicine_master!$A$2:$A$26,C2072)&gt;0,"Valid","Invalid")</f>
        <v>Valid</v>
      </c>
      <c r="G2072" s="39" t="str">
        <f aca="false">IFERROR(INDEX(medicine_master!$B$2:$B$26,MATCH($C2072,medicine_master!$A$2:$A$26,0)),"Not found")</f>
        <v>Dextromethorphan Syrup</v>
      </c>
      <c r="H2072" s="39" t="str">
        <f aca="false">IFERROR(INDEX(medicine_master!$C$2:$C$26,MATCH($C2072,medicine_master!$A$2:$A$26,0)),"Not found")</f>
        <v>Cold &amp; Cough</v>
      </c>
      <c r="I2072" s="39" t="n">
        <f aca="false">YEAR(B2072)</f>
        <v>2026</v>
      </c>
      <c r="J2072" s="39" t="n">
        <f aca="false">MONTH(B2072)</f>
        <v>5</v>
      </c>
      <c r="K2072" s="39" t="str">
        <f aca="false">TEXT(B2072,"mmm")</f>
        <v>May</v>
      </c>
      <c r="L2072" s="45" t="n">
        <f aca="false">IFERROR(INDEX(medicine_master!$I$2:$I$26,MATCH($C2072,medicine_master!$A$2:$A$26,0)),0)</f>
        <v>80</v>
      </c>
      <c r="M2072" s="45" t="n">
        <f aca="false">IFERROR(INDEX(medicine_master!$G$2:$G$26,MATCH($C2072,medicine_master!$A$2:$A$26,0)),0)</f>
        <v>58</v>
      </c>
      <c r="N2072" s="45" t="n">
        <f aca="false">IF(D2072="Sale",E2072*L2072,0)</f>
        <v>0</v>
      </c>
      <c r="O2072" s="45" t="n">
        <f aca="false">IF(D2072="Sale",E2072*M2072,0)</f>
        <v>0</v>
      </c>
      <c r="P2072" s="45" t="n">
        <f aca="false">N2072-O2072</f>
        <v>0</v>
      </c>
      <c r="Q2072" s="45" t="n">
        <f aca="false">IF(D2072="Purchase",E2072*M2072,0)</f>
        <v>1740</v>
      </c>
    </row>
    <row r="2073" customFormat="false" ht="15" hidden="false" customHeight="false" outlineLevel="0" collapsed="false">
      <c r="A2073" s="39" t="s">
        <v>2397</v>
      </c>
      <c r="B2073" s="44" t="n">
        <v>46268</v>
      </c>
      <c r="C2073" s="39" t="s">
        <v>177</v>
      </c>
      <c r="D2073" s="39" t="s">
        <v>137</v>
      </c>
      <c r="E2073" s="39" t="n">
        <v>30</v>
      </c>
      <c r="F2073" s="39" t="str">
        <f aca="false">IF(COUNTIF(medicine_master!$A$2:$A$26,C2073)&gt;0,"Valid","Invalid")</f>
        <v>Valid</v>
      </c>
      <c r="G2073" s="39" t="str">
        <f aca="false">IFERROR(INDEX(medicine_master!$B$2:$B$26,MATCH($C2073,medicine_master!$A$2:$A$26,0)),"Not found")</f>
        <v>Bandage Roll</v>
      </c>
      <c r="H2073" s="39" t="str">
        <f aca="false">IFERROR(INDEX(medicine_master!$C$2:$C$26,MATCH($C2073,medicine_master!$A$2:$A$26,0)),"Not found")</f>
        <v>First Aid</v>
      </c>
      <c r="I2073" s="39" t="n">
        <f aca="false">YEAR(B2073)</f>
        <v>2026</v>
      </c>
      <c r="J2073" s="39" t="n">
        <f aca="false">MONTH(B2073)</f>
        <v>9</v>
      </c>
      <c r="K2073" s="39" t="str">
        <f aca="false">TEXT(B2073,"mmm")</f>
        <v>Sep</v>
      </c>
      <c r="L2073" s="45" t="n">
        <f aca="false">IFERROR(INDEX(medicine_master!$I$2:$I$26,MATCH($C2073,medicine_master!$A$2:$A$26,0)),0)</f>
        <v>25</v>
      </c>
      <c r="M2073" s="45" t="n">
        <f aca="false">IFERROR(INDEX(medicine_master!$G$2:$G$26,MATCH($C2073,medicine_master!$A$2:$A$26,0)),0)</f>
        <v>15</v>
      </c>
      <c r="N2073" s="45" t="n">
        <f aca="false">IF(D2073="Sale",E2073*L2073,0)</f>
        <v>750</v>
      </c>
      <c r="O2073" s="45" t="n">
        <f aca="false">IF(D2073="Sale",E2073*M2073,0)</f>
        <v>450</v>
      </c>
      <c r="P2073" s="45" t="n">
        <f aca="false">N2073-O2073</f>
        <v>300</v>
      </c>
      <c r="Q2073" s="45" t="n">
        <f aca="false">IF(D2073="Purchase",E2073*M2073,0)</f>
        <v>0</v>
      </c>
    </row>
    <row r="2074" customFormat="false" ht="15" hidden="false" customHeight="false" outlineLevel="0" collapsed="false">
      <c r="A2074" s="39" t="s">
        <v>2398</v>
      </c>
      <c r="B2074" s="44" t="n">
        <v>46215</v>
      </c>
      <c r="C2074" s="39" t="s">
        <v>321</v>
      </c>
      <c r="D2074" s="39" t="s">
        <v>137</v>
      </c>
      <c r="E2074" s="39" t="n">
        <v>10</v>
      </c>
      <c r="F2074" s="39" t="str">
        <f aca="false">IF(COUNTIF(medicine_master!$A$2:$A$26,C2074)&gt;0,"Valid","Invalid")</f>
        <v>Valid</v>
      </c>
      <c r="G2074" s="39" t="str">
        <f aca="false">IFERROR(INDEX(medicine_master!$B$2:$B$26,MATCH($C2074,medicine_master!$A$2:$A$26,0)),"Not found")</f>
        <v>Levocetirizine 5mg</v>
      </c>
      <c r="H2074" s="39" t="str">
        <f aca="false">IFERROR(INDEX(medicine_master!$C$2:$C$26,MATCH($C2074,medicine_master!$A$2:$A$26,0)),"Not found")</f>
        <v>Allergy</v>
      </c>
      <c r="I2074" s="39" t="n">
        <f aca="false">YEAR(B2074)</f>
        <v>2026</v>
      </c>
      <c r="J2074" s="39" t="n">
        <f aca="false">MONTH(B2074)</f>
        <v>7</v>
      </c>
      <c r="K2074" s="39" t="str">
        <f aca="false">TEXT(B2074,"mmm")</f>
        <v>Jul</v>
      </c>
      <c r="L2074" s="45" t="n">
        <f aca="false">IFERROR(INDEX(medicine_master!$I$2:$I$26,MATCH($C2074,medicine_master!$A$2:$A$26,0)),0)</f>
        <v>22</v>
      </c>
      <c r="M2074" s="45" t="n">
        <f aca="false">IFERROR(INDEX(medicine_master!$G$2:$G$26,MATCH($C2074,medicine_master!$A$2:$A$26,0)),0)</f>
        <v>14</v>
      </c>
      <c r="N2074" s="45" t="n">
        <f aca="false">IF(D2074="Sale",E2074*L2074,0)</f>
        <v>220</v>
      </c>
      <c r="O2074" s="45" t="n">
        <f aca="false">IF(D2074="Sale",E2074*M2074,0)</f>
        <v>140</v>
      </c>
      <c r="P2074" s="45" t="n">
        <f aca="false">N2074-O2074</f>
        <v>80</v>
      </c>
      <c r="Q2074" s="45" t="n">
        <f aca="false">IF(D2074="Purchase",E2074*M2074,0)</f>
        <v>0</v>
      </c>
    </row>
    <row r="2075" customFormat="false" ht="15" hidden="false" customHeight="false" outlineLevel="0" collapsed="false">
      <c r="A2075" s="39" t="s">
        <v>2399</v>
      </c>
      <c r="B2075" s="44" t="n">
        <v>46314</v>
      </c>
      <c r="C2075" s="39" t="s">
        <v>160</v>
      </c>
      <c r="D2075" s="39" t="s">
        <v>137</v>
      </c>
      <c r="E2075" s="39" t="n">
        <v>20</v>
      </c>
      <c r="F2075" s="39" t="str">
        <f aca="false">IF(COUNTIF(medicine_master!$A$2:$A$26,C2075)&gt;0,"Valid","Invalid")</f>
        <v>Valid</v>
      </c>
      <c r="G2075" s="39" t="str">
        <f aca="false">IFERROR(INDEX(medicine_master!$B$2:$B$26,MATCH($C2075,medicine_master!$A$2:$A$26,0)),"Not found")</f>
        <v>Calamine Lotion</v>
      </c>
      <c r="H2075" s="39" t="str">
        <f aca="false">IFERROR(INDEX(medicine_master!$C$2:$C$26,MATCH($C2075,medicine_master!$A$2:$A$26,0)),"Not found")</f>
        <v>Dermatology</v>
      </c>
      <c r="I2075" s="39" t="n">
        <f aca="false">YEAR(B2075)</f>
        <v>2026</v>
      </c>
      <c r="J2075" s="39" t="n">
        <f aca="false">MONTH(B2075)</f>
        <v>10</v>
      </c>
      <c r="K2075" s="39" t="str">
        <f aca="false">TEXT(B2075,"mmm")</f>
        <v>Oct</v>
      </c>
      <c r="L2075" s="45" t="n">
        <f aca="false">IFERROR(INDEX(medicine_master!$I$2:$I$26,MATCH($C2075,medicine_master!$A$2:$A$26,0)),0)</f>
        <v>60</v>
      </c>
      <c r="M2075" s="45" t="n">
        <f aca="false">IFERROR(INDEX(medicine_master!$G$2:$G$26,MATCH($C2075,medicine_master!$A$2:$A$26,0)),0)</f>
        <v>42</v>
      </c>
      <c r="N2075" s="45" t="n">
        <f aca="false">IF(D2075="Sale",E2075*L2075,0)</f>
        <v>1200</v>
      </c>
      <c r="O2075" s="45" t="n">
        <f aca="false">IF(D2075="Sale",E2075*M2075,0)</f>
        <v>840</v>
      </c>
      <c r="P2075" s="45" t="n">
        <f aca="false">N2075-O2075</f>
        <v>360</v>
      </c>
      <c r="Q2075" s="45" t="n">
        <f aca="false">IF(D2075="Purchase",E2075*M2075,0)</f>
        <v>0</v>
      </c>
    </row>
    <row r="2076" customFormat="false" ht="15" hidden="false" customHeight="false" outlineLevel="0" collapsed="false">
      <c r="A2076" s="39" t="s">
        <v>2400</v>
      </c>
      <c r="B2076" s="44" t="n">
        <v>46032</v>
      </c>
      <c r="C2076" s="39" t="s">
        <v>145</v>
      </c>
      <c r="D2076" s="39" t="s">
        <v>137</v>
      </c>
      <c r="E2076" s="39" t="n">
        <v>15</v>
      </c>
      <c r="F2076" s="39" t="str">
        <f aca="false">IF(COUNTIF(medicine_master!$A$2:$A$26,C2076)&gt;0,"Valid","Invalid")</f>
        <v>Valid</v>
      </c>
      <c r="G2076" s="39" t="str">
        <f aca="false">IFERROR(INDEX(medicine_master!$B$2:$B$26,MATCH($C2076,medicine_master!$A$2:$A$26,0)),"Not found")</f>
        <v>Clotrimazole Cream</v>
      </c>
      <c r="H2076" s="39" t="str">
        <f aca="false">IFERROR(INDEX(medicine_master!$C$2:$C$26,MATCH($C2076,medicine_master!$A$2:$A$26,0)),"Not found")</f>
        <v>Dermatology</v>
      </c>
      <c r="I2076" s="39" t="n">
        <f aca="false">YEAR(B2076)</f>
        <v>2026</v>
      </c>
      <c r="J2076" s="39" t="n">
        <f aca="false">MONTH(B2076)</f>
        <v>1</v>
      </c>
      <c r="K2076" s="39" t="str">
        <f aca="false">TEXT(B2076,"mmm")</f>
        <v>Jan</v>
      </c>
      <c r="L2076" s="45" t="n">
        <f aca="false">IFERROR(INDEX(medicine_master!$I$2:$I$26,MATCH($C2076,medicine_master!$A$2:$A$26,0)),0)</f>
        <v>48</v>
      </c>
      <c r="M2076" s="45" t="n">
        <f aca="false">IFERROR(INDEX(medicine_master!$G$2:$G$26,MATCH($C2076,medicine_master!$A$2:$A$26,0)),0)</f>
        <v>32</v>
      </c>
      <c r="N2076" s="45" t="n">
        <f aca="false">IF(D2076="Sale",E2076*L2076,0)</f>
        <v>720</v>
      </c>
      <c r="O2076" s="45" t="n">
        <f aca="false">IF(D2076="Sale",E2076*M2076,0)</f>
        <v>480</v>
      </c>
      <c r="P2076" s="45" t="n">
        <f aca="false">N2076-O2076</f>
        <v>240</v>
      </c>
      <c r="Q2076" s="45" t="n">
        <f aca="false">IF(D2076="Purchase",E2076*M2076,0)</f>
        <v>0</v>
      </c>
    </row>
    <row r="2077" customFormat="false" ht="15" hidden="false" customHeight="false" outlineLevel="0" collapsed="false">
      <c r="A2077" s="39" t="s">
        <v>2401</v>
      </c>
      <c r="B2077" s="44" t="n">
        <v>46079</v>
      </c>
      <c r="C2077" s="39" t="s">
        <v>495</v>
      </c>
      <c r="D2077" s="39" t="s">
        <v>137</v>
      </c>
      <c r="E2077" s="39" t="n">
        <v>30</v>
      </c>
      <c r="F2077" s="39" t="str">
        <f aca="false">IF(COUNTIF(medicine_master!$A$2:$A$26,C2077)&gt;0,"Valid","Invalid")</f>
        <v>Valid</v>
      </c>
      <c r="G2077" s="39" t="str">
        <f aca="false">IFERROR(INDEX(medicine_master!$B$2:$B$26,MATCH($C2077,medicine_master!$A$2:$A$26,0)),"Not found")</f>
        <v>Metformin 500mg</v>
      </c>
      <c r="H2077" s="39" t="str">
        <f aca="false">IFERROR(INDEX(medicine_master!$C$2:$C$26,MATCH($C2077,medicine_master!$A$2:$A$26,0)),"Not found")</f>
        <v>Diabetes</v>
      </c>
      <c r="I2077" s="39" t="n">
        <f aca="false">YEAR(B2077)</f>
        <v>2026</v>
      </c>
      <c r="J2077" s="39" t="n">
        <f aca="false">MONTH(B2077)</f>
        <v>2</v>
      </c>
      <c r="K2077" s="39" t="str">
        <f aca="false">TEXT(B2077,"mmm")</f>
        <v>Feb</v>
      </c>
      <c r="L2077" s="45" t="n">
        <f aca="false">IFERROR(INDEX(medicine_master!$I$2:$I$26,MATCH($C2077,medicine_master!$A$2:$A$26,0)),0)</f>
        <v>24</v>
      </c>
      <c r="M2077" s="45" t="n">
        <f aca="false">IFERROR(INDEX(medicine_master!$G$2:$G$26,MATCH($C2077,medicine_master!$A$2:$A$26,0)),0)</f>
        <v>16</v>
      </c>
      <c r="N2077" s="45" t="n">
        <f aca="false">IF(D2077="Sale",E2077*L2077,0)</f>
        <v>720</v>
      </c>
      <c r="O2077" s="45" t="n">
        <f aca="false">IF(D2077="Sale",E2077*M2077,0)</f>
        <v>480</v>
      </c>
      <c r="P2077" s="45" t="n">
        <f aca="false">N2077-O2077</f>
        <v>240</v>
      </c>
      <c r="Q2077" s="45" t="n">
        <f aca="false">IF(D2077="Purchase",E2077*M2077,0)</f>
        <v>0</v>
      </c>
    </row>
    <row r="2078" customFormat="false" ht="15" hidden="false" customHeight="false" outlineLevel="0" collapsed="false">
      <c r="A2078" s="39" t="s">
        <v>2402</v>
      </c>
      <c r="B2078" s="44" t="n">
        <v>46079</v>
      </c>
      <c r="C2078" s="39" t="s">
        <v>147</v>
      </c>
      <c r="D2078" s="39" t="s">
        <v>138</v>
      </c>
      <c r="E2078" s="39" t="n">
        <v>20</v>
      </c>
      <c r="F2078" s="39" t="str">
        <f aca="false">IF(COUNTIF(medicine_master!$A$2:$A$26,C2078)&gt;0,"Valid","Invalid")</f>
        <v>Valid</v>
      </c>
      <c r="G2078" s="39" t="str">
        <f aca="false">IFERROR(INDEX(medicine_master!$B$2:$B$26,MATCH($C2078,medicine_master!$A$2:$A$26,0)),"Not found")</f>
        <v>Insulin Injection</v>
      </c>
      <c r="H2078" s="39" t="str">
        <f aca="false">IFERROR(INDEX(medicine_master!$C$2:$C$26,MATCH($C2078,medicine_master!$A$2:$A$26,0)),"Not found")</f>
        <v>Diabetes</v>
      </c>
      <c r="I2078" s="39" t="n">
        <f aca="false">YEAR(B2078)</f>
        <v>2026</v>
      </c>
      <c r="J2078" s="39" t="n">
        <f aca="false">MONTH(B2078)</f>
        <v>2</v>
      </c>
      <c r="K2078" s="39" t="str">
        <f aca="false">TEXT(B2078,"mmm")</f>
        <v>Feb</v>
      </c>
      <c r="L2078" s="45" t="n">
        <f aca="false">IFERROR(INDEX(medicine_master!$I$2:$I$26,MATCH($C2078,medicine_master!$A$2:$A$26,0)),0)</f>
        <v>225</v>
      </c>
      <c r="M2078" s="45" t="n">
        <f aca="false">IFERROR(INDEX(medicine_master!$G$2:$G$26,MATCH($C2078,medicine_master!$A$2:$A$26,0)),0)</f>
        <v>165</v>
      </c>
      <c r="N2078" s="45" t="n">
        <f aca="false">IF(D2078="Sale",E2078*L2078,0)</f>
        <v>0</v>
      </c>
      <c r="O2078" s="45" t="n">
        <f aca="false">IF(D2078="Sale",E2078*M2078,0)</f>
        <v>0</v>
      </c>
      <c r="P2078" s="45" t="n">
        <f aca="false">N2078-O2078</f>
        <v>0</v>
      </c>
      <c r="Q2078" s="45" t="n">
        <f aca="false">IF(D2078="Purchase",E2078*M2078,0)</f>
        <v>3300</v>
      </c>
    </row>
    <row r="2079" customFormat="false" ht="15" hidden="false" customHeight="false" outlineLevel="0" collapsed="false">
      <c r="A2079" s="39" t="s">
        <v>2403</v>
      </c>
      <c r="B2079" s="44" t="n">
        <v>46379</v>
      </c>
      <c r="C2079" s="39" t="s">
        <v>148</v>
      </c>
      <c r="D2079" s="39" t="s">
        <v>138</v>
      </c>
      <c r="E2079" s="39" t="n">
        <v>15</v>
      </c>
      <c r="F2079" s="39" t="str">
        <f aca="false">IF(COUNTIF(medicine_master!$A$2:$A$26,C2079)&gt;0,"Valid","Invalid")</f>
        <v>Valid</v>
      </c>
      <c r="G2079" s="39" t="str">
        <f aca="false">IFERROR(INDEX(medicine_master!$B$2:$B$26,MATCH($C2079,medicine_master!$A$2:$A$26,0)),"Not found")</f>
        <v>Dextromethorphan Syrup</v>
      </c>
      <c r="H2079" s="39" t="str">
        <f aca="false">IFERROR(INDEX(medicine_master!$C$2:$C$26,MATCH($C2079,medicine_master!$A$2:$A$26,0)),"Not found")</f>
        <v>Cold &amp; Cough</v>
      </c>
      <c r="I2079" s="39" t="n">
        <f aca="false">YEAR(B2079)</f>
        <v>2026</v>
      </c>
      <c r="J2079" s="39" t="n">
        <f aca="false">MONTH(B2079)</f>
        <v>12</v>
      </c>
      <c r="K2079" s="39" t="str">
        <f aca="false">TEXT(B2079,"mmm")</f>
        <v>Dec</v>
      </c>
      <c r="L2079" s="45" t="n">
        <f aca="false">IFERROR(INDEX(medicine_master!$I$2:$I$26,MATCH($C2079,medicine_master!$A$2:$A$26,0)),0)</f>
        <v>80</v>
      </c>
      <c r="M2079" s="45" t="n">
        <f aca="false">IFERROR(INDEX(medicine_master!$G$2:$G$26,MATCH($C2079,medicine_master!$A$2:$A$26,0)),0)</f>
        <v>58</v>
      </c>
      <c r="N2079" s="45" t="n">
        <f aca="false">IF(D2079="Sale",E2079*L2079,0)</f>
        <v>0</v>
      </c>
      <c r="O2079" s="45" t="n">
        <f aca="false">IF(D2079="Sale",E2079*M2079,0)</f>
        <v>0</v>
      </c>
      <c r="P2079" s="45" t="n">
        <f aca="false">N2079-O2079</f>
        <v>0</v>
      </c>
      <c r="Q2079" s="45" t="n">
        <f aca="false">IF(D2079="Purchase",E2079*M2079,0)</f>
        <v>870</v>
      </c>
    </row>
    <row r="2080" customFormat="false" ht="15" hidden="false" customHeight="false" outlineLevel="0" collapsed="false">
      <c r="A2080" s="39" t="s">
        <v>2404</v>
      </c>
      <c r="B2080" s="44" t="n">
        <v>46153</v>
      </c>
      <c r="C2080" s="39" t="s">
        <v>326</v>
      </c>
      <c r="D2080" s="39" t="s">
        <v>137</v>
      </c>
      <c r="E2080" s="39" t="n">
        <v>15</v>
      </c>
      <c r="F2080" s="39" t="str">
        <f aca="false">IF(COUNTIF(medicine_master!$A$2:$A$26,C2080)&gt;0,"Valid","Invalid")</f>
        <v>Valid</v>
      </c>
      <c r="G2080" s="39" t="str">
        <f aca="false">IFERROR(INDEX(medicine_master!$B$2:$B$26,MATCH($C2080,medicine_master!$A$2:$A$26,0)),"Not found")</f>
        <v>Omeprazole 20mg</v>
      </c>
      <c r="H2080" s="39" t="str">
        <f aca="false">IFERROR(INDEX(medicine_master!$C$2:$C$26,MATCH($C2080,medicine_master!$A$2:$A$26,0)),"Not found")</f>
        <v>Gastric</v>
      </c>
      <c r="I2080" s="39" t="n">
        <f aca="false">YEAR(B2080)</f>
        <v>2026</v>
      </c>
      <c r="J2080" s="39" t="n">
        <f aca="false">MONTH(B2080)</f>
        <v>5</v>
      </c>
      <c r="K2080" s="39" t="str">
        <f aca="false">TEXT(B2080,"mmm")</f>
        <v>May</v>
      </c>
      <c r="L2080" s="45" t="n">
        <f aca="false">IFERROR(INDEX(medicine_master!$I$2:$I$26,MATCH($C2080,medicine_master!$A$2:$A$26,0)),0)</f>
        <v>26</v>
      </c>
      <c r="M2080" s="45" t="n">
        <f aca="false">IFERROR(INDEX(medicine_master!$G$2:$G$26,MATCH($C2080,medicine_master!$A$2:$A$26,0)),0)</f>
        <v>18</v>
      </c>
      <c r="N2080" s="45" t="n">
        <f aca="false">IF(D2080="Sale",E2080*L2080,0)</f>
        <v>390</v>
      </c>
      <c r="O2080" s="45" t="n">
        <f aca="false">IF(D2080="Sale",E2080*M2080,0)</f>
        <v>270</v>
      </c>
      <c r="P2080" s="45" t="n">
        <f aca="false">N2080-O2080</f>
        <v>120</v>
      </c>
      <c r="Q2080" s="45" t="n">
        <f aca="false">IF(D2080="Purchase",E2080*M2080,0)</f>
        <v>0</v>
      </c>
    </row>
    <row r="2081" customFormat="false" ht="15" hidden="false" customHeight="false" outlineLevel="0" collapsed="false">
      <c r="A2081" s="39" t="s">
        <v>2405</v>
      </c>
      <c r="B2081" s="44" t="n">
        <v>46152</v>
      </c>
      <c r="C2081" s="39" t="s">
        <v>148</v>
      </c>
      <c r="D2081" s="39" t="s">
        <v>137</v>
      </c>
      <c r="E2081" s="39" t="n">
        <v>40</v>
      </c>
      <c r="F2081" s="39" t="str">
        <f aca="false">IF(COUNTIF(medicine_master!$A$2:$A$26,C2081)&gt;0,"Valid","Invalid")</f>
        <v>Valid</v>
      </c>
      <c r="G2081" s="39" t="str">
        <f aca="false">IFERROR(INDEX(medicine_master!$B$2:$B$26,MATCH($C2081,medicine_master!$A$2:$A$26,0)),"Not found")</f>
        <v>Dextromethorphan Syrup</v>
      </c>
      <c r="H2081" s="39" t="str">
        <f aca="false">IFERROR(INDEX(medicine_master!$C$2:$C$26,MATCH($C2081,medicine_master!$A$2:$A$26,0)),"Not found")</f>
        <v>Cold &amp; Cough</v>
      </c>
      <c r="I2081" s="39" t="n">
        <f aca="false">YEAR(B2081)</f>
        <v>2026</v>
      </c>
      <c r="J2081" s="39" t="n">
        <f aca="false">MONTH(B2081)</f>
        <v>5</v>
      </c>
      <c r="K2081" s="39" t="str">
        <f aca="false">TEXT(B2081,"mmm")</f>
        <v>May</v>
      </c>
      <c r="L2081" s="45" t="n">
        <f aca="false">IFERROR(INDEX(medicine_master!$I$2:$I$26,MATCH($C2081,medicine_master!$A$2:$A$26,0)),0)</f>
        <v>80</v>
      </c>
      <c r="M2081" s="45" t="n">
        <f aca="false">IFERROR(INDEX(medicine_master!$G$2:$G$26,MATCH($C2081,medicine_master!$A$2:$A$26,0)),0)</f>
        <v>58</v>
      </c>
      <c r="N2081" s="45" t="n">
        <f aca="false">IF(D2081="Sale",E2081*L2081,0)</f>
        <v>3200</v>
      </c>
      <c r="O2081" s="45" t="n">
        <f aca="false">IF(D2081="Sale",E2081*M2081,0)</f>
        <v>2320</v>
      </c>
      <c r="P2081" s="45" t="n">
        <f aca="false">N2081-O2081</f>
        <v>880</v>
      </c>
      <c r="Q2081" s="45" t="n">
        <f aca="false">IF(D2081="Purchase",E2081*M2081,0)</f>
        <v>0</v>
      </c>
    </row>
    <row r="2082" customFormat="false" ht="15" hidden="false" customHeight="false" outlineLevel="0" collapsed="false">
      <c r="A2082" s="39" t="s">
        <v>2406</v>
      </c>
      <c r="B2082" s="44" t="n">
        <v>46031</v>
      </c>
      <c r="C2082" s="39" t="s">
        <v>167</v>
      </c>
      <c r="D2082" s="39" t="s">
        <v>138</v>
      </c>
      <c r="E2082" s="39" t="n">
        <v>15</v>
      </c>
      <c r="F2082" s="39" t="str">
        <f aca="false">IF(COUNTIF(medicine_master!$A$2:$A$26,C2082)&gt;0,"Valid","Invalid")</f>
        <v>Valid</v>
      </c>
      <c r="G2082" s="39" t="str">
        <f aca="false">IFERROR(INDEX(medicine_master!$B$2:$B$26,MATCH($C2082,medicine_master!$A$2:$A$26,0)),"Not found")</f>
        <v>Amlodipine 5mg</v>
      </c>
      <c r="H2082" s="39" t="str">
        <f aca="false">IFERROR(INDEX(medicine_master!$C$2:$C$26,MATCH($C2082,medicine_master!$A$2:$A$26,0)),"Not found")</f>
        <v>Cardiac</v>
      </c>
      <c r="I2082" s="39" t="n">
        <f aca="false">YEAR(B2082)</f>
        <v>2026</v>
      </c>
      <c r="J2082" s="39" t="n">
        <f aca="false">MONTH(B2082)</f>
        <v>1</v>
      </c>
      <c r="K2082" s="39" t="str">
        <f aca="false">TEXT(B2082,"mmm")</f>
        <v>Jan</v>
      </c>
      <c r="L2082" s="45" t="n">
        <f aca="false">IFERROR(INDEX(medicine_master!$I$2:$I$26,MATCH($C2082,medicine_master!$A$2:$A$26,0)),0)</f>
        <v>19</v>
      </c>
      <c r="M2082" s="45" t="n">
        <f aca="false">IFERROR(INDEX(medicine_master!$G$2:$G$26,MATCH($C2082,medicine_master!$A$2:$A$26,0)),0)</f>
        <v>13</v>
      </c>
      <c r="N2082" s="45" t="n">
        <f aca="false">IF(D2082="Sale",E2082*L2082,0)</f>
        <v>0</v>
      </c>
      <c r="O2082" s="45" t="n">
        <f aca="false">IF(D2082="Sale",E2082*M2082,0)</f>
        <v>0</v>
      </c>
      <c r="P2082" s="45" t="n">
        <f aca="false">N2082-O2082</f>
        <v>0</v>
      </c>
      <c r="Q2082" s="45" t="n">
        <f aca="false">IF(D2082="Purchase",E2082*M2082,0)</f>
        <v>195</v>
      </c>
    </row>
    <row r="2083" customFormat="false" ht="15" hidden="false" customHeight="false" outlineLevel="0" collapsed="false">
      <c r="A2083" s="39" t="s">
        <v>2407</v>
      </c>
      <c r="B2083" s="44" t="n">
        <v>46074</v>
      </c>
      <c r="C2083" s="39" t="s">
        <v>145</v>
      </c>
      <c r="D2083" s="39" t="s">
        <v>137</v>
      </c>
      <c r="E2083" s="39" t="n">
        <v>30</v>
      </c>
      <c r="F2083" s="39" t="str">
        <f aca="false">IF(COUNTIF(medicine_master!$A$2:$A$26,C2083)&gt;0,"Valid","Invalid")</f>
        <v>Valid</v>
      </c>
      <c r="G2083" s="39" t="str">
        <f aca="false">IFERROR(INDEX(medicine_master!$B$2:$B$26,MATCH($C2083,medicine_master!$A$2:$A$26,0)),"Not found")</f>
        <v>Clotrimazole Cream</v>
      </c>
      <c r="H2083" s="39" t="str">
        <f aca="false">IFERROR(INDEX(medicine_master!$C$2:$C$26,MATCH($C2083,medicine_master!$A$2:$A$26,0)),"Not found")</f>
        <v>Dermatology</v>
      </c>
      <c r="I2083" s="39" t="n">
        <f aca="false">YEAR(B2083)</f>
        <v>2026</v>
      </c>
      <c r="J2083" s="39" t="n">
        <f aca="false">MONTH(B2083)</f>
        <v>2</v>
      </c>
      <c r="K2083" s="39" t="str">
        <f aca="false">TEXT(B2083,"mmm")</f>
        <v>Feb</v>
      </c>
      <c r="L2083" s="45" t="n">
        <f aca="false">IFERROR(INDEX(medicine_master!$I$2:$I$26,MATCH($C2083,medicine_master!$A$2:$A$26,0)),0)</f>
        <v>48</v>
      </c>
      <c r="M2083" s="45" t="n">
        <f aca="false">IFERROR(INDEX(medicine_master!$G$2:$G$26,MATCH($C2083,medicine_master!$A$2:$A$26,0)),0)</f>
        <v>32</v>
      </c>
      <c r="N2083" s="45" t="n">
        <f aca="false">IF(D2083="Sale",E2083*L2083,0)</f>
        <v>1440</v>
      </c>
      <c r="O2083" s="45" t="n">
        <f aca="false">IF(D2083="Sale",E2083*M2083,0)</f>
        <v>960</v>
      </c>
      <c r="P2083" s="45" t="n">
        <f aca="false">N2083-O2083</f>
        <v>480</v>
      </c>
      <c r="Q2083" s="45" t="n">
        <f aca="false">IF(D2083="Purchase",E2083*M2083,0)</f>
        <v>0</v>
      </c>
    </row>
    <row r="2084" customFormat="false" ht="15" hidden="false" customHeight="false" outlineLevel="0" collapsed="false">
      <c r="A2084" s="39" t="s">
        <v>2408</v>
      </c>
      <c r="B2084" s="44" t="n">
        <v>46213</v>
      </c>
      <c r="C2084" s="39" t="s">
        <v>404</v>
      </c>
      <c r="D2084" s="39" t="s">
        <v>137</v>
      </c>
      <c r="E2084" s="39" t="n">
        <v>25</v>
      </c>
      <c r="F2084" s="39" t="str">
        <f aca="false">IF(COUNTIF(medicine_master!$A$2:$A$26,C2084)&gt;0,"Valid","Invalid")</f>
        <v>Valid</v>
      </c>
      <c r="G2084" s="39" t="str">
        <f aca="false">IFERROR(INDEX(medicine_master!$B$2:$B$26,MATCH($C2084,medicine_master!$A$2:$A$26,0)),"Not found")</f>
        <v>ORS Sachet</v>
      </c>
      <c r="H2084" s="39" t="str">
        <f aca="false">IFERROR(INDEX(medicine_master!$C$2:$C$26,MATCH($C2084,medicine_master!$A$2:$A$26,0)),"Not found")</f>
        <v>First Aid</v>
      </c>
      <c r="I2084" s="39" t="n">
        <f aca="false">YEAR(B2084)</f>
        <v>2026</v>
      </c>
      <c r="J2084" s="39" t="n">
        <f aca="false">MONTH(B2084)</f>
        <v>7</v>
      </c>
      <c r="K2084" s="39" t="str">
        <f aca="false">TEXT(B2084,"mmm")</f>
        <v>Jul</v>
      </c>
      <c r="L2084" s="45" t="n">
        <f aca="false">IFERROR(INDEX(medicine_master!$I$2:$I$26,MATCH($C2084,medicine_master!$A$2:$A$26,0)),0)</f>
        <v>10</v>
      </c>
      <c r="M2084" s="45" t="n">
        <f aca="false">IFERROR(INDEX(medicine_master!$G$2:$G$26,MATCH($C2084,medicine_master!$A$2:$A$26,0)),0)</f>
        <v>6</v>
      </c>
      <c r="N2084" s="45" t="n">
        <f aca="false">IF(D2084="Sale",E2084*L2084,0)</f>
        <v>250</v>
      </c>
      <c r="O2084" s="45" t="n">
        <f aca="false">IF(D2084="Sale",E2084*M2084,0)</f>
        <v>150</v>
      </c>
      <c r="P2084" s="45" t="n">
        <f aca="false">N2084-O2084</f>
        <v>100</v>
      </c>
      <c r="Q2084" s="45" t="n">
        <f aca="false">IF(D2084="Purchase",E2084*M2084,0)</f>
        <v>0</v>
      </c>
    </row>
    <row r="2085" customFormat="false" ht="15" hidden="false" customHeight="false" outlineLevel="0" collapsed="false">
      <c r="A2085" s="39" t="s">
        <v>2409</v>
      </c>
      <c r="B2085" s="44" t="n">
        <v>46131</v>
      </c>
      <c r="C2085" s="39" t="s">
        <v>159</v>
      </c>
      <c r="D2085" s="39" t="s">
        <v>138</v>
      </c>
      <c r="E2085" s="39" t="n">
        <v>50</v>
      </c>
      <c r="F2085" s="39" t="str">
        <f aca="false">IF(COUNTIF(medicine_master!$A$2:$A$26,C2085)&gt;0,"Valid","Invalid")</f>
        <v>Valid</v>
      </c>
      <c r="G2085" s="39" t="str">
        <f aca="false">IFERROR(INDEX(medicine_master!$B$2:$B$26,MATCH($C2085,medicine_master!$A$2:$A$26,0)),"Not found")</f>
        <v>Antiseptic Liquid 100ml</v>
      </c>
      <c r="H2085" s="39" t="str">
        <f aca="false">IFERROR(INDEX(medicine_master!$C$2:$C$26,MATCH($C2085,medicine_master!$A$2:$A$26,0)),"Not found")</f>
        <v>First Aid</v>
      </c>
      <c r="I2085" s="39" t="n">
        <f aca="false">YEAR(B2085)</f>
        <v>2026</v>
      </c>
      <c r="J2085" s="39" t="n">
        <f aca="false">MONTH(B2085)</f>
        <v>4</v>
      </c>
      <c r="K2085" s="39" t="str">
        <f aca="false">TEXT(B2085,"mmm")</f>
        <v>Apr</v>
      </c>
      <c r="L2085" s="45" t="n">
        <f aca="false">IFERROR(INDEX(medicine_master!$I$2:$I$26,MATCH($C2085,medicine_master!$A$2:$A$26,0)),0)</f>
        <v>65</v>
      </c>
      <c r="M2085" s="45" t="n">
        <f aca="false">IFERROR(INDEX(medicine_master!$G$2:$G$26,MATCH($C2085,medicine_master!$A$2:$A$26,0)),0)</f>
        <v>48</v>
      </c>
      <c r="N2085" s="45" t="n">
        <f aca="false">IF(D2085="Sale",E2085*L2085,0)</f>
        <v>0</v>
      </c>
      <c r="O2085" s="45" t="n">
        <f aca="false">IF(D2085="Sale",E2085*M2085,0)</f>
        <v>0</v>
      </c>
      <c r="P2085" s="45" t="n">
        <f aca="false">N2085-O2085</f>
        <v>0</v>
      </c>
      <c r="Q2085" s="45" t="n">
        <f aca="false">IF(D2085="Purchase",E2085*M2085,0)</f>
        <v>2400</v>
      </c>
    </row>
    <row r="2086" customFormat="false" ht="15" hidden="false" customHeight="false" outlineLevel="0" collapsed="false">
      <c r="A2086" s="39" t="s">
        <v>2410</v>
      </c>
      <c r="B2086" s="44" t="n">
        <v>46174</v>
      </c>
      <c r="C2086" s="39" t="s">
        <v>149</v>
      </c>
      <c r="D2086" s="39" t="s">
        <v>138</v>
      </c>
      <c r="E2086" s="39" t="n">
        <v>30</v>
      </c>
      <c r="F2086" s="39" t="str">
        <f aca="false">IF(COUNTIF(medicine_master!$A$2:$A$26,C2086)&gt;0,"Valid","Invalid")</f>
        <v>Valid</v>
      </c>
      <c r="G2086" s="39" t="str">
        <f aca="false">IFERROR(INDEX(medicine_master!$B$2:$B$26,MATCH($C2086,medicine_master!$A$2:$A$26,0)),"Not found")</f>
        <v>Azithromycin 500mg</v>
      </c>
      <c r="H2086" s="39" t="str">
        <f aca="false">IFERROR(INDEX(medicine_master!$C$2:$C$26,MATCH($C2086,medicine_master!$A$2:$A$26,0)),"Not found")</f>
        <v>Antibiotic</v>
      </c>
      <c r="I2086" s="39" t="n">
        <f aca="false">YEAR(B2086)</f>
        <v>2026</v>
      </c>
      <c r="J2086" s="39" t="n">
        <f aca="false">MONTH(B2086)</f>
        <v>6</v>
      </c>
      <c r="K2086" s="39" t="str">
        <f aca="false">TEXT(B2086,"mmm")</f>
        <v>Jun</v>
      </c>
      <c r="L2086" s="45" t="n">
        <f aca="false">IFERROR(INDEX(medicine_master!$I$2:$I$26,MATCH($C2086,medicine_master!$A$2:$A$26,0)),0)</f>
        <v>50</v>
      </c>
      <c r="M2086" s="45" t="n">
        <f aca="false">IFERROR(INDEX(medicine_master!$G$2:$G$26,MATCH($C2086,medicine_master!$A$2:$A$26,0)),0)</f>
        <v>35</v>
      </c>
      <c r="N2086" s="45" t="n">
        <f aca="false">IF(D2086="Sale",E2086*L2086,0)</f>
        <v>0</v>
      </c>
      <c r="O2086" s="45" t="n">
        <f aca="false">IF(D2086="Sale",E2086*M2086,0)</f>
        <v>0</v>
      </c>
      <c r="P2086" s="45" t="n">
        <f aca="false">N2086-O2086</f>
        <v>0</v>
      </c>
      <c r="Q2086" s="45" t="n">
        <f aca="false">IF(D2086="Purchase",E2086*M2086,0)</f>
        <v>1050</v>
      </c>
    </row>
    <row r="2087" customFormat="false" ht="15" hidden="false" customHeight="false" outlineLevel="0" collapsed="false">
      <c r="A2087" s="39" t="s">
        <v>2411</v>
      </c>
      <c r="B2087" s="44" t="n">
        <v>46378</v>
      </c>
      <c r="C2087" s="39" t="s">
        <v>146</v>
      </c>
      <c r="D2087" s="39" t="s">
        <v>137</v>
      </c>
      <c r="E2087" s="39" t="n">
        <v>20</v>
      </c>
      <c r="F2087" s="39" t="str">
        <f aca="false">IF(COUNTIF(medicine_master!$A$2:$A$26,C2087)&gt;0,"Valid","Invalid")</f>
        <v>Valid</v>
      </c>
      <c r="G2087" s="39" t="str">
        <f aca="false">IFERROR(INDEX(medicine_master!$B$2:$B$26,MATCH($C2087,medicine_master!$A$2:$A$26,0)),"Not found")</f>
        <v>Diclofenac Gel</v>
      </c>
      <c r="H2087" s="39" t="str">
        <f aca="false">IFERROR(INDEX(medicine_master!$C$2:$C$26,MATCH($C2087,medicine_master!$A$2:$A$26,0)),"Not found")</f>
        <v>Pain Relief</v>
      </c>
      <c r="I2087" s="39" t="n">
        <f aca="false">YEAR(B2087)</f>
        <v>2026</v>
      </c>
      <c r="J2087" s="39" t="n">
        <f aca="false">MONTH(B2087)</f>
        <v>12</v>
      </c>
      <c r="K2087" s="39" t="str">
        <f aca="false">TEXT(B2087,"mmm")</f>
        <v>Dec</v>
      </c>
      <c r="L2087" s="45" t="n">
        <f aca="false">IFERROR(INDEX(medicine_master!$I$2:$I$26,MATCH($C2087,medicine_master!$A$2:$A$26,0)),0)</f>
        <v>55</v>
      </c>
      <c r="M2087" s="45" t="n">
        <f aca="false">IFERROR(INDEX(medicine_master!$G$2:$G$26,MATCH($C2087,medicine_master!$A$2:$A$26,0)),0)</f>
        <v>38</v>
      </c>
      <c r="N2087" s="45" t="n">
        <f aca="false">IF(D2087="Sale",E2087*L2087,0)</f>
        <v>1100</v>
      </c>
      <c r="O2087" s="45" t="n">
        <f aca="false">IF(D2087="Sale",E2087*M2087,0)</f>
        <v>760</v>
      </c>
      <c r="P2087" s="45" t="n">
        <f aca="false">N2087-O2087</f>
        <v>340</v>
      </c>
      <c r="Q2087" s="45" t="n">
        <f aca="false">IF(D2087="Purchase",E2087*M2087,0)</f>
        <v>0</v>
      </c>
    </row>
    <row r="2088" customFormat="false" ht="15" hidden="false" customHeight="false" outlineLevel="0" collapsed="false">
      <c r="A2088" s="39" t="s">
        <v>2412</v>
      </c>
      <c r="B2088" s="44" t="n">
        <v>46162</v>
      </c>
      <c r="C2088" s="39" t="s">
        <v>160</v>
      </c>
      <c r="D2088" s="39" t="s">
        <v>137</v>
      </c>
      <c r="E2088" s="39" t="n">
        <v>10</v>
      </c>
      <c r="F2088" s="39" t="str">
        <f aca="false">IF(COUNTIF(medicine_master!$A$2:$A$26,C2088)&gt;0,"Valid","Invalid")</f>
        <v>Valid</v>
      </c>
      <c r="G2088" s="39" t="str">
        <f aca="false">IFERROR(INDEX(medicine_master!$B$2:$B$26,MATCH($C2088,medicine_master!$A$2:$A$26,0)),"Not found")</f>
        <v>Calamine Lotion</v>
      </c>
      <c r="H2088" s="39" t="str">
        <f aca="false">IFERROR(INDEX(medicine_master!$C$2:$C$26,MATCH($C2088,medicine_master!$A$2:$A$26,0)),"Not found")</f>
        <v>Dermatology</v>
      </c>
      <c r="I2088" s="39" t="n">
        <f aca="false">YEAR(B2088)</f>
        <v>2026</v>
      </c>
      <c r="J2088" s="39" t="n">
        <f aca="false">MONTH(B2088)</f>
        <v>5</v>
      </c>
      <c r="K2088" s="39" t="str">
        <f aca="false">TEXT(B2088,"mmm")</f>
        <v>May</v>
      </c>
      <c r="L2088" s="45" t="n">
        <f aca="false">IFERROR(INDEX(medicine_master!$I$2:$I$26,MATCH($C2088,medicine_master!$A$2:$A$26,0)),0)</f>
        <v>60</v>
      </c>
      <c r="M2088" s="45" t="n">
        <f aca="false">IFERROR(INDEX(medicine_master!$G$2:$G$26,MATCH($C2088,medicine_master!$A$2:$A$26,0)),0)</f>
        <v>42</v>
      </c>
      <c r="N2088" s="45" t="n">
        <f aca="false">IF(D2088="Sale",E2088*L2088,0)</f>
        <v>600</v>
      </c>
      <c r="O2088" s="45" t="n">
        <f aca="false">IF(D2088="Sale",E2088*M2088,0)</f>
        <v>420</v>
      </c>
      <c r="P2088" s="45" t="n">
        <f aca="false">N2088-O2088</f>
        <v>180</v>
      </c>
      <c r="Q2088" s="45" t="n">
        <f aca="false">IF(D2088="Purchase",E2088*M2088,0)</f>
        <v>0</v>
      </c>
    </row>
    <row r="2089" customFormat="false" ht="15" hidden="false" customHeight="false" outlineLevel="0" collapsed="false">
      <c r="A2089" s="39" t="s">
        <v>2413</v>
      </c>
      <c r="B2089" s="44" t="n">
        <v>46085</v>
      </c>
      <c r="C2089" s="39" t="s">
        <v>146</v>
      </c>
      <c r="D2089" s="39" t="s">
        <v>138</v>
      </c>
      <c r="E2089" s="39" t="n">
        <v>25</v>
      </c>
      <c r="F2089" s="39" t="str">
        <f aca="false">IF(COUNTIF(medicine_master!$A$2:$A$26,C2089)&gt;0,"Valid","Invalid")</f>
        <v>Valid</v>
      </c>
      <c r="G2089" s="39" t="str">
        <f aca="false">IFERROR(INDEX(medicine_master!$B$2:$B$26,MATCH($C2089,medicine_master!$A$2:$A$26,0)),"Not found")</f>
        <v>Diclofenac Gel</v>
      </c>
      <c r="H2089" s="39" t="str">
        <f aca="false">IFERROR(INDEX(medicine_master!$C$2:$C$26,MATCH($C2089,medicine_master!$A$2:$A$26,0)),"Not found")</f>
        <v>Pain Relief</v>
      </c>
      <c r="I2089" s="39" t="n">
        <f aca="false">YEAR(B2089)</f>
        <v>2026</v>
      </c>
      <c r="J2089" s="39" t="n">
        <f aca="false">MONTH(B2089)</f>
        <v>3</v>
      </c>
      <c r="K2089" s="39" t="str">
        <f aca="false">TEXT(B2089,"mmm")</f>
        <v>Mar</v>
      </c>
      <c r="L2089" s="45" t="n">
        <f aca="false">IFERROR(INDEX(medicine_master!$I$2:$I$26,MATCH($C2089,medicine_master!$A$2:$A$26,0)),0)</f>
        <v>55</v>
      </c>
      <c r="M2089" s="45" t="n">
        <f aca="false">IFERROR(INDEX(medicine_master!$G$2:$G$26,MATCH($C2089,medicine_master!$A$2:$A$26,0)),0)</f>
        <v>38</v>
      </c>
      <c r="N2089" s="45" t="n">
        <f aca="false">IF(D2089="Sale",E2089*L2089,0)</f>
        <v>0</v>
      </c>
      <c r="O2089" s="45" t="n">
        <f aca="false">IF(D2089="Sale",E2089*M2089,0)</f>
        <v>0</v>
      </c>
      <c r="P2089" s="45" t="n">
        <f aca="false">N2089-O2089</f>
        <v>0</v>
      </c>
      <c r="Q2089" s="45" t="n">
        <f aca="false">IF(D2089="Purchase",E2089*M2089,0)</f>
        <v>950</v>
      </c>
    </row>
    <row r="2090" customFormat="false" ht="15" hidden="false" customHeight="false" outlineLevel="0" collapsed="false">
      <c r="A2090" s="39" t="s">
        <v>2414</v>
      </c>
      <c r="B2090" s="44" t="n">
        <v>46033</v>
      </c>
      <c r="C2090" s="39" t="s">
        <v>326</v>
      </c>
      <c r="D2090" s="39" t="s">
        <v>138</v>
      </c>
      <c r="E2090" s="39" t="n">
        <v>40</v>
      </c>
      <c r="F2090" s="39" t="str">
        <f aca="false">IF(COUNTIF(medicine_master!$A$2:$A$26,C2090)&gt;0,"Valid","Invalid")</f>
        <v>Valid</v>
      </c>
      <c r="G2090" s="39" t="str">
        <f aca="false">IFERROR(INDEX(medicine_master!$B$2:$B$26,MATCH($C2090,medicine_master!$A$2:$A$26,0)),"Not found")</f>
        <v>Omeprazole 20mg</v>
      </c>
      <c r="H2090" s="39" t="str">
        <f aca="false">IFERROR(INDEX(medicine_master!$C$2:$C$26,MATCH($C2090,medicine_master!$A$2:$A$26,0)),"Not found")</f>
        <v>Gastric</v>
      </c>
      <c r="I2090" s="39" t="n">
        <f aca="false">YEAR(B2090)</f>
        <v>2026</v>
      </c>
      <c r="J2090" s="39" t="n">
        <f aca="false">MONTH(B2090)</f>
        <v>1</v>
      </c>
      <c r="K2090" s="39" t="str">
        <f aca="false">TEXT(B2090,"mmm")</f>
        <v>Jan</v>
      </c>
      <c r="L2090" s="45" t="n">
        <f aca="false">IFERROR(INDEX(medicine_master!$I$2:$I$26,MATCH($C2090,medicine_master!$A$2:$A$26,0)),0)</f>
        <v>26</v>
      </c>
      <c r="M2090" s="45" t="n">
        <f aca="false">IFERROR(INDEX(medicine_master!$G$2:$G$26,MATCH($C2090,medicine_master!$A$2:$A$26,0)),0)</f>
        <v>18</v>
      </c>
      <c r="N2090" s="45" t="n">
        <f aca="false">IF(D2090="Sale",E2090*L2090,0)</f>
        <v>0</v>
      </c>
      <c r="O2090" s="45" t="n">
        <f aca="false">IF(D2090="Sale",E2090*M2090,0)</f>
        <v>0</v>
      </c>
      <c r="P2090" s="45" t="n">
        <f aca="false">N2090-O2090</f>
        <v>0</v>
      </c>
      <c r="Q2090" s="45" t="n">
        <f aca="false">IF(D2090="Purchase",E2090*M2090,0)</f>
        <v>720</v>
      </c>
    </row>
    <row r="2091" customFormat="false" ht="15" hidden="false" customHeight="false" outlineLevel="0" collapsed="false">
      <c r="A2091" s="39" t="s">
        <v>2415</v>
      </c>
      <c r="B2091" s="44" t="n">
        <v>46111</v>
      </c>
      <c r="C2091" s="39" t="s">
        <v>151</v>
      </c>
      <c r="D2091" s="39" t="s">
        <v>137</v>
      </c>
      <c r="E2091" s="39" t="n">
        <v>5</v>
      </c>
      <c r="F2091" s="39" t="str">
        <f aca="false">IF(COUNTIF(medicine_master!$A$2:$A$26,C2091)&gt;0,"Valid","Invalid")</f>
        <v>Valid</v>
      </c>
      <c r="G2091" s="39" t="str">
        <f aca="false">IFERROR(INDEX(medicine_master!$B$2:$B$26,MATCH($C2091,medicine_master!$A$2:$A$26,0)),"Not found")</f>
        <v>Cetirizine 10mg</v>
      </c>
      <c r="H2091" s="39" t="str">
        <f aca="false">IFERROR(INDEX(medicine_master!$C$2:$C$26,MATCH($C2091,medicine_master!$A$2:$A$26,0)),"Not found")</f>
        <v>Allergy</v>
      </c>
      <c r="I2091" s="39" t="n">
        <f aca="false">YEAR(B2091)</f>
        <v>2026</v>
      </c>
      <c r="J2091" s="39" t="n">
        <f aca="false">MONTH(B2091)</f>
        <v>3</v>
      </c>
      <c r="K2091" s="39" t="str">
        <f aca="false">TEXT(B2091,"mmm")</f>
        <v>Mar</v>
      </c>
      <c r="L2091" s="45" t="n">
        <f aca="false">IFERROR(INDEX(medicine_master!$I$2:$I$26,MATCH($C2091,medicine_master!$A$2:$A$26,0)),0)</f>
        <v>13</v>
      </c>
      <c r="M2091" s="45" t="n">
        <f aca="false">IFERROR(INDEX(medicine_master!$G$2:$G$26,MATCH($C2091,medicine_master!$A$2:$A$26,0)),0)</f>
        <v>8</v>
      </c>
      <c r="N2091" s="45" t="n">
        <f aca="false">IF(D2091="Sale",E2091*L2091,0)</f>
        <v>65</v>
      </c>
      <c r="O2091" s="45" t="n">
        <f aca="false">IF(D2091="Sale",E2091*M2091,0)</f>
        <v>40</v>
      </c>
      <c r="P2091" s="45" t="n">
        <f aca="false">N2091-O2091</f>
        <v>25</v>
      </c>
      <c r="Q2091" s="45" t="n">
        <f aca="false">IF(D2091="Purchase",E2091*M2091,0)</f>
        <v>0</v>
      </c>
    </row>
    <row r="2092" customFormat="false" ht="15" hidden="false" customHeight="false" outlineLevel="0" collapsed="false">
      <c r="A2092" s="39" t="s">
        <v>2416</v>
      </c>
      <c r="B2092" s="44" t="n">
        <v>46279</v>
      </c>
      <c r="C2092" s="39" t="s">
        <v>145</v>
      </c>
      <c r="D2092" s="39" t="s">
        <v>137</v>
      </c>
      <c r="E2092" s="39" t="n">
        <v>40</v>
      </c>
      <c r="F2092" s="39" t="str">
        <f aca="false">IF(COUNTIF(medicine_master!$A$2:$A$26,C2092)&gt;0,"Valid","Invalid")</f>
        <v>Valid</v>
      </c>
      <c r="G2092" s="39" t="str">
        <f aca="false">IFERROR(INDEX(medicine_master!$B$2:$B$26,MATCH($C2092,medicine_master!$A$2:$A$26,0)),"Not found")</f>
        <v>Clotrimazole Cream</v>
      </c>
      <c r="H2092" s="39" t="str">
        <f aca="false">IFERROR(INDEX(medicine_master!$C$2:$C$26,MATCH($C2092,medicine_master!$A$2:$A$26,0)),"Not found")</f>
        <v>Dermatology</v>
      </c>
      <c r="I2092" s="39" t="n">
        <f aca="false">YEAR(B2092)</f>
        <v>2026</v>
      </c>
      <c r="J2092" s="39" t="n">
        <f aca="false">MONTH(B2092)</f>
        <v>9</v>
      </c>
      <c r="K2092" s="39" t="str">
        <f aca="false">TEXT(B2092,"mmm")</f>
        <v>Sep</v>
      </c>
      <c r="L2092" s="45" t="n">
        <f aca="false">IFERROR(INDEX(medicine_master!$I$2:$I$26,MATCH($C2092,medicine_master!$A$2:$A$26,0)),0)</f>
        <v>48</v>
      </c>
      <c r="M2092" s="45" t="n">
        <f aca="false">IFERROR(INDEX(medicine_master!$G$2:$G$26,MATCH($C2092,medicine_master!$A$2:$A$26,0)),0)</f>
        <v>32</v>
      </c>
      <c r="N2092" s="45" t="n">
        <f aca="false">IF(D2092="Sale",E2092*L2092,0)</f>
        <v>1920</v>
      </c>
      <c r="O2092" s="45" t="n">
        <f aca="false">IF(D2092="Sale",E2092*M2092,0)</f>
        <v>1280</v>
      </c>
      <c r="P2092" s="45" t="n">
        <f aca="false">N2092-O2092</f>
        <v>640</v>
      </c>
      <c r="Q2092" s="45" t="n">
        <f aca="false">IF(D2092="Purchase",E2092*M2092,0)</f>
        <v>0</v>
      </c>
    </row>
    <row r="2093" customFormat="false" ht="15" hidden="false" customHeight="false" outlineLevel="0" collapsed="false">
      <c r="A2093" s="39" t="s">
        <v>2417</v>
      </c>
      <c r="B2093" s="44" t="n">
        <v>46127</v>
      </c>
      <c r="C2093" s="39" t="s">
        <v>151</v>
      </c>
      <c r="D2093" s="39" t="s">
        <v>137</v>
      </c>
      <c r="E2093" s="39" t="n">
        <v>15</v>
      </c>
      <c r="F2093" s="39" t="str">
        <f aca="false">IF(COUNTIF(medicine_master!$A$2:$A$26,C2093)&gt;0,"Valid","Invalid")</f>
        <v>Valid</v>
      </c>
      <c r="G2093" s="39" t="str">
        <f aca="false">IFERROR(INDEX(medicine_master!$B$2:$B$26,MATCH($C2093,medicine_master!$A$2:$A$26,0)),"Not found")</f>
        <v>Cetirizine 10mg</v>
      </c>
      <c r="H2093" s="39" t="str">
        <f aca="false">IFERROR(INDEX(medicine_master!$C$2:$C$26,MATCH($C2093,medicine_master!$A$2:$A$26,0)),"Not found")</f>
        <v>Allergy</v>
      </c>
      <c r="I2093" s="39" t="n">
        <f aca="false">YEAR(B2093)</f>
        <v>2026</v>
      </c>
      <c r="J2093" s="39" t="n">
        <f aca="false">MONTH(B2093)</f>
        <v>4</v>
      </c>
      <c r="K2093" s="39" t="str">
        <f aca="false">TEXT(B2093,"mmm")</f>
        <v>Apr</v>
      </c>
      <c r="L2093" s="45" t="n">
        <f aca="false">IFERROR(INDEX(medicine_master!$I$2:$I$26,MATCH($C2093,medicine_master!$A$2:$A$26,0)),0)</f>
        <v>13</v>
      </c>
      <c r="M2093" s="45" t="n">
        <f aca="false">IFERROR(INDEX(medicine_master!$G$2:$G$26,MATCH($C2093,medicine_master!$A$2:$A$26,0)),0)</f>
        <v>8</v>
      </c>
      <c r="N2093" s="45" t="n">
        <f aca="false">IF(D2093="Sale",E2093*L2093,0)</f>
        <v>195</v>
      </c>
      <c r="O2093" s="45" t="n">
        <f aca="false">IF(D2093="Sale",E2093*M2093,0)</f>
        <v>120</v>
      </c>
      <c r="P2093" s="45" t="n">
        <f aca="false">N2093-O2093</f>
        <v>75</v>
      </c>
      <c r="Q2093" s="45" t="n">
        <f aca="false">IF(D2093="Purchase",E2093*M2093,0)</f>
        <v>0</v>
      </c>
    </row>
    <row r="2094" customFormat="false" ht="15" hidden="false" customHeight="false" outlineLevel="0" collapsed="false">
      <c r="A2094" s="39" t="s">
        <v>2418</v>
      </c>
      <c r="B2094" s="44" t="n">
        <v>46116</v>
      </c>
      <c r="C2094" s="39" t="s">
        <v>160</v>
      </c>
      <c r="D2094" s="39" t="s">
        <v>137</v>
      </c>
      <c r="E2094" s="39" t="n">
        <v>20</v>
      </c>
      <c r="F2094" s="39" t="str">
        <f aca="false">IF(COUNTIF(medicine_master!$A$2:$A$26,C2094)&gt;0,"Valid","Invalid")</f>
        <v>Valid</v>
      </c>
      <c r="G2094" s="39" t="str">
        <f aca="false">IFERROR(INDEX(medicine_master!$B$2:$B$26,MATCH($C2094,medicine_master!$A$2:$A$26,0)),"Not found")</f>
        <v>Calamine Lotion</v>
      </c>
      <c r="H2094" s="39" t="str">
        <f aca="false">IFERROR(INDEX(medicine_master!$C$2:$C$26,MATCH($C2094,medicine_master!$A$2:$A$26,0)),"Not found")</f>
        <v>Dermatology</v>
      </c>
      <c r="I2094" s="39" t="n">
        <f aca="false">YEAR(B2094)</f>
        <v>2026</v>
      </c>
      <c r="J2094" s="39" t="n">
        <f aca="false">MONTH(B2094)</f>
        <v>4</v>
      </c>
      <c r="K2094" s="39" t="str">
        <f aca="false">TEXT(B2094,"mmm")</f>
        <v>Apr</v>
      </c>
      <c r="L2094" s="45" t="n">
        <f aca="false">IFERROR(INDEX(medicine_master!$I$2:$I$26,MATCH($C2094,medicine_master!$A$2:$A$26,0)),0)</f>
        <v>60</v>
      </c>
      <c r="M2094" s="45" t="n">
        <f aca="false">IFERROR(INDEX(medicine_master!$G$2:$G$26,MATCH($C2094,medicine_master!$A$2:$A$26,0)),0)</f>
        <v>42</v>
      </c>
      <c r="N2094" s="45" t="n">
        <f aca="false">IF(D2094="Sale",E2094*L2094,0)</f>
        <v>1200</v>
      </c>
      <c r="O2094" s="45" t="n">
        <f aca="false">IF(D2094="Sale",E2094*M2094,0)</f>
        <v>840</v>
      </c>
      <c r="P2094" s="45" t="n">
        <f aca="false">N2094-O2094</f>
        <v>360</v>
      </c>
      <c r="Q2094" s="45" t="n">
        <f aca="false">IF(D2094="Purchase",E2094*M2094,0)</f>
        <v>0</v>
      </c>
    </row>
    <row r="2095" customFormat="false" ht="15" hidden="false" customHeight="false" outlineLevel="0" collapsed="false">
      <c r="A2095" s="39" t="s">
        <v>2419</v>
      </c>
      <c r="B2095" s="44" t="n">
        <v>46279</v>
      </c>
      <c r="C2095" s="39" t="s">
        <v>178</v>
      </c>
      <c r="D2095" s="39" t="s">
        <v>137</v>
      </c>
      <c r="E2095" s="39" t="n">
        <v>20</v>
      </c>
      <c r="F2095" s="39" t="str">
        <f aca="false">IF(COUNTIF(medicine_master!$A$2:$A$26,C2095)&gt;0,"Valid","Invalid")</f>
        <v>Valid</v>
      </c>
      <c r="G2095" s="39" t="str">
        <f aca="false">IFERROR(INDEX(medicine_master!$B$2:$B$26,MATCH($C2095,medicine_master!$A$2:$A$26,0)),"Not found")</f>
        <v>Aspirin 75mg</v>
      </c>
      <c r="H2095" s="39" t="str">
        <f aca="false">IFERROR(INDEX(medicine_master!$C$2:$C$26,MATCH($C2095,medicine_master!$A$2:$A$26,0)),"Not found")</f>
        <v>Cardiac</v>
      </c>
      <c r="I2095" s="39" t="n">
        <f aca="false">YEAR(B2095)</f>
        <v>2026</v>
      </c>
      <c r="J2095" s="39" t="n">
        <f aca="false">MONTH(B2095)</f>
        <v>9</v>
      </c>
      <c r="K2095" s="39" t="str">
        <f aca="false">TEXT(B2095,"mmm")</f>
        <v>Sep</v>
      </c>
      <c r="L2095" s="45" t="n">
        <f aca="false">IFERROR(INDEX(medicine_master!$I$2:$I$26,MATCH($C2095,medicine_master!$A$2:$A$26,0)),0)</f>
        <v>15</v>
      </c>
      <c r="M2095" s="45" t="n">
        <f aca="false">IFERROR(INDEX(medicine_master!$G$2:$G$26,MATCH($C2095,medicine_master!$A$2:$A$26,0)),0)</f>
        <v>10</v>
      </c>
      <c r="N2095" s="45" t="n">
        <f aca="false">IF(D2095="Sale",E2095*L2095,0)</f>
        <v>300</v>
      </c>
      <c r="O2095" s="45" t="n">
        <f aca="false">IF(D2095="Sale",E2095*M2095,0)</f>
        <v>200</v>
      </c>
      <c r="P2095" s="45" t="n">
        <f aca="false">N2095-O2095</f>
        <v>100</v>
      </c>
      <c r="Q2095" s="45" t="n">
        <f aca="false">IF(D2095="Purchase",E2095*M2095,0)</f>
        <v>0</v>
      </c>
    </row>
    <row r="2096" customFormat="false" ht="15" hidden="false" customHeight="false" outlineLevel="0" collapsed="false">
      <c r="A2096" s="39" t="s">
        <v>2420</v>
      </c>
      <c r="B2096" s="44" t="n">
        <v>46194</v>
      </c>
      <c r="C2096" s="39" t="s">
        <v>177</v>
      </c>
      <c r="D2096" s="39" t="s">
        <v>137</v>
      </c>
      <c r="E2096" s="39" t="n">
        <v>10</v>
      </c>
      <c r="F2096" s="39" t="str">
        <f aca="false">IF(COUNTIF(medicine_master!$A$2:$A$26,C2096)&gt;0,"Valid","Invalid")</f>
        <v>Valid</v>
      </c>
      <c r="G2096" s="39" t="str">
        <f aca="false">IFERROR(INDEX(medicine_master!$B$2:$B$26,MATCH($C2096,medicine_master!$A$2:$A$26,0)),"Not found")</f>
        <v>Bandage Roll</v>
      </c>
      <c r="H2096" s="39" t="str">
        <f aca="false">IFERROR(INDEX(medicine_master!$C$2:$C$26,MATCH($C2096,medicine_master!$A$2:$A$26,0)),"Not found")</f>
        <v>First Aid</v>
      </c>
      <c r="I2096" s="39" t="n">
        <f aca="false">YEAR(B2096)</f>
        <v>2026</v>
      </c>
      <c r="J2096" s="39" t="n">
        <f aca="false">MONTH(B2096)</f>
        <v>6</v>
      </c>
      <c r="K2096" s="39" t="str">
        <f aca="false">TEXT(B2096,"mmm")</f>
        <v>Jun</v>
      </c>
      <c r="L2096" s="45" t="n">
        <f aca="false">IFERROR(INDEX(medicine_master!$I$2:$I$26,MATCH($C2096,medicine_master!$A$2:$A$26,0)),0)</f>
        <v>25</v>
      </c>
      <c r="M2096" s="45" t="n">
        <f aca="false">IFERROR(INDEX(medicine_master!$G$2:$G$26,MATCH($C2096,medicine_master!$A$2:$A$26,0)),0)</f>
        <v>15</v>
      </c>
      <c r="N2096" s="45" t="n">
        <f aca="false">IF(D2096="Sale",E2096*L2096,0)</f>
        <v>250</v>
      </c>
      <c r="O2096" s="45" t="n">
        <f aca="false">IF(D2096="Sale",E2096*M2096,0)</f>
        <v>150</v>
      </c>
      <c r="P2096" s="45" t="n">
        <f aca="false">N2096-O2096</f>
        <v>100</v>
      </c>
      <c r="Q2096" s="45" t="n">
        <f aca="false">IF(D2096="Purchase",E2096*M2096,0)</f>
        <v>0</v>
      </c>
    </row>
    <row r="2097" customFormat="false" ht="15" hidden="false" customHeight="false" outlineLevel="0" collapsed="false">
      <c r="A2097" s="39" t="s">
        <v>2421</v>
      </c>
      <c r="B2097" s="44" t="n">
        <v>46205</v>
      </c>
      <c r="C2097" s="39" t="s">
        <v>159</v>
      </c>
      <c r="D2097" s="39" t="s">
        <v>138</v>
      </c>
      <c r="E2097" s="39" t="n">
        <v>20</v>
      </c>
      <c r="F2097" s="39" t="str">
        <f aca="false">IF(COUNTIF(medicine_master!$A$2:$A$26,C2097)&gt;0,"Valid","Invalid")</f>
        <v>Valid</v>
      </c>
      <c r="G2097" s="39" t="str">
        <f aca="false">IFERROR(INDEX(medicine_master!$B$2:$B$26,MATCH($C2097,medicine_master!$A$2:$A$26,0)),"Not found")</f>
        <v>Antiseptic Liquid 100ml</v>
      </c>
      <c r="H2097" s="39" t="str">
        <f aca="false">IFERROR(INDEX(medicine_master!$C$2:$C$26,MATCH($C2097,medicine_master!$A$2:$A$26,0)),"Not found")</f>
        <v>First Aid</v>
      </c>
      <c r="I2097" s="39" t="n">
        <f aca="false">YEAR(B2097)</f>
        <v>2026</v>
      </c>
      <c r="J2097" s="39" t="n">
        <f aca="false">MONTH(B2097)</f>
        <v>7</v>
      </c>
      <c r="K2097" s="39" t="str">
        <f aca="false">TEXT(B2097,"mmm")</f>
        <v>Jul</v>
      </c>
      <c r="L2097" s="45" t="n">
        <f aca="false">IFERROR(INDEX(medicine_master!$I$2:$I$26,MATCH($C2097,medicine_master!$A$2:$A$26,0)),0)</f>
        <v>65</v>
      </c>
      <c r="M2097" s="45" t="n">
        <f aca="false">IFERROR(INDEX(medicine_master!$G$2:$G$26,MATCH($C2097,medicine_master!$A$2:$A$26,0)),0)</f>
        <v>48</v>
      </c>
      <c r="N2097" s="45" t="n">
        <f aca="false">IF(D2097="Sale",E2097*L2097,0)</f>
        <v>0</v>
      </c>
      <c r="O2097" s="45" t="n">
        <f aca="false">IF(D2097="Sale",E2097*M2097,0)</f>
        <v>0</v>
      </c>
      <c r="P2097" s="45" t="n">
        <f aca="false">N2097-O2097</f>
        <v>0</v>
      </c>
      <c r="Q2097" s="45" t="n">
        <f aca="false">IF(D2097="Purchase",E2097*M2097,0)</f>
        <v>960</v>
      </c>
    </row>
    <row r="2098" customFormat="false" ht="15" hidden="false" customHeight="false" outlineLevel="0" collapsed="false">
      <c r="A2098" s="39" t="s">
        <v>2422</v>
      </c>
      <c r="B2098" s="44" t="n">
        <v>46305</v>
      </c>
      <c r="C2098" s="39" t="s">
        <v>150</v>
      </c>
      <c r="D2098" s="39" t="s">
        <v>138</v>
      </c>
      <c r="E2098" s="39" t="n">
        <v>20</v>
      </c>
      <c r="F2098" s="39" t="str">
        <f aca="false">IF(COUNTIF(medicine_master!$A$2:$A$26,C2098)&gt;0,"Valid","Invalid")</f>
        <v>Valid</v>
      </c>
      <c r="G2098" s="39" t="str">
        <f aca="false">IFERROR(INDEX(medicine_master!$B$2:$B$26,MATCH($C2098,medicine_master!$A$2:$A$26,0)),"Not found")</f>
        <v>Pantoprazole 40mg</v>
      </c>
      <c r="H2098" s="39" t="str">
        <f aca="false">IFERROR(INDEX(medicine_master!$C$2:$C$26,MATCH($C2098,medicine_master!$A$2:$A$26,0)),"Not found")</f>
        <v>Gastric</v>
      </c>
      <c r="I2098" s="39" t="n">
        <f aca="false">YEAR(B2098)</f>
        <v>2026</v>
      </c>
      <c r="J2098" s="39" t="n">
        <f aca="false">MONTH(B2098)</f>
        <v>10</v>
      </c>
      <c r="K2098" s="39" t="str">
        <f aca="false">TEXT(B2098,"mmm")</f>
        <v>Oct</v>
      </c>
      <c r="L2098" s="45" t="n">
        <f aca="false">IFERROR(INDEX(medicine_master!$I$2:$I$26,MATCH($C2098,medicine_master!$A$2:$A$26,0)),0)</f>
        <v>35</v>
      </c>
      <c r="M2098" s="45" t="n">
        <f aca="false">IFERROR(INDEX(medicine_master!$G$2:$G$26,MATCH($C2098,medicine_master!$A$2:$A$26,0)),0)</f>
        <v>24</v>
      </c>
      <c r="N2098" s="45" t="n">
        <f aca="false">IF(D2098="Sale",E2098*L2098,0)</f>
        <v>0</v>
      </c>
      <c r="O2098" s="45" t="n">
        <f aca="false">IF(D2098="Sale",E2098*M2098,0)</f>
        <v>0</v>
      </c>
      <c r="P2098" s="45" t="n">
        <f aca="false">N2098-O2098</f>
        <v>0</v>
      </c>
      <c r="Q2098" s="45" t="n">
        <f aca="false">IF(D2098="Purchase",E2098*M2098,0)</f>
        <v>480</v>
      </c>
    </row>
    <row r="2099" customFormat="false" ht="15" hidden="false" customHeight="false" outlineLevel="0" collapsed="false">
      <c r="A2099" s="39" t="s">
        <v>2423</v>
      </c>
      <c r="B2099" s="44" t="n">
        <v>46045</v>
      </c>
      <c r="C2099" s="39" t="s">
        <v>149</v>
      </c>
      <c r="D2099" s="39" t="s">
        <v>137</v>
      </c>
      <c r="E2099" s="39" t="n">
        <v>15</v>
      </c>
      <c r="F2099" s="39" t="str">
        <f aca="false">IF(COUNTIF(medicine_master!$A$2:$A$26,C2099)&gt;0,"Valid","Invalid")</f>
        <v>Valid</v>
      </c>
      <c r="G2099" s="39" t="str">
        <f aca="false">IFERROR(INDEX(medicine_master!$B$2:$B$26,MATCH($C2099,medicine_master!$A$2:$A$26,0)),"Not found")</f>
        <v>Azithromycin 500mg</v>
      </c>
      <c r="H2099" s="39" t="str">
        <f aca="false">IFERROR(INDEX(medicine_master!$C$2:$C$26,MATCH($C2099,medicine_master!$A$2:$A$26,0)),"Not found")</f>
        <v>Antibiotic</v>
      </c>
      <c r="I2099" s="39" t="n">
        <f aca="false">YEAR(B2099)</f>
        <v>2026</v>
      </c>
      <c r="J2099" s="39" t="n">
        <f aca="false">MONTH(B2099)</f>
        <v>1</v>
      </c>
      <c r="K2099" s="39" t="str">
        <f aca="false">TEXT(B2099,"mmm")</f>
        <v>Jan</v>
      </c>
      <c r="L2099" s="45" t="n">
        <f aca="false">IFERROR(INDEX(medicine_master!$I$2:$I$26,MATCH($C2099,medicine_master!$A$2:$A$26,0)),0)</f>
        <v>50</v>
      </c>
      <c r="M2099" s="45" t="n">
        <f aca="false">IFERROR(INDEX(medicine_master!$G$2:$G$26,MATCH($C2099,medicine_master!$A$2:$A$26,0)),0)</f>
        <v>35</v>
      </c>
      <c r="N2099" s="45" t="n">
        <f aca="false">IF(D2099="Sale",E2099*L2099,0)</f>
        <v>750</v>
      </c>
      <c r="O2099" s="45" t="n">
        <f aca="false">IF(D2099="Sale",E2099*M2099,0)</f>
        <v>525</v>
      </c>
      <c r="P2099" s="45" t="n">
        <f aca="false">N2099-O2099</f>
        <v>225</v>
      </c>
      <c r="Q2099" s="45" t="n">
        <f aca="false">IF(D2099="Purchase",E2099*M2099,0)</f>
        <v>0</v>
      </c>
    </row>
    <row r="2100" customFormat="false" ht="15" hidden="false" customHeight="false" outlineLevel="0" collapsed="false">
      <c r="A2100" s="39" t="s">
        <v>2424</v>
      </c>
      <c r="B2100" s="44" t="n">
        <v>46115</v>
      </c>
      <c r="C2100" s="39" t="s">
        <v>345</v>
      </c>
      <c r="D2100" s="39" t="s">
        <v>138</v>
      </c>
      <c r="E2100" s="39" t="n">
        <v>40</v>
      </c>
      <c r="F2100" s="39" t="str">
        <f aca="false">IF(COUNTIF(medicine_master!$A$2:$A$26,C2100)&gt;0,"Valid","Invalid")</f>
        <v>Valid</v>
      </c>
      <c r="G2100" s="39" t="str">
        <f aca="false">IFERROR(INDEX(medicine_master!$B$2:$B$26,MATCH($C2100,medicine_master!$A$2:$A$26,0)),"Not found")</f>
        <v>Paracetamol 500mg</v>
      </c>
      <c r="H2100" s="39" t="str">
        <f aca="false">IFERROR(INDEX(medicine_master!$C$2:$C$26,MATCH($C2100,medicine_master!$A$2:$A$26,0)),"Not found")</f>
        <v>Pain Relief</v>
      </c>
      <c r="I2100" s="39" t="n">
        <f aca="false">YEAR(B2100)</f>
        <v>2026</v>
      </c>
      <c r="J2100" s="39" t="n">
        <f aca="false">MONTH(B2100)</f>
        <v>4</v>
      </c>
      <c r="K2100" s="39" t="str">
        <f aca="false">TEXT(B2100,"mmm")</f>
        <v>Apr</v>
      </c>
      <c r="L2100" s="45" t="n">
        <f aca="false">IFERROR(INDEX(medicine_master!$I$2:$I$26,MATCH($C2100,medicine_master!$A$2:$A$26,0)),0)</f>
        <v>18</v>
      </c>
      <c r="M2100" s="45" t="n">
        <f aca="false">IFERROR(INDEX(medicine_master!$G$2:$G$26,MATCH($C2100,medicine_master!$A$2:$A$26,0)),0)</f>
        <v>12</v>
      </c>
      <c r="N2100" s="45" t="n">
        <f aca="false">IF(D2100="Sale",E2100*L2100,0)</f>
        <v>0</v>
      </c>
      <c r="O2100" s="45" t="n">
        <f aca="false">IF(D2100="Sale",E2100*M2100,0)</f>
        <v>0</v>
      </c>
      <c r="P2100" s="45" t="n">
        <f aca="false">N2100-O2100</f>
        <v>0</v>
      </c>
      <c r="Q2100" s="45" t="n">
        <f aca="false">IF(D2100="Purchase",E2100*M2100,0)</f>
        <v>480</v>
      </c>
    </row>
    <row r="2101" customFormat="false" ht="15" hidden="false" customHeight="false" outlineLevel="0" collapsed="false">
      <c r="A2101" s="39" t="s">
        <v>2425</v>
      </c>
      <c r="B2101" s="44" t="n">
        <v>46247</v>
      </c>
      <c r="C2101" s="39" t="s">
        <v>145</v>
      </c>
      <c r="D2101" s="39" t="s">
        <v>137</v>
      </c>
      <c r="E2101" s="39" t="n">
        <v>5</v>
      </c>
      <c r="F2101" s="39" t="str">
        <f aca="false">IF(COUNTIF(medicine_master!$A$2:$A$26,C2101)&gt;0,"Valid","Invalid")</f>
        <v>Valid</v>
      </c>
      <c r="G2101" s="39" t="str">
        <f aca="false">IFERROR(INDEX(medicine_master!$B$2:$B$26,MATCH($C2101,medicine_master!$A$2:$A$26,0)),"Not found")</f>
        <v>Clotrimazole Cream</v>
      </c>
      <c r="H2101" s="39" t="str">
        <f aca="false">IFERROR(INDEX(medicine_master!$C$2:$C$26,MATCH($C2101,medicine_master!$A$2:$A$26,0)),"Not found")</f>
        <v>Dermatology</v>
      </c>
      <c r="I2101" s="39" t="n">
        <f aca="false">YEAR(B2101)</f>
        <v>2026</v>
      </c>
      <c r="J2101" s="39" t="n">
        <f aca="false">MONTH(B2101)</f>
        <v>8</v>
      </c>
      <c r="K2101" s="39" t="str">
        <f aca="false">TEXT(B2101,"mmm")</f>
        <v>Aug</v>
      </c>
      <c r="L2101" s="45" t="n">
        <f aca="false">IFERROR(INDEX(medicine_master!$I$2:$I$26,MATCH($C2101,medicine_master!$A$2:$A$26,0)),0)</f>
        <v>48</v>
      </c>
      <c r="M2101" s="45" t="n">
        <f aca="false">IFERROR(INDEX(medicine_master!$G$2:$G$26,MATCH($C2101,medicine_master!$A$2:$A$26,0)),0)</f>
        <v>32</v>
      </c>
      <c r="N2101" s="45" t="n">
        <f aca="false">IF(D2101="Sale",E2101*L2101,0)</f>
        <v>240</v>
      </c>
      <c r="O2101" s="45" t="n">
        <f aca="false">IF(D2101="Sale",E2101*M2101,0)</f>
        <v>160</v>
      </c>
      <c r="P2101" s="45" t="n">
        <f aca="false">N2101-O2101</f>
        <v>80</v>
      </c>
      <c r="Q2101" s="45" t="n">
        <f aca="false">IF(D2101="Purchase",E2101*M2101,0)</f>
        <v>0</v>
      </c>
    </row>
    <row r="2102" customFormat="false" ht="15" hidden="false" customHeight="false" outlineLevel="0" collapsed="false">
      <c r="A2102" s="39" t="s">
        <v>2426</v>
      </c>
      <c r="B2102" s="44" t="n">
        <v>46214</v>
      </c>
      <c r="C2102" s="39" t="s">
        <v>146</v>
      </c>
      <c r="D2102" s="39" t="s">
        <v>137</v>
      </c>
      <c r="E2102" s="39" t="n">
        <v>20</v>
      </c>
      <c r="F2102" s="39" t="str">
        <f aca="false">IF(COUNTIF(medicine_master!$A$2:$A$26,C2102)&gt;0,"Valid","Invalid")</f>
        <v>Valid</v>
      </c>
      <c r="G2102" s="39" t="str">
        <f aca="false">IFERROR(INDEX(medicine_master!$B$2:$B$26,MATCH($C2102,medicine_master!$A$2:$A$26,0)),"Not found")</f>
        <v>Diclofenac Gel</v>
      </c>
      <c r="H2102" s="39" t="str">
        <f aca="false">IFERROR(INDEX(medicine_master!$C$2:$C$26,MATCH($C2102,medicine_master!$A$2:$A$26,0)),"Not found")</f>
        <v>Pain Relief</v>
      </c>
      <c r="I2102" s="39" t="n">
        <f aca="false">YEAR(B2102)</f>
        <v>2026</v>
      </c>
      <c r="J2102" s="39" t="n">
        <f aca="false">MONTH(B2102)</f>
        <v>7</v>
      </c>
      <c r="K2102" s="39" t="str">
        <f aca="false">TEXT(B2102,"mmm")</f>
        <v>Jul</v>
      </c>
      <c r="L2102" s="45" t="n">
        <f aca="false">IFERROR(INDEX(medicine_master!$I$2:$I$26,MATCH($C2102,medicine_master!$A$2:$A$26,0)),0)</f>
        <v>55</v>
      </c>
      <c r="M2102" s="45" t="n">
        <f aca="false">IFERROR(INDEX(medicine_master!$G$2:$G$26,MATCH($C2102,medicine_master!$A$2:$A$26,0)),0)</f>
        <v>38</v>
      </c>
      <c r="N2102" s="45" t="n">
        <f aca="false">IF(D2102="Sale",E2102*L2102,0)</f>
        <v>1100</v>
      </c>
      <c r="O2102" s="45" t="n">
        <f aca="false">IF(D2102="Sale",E2102*M2102,0)</f>
        <v>760</v>
      </c>
      <c r="P2102" s="45" t="n">
        <f aca="false">N2102-O2102</f>
        <v>340</v>
      </c>
      <c r="Q2102" s="45" t="n">
        <f aca="false">IF(D2102="Purchase",E2102*M2102,0)</f>
        <v>0</v>
      </c>
    </row>
    <row r="2103" customFormat="false" ht="15" hidden="false" customHeight="false" outlineLevel="0" collapsed="false">
      <c r="A2103" s="39" t="s">
        <v>2427</v>
      </c>
      <c r="B2103" s="44" t="n">
        <v>46174</v>
      </c>
      <c r="C2103" s="39" t="s">
        <v>167</v>
      </c>
      <c r="D2103" s="39" t="s">
        <v>137</v>
      </c>
      <c r="E2103" s="39" t="n">
        <v>25</v>
      </c>
      <c r="F2103" s="39" t="str">
        <f aca="false">IF(COUNTIF(medicine_master!$A$2:$A$26,C2103)&gt;0,"Valid","Invalid")</f>
        <v>Valid</v>
      </c>
      <c r="G2103" s="39" t="str">
        <f aca="false">IFERROR(INDEX(medicine_master!$B$2:$B$26,MATCH($C2103,medicine_master!$A$2:$A$26,0)),"Not found")</f>
        <v>Amlodipine 5mg</v>
      </c>
      <c r="H2103" s="39" t="str">
        <f aca="false">IFERROR(INDEX(medicine_master!$C$2:$C$26,MATCH($C2103,medicine_master!$A$2:$A$26,0)),"Not found")</f>
        <v>Cardiac</v>
      </c>
      <c r="I2103" s="39" t="n">
        <f aca="false">YEAR(B2103)</f>
        <v>2026</v>
      </c>
      <c r="J2103" s="39" t="n">
        <f aca="false">MONTH(B2103)</f>
        <v>6</v>
      </c>
      <c r="K2103" s="39" t="str">
        <f aca="false">TEXT(B2103,"mmm")</f>
        <v>Jun</v>
      </c>
      <c r="L2103" s="45" t="n">
        <f aca="false">IFERROR(INDEX(medicine_master!$I$2:$I$26,MATCH($C2103,medicine_master!$A$2:$A$26,0)),0)</f>
        <v>19</v>
      </c>
      <c r="M2103" s="45" t="n">
        <f aca="false">IFERROR(INDEX(medicine_master!$G$2:$G$26,MATCH($C2103,medicine_master!$A$2:$A$26,0)),0)</f>
        <v>13</v>
      </c>
      <c r="N2103" s="45" t="n">
        <f aca="false">IF(D2103="Sale",E2103*L2103,0)</f>
        <v>475</v>
      </c>
      <c r="O2103" s="45" t="n">
        <f aca="false">IF(D2103="Sale",E2103*M2103,0)</f>
        <v>325</v>
      </c>
      <c r="P2103" s="45" t="n">
        <f aca="false">N2103-O2103</f>
        <v>150</v>
      </c>
      <c r="Q2103" s="45" t="n">
        <f aca="false">IF(D2103="Purchase",E2103*M2103,0)</f>
        <v>0</v>
      </c>
    </row>
    <row r="2104" customFormat="false" ht="15" hidden="false" customHeight="false" outlineLevel="0" collapsed="false">
      <c r="A2104" s="39" t="s">
        <v>2428</v>
      </c>
      <c r="B2104" s="44" t="n">
        <v>46037</v>
      </c>
      <c r="C2104" s="39" t="s">
        <v>150</v>
      </c>
      <c r="D2104" s="39" t="s">
        <v>138</v>
      </c>
      <c r="E2104" s="39" t="n">
        <v>10</v>
      </c>
      <c r="F2104" s="39" t="str">
        <f aca="false">IF(COUNTIF(medicine_master!$A$2:$A$26,C2104)&gt;0,"Valid","Invalid")</f>
        <v>Valid</v>
      </c>
      <c r="G2104" s="39" t="str">
        <f aca="false">IFERROR(INDEX(medicine_master!$B$2:$B$26,MATCH($C2104,medicine_master!$A$2:$A$26,0)),"Not found")</f>
        <v>Pantoprazole 40mg</v>
      </c>
      <c r="H2104" s="39" t="str">
        <f aca="false">IFERROR(INDEX(medicine_master!$C$2:$C$26,MATCH($C2104,medicine_master!$A$2:$A$26,0)),"Not found")</f>
        <v>Gastric</v>
      </c>
      <c r="I2104" s="39" t="n">
        <f aca="false">YEAR(B2104)</f>
        <v>2026</v>
      </c>
      <c r="J2104" s="39" t="n">
        <f aca="false">MONTH(B2104)</f>
        <v>1</v>
      </c>
      <c r="K2104" s="39" t="str">
        <f aca="false">TEXT(B2104,"mmm")</f>
        <v>Jan</v>
      </c>
      <c r="L2104" s="45" t="n">
        <f aca="false">IFERROR(INDEX(medicine_master!$I$2:$I$26,MATCH($C2104,medicine_master!$A$2:$A$26,0)),0)</f>
        <v>35</v>
      </c>
      <c r="M2104" s="45" t="n">
        <f aca="false">IFERROR(INDEX(medicine_master!$G$2:$G$26,MATCH($C2104,medicine_master!$A$2:$A$26,0)),0)</f>
        <v>24</v>
      </c>
      <c r="N2104" s="45" t="n">
        <f aca="false">IF(D2104="Sale",E2104*L2104,0)</f>
        <v>0</v>
      </c>
      <c r="O2104" s="45" t="n">
        <f aca="false">IF(D2104="Sale",E2104*M2104,0)</f>
        <v>0</v>
      </c>
      <c r="P2104" s="45" t="n">
        <f aca="false">N2104-O2104</f>
        <v>0</v>
      </c>
      <c r="Q2104" s="45" t="n">
        <f aca="false">IF(D2104="Purchase",E2104*M2104,0)</f>
        <v>240</v>
      </c>
    </row>
    <row r="2105" customFormat="false" ht="15" hidden="false" customHeight="false" outlineLevel="0" collapsed="false">
      <c r="A2105" s="39" t="s">
        <v>2429</v>
      </c>
      <c r="B2105" s="44" t="n">
        <v>46074</v>
      </c>
      <c r="C2105" s="39" t="s">
        <v>345</v>
      </c>
      <c r="D2105" s="39" t="s">
        <v>138</v>
      </c>
      <c r="E2105" s="39" t="n">
        <v>15</v>
      </c>
      <c r="F2105" s="39" t="str">
        <f aca="false">IF(COUNTIF(medicine_master!$A$2:$A$26,C2105)&gt;0,"Valid","Invalid")</f>
        <v>Valid</v>
      </c>
      <c r="G2105" s="39" t="str">
        <f aca="false">IFERROR(INDEX(medicine_master!$B$2:$B$26,MATCH($C2105,medicine_master!$A$2:$A$26,0)),"Not found")</f>
        <v>Paracetamol 500mg</v>
      </c>
      <c r="H2105" s="39" t="str">
        <f aca="false">IFERROR(INDEX(medicine_master!$C$2:$C$26,MATCH($C2105,medicine_master!$A$2:$A$26,0)),"Not found")</f>
        <v>Pain Relief</v>
      </c>
      <c r="I2105" s="39" t="n">
        <f aca="false">YEAR(B2105)</f>
        <v>2026</v>
      </c>
      <c r="J2105" s="39" t="n">
        <f aca="false">MONTH(B2105)</f>
        <v>2</v>
      </c>
      <c r="K2105" s="39" t="str">
        <f aca="false">TEXT(B2105,"mmm")</f>
        <v>Feb</v>
      </c>
      <c r="L2105" s="45" t="n">
        <f aca="false">IFERROR(INDEX(medicine_master!$I$2:$I$26,MATCH($C2105,medicine_master!$A$2:$A$26,0)),0)</f>
        <v>18</v>
      </c>
      <c r="M2105" s="45" t="n">
        <f aca="false">IFERROR(INDEX(medicine_master!$G$2:$G$26,MATCH($C2105,medicine_master!$A$2:$A$26,0)),0)</f>
        <v>12</v>
      </c>
      <c r="N2105" s="45" t="n">
        <f aca="false">IF(D2105="Sale",E2105*L2105,0)</f>
        <v>0</v>
      </c>
      <c r="O2105" s="45" t="n">
        <f aca="false">IF(D2105="Sale",E2105*M2105,0)</f>
        <v>0</v>
      </c>
      <c r="P2105" s="45" t="n">
        <f aca="false">N2105-O2105</f>
        <v>0</v>
      </c>
      <c r="Q2105" s="45" t="n">
        <f aca="false">IF(D2105="Purchase",E2105*M2105,0)</f>
        <v>180</v>
      </c>
    </row>
    <row r="2106" customFormat="false" ht="15" hidden="false" customHeight="false" outlineLevel="0" collapsed="false">
      <c r="A2106" s="39" t="s">
        <v>2430</v>
      </c>
      <c r="B2106" s="44" t="n">
        <v>46341</v>
      </c>
      <c r="C2106" s="39" t="s">
        <v>152</v>
      </c>
      <c r="D2106" s="39" t="s">
        <v>137</v>
      </c>
      <c r="E2106" s="39" t="n">
        <v>5</v>
      </c>
      <c r="F2106" s="39" t="str">
        <f aca="false">IF(COUNTIF(medicine_master!$A$2:$A$26,C2106)&gt;0,"Valid","Invalid")</f>
        <v>Valid</v>
      </c>
      <c r="G2106" s="39" t="str">
        <f aca="false">IFERROR(INDEX(medicine_master!$B$2:$B$26,MATCH($C2106,medicine_master!$A$2:$A$26,0)),"Not found")</f>
        <v>Amoxicillin 500mg</v>
      </c>
      <c r="H2106" s="39" t="str">
        <f aca="false">IFERROR(INDEX(medicine_master!$C$2:$C$26,MATCH($C2106,medicine_master!$A$2:$A$26,0)),"Not found")</f>
        <v>Antibiotic</v>
      </c>
      <c r="I2106" s="39" t="n">
        <f aca="false">YEAR(B2106)</f>
        <v>2026</v>
      </c>
      <c r="J2106" s="39" t="n">
        <f aca="false">MONTH(B2106)</f>
        <v>11</v>
      </c>
      <c r="K2106" s="39" t="str">
        <f aca="false">TEXT(B2106,"mmm")</f>
        <v>Nov</v>
      </c>
      <c r="L2106" s="45" t="n">
        <f aca="false">IFERROR(INDEX(medicine_master!$I$2:$I$26,MATCH($C2106,medicine_master!$A$2:$A$26,0)),0)</f>
        <v>40</v>
      </c>
      <c r="M2106" s="45" t="n">
        <f aca="false">IFERROR(INDEX(medicine_master!$G$2:$G$26,MATCH($C2106,medicine_master!$A$2:$A$26,0)),0)</f>
        <v>28</v>
      </c>
      <c r="N2106" s="45" t="n">
        <f aca="false">IF(D2106="Sale",E2106*L2106,0)</f>
        <v>200</v>
      </c>
      <c r="O2106" s="45" t="n">
        <f aca="false">IF(D2106="Sale",E2106*M2106,0)</f>
        <v>140</v>
      </c>
      <c r="P2106" s="45" t="n">
        <f aca="false">N2106-O2106</f>
        <v>60</v>
      </c>
      <c r="Q2106" s="45" t="n">
        <f aca="false">IF(D2106="Purchase",E2106*M2106,0)</f>
        <v>0</v>
      </c>
    </row>
    <row r="2107" customFormat="false" ht="15" hidden="false" customHeight="false" outlineLevel="0" collapsed="false">
      <c r="A2107" s="39" t="s">
        <v>2431</v>
      </c>
      <c r="B2107" s="44" t="n">
        <v>46316</v>
      </c>
      <c r="C2107" s="39" t="s">
        <v>180</v>
      </c>
      <c r="D2107" s="39" t="s">
        <v>137</v>
      </c>
      <c r="E2107" s="39" t="n">
        <v>5</v>
      </c>
      <c r="F2107" s="39" t="str">
        <f aca="false">IF(COUNTIF(medicine_master!$A$2:$A$26,C2107)&gt;0,"Valid","Invalid")</f>
        <v>Valid</v>
      </c>
      <c r="G2107" s="39" t="str">
        <f aca="false">IFERROR(INDEX(medicine_master!$B$2:$B$26,MATCH($C2107,medicine_master!$A$2:$A$26,0)),"Not found")</f>
        <v>Vitamin C 500mg</v>
      </c>
      <c r="H2107" s="39" t="str">
        <f aca="false">IFERROR(INDEX(medicine_master!$C$2:$C$26,MATCH($C2107,medicine_master!$A$2:$A$26,0)),"Not found")</f>
        <v>Vitamin</v>
      </c>
      <c r="I2107" s="39" t="n">
        <f aca="false">YEAR(B2107)</f>
        <v>2026</v>
      </c>
      <c r="J2107" s="39" t="n">
        <f aca="false">MONTH(B2107)</f>
        <v>10</v>
      </c>
      <c r="K2107" s="39" t="str">
        <f aca="false">TEXT(B2107,"mmm")</f>
        <v>Oct</v>
      </c>
      <c r="L2107" s="45" t="n">
        <f aca="false">IFERROR(INDEX(medicine_master!$I$2:$I$26,MATCH($C2107,medicine_master!$A$2:$A$26,0)),0)</f>
        <v>22</v>
      </c>
      <c r="M2107" s="45" t="n">
        <f aca="false">IFERROR(INDEX(medicine_master!$G$2:$G$26,MATCH($C2107,medicine_master!$A$2:$A$26,0)),0)</f>
        <v>14</v>
      </c>
      <c r="N2107" s="45" t="n">
        <f aca="false">IF(D2107="Sale",E2107*L2107,0)</f>
        <v>110</v>
      </c>
      <c r="O2107" s="45" t="n">
        <f aca="false">IF(D2107="Sale",E2107*M2107,0)</f>
        <v>70</v>
      </c>
      <c r="P2107" s="45" t="n">
        <f aca="false">N2107-O2107</f>
        <v>40</v>
      </c>
      <c r="Q2107" s="45" t="n">
        <f aca="false">IF(D2107="Purchase",E2107*M2107,0)</f>
        <v>0</v>
      </c>
    </row>
    <row r="2108" customFormat="false" ht="15" hidden="false" customHeight="false" outlineLevel="0" collapsed="false">
      <c r="A2108" s="39" t="s">
        <v>2432</v>
      </c>
      <c r="B2108" s="44" t="n">
        <v>46075</v>
      </c>
      <c r="C2108" s="39" t="s">
        <v>153</v>
      </c>
      <c r="D2108" s="39" t="s">
        <v>137</v>
      </c>
      <c r="E2108" s="39" t="n">
        <v>25</v>
      </c>
      <c r="F2108" s="39" t="str">
        <f aca="false">IF(COUNTIF(medicine_master!$A$2:$A$26,C2108)&gt;0,"Valid","Invalid")</f>
        <v>Valid</v>
      </c>
      <c r="G2108" s="39" t="str">
        <f aca="false">IFERROR(INDEX(medicine_master!$B$2:$B$26,MATCH($C2108,medicine_master!$A$2:$A$26,0)),"Not found")</f>
        <v>Atorvastatin 10mg</v>
      </c>
      <c r="H2108" s="39" t="str">
        <f aca="false">IFERROR(INDEX(medicine_master!$C$2:$C$26,MATCH($C2108,medicine_master!$A$2:$A$26,0)),"Not found")</f>
        <v>Cardiac</v>
      </c>
      <c r="I2108" s="39" t="n">
        <f aca="false">YEAR(B2108)</f>
        <v>2026</v>
      </c>
      <c r="J2108" s="39" t="n">
        <f aca="false">MONTH(B2108)</f>
        <v>2</v>
      </c>
      <c r="K2108" s="39" t="str">
        <f aca="false">TEXT(B2108,"mmm")</f>
        <v>Feb</v>
      </c>
      <c r="L2108" s="45" t="n">
        <f aca="false">IFERROR(INDEX(medicine_master!$I$2:$I$26,MATCH($C2108,medicine_master!$A$2:$A$26,0)),0)</f>
        <v>28</v>
      </c>
      <c r="M2108" s="45" t="n">
        <f aca="false">IFERROR(INDEX(medicine_master!$G$2:$G$26,MATCH($C2108,medicine_master!$A$2:$A$26,0)),0)</f>
        <v>19</v>
      </c>
      <c r="N2108" s="45" t="n">
        <f aca="false">IF(D2108="Sale",E2108*L2108,0)</f>
        <v>700</v>
      </c>
      <c r="O2108" s="45" t="n">
        <f aca="false">IF(D2108="Sale",E2108*M2108,0)</f>
        <v>475</v>
      </c>
      <c r="P2108" s="45" t="n">
        <f aca="false">N2108-O2108</f>
        <v>225</v>
      </c>
      <c r="Q2108" s="45" t="n">
        <f aca="false">IF(D2108="Purchase",E2108*M2108,0)</f>
        <v>0</v>
      </c>
    </row>
    <row r="2109" customFormat="false" ht="15" hidden="false" customHeight="false" outlineLevel="0" collapsed="false">
      <c r="A2109" s="39" t="s">
        <v>2433</v>
      </c>
      <c r="B2109" s="44" t="n">
        <v>46298</v>
      </c>
      <c r="C2109" s="39" t="s">
        <v>159</v>
      </c>
      <c r="D2109" s="39" t="s">
        <v>138</v>
      </c>
      <c r="E2109" s="39" t="n">
        <v>5</v>
      </c>
      <c r="F2109" s="39" t="str">
        <f aca="false">IF(COUNTIF(medicine_master!$A$2:$A$26,C2109)&gt;0,"Valid","Invalid")</f>
        <v>Valid</v>
      </c>
      <c r="G2109" s="39" t="str">
        <f aca="false">IFERROR(INDEX(medicine_master!$B$2:$B$26,MATCH($C2109,medicine_master!$A$2:$A$26,0)),"Not found")</f>
        <v>Antiseptic Liquid 100ml</v>
      </c>
      <c r="H2109" s="39" t="str">
        <f aca="false">IFERROR(INDEX(medicine_master!$C$2:$C$26,MATCH($C2109,medicine_master!$A$2:$A$26,0)),"Not found")</f>
        <v>First Aid</v>
      </c>
      <c r="I2109" s="39" t="n">
        <f aca="false">YEAR(B2109)</f>
        <v>2026</v>
      </c>
      <c r="J2109" s="39" t="n">
        <f aca="false">MONTH(B2109)</f>
        <v>10</v>
      </c>
      <c r="K2109" s="39" t="str">
        <f aca="false">TEXT(B2109,"mmm")</f>
        <v>Oct</v>
      </c>
      <c r="L2109" s="45" t="n">
        <f aca="false">IFERROR(INDEX(medicine_master!$I$2:$I$26,MATCH($C2109,medicine_master!$A$2:$A$26,0)),0)</f>
        <v>65</v>
      </c>
      <c r="M2109" s="45" t="n">
        <f aca="false">IFERROR(INDEX(medicine_master!$G$2:$G$26,MATCH($C2109,medicine_master!$A$2:$A$26,0)),0)</f>
        <v>48</v>
      </c>
      <c r="N2109" s="45" t="n">
        <f aca="false">IF(D2109="Sale",E2109*L2109,0)</f>
        <v>0</v>
      </c>
      <c r="O2109" s="45" t="n">
        <f aca="false">IF(D2109="Sale",E2109*M2109,0)</f>
        <v>0</v>
      </c>
      <c r="P2109" s="45" t="n">
        <f aca="false">N2109-O2109</f>
        <v>0</v>
      </c>
      <c r="Q2109" s="45" t="n">
        <f aca="false">IF(D2109="Purchase",E2109*M2109,0)</f>
        <v>240</v>
      </c>
    </row>
    <row r="2110" customFormat="false" ht="15" hidden="false" customHeight="false" outlineLevel="0" collapsed="false">
      <c r="A2110" s="39" t="s">
        <v>2434</v>
      </c>
      <c r="B2110" s="44" t="n">
        <v>46288</v>
      </c>
      <c r="C2110" s="39" t="s">
        <v>150</v>
      </c>
      <c r="D2110" s="39" t="s">
        <v>137</v>
      </c>
      <c r="E2110" s="39" t="n">
        <v>20</v>
      </c>
      <c r="F2110" s="39" t="str">
        <f aca="false">IF(COUNTIF(medicine_master!$A$2:$A$26,C2110)&gt;0,"Valid","Invalid")</f>
        <v>Valid</v>
      </c>
      <c r="G2110" s="39" t="str">
        <f aca="false">IFERROR(INDEX(medicine_master!$B$2:$B$26,MATCH($C2110,medicine_master!$A$2:$A$26,0)),"Not found")</f>
        <v>Pantoprazole 40mg</v>
      </c>
      <c r="H2110" s="39" t="str">
        <f aca="false">IFERROR(INDEX(medicine_master!$C$2:$C$26,MATCH($C2110,medicine_master!$A$2:$A$26,0)),"Not found")</f>
        <v>Gastric</v>
      </c>
      <c r="I2110" s="39" t="n">
        <f aca="false">YEAR(B2110)</f>
        <v>2026</v>
      </c>
      <c r="J2110" s="39" t="n">
        <f aca="false">MONTH(B2110)</f>
        <v>9</v>
      </c>
      <c r="K2110" s="39" t="str">
        <f aca="false">TEXT(B2110,"mmm")</f>
        <v>Sep</v>
      </c>
      <c r="L2110" s="45" t="n">
        <f aca="false">IFERROR(INDEX(medicine_master!$I$2:$I$26,MATCH($C2110,medicine_master!$A$2:$A$26,0)),0)</f>
        <v>35</v>
      </c>
      <c r="M2110" s="45" t="n">
        <f aca="false">IFERROR(INDEX(medicine_master!$G$2:$G$26,MATCH($C2110,medicine_master!$A$2:$A$26,0)),0)</f>
        <v>24</v>
      </c>
      <c r="N2110" s="45" t="n">
        <f aca="false">IF(D2110="Sale",E2110*L2110,0)</f>
        <v>700</v>
      </c>
      <c r="O2110" s="45" t="n">
        <f aca="false">IF(D2110="Sale",E2110*M2110,0)</f>
        <v>480</v>
      </c>
      <c r="P2110" s="45" t="n">
        <f aca="false">N2110-O2110</f>
        <v>220</v>
      </c>
      <c r="Q2110" s="45" t="n">
        <f aca="false">IF(D2110="Purchase",E2110*M2110,0)</f>
        <v>0</v>
      </c>
    </row>
    <row r="2111" customFormat="false" ht="15" hidden="false" customHeight="false" outlineLevel="0" collapsed="false">
      <c r="A2111" s="39" t="s">
        <v>2435</v>
      </c>
      <c r="B2111" s="44" t="n">
        <v>46180</v>
      </c>
      <c r="C2111" s="39" t="s">
        <v>152</v>
      </c>
      <c r="D2111" s="39" t="s">
        <v>137</v>
      </c>
      <c r="E2111" s="39" t="n">
        <v>20</v>
      </c>
      <c r="F2111" s="39" t="str">
        <f aca="false">IF(COUNTIF(medicine_master!$A$2:$A$26,C2111)&gt;0,"Valid","Invalid")</f>
        <v>Valid</v>
      </c>
      <c r="G2111" s="39" t="str">
        <f aca="false">IFERROR(INDEX(medicine_master!$B$2:$B$26,MATCH($C2111,medicine_master!$A$2:$A$26,0)),"Not found")</f>
        <v>Amoxicillin 500mg</v>
      </c>
      <c r="H2111" s="39" t="str">
        <f aca="false">IFERROR(INDEX(medicine_master!$C$2:$C$26,MATCH($C2111,medicine_master!$A$2:$A$26,0)),"Not found")</f>
        <v>Antibiotic</v>
      </c>
      <c r="I2111" s="39" t="n">
        <f aca="false">YEAR(B2111)</f>
        <v>2026</v>
      </c>
      <c r="J2111" s="39" t="n">
        <f aca="false">MONTH(B2111)</f>
        <v>6</v>
      </c>
      <c r="K2111" s="39" t="str">
        <f aca="false">TEXT(B2111,"mmm")</f>
        <v>Jun</v>
      </c>
      <c r="L2111" s="45" t="n">
        <f aca="false">IFERROR(INDEX(medicine_master!$I$2:$I$26,MATCH($C2111,medicine_master!$A$2:$A$26,0)),0)</f>
        <v>40</v>
      </c>
      <c r="M2111" s="45" t="n">
        <f aca="false">IFERROR(INDEX(medicine_master!$G$2:$G$26,MATCH($C2111,medicine_master!$A$2:$A$26,0)),0)</f>
        <v>28</v>
      </c>
      <c r="N2111" s="45" t="n">
        <f aca="false">IF(D2111="Sale",E2111*L2111,0)</f>
        <v>800</v>
      </c>
      <c r="O2111" s="45" t="n">
        <f aca="false">IF(D2111="Sale",E2111*M2111,0)</f>
        <v>560</v>
      </c>
      <c r="P2111" s="45" t="n">
        <f aca="false">N2111-O2111</f>
        <v>240</v>
      </c>
      <c r="Q2111" s="45" t="n">
        <f aca="false">IF(D2111="Purchase",E2111*M2111,0)</f>
        <v>0</v>
      </c>
    </row>
    <row r="2112" customFormat="false" ht="15" hidden="false" customHeight="false" outlineLevel="0" collapsed="false">
      <c r="A2112" s="39" t="s">
        <v>2436</v>
      </c>
      <c r="B2112" s="44" t="n">
        <v>46235</v>
      </c>
      <c r="C2112" s="39" t="s">
        <v>146</v>
      </c>
      <c r="D2112" s="39" t="s">
        <v>137</v>
      </c>
      <c r="E2112" s="39" t="n">
        <v>15</v>
      </c>
      <c r="F2112" s="39" t="str">
        <f aca="false">IF(COUNTIF(medicine_master!$A$2:$A$26,C2112)&gt;0,"Valid","Invalid")</f>
        <v>Valid</v>
      </c>
      <c r="G2112" s="39" t="str">
        <f aca="false">IFERROR(INDEX(medicine_master!$B$2:$B$26,MATCH($C2112,medicine_master!$A$2:$A$26,0)),"Not found")</f>
        <v>Diclofenac Gel</v>
      </c>
      <c r="H2112" s="39" t="str">
        <f aca="false">IFERROR(INDEX(medicine_master!$C$2:$C$26,MATCH($C2112,medicine_master!$A$2:$A$26,0)),"Not found")</f>
        <v>Pain Relief</v>
      </c>
      <c r="I2112" s="39" t="n">
        <f aca="false">YEAR(B2112)</f>
        <v>2026</v>
      </c>
      <c r="J2112" s="39" t="n">
        <f aca="false">MONTH(B2112)</f>
        <v>8</v>
      </c>
      <c r="K2112" s="39" t="str">
        <f aca="false">TEXT(B2112,"mmm")</f>
        <v>Aug</v>
      </c>
      <c r="L2112" s="45" t="n">
        <f aca="false">IFERROR(INDEX(medicine_master!$I$2:$I$26,MATCH($C2112,medicine_master!$A$2:$A$26,0)),0)</f>
        <v>55</v>
      </c>
      <c r="M2112" s="45" t="n">
        <f aca="false">IFERROR(INDEX(medicine_master!$G$2:$G$26,MATCH($C2112,medicine_master!$A$2:$A$26,0)),0)</f>
        <v>38</v>
      </c>
      <c r="N2112" s="45" t="n">
        <f aca="false">IF(D2112="Sale",E2112*L2112,0)</f>
        <v>825</v>
      </c>
      <c r="O2112" s="45" t="n">
        <f aca="false">IF(D2112="Sale",E2112*M2112,0)</f>
        <v>570</v>
      </c>
      <c r="P2112" s="45" t="n">
        <f aca="false">N2112-O2112</f>
        <v>255</v>
      </c>
      <c r="Q2112" s="45" t="n">
        <f aca="false">IF(D2112="Purchase",E2112*M2112,0)</f>
        <v>0</v>
      </c>
    </row>
    <row r="2113" customFormat="false" ht="15" hidden="false" customHeight="false" outlineLevel="0" collapsed="false">
      <c r="A2113" s="39" t="s">
        <v>2437</v>
      </c>
      <c r="B2113" s="44" t="n">
        <v>46261</v>
      </c>
      <c r="C2113" s="39" t="s">
        <v>326</v>
      </c>
      <c r="D2113" s="39" t="s">
        <v>138</v>
      </c>
      <c r="E2113" s="39" t="n">
        <v>30</v>
      </c>
      <c r="F2113" s="39" t="str">
        <f aca="false">IF(COUNTIF(medicine_master!$A$2:$A$26,C2113)&gt;0,"Valid","Invalid")</f>
        <v>Valid</v>
      </c>
      <c r="G2113" s="39" t="str">
        <f aca="false">IFERROR(INDEX(medicine_master!$B$2:$B$26,MATCH($C2113,medicine_master!$A$2:$A$26,0)),"Not found")</f>
        <v>Omeprazole 20mg</v>
      </c>
      <c r="H2113" s="39" t="str">
        <f aca="false">IFERROR(INDEX(medicine_master!$C$2:$C$26,MATCH($C2113,medicine_master!$A$2:$A$26,0)),"Not found")</f>
        <v>Gastric</v>
      </c>
      <c r="I2113" s="39" t="n">
        <f aca="false">YEAR(B2113)</f>
        <v>2026</v>
      </c>
      <c r="J2113" s="39" t="n">
        <f aca="false">MONTH(B2113)</f>
        <v>8</v>
      </c>
      <c r="K2113" s="39" t="str">
        <f aca="false">TEXT(B2113,"mmm")</f>
        <v>Aug</v>
      </c>
      <c r="L2113" s="45" t="n">
        <f aca="false">IFERROR(INDEX(medicine_master!$I$2:$I$26,MATCH($C2113,medicine_master!$A$2:$A$26,0)),0)</f>
        <v>26</v>
      </c>
      <c r="M2113" s="45" t="n">
        <f aca="false">IFERROR(INDEX(medicine_master!$G$2:$G$26,MATCH($C2113,medicine_master!$A$2:$A$26,0)),0)</f>
        <v>18</v>
      </c>
      <c r="N2113" s="45" t="n">
        <f aca="false">IF(D2113="Sale",E2113*L2113,0)</f>
        <v>0</v>
      </c>
      <c r="O2113" s="45" t="n">
        <f aca="false">IF(D2113="Sale",E2113*M2113,0)</f>
        <v>0</v>
      </c>
      <c r="P2113" s="45" t="n">
        <f aca="false">N2113-O2113</f>
        <v>0</v>
      </c>
      <c r="Q2113" s="45" t="n">
        <f aca="false">IF(D2113="Purchase",E2113*M2113,0)</f>
        <v>540</v>
      </c>
    </row>
    <row r="2114" customFormat="false" ht="15" hidden="false" customHeight="false" outlineLevel="0" collapsed="false">
      <c r="A2114" s="39" t="s">
        <v>2438</v>
      </c>
      <c r="B2114" s="44" t="n">
        <v>46301</v>
      </c>
      <c r="C2114" s="39" t="s">
        <v>167</v>
      </c>
      <c r="D2114" s="39" t="s">
        <v>138</v>
      </c>
      <c r="E2114" s="39" t="n">
        <v>20</v>
      </c>
      <c r="F2114" s="39" t="str">
        <f aca="false">IF(COUNTIF(medicine_master!$A$2:$A$26,C2114)&gt;0,"Valid","Invalid")</f>
        <v>Valid</v>
      </c>
      <c r="G2114" s="39" t="str">
        <f aca="false">IFERROR(INDEX(medicine_master!$B$2:$B$26,MATCH($C2114,medicine_master!$A$2:$A$26,0)),"Not found")</f>
        <v>Amlodipine 5mg</v>
      </c>
      <c r="H2114" s="39" t="str">
        <f aca="false">IFERROR(INDEX(medicine_master!$C$2:$C$26,MATCH($C2114,medicine_master!$A$2:$A$26,0)),"Not found")</f>
        <v>Cardiac</v>
      </c>
      <c r="I2114" s="39" t="n">
        <f aca="false">YEAR(B2114)</f>
        <v>2026</v>
      </c>
      <c r="J2114" s="39" t="n">
        <f aca="false">MONTH(B2114)</f>
        <v>10</v>
      </c>
      <c r="K2114" s="39" t="str">
        <f aca="false">TEXT(B2114,"mmm")</f>
        <v>Oct</v>
      </c>
      <c r="L2114" s="45" t="n">
        <f aca="false">IFERROR(INDEX(medicine_master!$I$2:$I$26,MATCH($C2114,medicine_master!$A$2:$A$26,0)),0)</f>
        <v>19</v>
      </c>
      <c r="M2114" s="45" t="n">
        <f aca="false">IFERROR(INDEX(medicine_master!$G$2:$G$26,MATCH($C2114,medicine_master!$A$2:$A$26,0)),0)</f>
        <v>13</v>
      </c>
      <c r="N2114" s="45" t="n">
        <f aca="false">IF(D2114="Sale",E2114*L2114,0)</f>
        <v>0</v>
      </c>
      <c r="O2114" s="45" t="n">
        <f aca="false">IF(D2114="Sale",E2114*M2114,0)</f>
        <v>0</v>
      </c>
      <c r="P2114" s="45" t="n">
        <f aca="false">N2114-O2114</f>
        <v>0</v>
      </c>
      <c r="Q2114" s="45" t="n">
        <f aca="false">IF(D2114="Purchase",E2114*M2114,0)</f>
        <v>260</v>
      </c>
    </row>
    <row r="2115" customFormat="false" ht="15" hidden="false" customHeight="false" outlineLevel="0" collapsed="false">
      <c r="A2115" s="39" t="s">
        <v>2439</v>
      </c>
      <c r="B2115" s="44" t="n">
        <v>46240</v>
      </c>
      <c r="C2115" s="39" t="s">
        <v>345</v>
      </c>
      <c r="D2115" s="39" t="s">
        <v>138</v>
      </c>
      <c r="E2115" s="39" t="n">
        <v>15</v>
      </c>
      <c r="F2115" s="39" t="str">
        <f aca="false">IF(COUNTIF(medicine_master!$A$2:$A$26,C2115)&gt;0,"Valid","Invalid")</f>
        <v>Valid</v>
      </c>
      <c r="G2115" s="39" t="str">
        <f aca="false">IFERROR(INDEX(medicine_master!$B$2:$B$26,MATCH($C2115,medicine_master!$A$2:$A$26,0)),"Not found")</f>
        <v>Paracetamol 500mg</v>
      </c>
      <c r="H2115" s="39" t="str">
        <f aca="false">IFERROR(INDEX(medicine_master!$C$2:$C$26,MATCH($C2115,medicine_master!$A$2:$A$26,0)),"Not found")</f>
        <v>Pain Relief</v>
      </c>
      <c r="I2115" s="39" t="n">
        <f aca="false">YEAR(B2115)</f>
        <v>2026</v>
      </c>
      <c r="J2115" s="39" t="n">
        <f aca="false">MONTH(B2115)</f>
        <v>8</v>
      </c>
      <c r="K2115" s="39" t="str">
        <f aca="false">TEXT(B2115,"mmm")</f>
        <v>Aug</v>
      </c>
      <c r="L2115" s="45" t="n">
        <f aca="false">IFERROR(INDEX(medicine_master!$I$2:$I$26,MATCH($C2115,medicine_master!$A$2:$A$26,0)),0)</f>
        <v>18</v>
      </c>
      <c r="M2115" s="45" t="n">
        <f aca="false">IFERROR(INDEX(medicine_master!$G$2:$G$26,MATCH($C2115,medicine_master!$A$2:$A$26,0)),0)</f>
        <v>12</v>
      </c>
      <c r="N2115" s="45" t="n">
        <f aca="false">IF(D2115="Sale",E2115*L2115,0)</f>
        <v>0</v>
      </c>
      <c r="O2115" s="45" t="n">
        <f aca="false">IF(D2115="Sale",E2115*M2115,0)</f>
        <v>0</v>
      </c>
      <c r="P2115" s="45" t="n">
        <f aca="false">N2115-O2115</f>
        <v>0</v>
      </c>
      <c r="Q2115" s="45" t="n">
        <f aca="false">IF(D2115="Purchase",E2115*M2115,0)</f>
        <v>180</v>
      </c>
    </row>
    <row r="2116" customFormat="false" ht="15" hidden="false" customHeight="false" outlineLevel="0" collapsed="false">
      <c r="A2116" s="39" t="s">
        <v>2440</v>
      </c>
      <c r="B2116" s="44" t="n">
        <v>46084</v>
      </c>
      <c r="C2116" s="39" t="s">
        <v>160</v>
      </c>
      <c r="D2116" s="39" t="s">
        <v>137</v>
      </c>
      <c r="E2116" s="39" t="n">
        <v>15</v>
      </c>
      <c r="F2116" s="39" t="str">
        <f aca="false">IF(COUNTIF(medicine_master!$A$2:$A$26,C2116)&gt;0,"Valid","Invalid")</f>
        <v>Valid</v>
      </c>
      <c r="G2116" s="39" t="str">
        <f aca="false">IFERROR(INDEX(medicine_master!$B$2:$B$26,MATCH($C2116,medicine_master!$A$2:$A$26,0)),"Not found")</f>
        <v>Calamine Lotion</v>
      </c>
      <c r="H2116" s="39" t="str">
        <f aca="false">IFERROR(INDEX(medicine_master!$C$2:$C$26,MATCH($C2116,medicine_master!$A$2:$A$26,0)),"Not found")</f>
        <v>Dermatology</v>
      </c>
      <c r="I2116" s="39" t="n">
        <f aca="false">YEAR(B2116)</f>
        <v>2026</v>
      </c>
      <c r="J2116" s="39" t="n">
        <f aca="false">MONTH(B2116)</f>
        <v>3</v>
      </c>
      <c r="K2116" s="39" t="str">
        <f aca="false">TEXT(B2116,"mmm")</f>
        <v>Mar</v>
      </c>
      <c r="L2116" s="45" t="n">
        <f aca="false">IFERROR(INDEX(medicine_master!$I$2:$I$26,MATCH($C2116,medicine_master!$A$2:$A$26,0)),0)</f>
        <v>60</v>
      </c>
      <c r="M2116" s="45" t="n">
        <f aca="false">IFERROR(INDEX(medicine_master!$G$2:$G$26,MATCH($C2116,medicine_master!$A$2:$A$26,0)),0)</f>
        <v>42</v>
      </c>
      <c r="N2116" s="45" t="n">
        <f aca="false">IF(D2116="Sale",E2116*L2116,0)</f>
        <v>900</v>
      </c>
      <c r="O2116" s="45" t="n">
        <f aca="false">IF(D2116="Sale",E2116*M2116,0)</f>
        <v>630</v>
      </c>
      <c r="P2116" s="45" t="n">
        <f aca="false">N2116-O2116</f>
        <v>270</v>
      </c>
      <c r="Q2116" s="45" t="n">
        <f aca="false">IF(D2116="Purchase",E2116*M2116,0)</f>
        <v>0</v>
      </c>
    </row>
    <row r="2117" customFormat="false" ht="15" hidden="false" customHeight="false" outlineLevel="0" collapsed="false">
      <c r="A2117" s="39" t="s">
        <v>2441</v>
      </c>
      <c r="B2117" s="44" t="n">
        <v>46112</v>
      </c>
      <c r="C2117" s="39" t="s">
        <v>157</v>
      </c>
      <c r="D2117" s="39" t="s">
        <v>137</v>
      </c>
      <c r="E2117" s="39" t="n">
        <v>10</v>
      </c>
      <c r="F2117" s="39" t="str">
        <f aca="false">IF(COUNTIF(medicine_master!$A$2:$A$26,C2117)&gt;0,"Valid","Invalid")</f>
        <v>Valid</v>
      </c>
      <c r="G2117" s="39" t="str">
        <f aca="false">IFERROR(INDEX(medicine_master!$B$2:$B$26,MATCH($C2117,medicine_master!$A$2:$A$26,0)),"Not found")</f>
        <v>Multivitamin Tablets</v>
      </c>
      <c r="H2117" s="39" t="str">
        <f aca="false">IFERROR(INDEX(medicine_master!$C$2:$C$26,MATCH($C2117,medicine_master!$A$2:$A$26,0)),"Not found")</f>
        <v>Vitamin</v>
      </c>
      <c r="I2117" s="39" t="n">
        <f aca="false">YEAR(B2117)</f>
        <v>2026</v>
      </c>
      <c r="J2117" s="39" t="n">
        <f aca="false">MONTH(B2117)</f>
        <v>3</v>
      </c>
      <c r="K2117" s="39" t="str">
        <f aca="false">TEXT(B2117,"mmm")</f>
        <v>Mar</v>
      </c>
      <c r="L2117" s="45" t="n">
        <f aca="false">IFERROR(INDEX(medicine_master!$I$2:$I$26,MATCH($C2117,medicine_master!$A$2:$A$26,0)),0)</f>
        <v>105</v>
      </c>
      <c r="M2117" s="45" t="n">
        <f aca="false">IFERROR(INDEX(medicine_master!$G$2:$G$26,MATCH($C2117,medicine_master!$A$2:$A$26,0)),0)</f>
        <v>72</v>
      </c>
      <c r="N2117" s="45" t="n">
        <f aca="false">IF(D2117="Sale",E2117*L2117,0)</f>
        <v>1050</v>
      </c>
      <c r="O2117" s="45" t="n">
        <f aca="false">IF(D2117="Sale",E2117*M2117,0)</f>
        <v>720</v>
      </c>
      <c r="P2117" s="45" t="n">
        <f aca="false">N2117-O2117</f>
        <v>330</v>
      </c>
      <c r="Q2117" s="45" t="n">
        <f aca="false">IF(D2117="Purchase",E2117*M2117,0)</f>
        <v>0</v>
      </c>
    </row>
    <row r="2118" customFormat="false" ht="15" hidden="false" customHeight="false" outlineLevel="0" collapsed="false">
      <c r="A2118" s="39" t="s">
        <v>2442</v>
      </c>
      <c r="B2118" s="44" t="n">
        <v>46310</v>
      </c>
      <c r="C2118" s="39" t="s">
        <v>321</v>
      </c>
      <c r="D2118" s="39" t="s">
        <v>137</v>
      </c>
      <c r="E2118" s="39" t="n">
        <v>40</v>
      </c>
      <c r="F2118" s="39" t="str">
        <f aca="false">IF(COUNTIF(medicine_master!$A$2:$A$26,C2118)&gt;0,"Valid","Invalid")</f>
        <v>Valid</v>
      </c>
      <c r="G2118" s="39" t="str">
        <f aca="false">IFERROR(INDEX(medicine_master!$B$2:$B$26,MATCH($C2118,medicine_master!$A$2:$A$26,0)),"Not found")</f>
        <v>Levocetirizine 5mg</v>
      </c>
      <c r="H2118" s="39" t="str">
        <f aca="false">IFERROR(INDEX(medicine_master!$C$2:$C$26,MATCH($C2118,medicine_master!$A$2:$A$26,0)),"Not found")</f>
        <v>Allergy</v>
      </c>
      <c r="I2118" s="39" t="n">
        <f aca="false">YEAR(B2118)</f>
        <v>2026</v>
      </c>
      <c r="J2118" s="39" t="n">
        <f aca="false">MONTH(B2118)</f>
        <v>10</v>
      </c>
      <c r="K2118" s="39" t="str">
        <f aca="false">TEXT(B2118,"mmm")</f>
        <v>Oct</v>
      </c>
      <c r="L2118" s="45" t="n">
        <f aca="false">IFERROR(INDEX(medicine_master!$I$2:$I$26,MATCH($C2118,medicine_master!$A$2:$A$26,0)),0)</f>
        <v>22</v>
      </c>
      <c r="M2118" s="45" t="n">
        <f aca="false">IFERROR(INDEX(medicine_master!$G$2:$G$26,MATCH($C2118,medicine_master!$A$2:$A$26,0)),0)</f>
        <v>14</v>
      </c>
      <c r="N2118" s="45" t="n">
        <f aca="false">IF(D2118="Sale",E2118*L2118,0)</f>
        <v>880</v>
      </c>
      <c r="O2118" s="45" t="n">
        <f aca="false">IF(D2118="Sale",E2118*M2118,0)</f>
        <v>560</v>
      </c>
      <c r="P2118" s="45" t="n">
        <f aca="false">N2118-O2118</f>
        <v>320</v>
      </c>
      <c r="Q2118" s="45" t="n">
        <f aca="false">IF(D2118="Purchase",E2118*M2118,0)</f>
        <v>0</v>
      </c>
    </row>
    <row r="2119" customFormat="false" ht="15" hidden="false" customHeight="false" outlineLevel="0" collapsed="false">
      <c r="A2119" s="39" t="s">
        <v>2443</v>
      </c>
      <c r="B2119" s="44" t="n">
        <v>46287</v>
      </c>
      <c r="C2119" s="39" t="s">
        <v>180</v>
      </c>
      <c r="D2119" s="39" t="s">
        <v>137</v>
      </c>
      <c r="E2119" s="39" t="n">
        <v>30</v>
      </c>
      <c r="F2119" s="39" t="str">
        <f aca="false">IF(COUNTIF(medicine_master!$A$2:$A$26,C2119)&gt;0,"Valid","Invalid")</f>
        <v>Valid</v>
      </c>
      <c r="G2119" s="39" t="str">
        <f aca="false">IFERROR(INDEX(medicine_master!$B$2:$B$26,MATCH($C2119,medicine_master!$A$2:$A$26,0)),"Not found")</f>
        <v>Vitamin C 500mg</v>
      </c>
      <c r="H2119" s="39" t="str">
        <f aca="false">IFERROR(INDEX(medicine_master!$C$2:$C$26,MATCH($C2119,medicine_master!$A$2:$A$26,0)),"Not found")</f>
        <v>Vitamin</v>
      </c>
      <c r="I2119" s="39" t="n">
        <f aca="false">YEAR(B2119)</f>
        <v>2026</v>
      </c>
      <c r="J2119" s="39" t="n">
        <f aca="false">MONTH(B2119)</f>
        <v>9</v>
      </c>
      <c r="K2119" s="39" t="str">
        <f aca="false">TEXT(B2119,"mmm")</f>
        <v>Sep</v>
      </c>
      <c r="L2119" s="45" t="n">
        <f aca="false">IFERROR(INDEX(medicine_master!$I$2:$I$26,MATCH($C2119,medicine_master!$A$2:$A$26,0)),0)</f>
        <v>22</v>
      </c>
      <c r="M2119" s="45" t="n">
        <f aca="false">IFERROR(INDEX(medicine_master!$G$2:$G$26,MATCH($C2119,medicine_master!$A$2:$A$26,0)),0)</f>
        <v>14</v>
      </c>
      <c r="N2119" s="45" t="n">
        <f aca="false">IF(D2119="Sale",E2119*L2119,0)</f>
        <v>660</v>
      </c>
      <c r="O2119" s="45" t="n">
        <f aca="false">IF(D2119="Sale",E2119*M2119,0)</f>
        <v>420</v>
      </c>
      <c r="P2119" s="45" t="n">
        <f aca="false">N2119-O2119</f>
        <v>240</v>
      </c>
      <c r="Q2119" s="45" t="n">
        <f aca="false">IF(D2119="Purchase",E2119*M2119,0)</f>
        <v>0</v>
      </c>
    </row>
    <row r="2120" customFormat="false" ht="15" hidden="false" customHeight="false" outlineLevel="0" collapsed="false">
      <c r="A2120" s="39" t="s">
        <v>2444</v>
      </c>
      <c r="B2120" s="44" t="n">
        <v>46313</v>
      </c>
      <c r="C2120" s="39" t="s">
        <v>345</v>
      </c>
      <c r="D2120" s="39" t="s">
        <v>137</v>
      </c>
      <c r="E2120" s="39" t="n">
        <v>25</v>
      </c>
      <c r="F2120" s="39" t="str">
        <f aca="false">IF(COUNTIF(medicine_master!$A$2:$A$26,C2120)&gt;0,"Valid","Invalid")</f>
        <v>Valid</v>
      </c>
      <c r="G2120" s="39" t="str">
        <f aca="false">IFERROR(INDEX(medicine_master!$B$2:$B$26,MATCH($C2120,medicine_master!$A$2:$A$26,0)),"Not found")</f>
        <v>Paracetamol 500mg</v>
      </c>
      <c r="H2120" s="39" t="str">
        <f aca="false">IFERROR(INDEX(medicine_master!$C$2:$C$26,MATCH($C2120,medicine_master!$A$2:$A$26,0)),"Not found")</f>
        <v>Pain Relief</v>
      </c>
      <c r="I2120" s="39" t="n">
        <f aca="false">YEAR(B2120)</f>
        <v>2026</v>
      </c>
      <c r="J2120" s="39" t="n">
        <f aca="false">MONTH(B2120)</f>
        <v>10</v>
      </c>
      <c r="K2120" s="39" t="str">
        <f aca="false">TEXT(B2120,"mmm")</f>
        <v>Oct</v>
      </c>
      <c r="L2120" s="45" t="n">
        <f aca="false">IFERROR(INDEX(medicine_master!$I$2:$I$26,MATCH($C2120,medicine_master!$A$2:$A$26,0)),0)</f>
        <v>18</v>
      </c>
      <c r="M2120" s="45" t="n">
        <f aca="false">IFERROR(INDEX(medicine_master!$G$2:$G$26,MATCH($C2120,medicine_master!$A$2:$A$26,0)),0)</f>
        <v>12</v>
      </c>
      <c r="N2120" s="45" t="n">
        <f aca="false">IF(D2120="Sale",E2120*L2120,0)</f>
        <v>450</v>
      </c>
      <c r="O2120" s="45" t="n">
        <f aca="false">IF(D2120="Sale",E2120*M2120,0)</f>
        <v>300</v>
      </c>
      <c r="P2120" s="45" t="n">
        <f aca="false">N2120-O2120</f>
        <v>150</v>
      </c>
      <c r="Q2120" s="45" t="n">
        <f aca="false">IF(D2120="Purchase",E2120*M2120,0)</f>
        <v>0</v>
      </c>
    </row>
    <row r="2121" customFormat="false" ht="15" hidden="false" customHeight="false" outlineLevel="0" collapsed="false">
      <c r="A2121" s="39" t="s">
        <v>2445</v>
      </c>
      <c r="B2121" s="44" t="n">
        <v>46312</v>
      </c>
      <c r="C2121" s="39" t="s">
        <v>178</v>
      </c>
      <c r="D2121" s="39" t="s">
        <v>137</v>
      </c>
      <c r="E2121" s="39" t="n">
        <v>30</v>
      </c>
      <c r="F2121" s="39" t="str">
        <f aca="false">IF(COUNTIF(medicine_master!$A$2:$A$26,C2121)&gt;0,"Valid","Invalid")</f>
        <v>Valid</v>
      </c>
      <c r="G2121" s="39" t="str">
        <f aca="false">IFERROR(INDEX(medicine_master!$B$2:$B$26,MATCH($C2121,medicine_master!$A$2:$A$26,0)),"Not found")</f>
        <v>Aspirin 75mg</v>
      </c>
      <c r="H2121" s="39" t="str">
        <f aca="false">IFERROR(INDEX(medicine_master!$C$2:$C$26,MATCH($C2121,medicine_master!$A$2:$A$26,0)),"Not found")</f>
        <v>Cardiac</v>
      </c>
      <c r="I2121" s="39" t="n">
        <f aca="false">YEAR(B2121)</f>
        <v>2026</v>
      </c>
      <c r="J2121" s="39" t="n">
        <f aca="false">MONTH(B2121)</f>
        <v>10</v>
      </c>
      <c r="K2121" s="39" t="str">
        <f aca="false">TEXT(B2121,"mmm")</f>
        <v>Oct</v>
      </c>
      <c r="L2121" s="45" t="n">
        <f aca="false">IFERROR(INDEX(medicine_master!$I$2:$I$26,MATCH($C2121,medicine_master!$A$2:$A$26,0)),0)</f>
        <v>15</v>
      </c>
      <c r="M2121" s="45" t="n">
        <f aca="false">IFERROR(INDEX(medicine_master!$G$2:$G$26,MATCH($C2121,medicine_master!$A$2:$A$26,0)),0)</f>
        <v>10</v>
      </c>
      <c r="N2121" s="45" t="n">
        <f aca="false">IF(D2121="Sale",E2121*L2121,0)</f>
        <v>450</v>
      </c>
      <c r="O2121" s="45" t="n">
        <f aca="false">IF(D2121="Sale",E2121*M2121,0)</f>
        <v>300</v>
      </c>
      <c r="P2121" s="45" t="n">
        <f aca="false">N2121-O2121</f>
        <v>150</v>
      </c>
      <c r="Q2121" s="45" t="n">
        <f aca="false">IF(D2121="Purchase",E2121*M2121,0)</f>
        <v>0</v>
      </c>
    </row>
    <row r="2122" customFormat="false" ht="15" hidden="false" customHeight="false" outlineLevel="0" collapsed="false">
      <c r="A2122" s="39" t="s">
        <v>2446</v>
      </c>
      <c r="B2122" s="44" t="n">
        <v>46284</v>
      </c>
      <c r="C2122" s="39" t="s">
        <v>167</v>
      </c>
      <c r="D2122" s="39" t="s">
        <v>138</v>
      </c>
      <c r="E2122" s="39" t="n">
        <v>15</v>
      </c>
      <c r="F2122" s="39" t="str">
        <f aca="false">IF(COUNTIF(medicine_master!$A$2:$A$26,C2122)&gt;0,"Valid","Invalid")</f>
        <v>Valid</v>
      </c>
      <c r="G2122" s="39" t="str">
        <f aca="false">IFERROR(INDEX(medicine_master!$B$2:$B$26,MATCH($C2122,medicine_master!$A$2:$A$26,0)),"Not found")</f>
        <v>Amlodipine 5mg</v>
      </c>
      <c r="H2122" s="39" t="str">
        <f aca="false">IFERROR(INDEX(medicine_master!$C$2:$C$26,MATCH($C2122,medicine_master!$A$2:$A$26,0)),"Not found")</f>
        <v>Cardiac</v>
      </c>
      <c r="I2122" s="39" t="n">
        <f aca="false">YEAR(B2122)</f>
        <v>2026</v>
      </c>
      <c r="J2122" s="39" t="n">
        <f aca="false">MONTH(B2122)</f>
        <v>9</v>
      </c>
      <c r="K2122" s="39" t="str">
        <f aca="false">TEXT(B2122,"mmm")</f>
        <v>Sep</v>
      </c>
      <c r="L2122" s="45" t="n">
        <f aca="false">IFERROR(INDEX(medicine_master!$I$2:$I$26,MATCH($C2122,medicine_master!$A$2:$A$26,0)),0)</f>
        <v>19</v>
      </c>
      <c r="M2122" s="45" t="n">
        <f aca="false">IFERROR(INDEX(medicine_master!$G$2:$G$26,MATCH($C2122,medicine_master!$A$2:$A$26,0)),0)</f>
        <v>13</v>
      </c>
      <c r="N2122" s="45" t="n">
        <f aca="false">IF(D2122="Sale",E2122*L2122,0)</f>
        <v>0</v>
      </c>
      <c r="O2122" s="45" t="n">
        <f aca="false">IF(D2122="Sale",E2122*M2122,0)</f>
        <v>0</v>
      </c>
      <c r="P2122" s="45" t="n">
        <f aca="false">N2122-O2122</f>
        <v>0</v>
      </c>
      <c r="Q2122" s="45" t="n">
        <f aca="false">IF(D2122="Purchase",E2122*M2122,0)</f>
        <v>195</v>
      </c>
    </row>
    <row r="2123" customFormat="false" ht="15" hidden="false" customHeight="false" outlineLevel="0" collapsed="false">
      <c r="A2123" s="39" t="s">
        <v>2447</v>
      </c>
      <c r="B2123" s="44" t="n">
        <v>46105</v>
      </c>
      <c r="C2123" s="39" t="s">
        <v>345</v>
      </c>
      <c r="D2123" s="39" t="s">
        <v>138</v>
      </c>
      <c r="E2123" s="39" t="n">
        <v>15</v>
      </c>
      <c r="F2123" s="39" t="str">
        <f aca="false">IF(COUNTIF(medicine_master!$A$2:$A$26,C2123)&gt;0,"Valid","Invalid")</f>
        <v>Valid</v>
      </c>
      <c r="G2123" s="39" t="str">
        <f aca="false">IFERROR(INDEX(medicine_master!$B$2:$B$26,MATCH($C2123,medicine_master!$A$2:$A$26,0)),"Not found")</f>
        <v>Paracetamol 500mg</v>
      </c>
      <c r="H2123" s="39" t="str">
        <f aca="false">IFERROR(INDEX(medicine_master!$C$2:$C$26,MATCH($C2123,medicine_master!$A$2:$A$26,0)),"Not found")</f>
        <v>Pain Relief</v>
      </c>
      <c r="I2123" s="39" t="n">
        <f aca="false">YEAR(B2123)</f>
        <v>2026</v>
      </c>
      <c r="J2123" s="39" t="n">
        <f aca="false">MONTH(B2123)</f>
        <v>3</v>
      </c>
      <c r="K2123" s="39" t="str">
        <f aca="false">TEXT(B2123,"mmm")</f>
        <v>Mar</v>
      </c>
      <c r="L2123" s="45" t="n">
        <f aca="false">IFERROR(INDEX(medicine_master!$I$2:$I$26,MATCH($C2123,medicine_master!$A$2:$A$26,0)),0)</f>
        <v>18</v>
      </c>
      <c r="M2123" s="45" t="n">
        <f aca="false">IFERROR(INDEX(medicine_master!$G$2:$G$26,MATCH($C2123,medicine_master!$A$2:$A$26,0)),0)</f>
        <v>12</v>
      </c>
      <c r="N2123" s="45" t="n">
        <f aca="false">IF(D2123="Sale",E2123*L2123,0)</f>
        <v>0</v>
      </c>
      <c r="O2123" s="45" t="n">
        <f aca="false">IF(D2123="Sale",E2123*M2123,0)</f>
        <v>0</v>
      </c>
      <c r="P2123" s="45" t="n">
        <f aca="false">N2123-O2123</f>
        <v>0</v>
      </c>
      <c r="Q2123" s="45" t="n">
        <f aca="false">IF(D2123="Purchase",E2123*M2123,0)</f>
        <v>180</v>
      </c>
    </row>
    <row r="2124" customFormat="false" ht="15" hidden="false" customHeight="false" outlineLevel="0" collapsed="false">
      <c r="A2124" s="39" t="s">
        <v>2448</v>
      </c>
      <c r="B2124" s="44" t="n">
        <v>46214</v>
      </c>
      <c r="C2124" s="39" t="s">
        <v>159</v>
      </c>
      <c r="D2124" s="39" t="s">
        <v>137</v>
      </c>
      <c r="E2124" s="39" t="n">
        <v>20</v>
      </c>
      <c r="F2124" s="39" t="str">
        <f aca="false">IF(COUNTIF(medicine_master!$A$2:$A$26,C2124)&gt;0,"Valid","Invalid")</f>
        <v>Valid</v>
      </c>
      <c r="G2124" s="39" t="str">
        <f aca="false">IFERROR(INDEX(medicine_master!$B$2:$B$26,MATCH($C2124,medicine_master!$A$2:$A$26,0)),"Not found")</f>
        <v>Antiseptic Liquid 100ml</v>
      </c>
      <c r="H2124" s="39" t="str">
        <f aca="false">IFERROR(INDEX(medicine_master!$C$2:$C$26,MATCH($C2124,medicine_master!$A$2:$A$26,0)),"Not found")</f>
        <v>First Aid</v>
      </c>
      <c r="I2124" s="39" t="n">
        <f aca="false">YEAR(B2124)</f>
        <v>2026</v>
      </c>
      <c r="J2124" s="39" t="n">
        <f aca="false">MONTH(B2124)</f>
        <v>7</v>
      </c>
      <c r="K2124" s="39" t="str">
        <f aca="false">TEXT(B2124,"mmm")</f>
        <v>Jul</v>
      </c>
      <c r="L2124" s="45" t="n">
        <f aca="false">IFERROR(INDEX(medicine_master!$I$2:$I$26,MATCH($C2124,medicine_master!$A$2:$A$26,0)),0)</f>
        <v>65</v>
      </c>
      <c r="M2124" s="45" t="n">
        <f aca="false">IFERROR(INDEX(medicine_master!$G$2:$G$26,MATCH($C2124,medicine_master!$A$2:$A$26,0)),0)</f>
        <v>48</v>
      </c>
      <c r="N2124" s="45" t="n">
        <f aca="false">IF(D2124="Sale",E2124*L2124,0)</f>
        <v>1300</v>
      </c>
      <c r="O2124" s="45" t="n">
        <f aca="false">IF(D2124="Sale",E2124*M2124,0)</f>
        <v>960</v>
      </c>
      <c r="P2124" s="45" t="n">
        <f aca="false">N2124-O2124</f>
        <v>340</v>
      </c>
      <c r="Q2124" s="45" t="n">
        <f aca="false">IF(D2124="Purchase",E2124*M2124,0)</f>
        <v>0</v>
      </c>
    </row>
    <row r="2125" customFormat="false" ht="15" hidden="false" customHeight="false" outlineLevel="0" collapsed="false">
      <c r="A2125" s="39" t="s">
        <v>2449</v>
      </c>
      <c r="B2125" s="44" t="n">
        <v>46293</v>
      </c>
      <c r="C2125" s="39" t="s">
        <v>158</v>
      </c>
      <c r="D2125" s="39" t="s">
        <v>138</v>
      </c>
      <c r="E2125" s="39" t="n">
        <v>25</v>
      </c>
      <c r="F2125" s="39" t="str">
        <f aca="false">IF(COUNTIF(medicine_master!$A$2:$A$26,C2125)&gt;0,"Valid","Invalid")</f>
        <v>Valid</v>
      </c>
      <c r="G2125" s="39" t="str">
        <f aca="false">IFERROR(INDEX(medicine_master!$B$2:$B$26,MATCH($C2125,medicine_master!$A$2:$A$26,0)),"Not found")</f>
        <v>Cough Syrup 100ml</v>
      </c>
      <c r="H2125" s="39" t="str">
        <f aca="false">IFERROR(INDEX(medicine_master!$C$2:$C$26,MATCH($C2125,medicine_master!$A$2:$A$26,0)),"Not found")</f>
        <v>Cold &amp; Cough</v>
      </c>
      <c r="I2125" s="39" t="n">
        <f aca="false">YEAR(B2125)</f>
        <v>2026</v>
      </c>
      <c r="J2125" s="39" t="n">
        <f aca="false">MONTH(B2125)</f>
        <v>9</v>
      </c>
      <c r="K2125" s="39" t="str">
        <f aca="false">TEXT(B2125,"mmm")</f>
        <v>Sep</v>
      </c>
      <c r="L2125" s="45" t="n">
        <f aca="false">IFERROR(INDEX(medicine_master!$I$2:$I$26,MATCH($C2125,medicine_master!$A$2:$A$26,0)),0)</f>
        <v>72</v>
      </c>
      <c r="M2125" s="45" t="n">
        <f aca="false">IFERROR(INDEX(medicine_master!$G$2:$G$26,MATCH($C2125,medicine_master!$A$2:$A$26,0)),0)</f>
        <v>52</v>
      </c>
      <c r="N2125" s="45" t="n">
        <f aca="false">IF(D2125="Sale",E2125*L2125,0)</f>
        <v>0</v>
      </c>
      <c r="O2125" s="45" t="n">
        <f aca="false">IF(D2125="Sale",E2125*M2125,0)</f>
        <v>0</v>
      </c>
      <c r="P2125" s="45" t="n">
        <f aca="false">N2125-O2125</f>
        <v>0</v>
      </c>
      <c r="Q2125" s="45" t="n">
        <f aca="false">IF(D2125="Purchase",E2125*M2125,0)</f>
        <v>1300</v>
      </c>
    </row>
    <row r="2126" customFormat="false" ht="15" hidden="false" customHeight="false" outlineLevel="0" collapsed="false">
      <c r="A2126" s="39" t="s">
        <v>2450</v>
      </c>
      <c r="B2126" s="44" t="n">
        <v>46376</v>
      </c>
      <c r="C2126" s="39" t="s">
        <v>158</v>
      </c>
      <c r="D2126" s="39" t="s">
        <v>137</v>
      </c>
      <c r="E2126" s="39" t="n">
        <v>25</v>
      </c>
      <c r="F2126" s="39" t="str">
        <f aca="false">IF(COUNTIF(medicine_master!$A$2:$A$26,C2126)&gt;0,"Valid","Invalid")</f>
        <v>Valid</v>
      </c>
      <c r="G2126" s="39" t="str">
        <f aca="false">IFERROR(INDEX(medicine_master!$B$2:$B$26,MATCH($C2126,medicine_master!$A$2:$A$26,0)),"Not found")</f>
        <v>Cough Syrup 100ml</v>
      </c>
      <c r="H2126" s="39" t="str">
        <f aca="false">IFERROR(INDEX(medicine_master!$C$2:$C$26,MATCH($C2126,medicine_master!$A$2:$A$26,0)),"Not found")</f>
        <v>Cold &amp; Cough</v>
      </c>
      <c r="I2126" s="39" t="n">
        <f aca="false">YEAR(B2126)</f>
        <v>2026</v>
      </c>
      <c r="J2126" s="39" t="n">
        <f aca="false">MONTH(B2126)</f>
        <v>12</v>
      </c>
      <c r="K2126" s="39" t="str">
        <f aca="false">TEXT(B2126,"mmm")</f>
        <v>Dec</v>
      </c>
      <c r="L2126" s="45" t="n">
        <f aca="false">IFERROR(INDEX(medicine_master!$I$2:$I$26,MATCH($C2126,medicine_master!$A$2:$A$26,0)),0)</f>
        <v>72</v>
      </c>
      <c r="M2126" s="45" t="n">
        <f aca="false">IFERROR(INDEX(medicine_master!$G$2:$G$26,MATCH($C2126,medicine_master!$A$2:$A$26,0)),0)</f>
        <v>52</v>
      </c>
      <c r="N2126" s="45" t="n">
        <f aca="false">IF(D2126="Sale",E2126*L2126,0)</f>
        <v>1800</v>
      </c>
      <c r="O2126" s="45" t="n">
        <f aca="false">IF(D2126="Sale",E2126*M2126,0)</f>
        <v>1300</v>
      </c>
      <c r="P2126" s="45" t="n">
        <f aca="false">N2126-O2126</f>
        <v>500</v>
      </c>
      <c r="Q2126" s="45" t="n">
        <f aca="false">IF(D2126="Purchase",E2126*M2126,0)</f>
        <v>0</v>
      </c>
    </row>
    <row r="2127" customFormat="false" ht="15" hidden="false" customHeight="false" outlineLevel="0" collapsed="false">
      <c r="A2127" s="39" t="s">
        <v>2451</v>
      </c>
      <c r="B2127" s="44" t="n">
        <v>46095</v>
      </c>
      <c r="C2127" s="39" t="s">
        <v>390</v>
      </c>
      <c r="D2127" s="39" t="s">
        <v>137</v>
      </c>
      <c r="E2127" s="39" t="n">
        <v>20</v>
      </c>
      <c r="F2127" s="39" t="str">
        <f aca="false">IF(COUNTIF(medicine_master!$A$2:$A$26,C2127)&gt;0,"Valid","Invalid")</f>
        <v>Valid</v>
      </c>
      <c r="G2127" s="39" t="str">
        <f aca="false">IFERROR(INDEX(medicine_master!$B$2:$B$26,MATCH($C2127,medicine_master!$A$2:$A$26,0)),"Not found")</f>
        <v>Montelukast 10mg</v>
      </c>
      <c r="H2127" s="39" t="str">
        <f aca="false">IFERROR(INDEX(medicine_master!$C$2:$C$26,MATCH($C2127,medicine_master!$A$2:$A$26,0)),"Not found")</f>
        <v>Allergy</v>
      </c>
      <c r="I2127" s="39" t="n">
        <f aca="false">YEAR(B2127)</f>
        <v>2026</v>
      </c>
      <c r="J2127" s="39" t="n">
        <f aca="false">MONTH(B2127)</f>
        <v>3</v>
      </c>
      <c r="K2127" s="39" t="str">
        <f aca="false">TEXT(B2127,"mmm")</f>
        <v>Mar</v>
      </c>
      <c r="L2127" s="45" t="n">
        <f aca="false">IFERROR(INDEX(medicine_master!$I$2:$I$26,MATCH($C2127,medicine_master!$A$2:$A$26,0)),0)</f>
        <v>39</v>
      </c>
      <c r="M2127" s="45" t="n">
        <f aca="false">IFERROR(INDEX(medicine_master!$G$2:$G$26,MATCH($C2127,medicine_master!$A$2:$A$26,0)),0)</f>
        <v>27</v>
      </c>
      <c r="N2127" s="45" t="n">
        <f aca="false">IF(D2127="Sale",E2127*L2127,0)</f>
        <v>780</v>
      </c>
      <c r="O2127" s="45" t="n">
        <f aca="false">IF(D2127="Sale",E2127*M2127,0)</f>
        <v>540</v>
      </c>
      <c r="P2127" s="45" t="n">
        <f aca="false">N2127-O2127</f>
        <v>240</v>
      </c>
      <c r="Q2127" s="45" t="n">
        <f aca="false">IF(D2127="Purchase",E2127*M2127,0)</f>
        <v>0</v>
      </c>
    </row>
    <row r="2128" customFormat="false" ht="15" hidden="false" customHeight="false" outlineLevel="0" collapsed="false">
      <c r="A2128" s="39" t="s">
        <v>2452</v>
      </c>
      <c r="B2128" s="44" t="n">
        <v>46370</v>
      </c>
      <c r="C2128" s="39" t="s">
        <v>147</v>
      </c>
      <c r="D2128" s="39" t="s">
        <v>137</v>
      </c>
      <c r="E2128" s="39" t="n">
        <v>30</v>
      </c>
      <c r="F2128" s="39" t="str">
        <f aca="false">IF(COUNTIF(medicine_master!$A$2:$A$26,C2128)&gt;0,"Valid","Invalid")</f>
        <v>Valid</v>
      </c>
      <c r="G2128" s="39" t="str">
        <f aca="false">IFERROR(INDEX(medicine_master!$B$2:$B$26,MATCH($C2128,medicine_master!$A$2:$A$26,0)),"Not found")</f>
        <v>Insulin Injection</v>
      </c>
      <c r="H2128" s="39" t="str">
        <f aca="false">IFERROR(INDEX(medicine_master!$C$2:$C$26,MATCH($C2128,medicine_master!$A$2:$A$26,0)),"Not found")</f>
        <v>Diabetes</v>
      </c>
      <c r="I2128" s="39" t="n">
        <f aca="false">YEAR(B2128)</f>
        <v>2026</v>
      </c>
      <c r="J2128" s="39" t="n">
        <f aca="false">MONTH(B2128)</f>
        <v>12</v>
      </c>
      <c r="K2128" s="39" t="str">
        <f aca="false">TEXT(B2128,"mmm")</f>
        <v>Dec</v>
      </c>
      <c r="L2128" s="45" t="n">
        <f aca="false">IFERROR(INDEX(medicine_master!$I$2:$I$26,MATCH($C2128,medicine_master!$A$2:$A$26,0)),0)</f>
        <v>225</v>
      </c>
      <c r="M2128" s="45" t="n">
        <f aca="false">IFERROR(INDEX(medicine_master!$G$2:$G$26,MATCH($C2128,medicine_master!$A$2:$A$26,0)),0)</f>
        <v>165</v>
      </c>
      <c r="N2128" s="45" t="n">
        <f aca="false">IF(D2128="Sale",E2128*L2128,0)</f>
        <v>6750</v>
      </c>
      <c r="O2128" s="45" t="n">
        <f aca="false">IF(D2128="Sale",E2128*M2128,0)</f>
        <v>4950</v>
      </c>
      <c r="P2128" s="45" t="n">
        <f aca="false">N2128-O2128</f>
        <v>1800</v>
      </c>
      <c r="Q2128" s="45" t="n">
        <f aca="false">IF(D2128="Purchase",E2128*M2128,0)</f>
        <v>0</v>
      </c>
    </row>
    <row r="2129" customFormat="false" ht="15" hidden="false" customHeight="false" outlineLevel="0" collapsed="false">
      <c r="A2129" s="39" t="s">
        <v>2453</v>
      </c>
      <c r="B2129" s="44" t="n">
        <v>46073</v>
      </c>
      <c r="C2129" s="39" t="s">
        <v>404</v>
      </c>
      <c r="D2129" s="39" t="s">
        <v>137</v>
      </c>
      <c r="E2129" s="39" t="n">
        <v>15</v>
      </c>
      <c r="F2129" s="39" t="str">
        <f aca="false">IF(COUNTIF(medicine_master!$A$2:$A$26,C2129)&gt;0,"Valid","Invalid")</f>
        <v>Valid</v>
      </c>
      <c r="G2129" s="39" t="str">
        <f aca="false">IFERROR(INDEX(medicine_master!$B$2:$B$26,MATCH($C2129,medicine_master!$A$2:$A$26,0)),"Not found")</f>
        <v>ORS Sachet</v>
      </c>
      <c r="H2129" s="39" t="str">
        <f aca="false">IFERROR(INDEX(medicine_master!$C$2:$C$26,MATCH($C2129,medicine_master!$A$2:$A$26,0)),"Not found")</f>
        <v>First Aid</v>
      </c>
      <c r="I2129" s="39" t="n">
        <f aca="false">YEAR(B2129)</f>
        <v>2026</v>
      </c>
      <c r="J2129" s="39" t="n">
        <f aca="false">MONTH(B2129)</f>
        <v>2</v>
      </c>
      <c r="K2129" s="39" t="str">
        <f aca="false">TEXT(B2129,"mmm")</f>
        <v>Feb</v>
      </c>
      <c r="L2129" s="45" t="n">
        <f aca="false">IFERROR(INDEX(medicine_master!$I$2:$I$26,MATCH($C2129,medicine_master!$A$2:$A$26,0)),0)</f>
        <v>10</v>
      </c>
      <c r="M2129" s="45" t="n">
        <f aca="false">IFERROR(INDEX(medicine_master!$G$2:$G$26,MATCH($C2129,medicine_master!$A$2:$A$26,0)),0)</f>
        <v>6</v>
      </c>
      <c r="N2129" s="45" t="n">
        <f aca="false">IF(D2129="Sale",E2129*L2129,0)</f>
        <v>150</v>
      </c>
      <c r="O2129" s="45" t="n">
        <f aca="false">IF(D2129="Sale",E2129*M2129,0)</f>
        <v>90</v>
      </c>
      <c r="P2129" s="45" t="n">
        <f aca="false">N2129-O2129</f>
        <v>60</v>
      </c>
      <c r="Q2129" s="45" t="n">
        <f aca="false">IF(D2129="Purchase",E2129*M2129,0)</f>
        <v>0</v>
      </c>
    </row>
    <row r="2130" customFormat="false" ht="15" hidden="false" customHeight="false" outlineLevel="0" collapsed="false">
      <c r="A2130" s="39" t="s">
        <v>2454</v>
      </c>
      <c r="B2130" s="44" t="n">
        <v>46302</v>
      </c>
      <c r="C2130" s="39" t="s">
        <v>167</v>
      </c>
      <c r="D2130" s="39" t="s">
        <v>137</v>
      </c>
      <c r="E2130" s="39" t="n">
        <v>30</v>
      </c>
      <c r="F2130" s="39" t="str">
        <f aca="false">IF(COUNTIF(medicine_master!$A$2:$A$26,C2130)&gt;0,"Valid","Invalid")</f>
        <v>Valid</v>
      </c>
      <c r="G2130" s="39" t="str">
        <f aca="false">IFERROR(INDEX(medicine_master!$B$2:$B$26,MATCH($C2130,medicine_master!$A$2:$A$26,0)),"Not found")</f>
        <v>Amlodipine 5mg</v>
      </c>
      <c r="H2130" s="39" t="str">
        <f aca="false">IFERROR(INDEX(medicine_master!$C$2:$C$26,MATCH($C2130,medicine_master!$A$2:$A$26,0)),"Not found")</f>
        <v>Cardiac</v>
      </c>
      <c r="I2130" s="39" t="n">
        <f aca="false">YEAR(B2130)</f>
        <v>2026</v>
      </c>
      <c r="J2130" s="39" t="n">
        <f aca="false">MONTH(B2130)</f>
        <v>10</v>
      </c>
      <c r="K2130" s="39" t="str">
        <f aca="false">TEXT(B2130,"mmm")</f>
        <v>Oct</v>
      </c>
      <c r="L2130" s="45" t="n">
        <f aca="false">IFERROR(INDEX(medicine_master!$I$2:$I$26,MATCH($C2130,medicine_master!$A$2:$A$26,0)),0)</f>
        <v>19</v>
      </c>
      <c r="M2130" s="45" t="n">
        <f aca="false">IFERROR(INDEX(medicine_master!$G$2:$G$26,MATCH($C2130,medicine_master!$A$2:$A$26,0)),0)</f>
        <v>13</v>
      </c>
      <c r="N2130" s="45" t="n">
        <f aca="false">IF(D2130="Sale",E2130*L2130,0)</f>
        <v>570</v>
      </c>
      <c r="O2130" s="45" t="n">
        <f aca="false">IF(D2130="Sale",E2130*M2130,0)</f>
        <v>390</v>
      </c>
      <c r="P2130" s="45" t="n">
        <f aca="false">N2130-O2130</f>
        <v>180</v>
      </c>
      <c r="Q2130" s="45" t="n">
        <f aca="false">IF(D2130="Purchase",E2130*M2130,0)</f>
        <v>0</v>
      </c>
    </row>
    <row r="2131" customFormat="false" ht="15" hidden="false" customHeight="false" outlineLevel="0" collapsed="false">
      <c r="A2131" s="39" t="s">
        <v>2455</v>
      </c>
      <c r="B2131" s="44" t="n">
        <v>46378</v>
      </c>
      <c r="C2131" s="39" t="s">
        <v>150</v>
      </c>
      <c r="D2131" s="39" t="s">
        <v>138</v>
      </c>
      <c r="E2131" s="39" t="n">
        <v>50</v>
      </c>
      <c r="F2131" s="39" t="str">
        <f aca="false">IF(COUNTIF(medicine_master!$A$2:$A$26,C2131)&gt;0,"Valid","Invalid")</f>
        <v>Valid</v>
      </c>
      <c r="G2131" s="39" t="str">
        <f aca="false">IFERROR(INDEX(medicine_master!$B$2:$B$26,MATCH($C2131,medicine_master!$A$2:$A$26,0)),"Not found")</f>
        <v>Pantoprazole 40mg</v>
      </c>
      <c r="H2131" s="39" t="str">
        <f aca="false">IFERROR(INDEX(medicine_master!$C$2:$C$26,MATCH($C2131,medicine_master!$A$2:$A$26,0)),"Not found")</f>
        <v>Gastric</v>
      </c>
      <c r="I2131" s="39" t="n">
        <f aca="false">YEAR(B2131)</f>
        <v>2026</v>
      </c>
      <c r="J2131" s="39" t="n">
        <f aca="false">MONTH(B2131)</f>
        <v>12</v>
      </c>
      <c r="K2131" s="39" t="str">
        <f aca="false">TEXT(B2131,"mmm")</f>
        <v>Dec</v>
      </c>
      <c r="L2131" s="45" t="n">
        <f aca="false">IFERROR(INDEX(medicine_master!$I$2:$I$26,MATCH($C2131,medicine_master!$A$2:$A$26,0)),0)</f>
        <v>35</v>
      </c>
      <c r="M2131" s="45" t="n">
        <f aca="false">IFERROR(INDEX(medicine_master!$G$2:$G$26,MATCH($C2131,medicine_master!$A$2:$A$26,0)),0)</f>
        <v>24</v>
      </c>
      <c r="N2131" s="45" t="n">
        <f aca="false">IF(D2131="Sale",E2131*L2131,0)</f>
        <v>0</v>
      </c>
      <c r="O2131" s="45" t="n">
        <f aca="false">IF(D2131="Sale",E2131*M2131,0)</f>
        <v>0</v>
      </c>
      <c r="P2131" s="45" t="n">
        <f aca="false">N2131-O2131</f>
        <v>0</v>
      </c>
      <c r="Q2131" s="45" t="n">
        <f aca="false">IF(D2131="Purchase",E2131*M2131,0)</f>
        <v>1200</v>
      </c>
    </row>
    <row r="2132" customFormat="false" ht="15" hidden="false" customHeight="false" outlineLevel="0" collapsed="false">
      <c r="A2132" s="39" t="s">
        <v>2456</v>
      </c>
      <c r="B2132" s="44" t="n">
        <v>46083</v>
      </c>
      <c r="C2132" s="39" t="s">
        <v>149</v>
      </c>
      <c r="D2132" s="39" t="s">
        <v>138</v>
      </c>
      <c r="E2132" s="39" t="n">
        <v>40</v>
      </c>
      <c r="F2132" s="39" t="str">
        <f aca="false">IF(COUNTIF(medicine_master!$A$2:$A$26,C2132)&gt;0,"Valid","Invalid")</f>
        <v>Valid</v>
      </c>
      <c r="G2132" s="39" t="str">
        <f aca="false">IFERROR(INDEX(medicine_master!$B$2:$B$26,MATCH($C2132,medicine_master!$A$2:$A$26,0)),"Not found")</f>
        <v>Azithromycin 500mg</v>
      </c>
      <c r="H2132" s="39" t="str">
        <f aca="false">IFERROR(INDEX(medicine_master!$C$2:$C$26,MATCH($C2132,medicine_master!$A$2:$A$26,0)),"Not found")</f>
        <v>Antibiotic</v>
      </c>
      <c r="I2132" s="39" t="n">
        <f aca="false">YEAR(B2132)</f>
        <v>2026</v>
      </c>
      <c r="J2132" s="39" t="n">
        <f aca="false">MONTH(B2132)</f>
        <v>3</v>
      </c>
      <c r="K2132" s="39" t="str">
        <f aca="false">TEXT(B2132,"mmm")</f>
        <v>Mar</v>
      </c>
      <c r="L2132" s="45" t="n">
        <f aca="false">IFERROR(INDEX(medicine_master!$I$2:$I$26,MATCH($C2132,medicine_master!$A$2:$A$26,0)),0)</f>
        <v>50</v>
      </c>
      <c r="M2132" s="45" t="n">
        <f aca="false">IFERROR(INDEX(medicine_master!$G$2:$G$26,MATCH($C2132,medicine_master!$A$2:$A$26,0)),0)</f>
        <v>35</v>
      </c>
      <c r="N2132" s="45" t="n">
        <f aca="false">IF(D2132="Sale",E2132*L2132,0)</f>
        <v>0</v>
      </c>
      <c r="O2132" s="45" t="n">
        <f aca="false">IF(D2132="Sale",E2132*M2132,0)</f>
        <v>0</v>
      </c>
      <c r="P2132" s="45" t="n">
        <f aca="false">N2132-O2132</f>
        <v>0</v>
      </c>
      <c r="Q2132" s="45" t="n">
        <f aca="false">IF(D2132="Purchase",E2132*M2132,0)</f>
        <v>1400</v>
      </c>
    </row>
    <row r="2133" customFormat="false" ht="15" hidden="false" customHeight="false" outlineLevel="0" collapsed="false">
      <c r="A2133" s="39" t="s">
        <v>2457</v>
      </c>
      <c r="B2133" s="44" t="n">
        <v>46133</v>
      </c>
      <c r="C2133" s="39" t="s">
        <v>179</v>
      </c>
      <c r="D2133" s="39" t="s">
        <v>138</v>
      </c>
      <c r="E2133" s="39" t="n">
        <v>20</v>
      </c>
      <c r="F2133" s="39" t="str">
        <f aca="false">IF(COUNTIF(medicine_master!$A$2:$A$26,C2133)&gt;0,"Valid","Invalid")</f>
        <v>Valid</v>
      </c>
      <c r="G2133" s="39" t="str">
        <f aca="false">IFERROR(INDEX(medicine_master!$B$2:$B$26,MATCH($C2133,medicine_master!$A$2:$A$26,0)),"Not found")</f>
        <v>Ibuprofen 400mg</v>
      </c>
      <c r="H2133" s="39" t="str">
        <f aca="false">IFERROR(INDEX(medicine_master!$C$2:$C$26,MATCH($C2133,medicine_master!$A$2:$A$26,0)),"Not found")</f>
        <v>Pain Relief</v>
      </c>
      <c r="I2133" s="39" t="n">
        <f aca="false">YEAR(B2133)</f>
        <v>2026</v>
      </c>
      <c r="J2133" s="39" t="n">
        <f aca="false">MONTH(B2133)</f>
        <v>4</v>
      </c>
      <c r="K2133" s="39" t="str">
        <f aca="false">TEXT(B2133,"mmm")</f>
        <v>Apr</v>
      </c>
      <c r="L2133" s="45" t="n">
        <f aca="false">IFERROR(INDEX(medicine_master!$I$2:$I$26,MATCH($C2133,medicine_master!$A$2:$A$26,0)),0)</f>
        <v>30</v>
      </c>
      <c r="M2133" s="45" t="n">
        <f aca="false">IFERROR(INDEX(medicine_master!$G$2:$G$26,MATCH($C2133,medicine_master!$A$2:$A$26,0)),0)</f>
        <v>22</v>
      </c>
      <c r="N2133" s="45" t="n">
        <f aca="false">IF(D2133="Sale",E2133*L2133,0)</f>
        <v>0</v>
      </c>
      <c r="O2133" s="45" t="n">
        <f aca="false">IF(D2133="Sale",E2133*M2133,0)</f>
        <v>0</v>
      </c>
      <c r="P2133" s="45" t="n">
        <f aca="false">N2133-O2133</f>
        <v>0</v>
      </c>
      <c r="Q2133" s="45" t="n">
        <f aca="false">IF(D2133="Purchase",E2133*M2133,0)</f>
        <v>440</v>
      </c>
    </row>
    <row r="2134" customFormat="false" ht="15" hidden="false" customHeight="false" outlineLevel="0" collapsed="false">
      <c r="A2134" s="39" t="s">
        <v>2458</v>
      </c>
      <c r="B2134" s="44" t="n">
        <v>46304</v>
      </c>
      <c r="C2134" s="39" t="s">
        <v>157</v>
      </c>
      <c r="D2134" s="39" t="s">
        <v>137</v>
      </c>
      <c r="E2134" s="39" t="n">
        <v>20</v>
      </c>
      <c r="F2134" s="39" t="str">
        <f aca="false">IF(COUNTIF(medicine_master!$A$2:$A$26,C2134)&gt;0,"Valid","Invalid")</f>
        <v>Valid</v>
      </c>
      <c r="G2134" s="39" t="str">
        <f aca="false">IFERROR(INDEX(medicine_master!$B$2:$B$26,MATCH($C2134,medicine_master!$A$2:$A$26,0)),"Not found")</f>
        <v>Multivitamin Tablets</v>
      </c>
      <c r="H2134" s="39" t="str">
        <f aca="false">IFERROR(INDEX(medicine_master!$C$2:$C$26,MATCH($C2134,medicine_master!$A$2:$A$26,0)),"Not found")</f>
        <v>Vitamin</v>
      </c>
      <c r="I2134" s="39" t="n">
        <f aca="false">YEAR(B2134)</f>
        <v>2026</v>
      </c>
      <c r="J2134" s="39" t="n">
        <f aca="false">MONTH(B2134)</f>
        <v>10</v>
      </c>
      <c r="K2134" s="39" t="str">
        <f aca="false">TEXT(B2134,"mmm")</f>
        <v>Oct</v>
      </c>
      <c r="L2134" s="45" t="n">
        <f aca="false">IFERROR(INDEX(medicine_master!$I$2:$I$26,MATCH($C2134,medicine_master!$A$2:$A$26,0)),0)</f>
        <v>105</v>
      </c>
      <c r="M2134" s="45" t="n">
        <f aca="false">IFERROR(INDEX(medicine_master!$G$2:$G$26,MATCH($C2134,medicine_master!$A$2:$A$26,0)),0)</f>
        <v>72</v>
      </c>
      <c r="N2134" s="45" t="n">
        <f aca="false">IF(D2134="Sale",E2134*L2134,0)</f>
        <v>2100</v>
      </c>
      <c r="O2134" s="45" t="n">
        <f aca="false">IF(D2134="Sale",E2134*M2134,0)</f>
        <v>1440</v>
      </c>
      <c r="P2134" s="45" t="n">
        <f aca="false">N2134-O2134</f>
        <v>660</v>
      </c>
      <c r="Q2134" s="45" t="n">
        <f aca="false">IF(D2134="Purchase",E2134*M2134,0)</f>
        <v>0</v>
      </c>
    </row>
    <row r="2135" customFormat="false" ht="15" hidden="false" customHeight="false" outlineLevel="0" collapsed="false">
      <c r="A2135" s="39" t="s">
        <v>2459</v>
      </c>
      <c r="B2135" s="44" t="n">
        <v>46204</v>
      </c>
      <c r="C2135" s="39" t="s">
        <v>345</v>
      </c>
      <c r="D2135" s="39" t="s">
        <v>138</v>
      </c>
      <c r="E2135" s="39" t="n">
        <v>30</v>
      </c>
      <c r="F2135" s="39" t="str">
        <f aca="false">IF(COUNTIF(medicine_master!$A$2:$A$26,C2135)&gt;0,"Valid","Invalid")</f>
        <v>Valid</v>
      </c>
      <c r="G2135" s="39" t="str">
        <f aca="false">IFERROR(INDEX(medicine_master!$B$2:$B$26,MATCH($C2135,medicine_master!$A$2:$A$26,0)),"Not found")</f>
        <v>Paracetamol 500mg</v>
      </c>
      <c r="H2135" s="39" t="str">
        <f aca="false">IFERROR(INDEX(medicine_master!$C$2:$C$26,MATCH($C2135,medicine_master!$A$2:$A$26,0)),"Not found")</f>
        <v>Pain Relief</v>
      </c>
      <c r="I2135" s="39" t="n">
        <f aca="false">YEAR(B2135)</f>
        <v>2026</v>
      </c>
      <c r="J2135" s="39" t="n">
        <f aca="false">MONTH(B2135)</f>
        <v>7</v>
      </c>
      <c r="K2135" s="39" t="str">
        <f aca="false">TEXT(B2135,"mmm")</f>
        <v>Jul</v>
      </c>
      <c r="L2135" s="45" t="n">
        <f aca="false">IFERROR(INDEX(medicine_master!$I$2:$I$26,MATCH($C2135,medicine_master!$A$2:$A$26,0)),0)</f>
        <v>18</v>
      </c>
      <c r="M2135" s="45" t="n">
        <f aca="false">IFERROR(INDEX(medicine_master!$G$2:$G$26,MATCH($C2135,medicine_master!$A$2:$A$26,0)),0)</f>
        <v>12</v>
      </c>
      <c r="N2135" s="45" t="n">
        <f aca="false">IF(D2135="Sale",E2135*L2135,0)</f>
        <v>0</v>
      </c>
      <c r="O2135" s="45" t="n">
        <f aca="false">IF(D2135="Sale",E2135*M2135,0)</f>
        <v>0</v>
      </c>
      <c r="P2135" s="45" t="n">
        <f aca="false">N2135-O2135</f>
        <v>0</v>
      </c>
      <c r="Q2135" s="45" t="n">
        <f aca="false">IF(D2135="Purchase",E2135*M2135,0)</f>
        <v>360</v>
      </c>
    </row>
    <row r="2136" customFormat="false" ht="15" hidden="false" customHeight="false" outlineLevel="0" collapsed="false">
      <c r="A2136" s="39" t="s">
        <v>2460</v>
      </c>
      <c r="B2136" s="44" t="n">
        <v>46218</v>
      </c>
      <c r="C2136" s="39" t="s">
        <v>326</v>
      </c>
      <c r="D2136" s="39" t="s">
        <v>138</v>
      </c>
      <c r="E2136" s="39" t="n">
        <v>20</v>
      </c>
      <c r="F2136" s="39" t="str">
        <f aca="false">IF(COUNTIF(medicine_master!$A$2:$A$26,C2136)&gt;0,"Valid","Invalid")</f>
        <v>Valid</v>
      </c>
      <c r="G2136" s="39" t="str">
        <f aca="false">IFERROR(INDEX(medicine_master!$B$2:$B$26,MATCH($C2136,medicine_master!$A$2:$A$26,0)),"Not found")</f>
        <v>Omeprazole 20mg</v>
      </c>
      <c r="H2136" s="39" t="str">
        <f aca="false">IFERROR(INDEX(medicine_master!$C$2:$C$26,MATCH($C2136,medicine_master!$A$2:$A$26,0)),"Not found")</f>
        <v>Gastric</v>
      </c>
      <c r="I2136" s="39" t="n">
        <f aca="false">YEAR(B2136)</f>
        <v>2026</v>
      </c>
      <c r="J2136" s="39" t="n">
        <f aca="false">MONTH(B2136)</f>
        <v>7</v>
      </c>
      <c r="K2136" s="39" t="str">
        <f aca="false">TEXT(B2136,"mmm")</f>
        <v>Jul</v>
      </c>
      <c r="L2136" s="45" t="n">
        <f aca="false">IFERROR(INDEX(medicine_master!$I$2:$I$26,MATCH($C2136,medicine_master!$A$2:$A$26,0)),0)</f>
        <v>26</v>
      </c>
      <c r="M2136" s="45" t="n">
        <f aca="false">IFERROR(INDEX(medicine_master!$G$2:$G$26,MATCH($C2136,medicine_master!$A$2:$A$26,0)),0)</f>
        <v>18</v>
      </c>
      <c r="N2136" s="45" t="n">
        <f aca="false">IF(D2136="Sale",E2136*L2136,0)</f>
        <v>0</v>
      </c>
      <c r="O2136" s="45" t="n">
        <f aca="false">IF(D2136="Sale",E2136*M2136,0)</f>
        <v>0</v>
      </c>
      <c r="P2136" s="45" t="n">
        <f aca="false">N2136-O2136</f>
        <v>0</v>
      </c>
      <c r="Q2136" s="45" t="n">
        <f aca="false">IF(D2136="Purchase",E2136*M2136,0)</f>
        <v>360</v>
      </c>
    </row>
    <row r="2137" customFormat="false" ht="15" hidden="false" customHeight="false" outlineLevel="0" collapsed="false">
      <c r="A2137" s="39" t="s">
        <v>2461</v>
      </c>
      <c r="B2137" s="44" t="n">
        <v>46060</v>
      </c>
      <c r="C2137" s="39" t="s">
        <v>160</v>
      </c>
      <c r="D2137" s="39" t="s">
        <v>137</v>
      </c>
      <c r="E2137" s="39" t="n">
        <v>25</v>
      </c>
      <c r="F2137" s="39" t="str">
        <f aca="false">IF(COUNTIF(medicine_master!$A$2:$A$26,C2137)&gt;0,"Valid","Invalid")</f>
        <v>Valid</v>
      </c>
      <c r="G2137" s="39" t="str">
        <f aca="false">IFERROR(INDEX(medicine_master!$B$2:$B$26,MATCH($C2137,medicine_master!$A$2:$A$26,0)),"Not found")</f>
        <v>Calamine Lotion</v>
      </c>
      <c r="H2137" s="39" t="str">
        <f aca="false">IFERROR(INDEX(medicine_master!$C$2:$C$26,MATCH($C2137,medicine_master!$A$2:$A$26,0)),"Not found")</f>
        <v>Dermatology</v>
      </c>
      <c r="I2137" s="39" t="n">
        <f aca="false">YEAR(B2137)</f>
        <v>2026</v>
      </c>
      <c r="J2137" s="39" t="n">
        <f aca="false">MONTH(B2137)</f>
        <v>2</v>
      </c>
      <c r="K2137" s="39" t="str">
        <f aca="false">TEXT(B2137,"mmm")</f>
        <v>Feb</v>
      </c>
      <c r="L2137" s="45" t="n">
        <f aca="false">IFERROR(INDEX(medicine_master!$I$2:$I$26,MATCH($C2137,medicine_master!$A$2:$A$26,0)),0)</f>
        <v>60</v>
      </c>
      <c r="M2137" s="45" t="n">
        <f aca="false">IFERROR(INDEX(medicine_master!$G$2:$G$26,MATCH($C2137,medicine_master!$A$2:$A$26,0)),0)</f>
        <v>42</v>
      </c>
      <c r="N2137" s="45" t="n">
        <f aca="false">IF(D2137="Sale",E2137*L2137,0)</f>
        <v>1500</v>
      </c>
      <c r="O2137" s="45" t="n">
        <f aca="false">IF(D2137="Sale",E2137*M2137,0)</f>
        <v>1050</v>
      </c>
      <c r="P2137" s="45" t="n">
        <f aca="false">N2137-O2137</f>
        <v>450</v>
      </c>
      <c r="Q2137" s="45" t="n">
        <f aca="false">IF(D2137="Purchase",E2137*M2137,0)</f>
        <v>0</v>
      </c>
    </row>
    <row r="2138" customFormat="false" ht="15" hidden="false" customHeight="false" outlineLevel="0" collapsed="false">
      <c r="A2138" s="39" t="s">
        <v>2462</v>
      </c>
      <c r="B2138" s="44" t="n">
        <v>46381</v>
      </c>
      <c r="C2138" s="39" t="s">
        <v>150</v>
      </c>
      <c r="D2138" s="39" t="s">
        <v>138</v>
      </c>
      <c r="E2138" s="39" t="n">
        <v>40</v>
      </c>
      <c r="F2138" s="39" t="str">
        <f aca="false">IF(COUNTIF(medicine_master!$A$2:$A$26,C2138)&gt;0,"Valid","Invalid")</f>
        <v>Valid</v>
      </c>
      <c r="G2138" s="39" t="str">
        <f aca="false">IFERROR(INDEX(medicine_master!$B$2:$B$26,MATCH($C2138,medicine_master!$A$2:$A$26,0)),"Not found")</f>
        <v>Pantoprazole 40mg</v>
      </c>
      <c r="H2138" s="39" t="str">
        <f aca="false">IFERROR(INDEX(medicine_master!$C$2:$C$26,MATCH($C2138,medicine_master!$A$2:$A$26,0)),"Not found")</f>
        <v>Gastric</v>
      </c>
      <c r="I2138" s="39" t="n">
        <f aca="false">YEAR(B2138)</f>
        <v>2026</v>
      </c>
      <c r="J2138" s="39" t="n">
        <f aca="false">MONTH(B2138)</f>
        <v>12</v>
      </c>
      <c r="K2138" s="39" t="str">
        <f aca="false">TEXT(B2138,"mmm")</f>
        <v>Dec</v>
      </c>
      <c r="L2138" s="45" t="n">
        <f aca="false">IFERROR(INDEX(medicine_master!$I$2:$I$26,MATCH($C2138,medicine_master!$A$2:$A$26,0)),0)</f>
        <v>35</v>
      </c>
      <c r="M2138" s="45" t="n">
        <f aca="false">IFERROR(INDEX(medicine_master!$G$2:$G$26,MATCH($C2138,medicine_master!$A$2:$A$26,0)),0)</f>
        <v>24</v>
      </c>
      <c r="N2138" s="45" t="n">
        <f aca="false">IF(D2138="Sale",E2138*L2138,0)</f>
        <v>0</v>
      </c>
      <c r="O2138" s="45" t="n">
        <f aca="false">IF(D2138="Sale",E2138*M2138,0)</f>
        <v>0</v>
      </c>
      <c r="P2138" s="45" t="n">
        <f aca="false">N2138-O2138</f>
        <v>0</v>
      </c>
      <c r="Q2138" s="45" t="n">
        <f aca="false">IF(D2138="Purchase",E2138*M2138,0)</f>
        <v>960</v>
      </c>
    </row>
    <row r="2139" customFormat="false" ht="15" hidden="false" customHeight="false" outlineLevel="0" collapsed="false">
      <c r="A2139" s="39" t="s">
        <v>2463</v>
      </c>
      <c r="B2139" s="44" t="n">
        <v>46361</v>
      </c>
      <c r="C2139" s="39" t="s">
        <v>152</v>
      </c>
      <c r="D2139" s="39" t="s">
        <v>138</v>
      </c>
      <c r="E2139" s="39" t="n">
        <v>20</v>
      </c>
      <c r="F2139" s="39" t="str">
        <f aca="false">IF(COUNTIF(medicine_master!$A$2:$A$26,C2139)&gt;0,"Valid","Invalid")</f>
        <v>Valid</v>
      </c>
      <c r="G2139" s="39" t="str">
        <f aca="false">IFERROR(INDEX(medicine_master!$B$2:$B$26,MATCH($C2139,medicine_master!$A$2:$A$26,0)),"Not found")</f>
        <v>Amoxicillin 500mg</v>
      </c>
      <c r="H2139" s="39" t="str">
        <f aca="false">IFERROR(INDEX(medicine_master!$C$2:$C$26,MATCH($C2139,medicine_master!$A$2:$A$26,0)),"Not found")</f>
        <v>Antibiotic</v>
      </c>
      <c r="I2139" s="39" t="n">
        <f aca="false">YEAR(B2139)</f>
        <v>2026</v>
      </c>
      <c r="J2139" s="39" t="n">
        <f aca="false">MONTH(B2139)</f>
        <v>12</v>
      </c>
      <c r="K2139" s="39" t="str">
        <f aca="false">TEXT(B2139,"mmm")</f>
        <v>Dec</v>
      </c>
      <c r="L2139" s="45" t="n">
        <f aca="false">IFERROR(INDEX(medicine_master!$I$2:$I$26,MATCH($C2139,medicine_master!$A$2:$A$26,0)),0)</f>
        <v>40</v>
      </c>
      <c r="M2139" s="45" t="n">
        <f aca="false">IFERROR(INDEX(medicine_master!$G$2:$G$26,MATCH($C2139,medicine_master!$A$2:$A$26,0)),0)</f>
        <v>28</v>
      </c>
      <c r="N2139" s="45" t="n">
        <f aca="false">IF(D2139="Sale",E2139*L2139,0)</f>
        <v>0</v>
      </c>
      <c r="O2139" s="45" t="n">
        <f aca="false">IF(D2139="Sale",E2139*M2139,0)</f>
        <v>0</v>
      </c>
      <c r="P2139" s="45" t="n">
        <f aca="false">N2139-O2139</f>
        <v>0</v>
      </c>
      <c r="Q2139" s="45" t="n">
        <f aca="false">IF(D2139="Purchase",E2139*M2139,0)</f>
        <v>560</v>
      </c>
    </row>
    <row r="2140" customFormat="false" ht="15" hidden="false" customHeight="false" outlineLevel="0" collapsed="false">
      <c r="A2140" s="39" t="s">
        <v>2464</v>
      </c>
      <c r="B2140" s="44" t="n">
        <v>46309</v>
      </c>
      <c r="C2140" s="39" t="s">
        <v>146</v>
      </c>
      <c r="D2140" s="39" t="s">
        <v>137</v>
      </c>
      <c r="E2140" s="39" t="n">
        <v>20</v>
      </c>
      <c r="F2140" s="39" t="str">
        <f aca="false">IF(COUNTIF(medicine_master!$A$2:$A$26,C2140)&gt;0,"Valid","Invalid")</f>
        <v>Valid</v>
      </c>
      <c r="G2140" s="39" t="str">
        <f aca="false">IFERROR(INDEX(medicine_master!$B$2:$B$26,MATCH($C2140,medicine_master!$A$2:$A$26,0)),"Not found")</f>
        <v>Diclofenac Gel</v>
      </c>
      <c r="H2140" s="39" t="str">
        <f aca="false">IFERROR(INDEX(medicine_master!$C$2:$C$26,MATCH($C2140,medicine_master!$A$2:$A$26,0)),"Not found")</f>
        <v>Pain Relief</v>
      </c>
      <c r="I2140" s="39" t="n">
        <f aca="false">YEAR(B2140)</f>
        <v>2026</v>
      </c>
      <c r="J2140" s="39" t="n">
        <f aca="false">MONTH(B2140)</f>
        <v>10</v>
      </c>
      <c r="K2140" s="39" t="str">
        <f aca="false">TEXT(B2140,"mmm")</f>
        <v>Oct</v>
      </c>
      <c r="L2140" s="45" t="n">
        <f aca="false">IFERROR(INDEX(medicine_master!$I$2:$I$26,MATCH($C2140,medicine_master!$A$2:$A$26,0)),0)</f>
        <v>55</v>
      </c>
      <c r="M2140" s="45" t="n">
        <f aca="false">IFERROR(INDEX(medicine_master!$G$2:$G$26,MATCH($C2140,medicine_master!$A$2:$A$26,0)),0)</f>
        <v>38</v>
      </c>
      <c r="N2140" s="45" t="n">
        <f aca="false">IF(D2140="Sale",E2140*L2140,0)</f>
        <v>1100</v>
      </c>
      <c r="O2140" s="45" t="n">
        <f aca="false">IF(D2140="Sale",E2140*M2140,0)</f>
        <v>760</v>
      </c>
      <c r="P2140" s="45" t="n">
        <f aca="false">N2140-O2140</f>
        <v>340</v>
      </c>
      <c r="Q2140" s="45" t="n">
        <f aca="false">IF(D2140="Purchase",E2140*M2140,0)</f>
        <v>0</v>
      </c>
    </row>
    <row r="2141" customFormat="false" ht="15" hidden="false" customHeight="false" outlineLevel="0" collapsed="false">
      <c r="A2141" s="39" t="s">
        <v>2465</v>
      </c>
      <c r="B2141" s="44" t="n">
        <v>46045</v>
      </c>
      <c r="C2141" s="39" t="s">
        <v>177</v>
      </c>
      <c r="D2141" s="39" t="s">
        <v>138</v>
      </c>
      <c r="E2141" s="39" t="n">
        <v>40</v>
      </c>
      <c r="F2141" s="39" t="str">
        <f aca="false">IF(COUNTIF(medicine_master!$A$2:$A$26,C2141)&gt;0,"Valid","Invalid")</f>
        <v>Valid</v>
      </c>
      <c r="G2141" s="39" t="str">
        <f aca="false">IFERROR(INDEX(medicine_master!$B$2:$B$26,MATCH($C2141,medicine_master!$A$2:$A$26,0)),"Not found")</f>
        <v>Bandage Roll</v>
      </c>
      <c r="H2141" s="39" t="str">
        <f aca="false">IFERROR(INDEX(medicine_master!$C$2:$C$26,MATCH($C2141,medicine_master!$A$2:$A$26,0)),"Not found")</f>
        <v>First Aid</v>
      </c>
      <c r="I2141" s="39" t="n">
        <f aca="false">YEAR(B2141)</f>
        <v>2026</v>
      </c>
      <c r="J2141" s="39" t="n">
        <f aca="false">MONTH(B2141)</f>
        <v>1</v>
      </c>
      <c r="K2141" s="39" t="str">
        <f aca="false">TEXT(B2141,"mmm")</f>
        <v>Jan</v>
      </c>
      <c r="L2141" s="45" t="n">
        <f aca="false">IFERROR(INDEX(medicine_master!$I$2:$I$26,MATCH($C2141,medicine_master!$A$2:$A$26,0)),0)</f>
        <v>25</v>
      </c>
      <c r="M2141" s="45" t="n">
        <f aca="false">IFERROR(INDEX(medicine_master!$G$2:$G$26,MATCH($C2141,medicine_master!$A$2:$A$26,0)),0)</f>
        <v>15</v>
      </c>
      <c r="N2141" s="45" t="n">
        <f aca="false">IF(D2141="Sale",E2141*L2141,0)</f>
        <v>0</v>
      </c>
      <c r="O2141" s="45" t="n">
        <f aca="false">IF(D2141="Sale",E2141*M2141,0)</f>
        <v>0</v>
      </c>
      <c r="P2141" s="45" t="n">
        <f aca="false">N2141-O2141</f>
        <v>0</v>
      </c>
      <c r="Q2141" s="45" t="n">
        <f aca="false">IF(D2141="Purchase",E2141*M2141,0)</f>
        <v>600</v>
      </c>
    </row>
    <row r="2142" customFormat="false" ht="15" hidden="false" customHeight="false" outlineLevel="0" collapsed="false">
      <c r="A2142" s="39" t="s">
        <v>2466</v>
      </c>
      <c r="B2142" s="44" t="n">
        <v>46191</v>
      </c>
      <c r="C2142" s="39" t="s">
        <v>149</v>
      </c>
      <c r="D2142" s="39" t="s">
        <v>138</v>
      </c>
      <c r="E2142" s="39" t="n">
        <v>10</v>
      </c>
      <c r="F2142" s="39" t="str">
        <f aca="false">IF(COUNTIF(medicine_master!$A$2:$A$26,C2142)&gt;0,"Valid","Invalid")</f>
        <v>Valid</v>
      </c>
      <c r="G2142" s="39" t="str">
        <f aca="false">IFERROR(INDEX(medicine_master!$B$2:$B$26,MATCH($C2142,medicine_master!$A$2:$A$26,0)),"Not found")</f>
        <v>Azithromycin 500mg</v>
      </c>
      <c r="H2142" s="39" t="str">
        <f aca="false">IFERROR(INDEX(medicine_master!$C$2:$C$26,MATCH($C2142,medicine_master!$A$2:$A$26,0)),"Not found")</f>
        <v>Antibiotic</v>
      </c>
      <c r="I2142" s="39" t="n">
        <f aca="false">YEAR(B2142)</f>
        <v>2026</v>
      </c>
      <c r="J2142" s="39" t="n">
        <f aca="false">MONTH(B2142)</f>
        <v>6</v>
      </c>
      <c r="K2142" s="39" t="str">
        <f aca="false">TEXT(B2142,"mmm")</f>
        <v>Jun</v>
      </c>
      <c r="L2142" s="45" t="n">
        <f aca="false">IFERROR(INDEX(medicine_master!$I$2:$I$26,MATCH($C2142,medicine_master!$A$2:$A$26,0)),0)</f>
        <v>50</v>
      </c>
      <c r="M2142" s="45" t="n">
        <f aca="false">IFERROR(INDEX(medicine_master!$G$2:$G$26,MATCH($C2142,medicine_master!$A$2:$A$26,0)),0)</f>
        <v>35</v>
      </c>
      <c r="N2142" s="45" t="n">
        <f aca="false">IF(D2142="Sale",E2142*L2142,0)</f>
        <v>0</v>
      </c>
      <c r="O2142" s="45" t="n">
        <f aca="false">IF(D2142="Sale",E2142*M2142,0)</f>
        <v>0</v>
      </c>
      <c r="P2142" s="45" t="n">
        <f aca="false">N2142-O2142</f>
        <v>0</v>
      </c>
      <c r="Q2142" s="45" t="n">
        <f aca="false">IF(D2142="Purchase",E2142*M2142,0)</f>
        <v>350</v>
      </c>
    </row>
    <row r="2143" customFormat="false" ht="15" hidden="false" customHeight="false" outlineLevel="0" collapsed="false">
      <c r="A2143" s="39" t="s">
        <v>2467</v>
      </c>
      <c r="B2143" s="44" t="n">
        <v>46295</v>
      </c>
      <c r="C2143" s="39" t="s">
        <v>146</v>
      </c>
      <c r="D2143" s="39" t="s">
        <v>138</v>
      </c>
      <c r="E2143" s="39" t="n">
        <v>25</v>
      </c>
      <c r="F2143" s="39" t="str">
        <f aca="false">IF(COUNTIF(medicine_master!$A$2:$A$26,C2143)&gt;0,"Valid","Invalid")</f>
        <v>Valid</v>
      </c>
      <c r="G2143" s="39" t="str">
        <f aca="false">IFERROR(INDEX(medicine_master!$B$2:$B$26,MATCH($C2143,medicine_master!$A$2:$A$26,0)),"Not found")</f>
        <v>Diclofenac Gel</v>
      </c>
      <c r="H2143" s="39" t="str">
        <f aca="false">IFERROR(INDEX(medicine_master!$C$2:$C$26,MATCH($C2143,medicine_master!$A$2:$A$26,0)),"Not found")</f>
        <v>Pain Relief</v>
      </c>
      <c r="I2143" s="39" t="n">
        <f aca="false">YEAR(B2143)</f>
        <v>2026</v>
      </c>
      <c r="J2143" s="39" t="n">
        <f aca="false">MONTH(B2143)</f>
        <v>9</v>
      </c>
      <c r="K2143" s="39" t="str">
        <f aca="false">TEXT(B2143,"mmm")</f>
        <v>Sep</v>
      </c>
      <c r="L2143" s="45" t="n">
        <f aca="false">IFERROR(INDEX(medicine_master!$I$2:$I$26,MATCH($C2143,medicine_master!$A$2:$A$26,0)),0)</f>
        <v>55</v>
      </c>
      <c r="M2143" s="45" t="n">
        <f aca="false">IFERROR(INDEX(medicine_master!$G$2:$G$26,MATCH($C2143,medicine_master!$A$2:$A$26,0)),0)</f>
        <v>38</v>
      </c>
      <c r="N2143" s="45" t="n">
        <f aca="false">IF(D2143="Sale",E2143*L2143,0)</f>
        <v>0</v>
      </c>
      <c r="O2143" s="45" t="n">
        <f aca="false">IF(D2143="Sale",E2143*M2143,0)</f>
        <v>0</v>
      </c>
      <c r="P2143" s="45" t="n">
        <f aca="false">N2143-O2143</f>
        <v>0</v>
      </c>
      <c r="Q2143" s="45" t="n">
        <f aca="false">IF(D2143="Purchase",E2143*M2143,0)</f>
        <v>950</v>
      </c>
    </row>
    <row r="2144" customFormat="false" ht="15" hidden="false" customHeight="false" outlineLevel="0" collapsed="false">
      <c r="A2144" s="39" t="s">
        <v>2468</v>
      </c>
      <c r="B2144" s="44" t="n">
        <v>46101</v>
      </c>
      <c r="C2144" s="39" t="s">
        <v>153</v>
      </c>
      <c r="D2144" s="39" t="s">
        <v>137</v>
      </c>
      <c r="E2144" s="39" t="n">
        <v>25</v>
      </c>
      <c r="F2144" s="39" t="str">
        <f aca="false">IF(COUNTIF(medicine_master!$A$2:$A$26,C2144)&gt;0,"Valid","Invalid")</f>
        <v>Valid</v>
      </c>
      <c r="G2144" s="39" t="str">
        <f aca="false">IFERROR(INDEX(medicine_master!$B$2:$B$26,MATCH($C2144,medicine_master!$A$2:$A$26,0)),"Not found")</f>
        <v>Atorvastatin 10mg</v>
      </c>
      <c r="H2144" s="39" t="str">
        <f aca="false">IFERROR(INDEX(medicine_master!$C$2:$C$26,MATCH($C2144,medicine_master!$A$2:$A$26,0)),"Not found")</f>
        <v>Cardiac</v>
      </c>
      <c r="I2144" s="39" t="n">
        <f aca="false">YEAR(B2144)</f>
        <v>2026</v>
      </c>
      <c r="J2144" s="39" t="n">
        <f aca="false">MONTH(B2144)</f>
        <v>3</v>
      </c>
      <c r="K2144" s="39" t="str">
        <f aca="false">TEXT(B2144,"mmm")</f>
        <v>Mar</v>
      </c>
      <c r="L2144" s="45" t="n">
        <f aca="false">IFERROR(INDEX(medicine_master!$I$2:$I$26,MATCH($C2144,medicine_master!$A$2:$A$26,0)),0)</f>
        <v>28</v>
      </c>
      <c r="M2144" s="45" t="n">
        <f aca="false">IFERROR(INDEX(medicine_master!$G$2:$G$26,MATCH($C2144,medicine_master!$A$2:$A$26,0)),0)</f>
        <v>19</v>
      </c>
      <c r="N2144" s="45" t="n">
        <f aca="false">IF(D2144="Sale",E2144*L2144,0)</f>
        <v>700</v>
      </c>
      <c r="O2144" s="45" t="n">
        <f aca="false">IF(D2144="Sale",E2144*M2144,0)</f>
        <v>475</v>
      </c>
      <c r="P2144" s="45" t="n">
        <f aca="false">N2144-O2144</f>
        <v>225</v>
      </c>
      <c r="Q2144" s="45" t="n">
        <f aca="false">IF(D2144="Purchase",E2144*M2144,0)</f>
        <v>0</v>
      </c>
    </row>
    <row r="2145" customFormat="false" ht="15" hidden="false" customHeight="false" outlineLevel="0" collapsed="false">
      <c r="A2145" s="39" t="s">
        <v>2469</v>
      </c>
      <c r="B2145" s="44" t="n">
        <v>46112</v>
      </c>
      <c r="C2145" s="39" t="s">
        <v>321</v>
      </c>
      <c r="D2145" s="39" t="s">
        <v>138</v>
      </c>
      <c r="E2145" s="39" t="n">
        <v>40</v>
      </c>
      <c r="F2145" s="39" t="str">
        <f aca="false">IF(COUNTIF(medicine_master!$A$2:$A$26,C2145)&gt;0,"Valid","Invalid")</f>
        <v>Valid</v>
      </c>
      <c r="G2145" s="39" t="str">
        <f aca="false">IFERROR(INDEX(medicine_master!$B$2:$B$26,MATCH($C2145,medicine_master!$A$2:$A$26,0)),"Not found")</f>
        <v>Levocetirizine 5mg</v>
      </c>
      <c r="H2145" s="39" t="str">
        <f aca="false">IFERROR(INDEX(medicine_master!$C$2:$C$26,MATCH($C2145,medicine_master!$A$2:$A$26,0)),"Not found")</f>
        <v>Allergy</v>
      </c>
      <c r="I2145" s="39" t="n">
        <f aca="false">YEAR(B2145)</f>
        <v>2026</v>
      </c>
      <c r="J2145" s="39" t="n">
        <f aca="false">MONTH(B2145)</f>
        <v>3</v>
      </c>
      <c r="K2145" s="39" t="str">
        <f aca="false">TEXT(B2145,"mmm")</f>
        <v>Mar</v>
      </c>
      <c r="L2145" s="45" t="n">
        <f aca="false">IFERROR(INDEX(medicine_master!$I$2:$I$26,MATCH($C2145,medicine_master!$A$2:$A$26,0)),0)</f>
        <v>22</v>
      </c>
      <c r="M2145" s="45" t="n">
        <f aca="false">IFERROR(INDEX(medicine_master!$G$2:$G$26,MATCH($C2145,medicine_master!$A$2:$A$26,0)),0)</f>
        <v>14</v>
      </c>
      <c r="N2145" s="45" t="n">
        <f aca="false">IF(D2145="Sale",E2145*L2145,0)</f>
        <v>0</v>
      </c>
      <c r="O2145" s="45" t="n">
        <f aca="false">IF(D2145="Sale",E2145*M2145,0)</f>
        <v>0</v>
      </c>
      <c r="P2145" s="45" t="n">
        <f aca="false">N2145-O2145</f>
        <v>0</v>
      </c>
      <c r="Q2145" s="45" t="n">
        <f aca="false">IF(D2145="Purchase",E2145*M2145,0)</f>
        <v>560</v>
      </c>
    </row>
    <row r="2146" customFormat="false" ht="15" hidden="false" customHeight="false" outlineLevel="0" collapsed="false">
      <c r="A2146" s="39" t="s">
        <v>2470</v>
      </c>
      <c r="B2146" s="44" t="n">
        <v>46256</v>
      </c>
      <c r="C2146" s="39" t="s">
        <v>149</v>
      </c>
      <c r="D2146" s="39" t="s">
        <v>137</v>
      </c>
      <c r="E2146" s="39" t="n">
        <v>15</v>
      </c>
      <c r="F2146" s="39" t="str">
        <f aca="false">IF(COUNTIF(medicine_master!$A$2:$A$26,C2146)&gt;0,"Valid","Invalid")</f>
        <v>Valid</v>
      </c>
      <c r="G2146" s="39" t="str">
        <f aca="false">IFERROR(INDEX(medicine_master!$B$2:$B$26,MATCH($C2146,medicine_master!$A$2:$A$26,0)),"Not found")</f>
        <v>Azithromycin 500mg</v>
      </c>
      <c r="H2146" s="39" t="str">
        <f aca="false">IFERROR(INDEX(medicine_master!$C$2:$C$26,MATCH($C2146,medicine_master!$A$2:$A$26,0)),"Not found")</f>
        <v>Antibiotic</v>
      </c>
      <c r="I2146" s="39" t="n">
        <f aca="false">YEAR(B2146)</f>
        <v>2026</v>
      </c>
      <c r="J2146" s="39" t="n">
        <f aca="false">MONTH(B2146)</f>
        <v>8</v>
      </c>
      <c r="K2146" s="39" t="str">
        <f aca="false">TEXT(B2146,"mmm")</f>
        <v>Aug</v>
      </c>
      <c r="L2146" s="45" t="n">
        <f aca="false">IFERROR(INDEX(medicine_master!$I$2:$I$26,MATCH($C2146,medicine_master!$A$2:$A$26,0)),0)</f>
        <v>50</v>
      </c>
      <c r="M2146" s="45" t="n">
        <f aca="false">IFERROR(INDEX(medicine_master!$G$2:$G$26,MATCH($C2146,medicine_master!$A$2:$A$26,0)),0)</f>
        <v>35</v>
      </c>
      <c r="N2146" s="45" t="n">
        <f aca="false">IF(D2146="Sale",E2146*L2146,0)</f>
        <v>750</v>
      </c>
      <c r="O2146" s="45" t="n">
        <f aca="false">IF(D2146="Sale",E2146*M2146,0)</f>
        <v>525</v>
      </c>
      <c r="P2146" s="45" t="n">
        <f aca="false">N2146-O2146</f>
        <v>225</v>
      </c>
      <c r="Q2146" s="45" t="n">
        <f aca="false">IF(D2146="Purchase",E2146*M2146,0)</f>
        <v>0</v>
      </c>
    </row>
    <row r="2147" customFormat="false" ht="15" hidden="false" customHeight="false" outlineLevel="0" collapsed="false">
      <c r="A2147" s="39" t="s">
        <v>2471</v>
      </c>
      <c r="B2147" s="44" t="n">
        <v>46065</v>
      </c>
      <c r="C2147" s="39" t="s">
        <v>177</v>
      </c>
      <c r="D2147" s="39" t="s">
        <v>138</v>
      </c>
      <c r="E2147" s="39" t="n">
        <v>30</v>
      </c>
      <c r="F2147" s="39" t="str">
        <f aca="false">IF(COUNTIF(medicine_master!$A$2:$A$26,C2147)&gt;0,"Valid","Invalid")</f>
        <v>Valid</v>
      </c>
      <c r="G2147" s="39" t="str">
        <f aca="false">IFERROR(INDEX(medicine_master!$B$2:$B$26,MATCH($C2147,medicine_master!$A$2:$A$26,0)),"Not found")</f>
        <v>Bandage Roll</v>
      </c>
      <c r="H2147" s="39" t="str">
        <f aca="false">IFERROR(INDEX(medicine_master!$C$2:$C$26,MATCH($C2147,medicine_master!$A$2:$A$26,0)),"Not found")</f>
        <v>First Aid</v>
      </c>
      <c r="I2147" s="39" t="n">
        <f aca="false">YEAR(B2147)</f>
        <v>2026</v>
      </c>
      <c r="J2147" s="39" t="n">
        <f aca="false">MONTH(B2147)</f>
        <v>2</v>
      </c>
      <c r="K2147" s="39" t="str">
        <f aca="false">TEXT(B2147,"mmm")</f>
        <v>Feb</v>
      </c>
      <c r="L2147" s="45" t="n">
        <f aca="false">IFERROR(INDEX(medicine_master!$I$2:$I$26,MATCH($C2147,medicine_master!$A$2:$A$26,0)),0)</f>
        <v>25</v>
      </c>
      <c r="M2147" s="45" t="n">
        <f aca="false">IFERROR(INDEX(medicine_master!$G$2:$G$26,MATCH($C2147,medicine_master!$A$2:$A$26,0)),0)</f>
        <v>15</v>
      </c>
      <c r="N2147" s="45" t="n">
        <f aca="false">IF(D2147="Sale",E2147*L2147,0)</f>
        <v>0</v>
      </c>
      <c r="O2147" s="45" t="n">
        <f aca="false">IF(D2147="Sale",E2147*M2147,0)</f>
        <v>0</v>
      </c>
      <c r="P2147" s="45" t="n">
        <f aca="false">N2147-O2147</f>
        <v>0</v>
      </c>
      <c r="Q2147" s="45" t="n">
        <f aca="false">IF(D2147="Purchase",E2147*M2147,0)</f>
        <v>450</v>
      </c>
    </row>
    <row r="2148" customFormat="false" ht="15" hidden="false" customHeight="false" outlineLevel="0" collapsed="false">
      <c r="A2148" s="39" t="s">
        <v>2472</v>
      </c>
      <c r="B2148" s="44" t="n">
        <v>46032</v>
      </c>
      <c r="C2148" s="39" t="s">
        <v>326</v>
      </c>
      <c r="D2148" s="39" t="s">
        <v>137</v>
      </c>
      <c r="E2148" s="39" t="n">
        <v>20</v>
      </c>
      <c r="F2148" s="39" t="str">
        <f aca="false">IF(COUNTIF(medicine_master!$A$2:$A$26,C2148)&gt;0,"Valid","Invalid")</f>
        <v>Valid</v>
      </c>
      <c r="G2148" s="39" t="str">
        <f aca="false">IFERROR(INDEX(medicine_master!$B$2:$B$26,MATCH($C2148,medicine_master!$A$2:$A$26,0)),"Not found")</f>
        <v>Omeprazole 20mg</v>
      </c>
      <c r="H2148" s="39" t="str">
        <f aca="false">IFERROR(INDEX(medicine_master!$C$2:$C$26,MATCH($C2148,medicine_master!$A$2:$A$26,0)),"Not found")</f>
        <v>Gastric</v>
      </c>
      <c r="I2148" s="39" t="n">
        <f aca="false">YEAR(B2148)</f>
        <v>2026</v>
      </c>
      <c r="J2148" s="39" t="n">
        <f aca="false">MONTH(B2148)</f>
        <v>1</v>
      </c>
      <c r="K2148" s="39" t="str">
        <f aca="false">TEXT(B2148,"mmm")</f>
        <v>Jan</v>
      </c>
      <c r="L2148" s="45" t="n">
        <f aca="false">IFERROR(INDEX(medicine_master!$I$2:$I$26,MATCH($C2148,medicine_master!$A$2:$A$26,0)),0)</f>
        <v>26</v>
      </c>
      <c r="M2148" s="45" t="n">
        <f aca="false">IFERROR(INDEX(medicine_master!$G$2:$G$26,MATCH($C2148,medicine_master!$A$2:$A$26,0)),0)</f>
        <v>18</v>
      </c>
      <c r="N2148" s="45" t="n">
        <f aca="false">IF(D2148="Sale",E2148*L2148,0)</f>
        <v>520</v>
      </c>
      <c r="O2148" s="45" t="n">
        <f aca="false">IF(D2148="Sale",E2148*M2148,0)</f>
        <v>360</v>
      </c>
      <c r="P2148" s="45" t="n">
        <f aca="false">N2148-O2148</f>
        <v>160</v>
      </c>
      <c r="Q2148" s="45" t="n">
        <f aca="false">IF(D2148="Purchase",E2148*M2148,0)</f>
        <v>0</v>
      </c>
    </row>
    <row r="2149" customFormat="false" ht="15" hidden="false" customHeight="false" outlineLevel="0" collapsed="false">
      <c r="A2149" s="39" t="s">
        <v>2473</v>
      </c>
      <c r="B2149" s="44" t="n">
        <v>46271</v>
      </c>
      <c r="C2149" s="39" t="s">
        <v>151</v>
      </c>
      <c r="D2149" s="39" t="s">
        <v>137</v>
      </c>
      <c r="E2149" s="39" t="n">
        <v>10</v>
      </c>
      <c r="F2149" s="39" t="str">
        <f aca="false">IF(COUNTIF(medicine_master!$A$2:$A$26,C2149)&gt;0,"Valid","Invalid")</f>
        <v>Valid</v>
      </c>
      <c r="G2149" s="39" t="str">
        <f aca="false">IFERROR(INDEX(medicine_master!$B$2:$B$26,MATCH($C2149,medicine_master!$A$2:$A$26,0)),"Not found")</f>
        <v>Cetirizine 10mg</v>
      </c>
      <c r="H2149" s="39" t="str">
        <f aca="false">IFERROR(INDEX(medicine_master!$C$2:$C$26,MATCH($C2149,medicine_master!$A$2:$A$26,0)),"Not found")</f>
        <v>Allergy</v>
      </c>
      <c r="I2149" s="39" t="n">
        <f aca="false">YEAR(B2149)</f>
        <v>2026</v>
      </c>
      <c r="J2149" s="39" t="n">
        <f aca="false">MONTH(B2149)</f>
        <v>9</v>
      </c>
      <c r="K2149" s="39" t="str">
        <f aca="false">TEXT(B2149,"mmm")</f>
        <v>Sep</v>
      </c>
      <c r="L2149" s="45" t="n">
        <f aca="false">IFERROR(INDEX(medicine_master!$I$2:$I$26,MATCH($C2149,medicine_master!$A$2:$A$26,0)),0)</f>
        <v>13</v>
      </c>
      <c r="M2149" s="45" t="n">
        <f aca="false">IFERROR(INDEX(medicine_master!$G$2:$G$26,MATCH($C2149,medicine_master!$A$2:$A$26,0)),0)</f>
        <v>8</v>
      </c>
      <c r="N2149" s="45" t="n">
        <f aca="false">IF(D2149="Sale",E2149*L2149,0)</f>
        <v>130</v>
      </c>
      <c r="O2149" s="45" t="n">
        <f aca="false">IF(D2149="Sale",E2149*M2149,0)</f>
        <v>80</v>
      </c>
      <c r="P2149" s="45" t="n">
        <f aca="false">N2149-O2149</f>
        <v>50</v>
      </c>
      <c r="Q2149" s="45" t="n">
        <f aca="false">IF(D2149="Purchase",E2149*M2149,0)</f>
        <v>0</v>
      </c>
    </row>
    <row r="2150" customFormat="false" ht="15" hidden="false" customHeight="false" outlineLevel="0" collapsed="false">
      <c r="A2150" s="39" t="s">
        <v>2474</v>
      </c>
      <c r="B2150" s="44" t="n">
        <v>46239</v>
      </c>
      <c r="C2150" s="39" t="s">
        <v>159</v>
      </c>
      <c r="D2150" s="39" t="s">
        <v>137</v>
      </c>
      <c r="E2150" s="39" t="n">
        <v>30</v>
      </c>
      <c r="F2150" s="39" t="str">
        <f aca="false">IF(COUNTIF(medicine_master!$A$2:$A$26,C2150)&gt;0,"Valid","Invalid")</f>
        <v>Valid</v>
      </c>
      <c r="G2150" s="39" t="str">
        <f aca="false">IFERROR(INDEX(medicine_master!$B$2:$B$26,MATCH($C2150,medicine_master!$A$2:$A$26,0)),"Not found")</f>
        <v>Antiseptic Liquid 100ml</v>
      </c>
      <c r="H2150" s="39" t="str">
        <f aca="false">IFERROR(INDEX(medicine_master!$C$2:$C$26,MATCH($C2150,medicine_master!$A$2:$A$26,0)),"Not found")</f>
        <v>First Aid</v>
      </c>
      <c r="I2150" s="39" t="n">
        <f aca="false">YEAR(B2150)</f>
        <v>2026</v>
      </c>
      <c r="J2150" s="39" t="n">
        <f aca="false">MONTH(B2150)</f>
        <v>8</v>
      </c>
      <c r="K2150" s="39" t="str">
        <f aca="false">TEXT(B2150,"mmm")</f>
        <v>Aug</v>
      </c>
      <c r="L2150" s="45" t="n">
        <f aca="false">IFERROR(INDEX(medicine_master!$I$2:$I$26,MATCH($C2150,medicine_master!$A$2:$A$26,0)),0)</f>
        <v>65</v>
      </c>
      <c r="M2150" s="45" t="n">
        <f aca="false">IFERROR(INDEX(medicine_master!$G$2:$G$26,MATCH($C2150,medicine_master!$A$2:$A$26,0)),0)</f>
        <v>48</v>
      </c>
      <c r="N2150" s="45" t="n">
        <f aca="false">IF(D2150="Sale",E2150*L2150,0)</f>
        <v>1950</v>
      </c>
      <c r="O2150" s="45" t="n">
        <f aca="false">IF(D2150="Sale",E2150*M2150,0)</f>
        <v>1440</v>
      </c>
      <c r="P2150" s="45" t="n">
        <f aca="false">N2150-O2150</f>
        <v>510</v>
      </c>
      <c r="Q2150" s="45" t="n">
        <f aca="false">IF(D2150="Purchase",E2150*M2150,0)</f>
        <v>0</v>
      </c>
    </row>
    <row r="2151" customFormat="false" ht="15" hidden="false" customHeight="false" outlineLevel="0" collapsed="false">
      <c r="A2151" s="39" t="s">
        <v>2475</v>
      </c>
      <c r="B2151" s="44" t="n">
        <v>46221</v>
      </c>
      <c r="C2151" s="39" t="s">
        <v>149</v>
      </c>
      <c r="D2151" s="39" t="s">
        <v>137</v>
      </c>
      <c r="E2151" s="39" t="n">
        <v>15</v>
      </c>
      <c r="F2151" s="39" t="str">
        <f aca="false">IF(COUNTIF(medicine_master!$A$2:$A$26,C2151)&gt;0,"Valid","Invalid")</f>
        <v>Valid</v>
      </c>
      <c r="G2151" s="39" t="str">
        <f aca="false">IFERROR(INDEX(medicine_master!$B$2:$B$26,MATCH($C2151,medicine_master!$A$2:$A$26,0)),"Not found")</f>
        <v>Azithromycin 500mg</v>
      </c>
      <c r="H2151" s="39" t="str">
        <f aca="false">IFERROR(INDEX(medicine_master!$C$2:$C$26,MATCH($C2151,medicine_master!$A$2:$A$26,0)),"Not found")</f>
        <v>Antibiotic</v>
      </c>
      <c r="I2151" s="39" t="n">
        <f aca="false">YEAR(B2151)</f>
        <v>2026</v>
      </c>
      <c r="J2151" s="39" t="n">
        <f aca="false">MONTH(B2151)</f>
        <v>7</v>
      </c>
      <c r="K2151" s="39" t="str">
        <f aca="false">TEXT(B2151,"mmm")</f>
        <v>Jul</v>
      </c>
      <c r="L2151" s="45" t="n">
        <f aca="false">IFERROR(INDEX(medicine_master!$I$2:$I$26,MATCH($C2151,medicine_master!$A$2:$A$26,0)),0)</f>
        <v>50</v>
      </c>
      <c r="M2151" s="45" t="n">
        <f aca="false">IFERROR(INDEX(medicine_master!$G$2:$G$26,MATCH($C2151,medicine_master!$A$2:$A$26,0)),0)</f>
        <v>35</v>
      </c>
      <c r="N2151" s="45" t="n">
        <f aca="false">IF(D2151="Sale",E2151*L2151,0)</f>
        <v>750</v>
      </c>
      <c r="O2151" s="45" t="n">
        <f aca="false">IF(D2151="Sale",E2151*M2151,0)</f>
        <v>525</v>
      </c>
      <c r="P2151" s="45" t="n">
        <f aca="false">N2151-O2151</f>
        <v>225</v>
      </c>
      <c r="Q2151" s="45" t="n">
        <f aca="false">IF(D2151="Purchase",E2151*M2151,0)</f>
        <v>0</v>
      </c>
    </row>
    <row r="2152" customFormat="false" ht="15" hidden="false" customHeight="false" outlineLevel="0" collapsed="false">
      <c r="A2152" s="39" t="s">
        <v>2476</v>
      </c>
      <c r="B2152" s="44" t="n">
        <v>46244</v>
      </c>
      <c r="C2152" s="39" t="s">
        <v>180</v>
      </c>
      <c r="D2152" s="39" t="s">
        <v>137</v>
      </c>
      <c r="E2152" s="39" t="n">
        <v>10</v>
      </c>
      <c r="F2152" s="39" t="str">
        <f aca="false">IF(COUNTIF(medicine_master!$A$2:$A$26,C2152)&gt;0,"Valid","Invalid")</f>
        <v>Valid</v>
      </c>
      <c r="G2152" s="39" t="str">
        <f aca="false">IFERROR(INDEX(medicine_master!$B$2:$B$26,MATCH($C2152,medicine_master!$A$2:$A$26,0)),"Not found")</f>
        <v>Vitamin C 500mg</v>
      </c>
      <c r="H2152" s="39" t="str">
        <f aca="false">IFERROR(INDEX(medicine_master!$C$2:$C$26,MATCH($C2152,medicine_master!$A$2:$A$26,0)),"Not found")</f>
        <v>Vitamin</v>
      </c>
      <c r="I2152" s="39" t="n">
        <f aca="false">YEAR(B2152)</f>
        <v>2026</v>
      </c>
      <c r="J2152" s="39" t="n">
        <f aca="false">MONTH(B2152)</f>
        <v>8</v>
      </c>
      <c r="K2152" s="39" t="str">
        <f aca="false">TEXT(B2152,"mmm")</f>
        <v>Aug</v>
      </c>
      <c r="L2152" s="45" t="n">
        <f aca="false">IFERROR(INDEX(medicine_master!$I$2:$I$26,MATCH($C2152,medicine_master!$A$2:$A$26,0)),0)</f>
        <v>22</v>
      </c>
      <c r="M2152" s="45" t="n">
        <f aca="false">IFERROR(INDEX(medicine_master!$G$2:$G$26,MATCH($C2152,medicine_master!$A$2:$A$26,0)),0)</f>
        <v>14</v>
      </c>
      <c r="N2152" s="45" t="n">
        <f aca="false">IF(D2152="Sale",E2152*L2152,0)</f>
        <v>220</v>
      </c>
      <c r="O2152" s="45" t="n">
        <f aca="false">IF(D2152="Sale",E2152*M2152,0)</f>
        <v>140</v>
      </c>
      <c r="P2152" s="45" t="n">
        <f aca="false">N2152-O2152</f>
        <v>80</v>
      </c>
      <c r="Q2152" s="45" t="n">
        <f aca="false">IF(D2152="Purchase",E2152*M2152,0)</f>
        <v>0</v>
      </c>
    </row>
    <row r="2153" customFormat="false" ht="15" hidden="false" customHeight="false" outlineLevel="0" collapsed="false">
      <c r="A2153" s="39" t="s">
        <v>2477</v>
      </c>
      <c r="B2153" s="44" t="n">
        <v>46026</v>
      </c>
      <c r="C2153" s="39" t="s">
        <v>178</v>
      </c>
      <c r="D2153" s="39" t="s">
        <v>137</v>
      </c>
      <c r="E2153" s="39" t="n">
        <v>15</v>
      </c>
      <c r="F2153" s="39" t="str">
        <f aca="false">IF(COUNTIF(medicine_master!$A$2:$A$26,C2153)&gt;0,"Valid","Invalid")</f>
        <v>Valid</v>
      </c>
      <c r="G2153" s="39" t="str">
        <f aca="false">IFERROR(INDEX(medicine_master!$B$2:$B$26,MATCH($C2153,medicine_master!$A$2:$A$26,0)),"Not found")</f>
        <v>Aspirin 75mg</v>
      </c>
      <c r="H2153" s="39" t="str">
        <f aca="false">IFERROR(INDEX(medicine_master!$C$2:$C$26,MATCH($C2153,medicine_master!$A$2:$A$26,0)),"Not found")</f>
        <v>Cardiac</v>
      </c>
      <c r="I2153" s="39" t="n">
        <f aca="false">YEAR(B2153)</f>
        <v>2026</v>
      </c>
      <c r="J2153" s="39" t="n">
        <f aca="false">MONTH(B2153)</f>
        <v>1</v>
      </c>
      <c r="K2153" s="39" t="str">
        <f aca="false">TEXT(B2153,"mmm")</f>
        <v>Jan</v>
      </c>
      <c r="L2153" s="45" t="n">
        <f aca="false">IFERROR(INDEX(medicine_master!$I$2:$I$26,MATCH($C2153,medicine_master!$A$2:$A$26,0)),0)</f>
        <v>15</v>
      </c>
      <c r="M2153" s="45" t="n">
        <f aca="false">IFERROR(INDEX(medicine_master!$G$2:$G$26,MATCH($C2153,medicine_master!$A$2:$A$26,0)),0)</f>
        <v>10</v>
      </c>
      <c r="N2153" s="45" t="n">
        <f aca="false">IF(D2153="Sale",E2153*L2153,0)</f>
        <v>225</v>
      </c>
      <c r="O2153" s="45" t="n">
        <f aca="false">IF(D2153="Sale",E2153*M2153,0)</f>
        <v>150</v>
      </c>
      <c r="P2153" s="45" t="n">
        <f aca="false">N2153-O2153</f>
        <v>75</v>
      </c>
      <c r="Q2153" s="45" t="n">
        <f aca="false">IF(D2153="Purchase",E2153*M2153,0)</f>
        <v>0</v>
      </c>
    </row>
    <row r="2154" customFormat="false" ht="15" hidden="false" customHeight="false" outlineLevel="0" collapsed="false">
      <c r="A2154" s="39" t="s">
        <v>2478</v>
      </c>
      <c r="B2154" s="44" t="n">
        <v>46096</v>
      </c>
      <c r="C2154" s="39" t="s">
        <v>145</v>
      </c>
      <c r="D2154" s="39" t="s">
        <v>138</v>
      </c>
      <c r="E2154" s="39" t="n">
        <v>5</v>
      </c>
      <c r="F2154" s="39" t="str">
        <f aca="false">IF(COUNTIF(medicine_master!$A$2:$A$26,C2154)&gt;0,"Valid","Invalid")</f>
        <v>Valid</v>
      </c>
      <c r="G2154" s="39" t="str">
        <f aca="false">IFERROR(INDEX(medicine_master!$B$2:$B$26,MATCH($C2154,medicine_master!$A$2:$A$26,0)),"Not found")</f>
        <v>Clotrimazole Cream</v>
      </c>
      <c r="H2154" s="39" t="str">
        <f aca="false">IFERROR(INDEX(medicine_master!$C$2:$C$26,MATCH($C2154,medicine_master!$A$2:$A$26,0)),"Not found")</f>
        <v>Dermatology</v>
      </c>
      <c r="I2154" s="39" t="n">
        <f aca="false">YEAR(B2154)</f>
        <v>2026</v>
      </c>
      <c r="J2154" s="39" t="n">
        <f aca="false">MONTH(B2154)</f>
        <v>3</v>
      </c>
      <c r="K2154" s="39" t="str">
        <f aca="false">TEXT(B2154,"mmm")</f>
        <v>Mar</v>
      </c>
      <c r="L2154" s="45" t="n">
        <f aca="false">IFERROR(INDEX(medicine_master!$I$2:$I$26,MATCH($C2154,medicine_master!$A$2:$A$26,0)),0)</f>
        <v>48</v>
      </c>
      <c r="M2154" s="45" t="n">
        <f aca="false">IFERROR(INDEX(medicine_master!$G$2:$G$26,MATCH($C2154,medicine_master!$A$2:$A$26,0)),0)</f>
        <v>32</v>
      </c>
      <c r="N2154" s="45" t="n">
        <f aca="false">IF(D2154="Sale",E2154*L2154,0)</f>
        <v>0</v>
      </c>
      <c r="O2154" s="45" t="n">
        <f aca="false">IF(D2154="Sale",E2154*M2154,0)</f>
        <v>0</v>
      </c>
      <c r="P2154" s="45" t="n">
        <f aca="false">N2154-O2154</f>
        <v>0</v>
      </c>
      <c r="Q2154" s="45" t="n">
        <f aca="false">IF(D2154="Purchase",E2154*M2154,0)</f>
        <v>160</v>
      </c>
    </row>
    <row r="2155" customFormat="false" ht="15" hidden="false" customHeight="false" outlineLevel="0" collapsed="false">
      <c r="A2155" s="39" t="s">
        <v>2479</v>
      </c>
      <c r="B2155" s="44" t="n">
        <v>46262</v>
      </c>
      <c r="C2155" s="39" t="s">
        <v>390</v>
      </c>
      <c r="D2155" s="39" t="s">
        <v>137</v>
      </c>
      <c r="E2155" s="39" t="n">
        <v>15</v>
      </c>
      <c r="F2155" s="39" t="str">
        <f aca="false">IF(COUNTIF(medicine_master!$A$2:$A$26,C2155)&gt;0,"Valid","Invalid")</f>
        <v>Valid</v>
      </c>
      <c r="G2155" s="39" t="str">
        <f aca="false">IFERROR(INDEX(medicine_master!$B$2:$B$26,MATCH($C2155,medicine_master!$A$2:$A$26,0)),"Not found")</f>
        <v>Montelukast 10mg</v>
      </c>
      <c r="H2155" s="39" t="str">
        <f aca="false">IFERROR(INDEX(medicine_master!$C$2:$C$26,MATCH($C2155,medicine_master!$A$2:$A$26,0)),"Not found")</f>
        <v>Allergy</v>
      </c>
      <c r="I2155" s="39" t="n">
        <f aca="false">YEAR(B2155)</f>
        <v>2026</v>
      </c>
      <c r="J2155" s="39" t="n">
        <f aca="false">MONTH(B2155)</f>
        <v>8</v>
      </c>
      <c r="K2155" s="39" t="str">
        <f aca="false">TEXT(B2155,"mmm")</f>
        <v>Aug</v>
      </c>
      <c r="L2155" s="45" t="n">
        <f aca="false">IFERROR(INDEX(medicine_master!$I$2:$I$26,MATCH($C2155,medicine_master!$A$2:$A$26,0)),0)</f>
        <v>39</v>
      </c>
      <c r="M2155" s="45" t="n">
        <f aca="false">IFERROR(INDEX(medicine_master!$G$2:$G$26,MATCH($C2155,medicine_master!$A$2:$A$26,0)),0)</f>
        <v>27</v>
      </c>
      <c r="N2155" s="45" t="n">
        <f aca="false">IF(D2155="Sale",E2155*L2155,0)</f>
        <v>585</v>
      </c>
      <c r="O2155" s="45" t="n">
        <f aca="false">IF(D2155="Sale",E2155*M2155,0)</f>
        <v>405</v>
      </c>
      <c r="P2155" s="45" t="n">
        <f aca="false">N2155-O2155</f>
        <v>180</v>
      </c>
      <c r="Q2155" s="45" t="n">
        <f aca="false">IF(D2155="Purchase",E2155*M2155,0)</f>
        <v>0</v>
      </c>
    </row>
    <row r="2156" customFormat="false" ht="15" hidden="false" customHeight="false" outlineLevel="0" collapsed="false">
      <c r="A2156" s="39" t="s">
        <v>2480</v>
      </c>
      <c r="B2156" s="44" t="n">
        <v>46092</v>
      </c>
      <c r="C2156" s="39" t="s">
        <v>345</v>
      </c>
      <c r="D2156" s="39" t="s">
        <v>137</v>
      </c>
      <c r="E2156" s="39" t="n">
        <v>5</v>
      </c>
      <c r="F2156" s="39" t="str">
        <f aca="false">IF(COUNTIF(medicine_master!$A$2:$A$26,C2156)&gt;0,"Valid","Invalid")</f>
        <v>Valid</v>
      </c>
      <c r="G2156" s="39" t="str">
        <f aca="false">IFERROR(INDEX(medicine_master!$B$2:$B$26,MATCH($C2156,medicine_master!$A$2:$A$26,0)),"Not found")</f>
        <v>Paracetamol 500mg</v>
      </c>
      <c r="H2156" s="39" t="str">
        <f aca="false">IFERROR(INDEX(medicine_master!$C$2:$C$26,MATCH($C2156,medicine_master!$A$2:$A$26,0)),"Not found")</f>
        <v>Pain Relief</v>
      </c>
      <c r="I2156" s="39" t="n">
        <f aca="false">YEAR(B2156)</f>
        <v>2026</v>
      </c>
      <c r="J2156" s="39" t="n">
        <f aca="false">MONTH(B2156)</f>
        <v>3</v>
      </c>
      <c r="K2156" s="39" t="str">
        <f aca="false">TEXT(B2156,"mmm")</f>
        <v>Mar</v>
      </c>
      <c r="L2156" s="45" t="n">
        <f aca="false">IFERROR(INDEX(medicine_master!$I$2:$I$26,MATCH($C2156,medicine_master!$A$2:$A$26,0)),0)</f>
        <v>18</v>
      </c>
      <c r="M2156" s="45" t="n">
        <f aca="false">IFERROR(INDEX(medicine_master!$G$2:$G$26,MATCH($C2156,medicine_master!$A$2:$A$26,0)),0)</f>
        <v>12</v>
      </c>
      <c r="N2156" s="45" t="n">
        <f aca="false">IF(D2156="Sale",E2156*L2156,0)</f>
        <v>90</v>
      </c>
      <c r="O2156" s="45" t="n">
        <f aca="false">IF(D2156="Sale",E2156*M2156,0)</f>
        <v>60</v>
      </c>
      <c r="P2156" s="45" t="n">
        <f aca="false">N2156-O2156</f>
        <v>30</v>
      </c>
      <c r="Q2156" s="45" t="n">
        <f aca="false">IF(D2156="Purchase",E2156*M2156,0)</f>
        <v>0</v>
      </c>
    </row>
    <row r="2157" customFormat="false" ht="15" hidden="false" customHeight="false" outlineLevel="0" collapsed="false">
      <c r="A2157" s="39" t="s">
        <v>2481</v>
      </c>
      <c r="B2157" s="44" t="n">
        <v>46078</v>
      </c>
      <c r="C2157" s="39" t="s">
        <v>321</v>
      </c>
      <c r="D2157" s="39" t="s">
        <v>138</v>
      </c>
      <c r="E2157" s="39" t="n">
        <v>5</v>
      </c>
      <c r="F2157" s="39" t="str">
        <f aca="false">IF(COUNTIF(medicine_master!$A$2:$A$26,C2157)&gt;0,"Valid","Invalid")</f>
        <v>Valid</v>
      </c>
      <c r="G2157" s="39" t="str">
        <f aca="false">IFERROR(INDEX(medicine_master!$B$2:$B$26,MATCH($C2157,medicine_master!$A$2:$A$26,0)),"Not found")</f>
        <v>Levocetirizine 5mg</v>
      </c>
      <c r="H2157" s="39" t="str">
        <f aca="false">IFERROR(INDEX(medicine_master!$C$2:$C$26,MATCH($C2157,medicine_master!$A$2:$A$26,0)),"Not found")</f>
        <v>Allergy</v>
      </c>
      <c r="I2157" s="39" t="n">
        <f aca="false">YEAR(B2157)</f>
        <v>2026</v>
      </c>
      <c r="J2157" s="39" t="n">
        <f aca="false">MONTH(B2157)</f>
        <v>2</v>
      </c>
      <c r="K2157" s="39" t="str">
        <f aca="false">TEXT(B2157,"mmm")</f>
        <v>Feb</v>
      </c>
      <c r="L2157" s="45" t="n">
        <f aca="false">IFERROR(INDEX(medicine_master!$I$2:$I$26,MATCH($C2157,medicine_master!$A$2:$A$26,0)),0)</f>
        <v>22</v>
      </c>
      <c r="M2157" s="45" t="n">
        <f aca="false">IFERROR(INDEX(medicine_master!$G$2:$G$26,MATCH($C2157,medicine_master!$A$2:$A$26,0)),0)</f>
        <v>14</v>
      </c>
      <c r="N2157" s="45" t="n">
        <f aca="false">IF(D2157="Sale",E2157*L2157,0)</f>
        <v>0</v>
      </c>
      <c r="O2157" s="45" t="n">
        <f aca="false">IF(D2157="Sale",E2157*M2157,0)</f>
        <v>0</v>
      </c>
      <c r="P2157" s="45" t="n">
        <f aca="false">N2157-O2157</f>
        <v>0</v>
      </c>
      <c r="Q2157" s="45" t="n">
        <f aca="false">IF(D2157="Purchase",E2157*M2157,0)</f>
        <v>70</v>
      </c>
    </row>
    <row r="2158" customFormat="false" ht="15" hidden="false" customHeight="false" outlineLevel="0" collapsed="false">
      <c r="A2158" s="39" t="s">
        <v>2482</v>
      </c>
      <c r="B2158" s="44" t="n">
        <v>46150</v>
      </c>
      <c r="C2158" s="39" t="s">
        <v>159</v>
      </c>
      <c r="D2158" s="39" t="s">
        <v>137</v>
      </c>
      <c r="E2158" s="39" t="n">
        <v>10</v>
      </c>
      <c r="F2158" s="39" t="str">
        <f aca="false">IF(COUNTIF(medicine_master!$A$2:$A$26,C2158)&gt;0,"Valid","Invalid")</f>
        <v>Valid</v>
      </c>
      <c r="G2158" s="39" t="str">
        <f aca="false">IFERROR(INDEX(medicine_master!$B$2:$B$26,MATCH($C2158,medicine_master!$A$2:$A$26,0)),"Not found")</f>
        <v>Antiseptic Liquid 100ml</v>
      </c>
      <c r="H2158" s="39" t="str">
        <f aca="false">IFERROR(INDEX(medicine_master!$C$2:$C$26,MATCH($C2158,medicine_master!$A$2:$A$26,0)),"Not found")</f>
        <v>First Aid</v>
      </c>
      <c r="I2158" s="39" t="n">
        <f aca="false">YEAR(B2158)</f>
        <v>2026</v>
      </c>
      <c r="J2158" s="39" t="n">
        <f aca="false">MONTH(B2158)</f>
        <v>5</v>
      </c>
      <c r="K2158" s="39" t="str">
        <f aca="false">TEXT(B2158,"mmm")</f>
        <v>May</v>
      </c>
      <c r="L2158" s="45" t="n">
        <f aca="false">IFERROR(INDEX(medicine_master!$I$2:$I$26,MATCH($C2158,medicine_master!$A$2:$A$26,0)),0)</f>
        <v>65</v>
      </c>
      <c r="M2158" s="45" t="n">
        <f aca="false">IFERROR(INDEX(medicine_master!$G$2:$G$26,MATCH($C2158,medicine_master!$A$2:$A$26,0)),0)</f>
        <v>48</v>
      </c>
      <c r="N2158" s="45" t="n">
        <f aca="false">IF(D2158="Sale",E2158*L2158,0)</f>
        <v>650</v>
      </c>
      <c r="O2158" s="45" t="n">
        <f aca="false">IF(D2158="Sale",E2158*M2158,0)</f>
        <v>480</v>
      </c>
      <c r="P2158" s="45" t="n">
        <f aca="false">N2158-O2158</f>
        <v>170</v>
      </c>
      <c r="Q2158" s="45" t="n">
        <f aca="false">IF(D2158="Purchase",E2158*M2158,0)</f>
        <v>0</v>
      </c>
    </row>
    <row r="2159" customFormat="false" ht="15" hidden="false" customHeight="false" outlineLevel="0" collapsed="false">
      <c r="A2159" s="39" t="s">
        <v>2483</v>
      </c>
      <c r="B2159" s="44" t="n">
        <v>46310</v>
      </c>
      <c r="C2159" s="39" t="s">
        <v>179</v>
      </c>
      <c r="D2159" s="39" t="s">
        <v>138</v>
      </c>
      <c r="E2159" s="39" t="n">
        <v>5</v>
      </c>
      <c r="F2159" s="39" t="str">
        <f aca="false">IF(COUNTIF(medicine_master!$A$2:$A$26,C2159)&gt;0,"Valid","Invalid")</f>
        <v>Valid</v>
      </c>
      <c r="G2159" s="39" t="str">
        <f aca="false">IFERROR(INDEX(medicine_master!$B$2:$B$26,MATCH($C2159,medicine_master!$A$2:$A$26,0)),"Not found")</f>
        <v>Ibuprofen 400mg</v>
      </c>
      <c r="H2159" s="39" t="str">
        <f aca="false">IFERROR(INDEX(medicine_master!$C$2:$C$26,MATCH($C2159,medicine_master!$A$2:$A$26,0)),"Not found")</f>
        <v>Pain Relief</v>
      </c>
      <c r="I2159" s="39" t="n">
        <f aca="false">YEAR(B2159)</f>
        <v>2026</v>
      </c>
      <c r="J2159" s="39" t="n">
        <f aca="false">MONTH(B2159)</f>
        <v>10</v>
      </c>
      <c r="K2159" s="39" t="str">
        <f aca="false">TEXT(B2159,"mmm")</f>
        <v>Oct</v>
      </c>
      <c r="L2159" s="45" t="n">
        <f aca="false">IFERROR(INDEX(medicine_master!$I$2:$I$26,MATCH($C2159,medicine_master!$A$2:$A$26,0)),0)</f>
        <v>30</v>
      </c>
      <c r="M2159" s="45" t="n">
        <f aca="false">IFERROR(INDEX(medicine_master!$G$2:$G$26,MATCH($C2159,medicine_master!$A$2:$A$26,0)),0)</f>
        <v>22</v>
      </c>
      <c r="N2159" s="45" t="n">
        <f aca="false">IF(D2159="Sale",E2159*L2159,0)</f>
        <v>0</v>
      </c>
      <c r="O2159" s="45" t="n">
        <f aca="false">IF(D2159="Sale",E2159*M2159,0)</f>
        <v>0</v>
      </c>
      <c r="P2159" s="45" t="n">
        <f aca="false">N2159-O2159</f>
        <v>0</v>
      </c>
      <c r="Q2159" s="45" t="n">
        <f aca="false">IF(D2159="Purchase",E2159*M2159,0)</f>
        <v>110</v>
      </c>
    </row>
    <row r="2160" customFormat="false" ht="15" hidden="false" customHeight="false" outlineLevel="0" collapsed="false">
      <c r="A2160" s="39" t="s">
        <v>2484</v>
      </c>
      <c r="B2160" s="44" t="n">
        <v>46224</v>
      </c>
      <c r="C2160" s="39" t="s">
        <v>160</v>
      </c>
      <c r="D2160" s="39" t="s">
        <v>137</v>
      </c>
      <c r="E2160" s="39" t="n">
        <v>20</v>
      </c>
      <c r="F2160" s="39" t="str">
        <f aca="false">IF(COUNTIF(medicine_master!$A$2:$A$26,C2160)&gt;0,"Valid","Invalid")</f>
        <v>Valid</v>
      </c>
      <c r="G2160" s="39" t="str">
        <f aca="false">IFERROR(INDEX(medicine_master!$B$2:$B$26,MATCH($C2160,medicine_master!$A$2:$A$26,0)),"Not found")</f>
        <v>Calamine Lotion</v>
      </c>
      <c r="H2160" s="39" t="str">
        <f aca="false">IFERROR(INDEX(medicine_master!$C$2:$C$26,MATCH($C2160,medicine_master!$A$2:$A$26,0)),"Not found")</f>
        <v>Dermatology</v>
      </c>
      <c r="I2160" s="39" t="n">
        <f aca="false">YEAR(B2160)</f>
        <v>2026</v>
      </c>
      <c r="J2160" s="39" t="n">
        <f aca="false">MONTH(B2160)</f>
        <v>7</v>
      </c>
      <c r="K2160" s="39" t="str">
        <f aca="false">TEXT(B2160,"mmm")</f>
        <v>Jul</v>
      </c>
      <c r="L2160" s="45" t="n">
        <f aca="false">IFERROR(INDEX(medicine_master!$I$2:$I$26,MATCH($C2160,medicine_master!$A$2:$A$26,0)),0)</f>
        <v>60</v>
      </c>
      <c r="M2160" s="45" t="n">
        <f aca="false">IFERROR(INDEX(medicine_master!$G$2:$G$26,MATCH($C2160,medicine_master!$A$2:$A$26,0)),0)</f>
        <v>42</v>
      </c>
      <c r="N2160" s="45" t="n">
        <f aca="false">IF(D2160="Sale",E2160*L2160,0)</f>
        <v>1200</v>
      </c>
      <c r="O2160" s="45" t="n">
        <f aca="false">IF(D2160="Sale",E2160*M2160,0)</f>
        <v>840</v>
      </c>
      <c r="P2160" s="45" t="n">
        <f aca="false">N2160-O2160</f>
        <v>360</v>
      </c>
      <c r="Q2160" s="45" t="n">
        <f aca="false">IF(D2160="Purchase",E2160*M2160,0)</f>
        <v>0</v>
      </c>
    </row>
    <row r="2161" customFormat="false" ht="15" hidden="false" customHeight="false" outlineLevel="0" collapsed="false">
      <c r="A2161" s="39" t="s">
        <v>2485</v>
      </c>
      <c r="B2161" s="44" t="n">
        <v>46279</v>
      </c>
      <c r="C2161" s="39" t="s">
        <v>345</v>
      </c>
      <c r="D2161" s="39" t="s">
        <v>137</v>
      </c>
      <c r="E2161" s="39" t="n">
        <v>25</v>
      </c>
      <c r="F2161" s="39" t="str">
        <f aca="false">IF(COUNTIF(medicine_master!$A$2:$A$26,C2161)&gt;0,"Valid","Invalid")</f>
        <v>Valid</v>
      </c>
      <c r="G2161" s="39" t="str">
        <f aca="false">IFERROR(INDEX(medicine_master!$B$2:$B$26,MATCH($C2161,medicine_master!$A$2:$A$26,0)),"Not found")</f>
        <v>Paracetamol 500mg</v>
      </c>
      <c r="H2161" s="39" t="str">
        <f aca="false">IFERROR(INDEX(medicine_master!$C$2:$C$26,MATCH($C2161,medicine_master!$A$2:$A$26,0)),"Not found")</f>
        <v>Pain Relief</v>
      </c>
      <c r="I2161" s="39" t="n">
        <f aca="false">YEAR(B2161)</f>
        <v>2026</v>
      </c>
      <c r="J2161" s="39" t="n">
        <f aca="false">MONTH(B2161)</f>
        <v>9</v>
      </c>
      <c r="K2161" s="39" t="str">
        <f aca="false">TEXT(B2161,"mmm")</f>
        <v>Sep</v>
      </c>
      <c r="L2161" s="45" t="n">
        <f aca="false">IFERROR(INDEX(medicine_master!$I$2:$I$26,MATCH($C2161,medicine_master!$A$2:$A$26,0)),0)</f>
        <v>18</v>
      </c>
      <c r="M2161" s="45" t="n">
        <f aca="false">IFERROR(INDEX(medicine_master!$G$2:$G$26,MATCH($C2161,medicine_master!$A$2:$A$26,0)),0)</f>
        <v>12</v>
      </c>
      <c r="N2161" s="45" t="n">
        <f aca="false">IF(D2161="Sale",E2161*L2161,0)</f>
        <v>450</v>
      </c>
      <c r="O2161" s="45" t="n">
        <f aca="false">IF(D2161="Sale",E2161*M2161,0)</f>
        <v>300</v>
      </c>
      <c r="P2161" s="45" t="n">
        <f aca="false">N2161-O2161</f>
        <v>150</v>
      </c>
      <c r="Q2161" s="45" t="n">
        <f aca="false">IF(D2161="Purchase",E2161*M2161,0)</f>
        <v>0</v>
      </c>
    </row>
    <row r="2162" customFormat="false" ht="15" hidden="false" customHeight="false" outlineLevel="0" collapsed="false">
      <c r="A2162" s="39" t="s">
        <v>2486</v>
      </c>
      <c r="B2162" s="44" t="n">
        <v>46081</v>
      </c>
      <c r="C2162" s="39" t="s">
        <v>345</v>
      </c>
      <c r="D2162" s="39" t="s">
        <v>137</v>
      </c>
      <c r="E2162" s="39" t="n">
        <v>30</v>
      </c>
      <c r="F2162" s="39" t="str">
        <f aca="false">IF(COUNTIF(medicine_master!$A$2:$A$26,C2162)&gt;0,"Valid","Invalid")</f>
        <v>Valid</v>
      </c>
      <c r="G2162" s="39" t="str">
        <f aca="false">IFERROR(INDEX(medicine_master!$B$2:$B$26,MATCH($C2162,medicine_master!$A$2:$A$26,0)),"Not found")</f>
        <v>Paracetamol 500mg</v>
      </c>
      <c r="H2162" s="39" t="str">
        <f aca="false">IFERROR(INDEX(medicine_master!$C$2:$C$26,MATCH($C2162,medicine_master!$A$2:$A$26,0)),"Not found")</f>
        <v>Pain Relief</v>
      </c>
      <c r="I2162" s="39" t="n">
        <f aca="false">YEAR(B2162)</f>
        <v>2026</v>
      </c>
      <c r="J2162" s="39" t="n">
        <f aca="false">MONTH(B2162)</f>
        <v>2</v>
      </c>
      <c r="K2162" s="39" t="str">
        <f aca="false">TEXT(B2162,"mmm")</f>
        <v>Feb</v>
      </c>
      <c r="L2162" s="45" t="n">
        <f aca="false">IFERROR(INDEX(medicine_master!$I$2:$I$26,MATCH($C2162,medicine_master!$A$2:$A$26,0)),0)</f>
        <v>18</v>
      </c>
      <c r="M2162" s="45" t="n">
        <f aca="false">IFERROR(INDEX(medicine_master!$G$2:$G$26,MATCH($C2162,medicine_master!$A$2:$A$26,0)),0)</f>
        <v>12</v>
      </c>
      <c r="N2162" s="45" t="n">
        <f aca="false">IF(D2162="Sale",E2162*L2162,0)</f>
        <v>540</v>
      </c>
      <c r="O2162" s="45" t="n">
        <f aca="false">IF(D2162="Sale",E2162*M2162,0)</f>
        <v>360</v>
      </c>
      <c r="P2162" s="45" t="n">
        <f aca="false">N2162-O2162</f>
        <v>180</v>
      </c>
      <c r="Q2162" s="45" t="n">
        <f aca="false">IF(D2162="Purchase",E2162*M2162,0)</f>
        <v>0</v>
      </c>
    </row>
    <row r="2163" customFormat="false" ht="15" hidden="false" customHeight="false" outlineLevel="0" collapsed="false">
      <c r="A2163" s="39" t="s">
        <v>2487</v>
      </c>
      <c r="B2163" s="44" t="n">
        <v>46079</v>
      </c>
      <c r="C2163" s="39" t="s">
        <v>145</v>
      </c>
      <c r="D2163" s="39" t="s">
        <v>137</v>
      </c>
      <c r="E2163" s="39" t="n">
        <v>50</v>
      </c>
      <c r="F2163" s="39" t="str">
        <f aca="false">IF(COUNTIF(medicine_master!$A$2:$A$26,C2163)&gt;0,"Valid","Invalid")</f>
        <v>Valid</v>
      </c>
      <c r="G2163" s="39" t="str">
        <f aca="false">IFERROR(INDEX(medicine_master!$B$2:$B$26,MATCH($C2163,medicine_master!$A$2:$A$26,0)),"Not found")</f>
        <v>Clotrimazole Cream</v>
      </c>
      <c r="H2163" s="39" t="str">
        <f aca="false">IFERROR(INDEX(medicine_master!$C$2:$C$26,MATCH($C2163,medicine_master!$A$2:$A$26,0)),"Not found")</f>
        <v>Dermatology</v>
      </c>
      <c r="I2163" s="39" t="n">
        <f aca="false">YEAR(B2163)</f>
        <v>2026</v>
      </c>
      <c r="J2163" s="39" t="n">
        <f aca="false">MONTH(B2163)</f>
        <v>2</v>
      </c>
      <c r="K2163" s="39" t="str">
        <f aca="false">TEXT(B2163,"mmm")</f>
        <v>Feb</v>
      </c>
      <c r="L2163" s="45" t="n">
        <f aca="false">IFERROR(INDEX(medicine_master!$I$2:$I$26,MATCH($C2163,medicine_master!$A$2:$A$26,0)),0)</f>
        <v>48</v>
      </c>
      <c r="M2163" s="45" t="n">
        <f aca="false">IFERROR(INDEX(medicine_master!$G$2:$G$26,MATCH($C2163,medicine_master!$A$2:$A$26,0)),0)</f>
        <v>32</v>
      </c>
      <c r="N2163" s="45" t="n">
        <f aca="false">IF(D2163="Sale",E2163*L2163,0)</f>
        <v>2400</v>
      </c>
      <c r="O2163" s="45" t="n">
        <f aca="false">IF(D2163="Sale",E2163*M2163,0)</f>
        <v>1600</v>
      </c>
      <c r="P2163" s="45" t="n">
        <f aca="false">N2163-O2163</f>
        <v>800</v>
      </c>
      <c r="Q2163" s="45" t="n">
        <f aca="false">IF(D2163="Purchase",E2163*M2163,0)</f>
        <v>0</v>
      </c>
    </row>
    <row r="2164" customFormat="false" ht="15" hidden="false" customHeight="false" outlineLevel="0" collapsed="false">
      <c r="A2164" s="39" t="s">
        <v>2488</v>
      </c>
      <c r="B2164" s="44" t="n">
        <v>46078</v>
      </c>
      <c r="C2164" s="39" t="s">
        <v>345</v>
      </c>
      <c r="D2164" s="39" t="s">
        <v>138</v>
      </c>
      <c r="E2164" s="39" t="n">
        <v>50</v>
      </c>
      <c r="F2164" s="39" t="str">
        <f aca="false">IF(COUNTIF(medicine_master!$A$2:$A$26,C2164)&gt;0,"Valid","Invalid")</f>
        <v>Valid</v>
      </c>
      <c r="G2164" s="39" t="str">
        <f aca="false">IFERROR(INDEX(medicine_master!$B$2:$B$26,MATCH($C2164,medicine_master!$A$2:$A$26,0)),"Not found")</f>
        <v>Paracetamol 500mg</v>
      </c>
      <c r="H2164" s="39" t="str">
        <f aca="false">IFERROR(INDEX(medicine_master!$C$2:$C$26,MATCH($C2164,medicine_master!$A$2:$A$26,0)),"Not found")</f>
        <v>Pain Relief</v>
      </c>
      <c r="I2164" s="39" t="n">
        <f aca="false">YEAR(B2164)</f>
        <v>2026</v>
      </c>
      <c r="J2164" s="39" t="n">
        <f aca="false">MONTH(B2164)</f>
        <v>2</v>
      </c>
      <c r="K2164" s="39" t="str">
        <f aca="false">TEXT(B2164,"mmm")</f>
        <v>Feb</v>
      </c>
      <c r="L2164" s="45" t="n">
        <f aca="false">IFERROR(INDEX(medicine_master!$I$2:$I$26,MATCH($C2164,medicine_master!$A$2:$A$26,0)),0)</f>
        <v>18</v>
      </c>
      <c r="M2164" s="45" t="n">
        <f aca="false">IFERROR(INDEX(medicine_master!$G$2:$G$26,MATCH($C2164,medicine_master!$A$2:$A$26,0)),0)</f>
        <v>12</v>
      </c>
      <c r="N2164" s="45" t="n">
        <f aca="false">IF(D2164="Sale",E2164*L2164,0)</f>
        <v>0</v>
      </c>
      <c r="O2164" s="45" t="n">
        <f aca="false">IF(D2164="Sale",E2164*M2164,0)</f>
        <v>0</v>
      </c>
      <c r="P2164" s="45" t="n">
        <f aca="false">N2164-O2164</f>
        <v>0</v>
      </c>
      <c r="Q2164" s="45" t="n">
        <f aca="false">IF(D2164="Purchase",E2164*M2164,0)</f>
        <v>600</v>
      </c>
    </row>
    <row r="2165" customFormat="false" ht="15" hidden="false" customHeight="false" outlineLevel="0" collapsed="false">
      <c r="A2165" s="39" t="s">
        <v>2489</v>
      </c>
      <c r="B2165" s="44" t="n">
        <v>46111</v>
      </c>
      <c r="C2165" s="39" t="s">
        <v>345</v>
      </c>
      <c r="D2165" s="39" t="s">
        <v>137</v>
      </c>
      <c r="E2165" s="39" t="n">
        <v>10</v>
      </c>
      <c r="F2165" s="39" t="str">
        <f aca="false">IF(COUNTIF(medicine_master!$A$2:$A$26,C2165)&gt;0,"Valid","Invalid")</f>
        <v>Valid</v>
      </c>
      <c r="G2165" s="39" t="str">
        <f aca="false">IFERROR(INDEX(medicine_master!$B$2:$B$26,MATCH($C2165,medicine_master!$A$2:$A$26,0)),"Not found")</f>
        <v>Paracetamol 500mg</v>
      </c>
      <c r="H2165" s="39" t="str">
        <f aca="false">IFERROR(INDEX(medicine_master!$C$2:$C$26,MATCH($C2165,medicine_master!$A$2:$A$26,0)),"Not found")</f>
        <v>Pain Relief</v>
      </c>
      <c r="I2165" s="39" t="n">
        <f aca="false">YEAR(B2165)</f>
        <v>2026</v>
      </c>
      <c r="J2165" s="39" t="n">
        <f aca="false">MONTH(B2165)</f>
        <v>3</v>
      </c>
      <c r="K2165" s="39" t="str">
        <f aca="false">TEXT(B2165,"mmm")</f>
        <v>Mar</v>
      </c>
      <c r="L2165" s="45" t="n">
        <f aca="false">IFERROR(INDEX(medicine_master!$I$2:$I$26,MATCH($C2165,medicine_master!$A$2:$A$26,0)),0)</f>
        <v>18</v>
      </c>
      <c r="M2165" s="45" t="n">
        <f aca="false">IFERROR(INDEX(medicine_master!$G$2:$G$26,MATCH($C2165,medicine_master!$A$2:$A$26,0)),0)</f>
        <v>12</v>
      </c>
      <c r="N2165" s="45" t="n">
        <f aca="false">IF(D2165="Sale",E2165*L2165,0)</f>
        <v>180</v>
      </c>
      <c r="O2165" s="45" t="n">
        <f aca="false">IF(D2165="Sale",E2165*M2165,0)</f>
        <v>120</v>
      </c>
      <c r="P2165" s="45" t="n">
        <f aca="false">N2165-O2165</f>
        <v>60</v>
      </c>
      <c r="Q2165" s="45" t="n">
        <f aca="false">IF(D2165="Purchase",E2165*M2165,0)</f>
        <v>0</v>
      </c>
    </row>
    <row r="2166" customFormat="false" ht="15" hidden="false" customHeight="false" outlineLevel="0" collapsed="false">
      <c r="A2166" s="39" t="s">
        <v>2490</v>
      </c>
      <c r="B2166" s="44" t="n">
        <v>46256</v>
      </c>
      <c r="C2166" s="39" t="s">
        <v>151</v>
      </c>
      <c r="D2166" s="39" t="s">
        <v>138</v>
      </c>
      <c r="E2166" s="39" t="n">
        <v>20</v>
      </c>
      <c r="F2166" s="39" t="str">
        <f aca="false">IF(COUNTIF(medicine_master!$A$2:$A$26,C2166)&gt;0,"Valid","Invalid")</f>
        <v>Valid</v>
      </c>
      <c r="G2166" s="39" t="str">
        <f aca="false">IFERROR(INDEX(medicine_master!$B$2:$B$26,MATCH($C2166,medicine_master!$A$2:$A$26,0)),"Not found")</f>
        <v>Cetirizine 10mg</v>
      </c>
      <c r="H2166" s="39" t="str">
        <f aca="false">IFERROR(INDEX(medicine_master!$C$2:$C$26,MATCH($C2166,medicine_master!$A$2:$A$26,0)),"Not found")</f>
        <v>Allergy</v>
      </c>
      <c r="I2166" s="39" t="n">
        <f aca="false">YEAR(B2166)</f>
        <v>2026</v>
      </c>
      <c r="J2166" s="39" t="n">
        <f aca="false">MONTH(B2166)</f>
        <v>8</v>
      </c>
      <c r="K2166" s="39" t="str">
        <f aca="false">TEXT(B2166,"mmm")</f>
        <v>Aug</v>
      </c>
      <c r="L2166" s="45" t="n">
        <f aca="false">IFERROR(INDEX(medicine_master!$I$2:$I$26,MATCH($C2166,medicine_master!$A$2:$A$26,0)),0)</f>
        <v>13</v>
      </c>
      <c r="M2166" s="45" t="n">
        <f aca="false">IFERROR(INDEX(medicine_master!$G$2:$G$26,MATCH($C2166,medicine_master!$A$2:$A$26,0)),0)</f>
        <v>8</v>
      </c>
      <c r="N2166" s="45" t="n">
        <f aca="false">IF(D2166="Sale",E2166*L2166,0)</f>
        <v>0</v>
      </c>
      <c r="O2166" s="45" t="n">
        <f aca="false">IF(D2166="Sale",E2166*M2166,0)</f>
        <v>0</v>
      </c>
      <c r="P2166" s="45" t="n">
        <f aca="false">N2166-O2166</f>
        <v>0</v>
      </c>
      <c r="Q2166" s="45" t="n">
        <f aca="false">IF(D2166="Purchase",E2166*M2166,0)</f>
        <v>160</v>
      </c>
    </row>
    <row r="2167" customFormat="false" ht="15" hidden="false" customHeight="false" outlineLevel="0" collapsed="false">
      <c r="A2167" s="39" t="s">
        <v>2491</v>
      </c>
      <c r="B2167" s="44" t="n">
        <v>46024</v>
      </c>
      <c r="C2167" s="39" t="s">
        <v>326</v>
      </c>
      <c r="D2167" s="39" t="s">
        <v>138</v>
      </c>
      <c r="E2167" s="39" t="n">
        <v>20</v>
      </c>
      <c r="F2167" s="39" t="str">
        <f aca="false">IF(COUNTIF(medicine_master!$A$2:$A$26,C2167)&gt;0,"Valid","Invalid")</f>
        <v>Valid</v>
      </c>
      <c r="G2167" s="39" t="str">
        <f aca="false">IFERROR(INDEX(medicine_master!$B$2:$B$26,MATCH($C2167,medicine_master!$A$2:$A$26,0)),"Not found")</f>
        <v>Omeprazole 20mg</v>
      </c>
      <c r="H2167" s="39" t="str">
        <f aca="false">IFERROR(INDEX(medicine_master!$C$2:$C$26,MATCH($C2167,medicine_master!$A$2:$A$26,0)),"Not found")</f>
        <v>Gastric</v>
      </c>
      <c r="I2167" s="39" t="n">
        <f aca="false">YEAR(B2167)</f>
        <v>2026</v>
      </c>
      <c r="J2167" s="39" t="n">
        <f aca="false">MONTH(B2167)</f>
        <v>1</v>
      </c>
      <c r="K2167" s="39" t="str">
        <f aca="false">TEXT(B2167,"mmm")</f>
        <v>Jan</v>
      </c>
      <c r="L2167" s="45" t="n">
        <f aca="false">IFERROR(INDEX(medicine_master!$I$2:$I$26,MATCH($C2167,medicine_master!$A$2:$A$26,0)),0)</f>
        <v>26</v>
      </c>
      <c r="M2167" s="45" t="n">
        <f aca="false">IFERROR(INDEX(medicine_master!$G$2:$G$26,MATCH($C2167,medicine_master!$A$2:$A$26,0)),0)</f>
        <v>18</v>
      </c>
      <c r="N2167" s="45" t="n">
        <f aca="false">IF(D2167="Sale",E2167*L2167,0)</f>
        <v>0</v>
      </c>
      <c r="O2167" s="45" t="n">
        <f aca="false">IF(D2167="Sale",E2167*M2167,0)</f>
        <v>0</v>
      </c>
      <c r="P2167" s="45" t="n">
        <f aca="false">N2167-O2167</f>
        <v>0</v>
      </c>
      <c r="Q2167" s="45" t="n">
        <f aca="false">IF(D2167="Purchase",E2167*M2167,0)</f>
        <v>360</v>
      </c>
    </row>
    <row r="2168" customFormat="false" ht="15" hidden="false" customHeight="false" outlineLevel="0" collapsed="false">
      <c r="A2168" s="39" t="s">
        <v>2492</v>
      </c>
      <c r="B2168" s="44" t="n">
        <v>46083</v>
      </c>
      <c r="C2168" s="39" t="s">
        <v>145</v>
      </c>
      <c r="D2168" s="39" t="s">
        <v>137</v>
      </c>
      <c r="E2168" s="39" t="n">
        <v>5</v>
      </c>
      <c r="F2168" s="39" t="str">
        <f aca="false">IF(COUNTIF(medicine_master!$A$2:$A$26,C2168)&gt;0,"Valid","Invalid")</f>
        <v>Valid</v>
      </c>
      <c r="G2168" s="39" t="str">
        <f aca="false">IFERROR(INDEX(medicine_master!$B$2:$B$26,MATCH($C2168,medicine_master!$A$2:$A$26,0)),"Not found")</f>
        <v>Clotrimazole Cream</v>
      </c>
      <c r="H2168" s="39" t="str">
        <f aca="false">IFERROR(INDEX(medicine_master!$C$2:$C$26,MATCH($C2168,medicine_master!$A$2:$A$26,0)),"Not found")</f>
        <v>Dermatology</v>
      </c>
      <c r="I2168" s="39" t="n">
        <f aca="false">YEAR(B2168)</f>
        <v>2026</v>
      </c>
      <c r="J2168" s="39" t="n">
        <f aca="false">MONTH(B2168)</f>
        <v>3</v>
      </c>
      <c r="K2168" s="39" t="str">
        <f aca="false">TEXT(B2168,"mmm")</f>
        <v>Mar</v>
      </c>
      <c r="L2168" s="45" t="n">
        <f aca="false">IFERROR(INDEX(medicine_master!$I$2:$I$26,MATCH($C2168,medicine_master!$A$2:$A$26,0)),0)</f>
        <v>48</v>
      </c>
      <c r="M2168" s="45" t="n">
        <f aca="false">IFERROR(INDEX(medicine_master!$G$2:$G$26,MATCH($C2168,medicine_master!$A$2:$A$26,0)),0)</f>
        <v>32</v>
      </c>
      <c r="N2168" s="45" t="n">
        <f aca="false">IF(D2168="Sale",E2168*L2168,0)</f>
        <v>240</v>
      </c>
      <c r="O2168" s="45" t="n">
        <f aca="false">IF(D2168="Sale",E2168*M2168,0)</f>
        <v>160</v>
      </c>
      <c r="P2168" s="45" t="n">
        <f aca="false">N2168-O2168</f>
        <v>80</v>
      </c>
      <c r="Q2168" s="45" t="n">
        <f aca="false">IF(D2168="Purchase",E2168*M2168,0)</f>
        <v>0</v>
      </c>
    </row>
    <row r="2169" customFormat="false" ht="15" hidden="false" customHeight="false" outlineLevel="0" collapsed="false">
      <c r="A2169" s="39" t="s">
        <v>2493</v>
      </c>
      <c r="B2169" s="44" t="n">
        <v>46153</v>
      </c>
      <c r="C2169" s="39" t="s">
        <v>495</v>
      </c>
      <c r="D2169" s="39" t="s">
        <v>138</v>
      </c>
      <c r="E2169" s="39" t="n">
        <v>30</v>
      </c>
      <c r="F2169" s="39" t="str">
        <f aca="false">IF(COUNTIF(medicine_master!$A$2:$A$26,C2169)&gt;0,"Valid","Invalid")</f>
        <v>Valid</v>
      </c>
      <c r="G2169" s="39" t="str">
        <f aca="false">IFERROR(INDEX(medicine_master!$B$2:$B$26,MATCH($C2169,medicine_master!$A$2:$A$26,0)),"Not found")</f>
        <v>Metformin 500mg</v>
      </c>
      <c r="H2169" s="39" t="str">
        <f aca="false">IFERROR(INDEX(medicine_master!$C$2:$C$26,MATCH($C2169,medicine_master!$A$2:$A$26,0)),"Not found")</f>
        <v>Diabetes</v>
      </c>
      <c r="I2169" s="39" t="n">
        <f aca="false">YEAR(B2169)</f>
        <v>2026</v>
      </c>
      <c r="J2169" s="39" t="n">
        <f aca="false">MONTH(B2169)</f>
        <v>5</v>
      </c>
      <c r="K2169" s="39" t="str">
        <f aca="false">TEXT(B2169,"mmm")</f>
        <v>May</v>
      </c>
      <c r="L2169" s="45" t="n">
        <f aca="false">IFERROR(INDEX(medicine_master!$I$2:$I$26,MATCH($C2169,medicine_master!$A$2:$A$26,0)),0)</f>
        <v>24</v>
      </c>
      <c r="M2169" s="45" t="n">
        <f aca="false">IFERROR(INDEX(medicine_master!$G$2:$G$26,MATCH($C2169,medicine_master!$A$2:$A$26,0)),0)</f>
        <v>16</v>
      </c>
      <c r="N2169" s="45" t="n">
        <f aca="false">IF(D2169="Sale",E2169*L2169,0)</f>
        <v>0</v>
      </c>
      <c r="O2169" s="45" t="n">
        <f aca="false">IF(D2169="Sale",E2169*M2169,0)</f>
        <v>0</v>
      </c>
      <c r="P2169" s="45" t="n">
        <f aca="false">N2169-O2169</f>
        <v>0</v>
      </c>
      <c r="Q2169" s="45" t="n">
        <f aca="false">IF(D2169="Purchase",E2169*M2169,0)</f>
        <v>480</v>
      </c>
    </row>
    <row r="2170" customFormat="false" ht="15" hidden="false" customHeight="false" outlineLevel="0" collapsed="false">
      <c r="A2170" s="39" t="s">
        <v>2494</v>
      </c>
      <c r="B2170" s="44" t="n">
        <v>46200</v>
      </c>
      <c r="C2170" s="39" t="s">
        <v>152</v>
      </c>
      <c r="D2170" s="39" t="s">
        <v>137</v>
      </c>
      <c r="E2170" s="39" t="n">
        <v>20</v>
      </c>
      <c r="F2170" s="39" t="str">
        <f aca="false">IF(COUNTIF(medicine_master!$A$2:$A$26,C2170)&gt;0,"Valid","Invalid")</f>
        <v>Valid</v>
      </c>
      <c r="G2170" s="39" t="str">
        <f aca="false">IFERROR(INDEX(medicine_master!$B$2:$B$26,MATCH($C2170,medicine_master!$A$2:$A$26,0)),"Not found")</f>
        <v>Amoxicillin 500mg</v>
      </c>
      <c r="H2170" s="39" t="str">
        <f aca="false">IFERROR(INDEX(medicine_master!$C$2:$C$26,MATCH($C2170,medicine_master!$A$2:$A$26,0)),"Not found")</f>
        <v>Antibiotic</v>
      </c>
      <c r="I2170" s="39" t="n">
        <f aca="false">YEAR(B2170)</f>
        <v>2026</v>
      </c>
      <c r="J2170" s="39" t="n">
        <f aca="false">MONTH(B2170)</f>
        <v>6</v>
      </c>
      <c r="K2170" s="39" t="str">
        <f aca="false">TEXT(B2170,"mmm")</f>
        <v>Jun</v>
      </c>
      <c r="L2170" s="45" t="n">
        <f aca="false">IFERROR(INDEX(medicine_master!$I$2:$I$26,MATCH($C2170,medicine_master!$A$2:$A$26,0)),0)</f>
        <v>40</v>
      </c>
      <c r="M2170" s="45" t="n">
        <f aca="false">IFERROR(INDEX(medicine_master!$G$2:$G$26,MATCH($C2170,medicine_master!$A$2:$A$26,0)),0)</f>
        <v>28</v>
      </c>
      <c r="N2170" s="45" t="n">
        <f aca="false">IF(D2170="Sale",E2170*L2170,0)</f>
        <v>800</v>
      </c>
      <c r="O2170" s="45" t="n">
        <f aca="false">IF(D2170="Sale",E2170*M2170,0)</f>
        <v>560</v>
      </c>
      <c r="P2170" s="45" t="n">
        <f aca="false">N2170-O2170</f>
        <v>240</v>
      </c>
      <c r="Q2170" s="45" t="n">
        <f aca="false">IF(D2170="Purchase",E2170*M2170,0)</f>
        <v>0</v>
      </c>
    </row>
    <row r="2171" customFormat="false" ht="15" hidden="false" customHeight="false" outlineLevel="0" collapsed="false">
      <c r="A2171" s="39" t="s">
        <v>2495</v>
      </c>
      <c r="B2171" s="44" t="n">
        <v>46358</v>
      </c>
      <c r="C2171" s="39" t="s">
        <v>495</v>
      </c>
      <c r="D2171" s="39" t="s">
        <v>138</v>
      </c>
      <c r="E2171" s="39" t="n">
        <v>5</v>
      </c>
      <c r="F2171" s="39" t="str">
        <f aca="false">IF(COUNTIF(medicine_master!$A$2:$A$26,C2171)&gt;0,"Valid","Invalid")</f>
        <v>Valid</v>
      </c>
      <c r="G2171" s="39" t="str">
        <f aca="false">IFERROR(INDEX(medicine_master!$B$2:$B$26,MATCH($C2171,medicine_master!$A$2:$A$26,0)),"Not found")</f>
        <v>Metformin 500mg</v>
      </c>
      <c r="H2171" s="39" t="str">
        <f aca="false">IFERROR(INDEX(medicine_master!$C$2:$C$26,MATCH($C2171,medicine_master!$A$2:$A$26,0)),"Not found")</f>
        <v>Diabetes</v>
      </c>
      <c r="I2171" s="39" t="n">
        <f aca="false">YEAR(B2171)</f>
        <v>2026</v>
      </c>
      <c r="J2171" s="39" t="n">
        <f aca="false">MONTH(B2171)</f>
        <v>12</v>
      </c>
      <c r="K2171" s="39" t="str">
        <f aca="false">TEXT(B2171,"mmm")</f>
        <v>Dec</v>
      </c>
      <c r="L2171" s="45" t="n">
        <f aca="false">IFERROR(INDEX(medicine_master!$I$2:$I$26,MATCH($C2171,medicine_master!$A$2:$A$26,0)),0)</f>
        <v>24</v>
      </c>
      <c r="M2171" s="45" t="n">
        <f aca="false">IFERROR(INDEX(medicine_master!$G$2:$G$26,MATCH($C2171,medicine_master!$A$2:$A$26,0)),0)</f>
        <v>16</v>
      </c>
      <c r="N2171" s="45" t="n">
        <f aca="false">IF(D2171="Sale",E2171*L2171,0)</f>
        <v>0</v>
      </c>
      <c r="O2171" s="45" t="n">
        <f aca="false">IF(D2171="Sale",E2171*M2171,0)</f>
        <v>0</v>
      </c>
      <c r="P2171" s="45" t="n">
        <f aca="false">N2171-O2171</f>
        <v>0</v>
      </c>
      <c r="Q2171" s="45" t="n">
        <f aca="false">IF(D2171="Purchase",E2171*M2171,0)</f>
        <v>80</v>
      </c>
    </row>
    <row r="2172" customFormat="false" ht="15" hidden="false" customHeight="false" outlineLevel="0" collapsed="false">
      <c r="A2172" s="39" t="s">
        <v>2496</v>
      </c>
      <c r="B2172" s="44" t="n">
        <v>46147</v>
      </c>
      <c r="C2172" s="39" t="s">
        <v>321</v>
      </c>
      <c r="D2172" s="39" t="s">
        <v>137</v>
      </c>
      <c r="E2172" s="39" t="n">
        <v>10</v>
      </c>
      <c r="F2172" s="39" t="str">
        <f aca="false">IF(COUNTIF(medicine_master!$A$2:$A$26,C2172)&gt;0,"Valid","Invalid")</f>
        <v>Valid</v>
      </c>
      <c r="G2172" s="39" t="str">
        <f aca="false">IFERROR(INDEX(medicine_master!$B$2:$B$26,MATCH($C2172,medicine_master!$A$2:$A$26,0)),"Not found")</f>
        <v>Levocetirizine 5mg</v>
      </c>
      <c r="H2172" s="39" t="str">
        <f aca="false">IFERROR(INDEX(medicine_master!$C$2:$C$26,MATCH($C2172,medicine_master!$A$2:$A$26,0)),"Not found")</f>
        <v>Allergy</v>
      </c>
      <c r="I2172" s="39" t="n">
        <f aca="false">YEAR(B2172)</f>
        <v>2026</v>
      </c>
      <c r="J2172" s="39" t="n">
        <f aca="false">MONTH(B2172)</f>
        <v>5</v>
      </c>
      <c r="K2172" s="39" t="str">
        <f aca="false">TEXT(B2172,"mmm")</f>
        <v>May</v>
      </c>
      <c r="L2172" s="45" t="n">
        <f aca="false">IFERROR(INDEX(medicine_master!$I$2:$I$26,MATCH($C2172,medicine_master!$A$2:$A$26,0)),0)</f>
        <v>22</v>
      </c>
      <c r="M2172" s="45" t="n">
        <f aca="false">IFERROR(INDEX(medicine_master!$G$2:$G$26,MATCH($C2172,medicine_master!$A$2:$A$26,0)),0)</f>
        <v>14</v>
      </c>
      <c r="N2172" s="45" t="n">
        <f aca="false">IF(D2172="Sale",E2172*L2172,0)</f>
        <v>220</v>
      </c>
      <c r="O2172" s="45" t="n">
        <f aca="false">IF(D2172="Sale",E2172*M2172,0)</f>
        <v>140</v>
      </c>
      <c r="P2172" s="45" t="n">
        <f aca="false">N2172-O2172</f>
        <v>80</v>
      </c>
      <c r="Q2172" s="45" t="n">
        <f aca="false">IF(D2172="Purchase",E2172*M2172,0)</f>
        <v>0</v>
      </c>
    </row>
    <row r="2173" customFormat="false" ht="15" hidden="false" customHeight="false" outlineLevel="0" collapsed="false">
      <c r="A2173" s="39" t="s">
        <v>2497</v>
      </c>
      <c r="B2173" s="44" t="n">
        <v>46110</v>
      </c>
      <c r="C2173" s="39" t="s">
        <v>147</v>
      </c>
      <c r="D2173" s="39" t="s">
        <v>137</v>
      </c>
      <c r="E2173" s="39" t="n">
        <v>15</v>
      </c>
      <c r="F2173" s="39" t="str">
        <f aca="false">IF(COUNTIF(medicine_master!$A$2:$A$26,C2173)&gt;0,"Valid","Invalid")</f>
        <v>Valid</v>
      </c>
      <c r="G2173" s="39" t="str">
        <f aca="false">IFERROR(INDEX(medicine_master!$B$2:$B$26,MATCH($C2173,medicine_master!$A$2:$A$26,0)),"Not found")</f>
        <v>Insulin Injection</v>
      </c>
      <c r="H2173" s="39" t="str">
        <f aca="false">IFERROR(INDEX(medicine_master!$C$2:$C$26,MATCH($C2173,medicine_master!$A$2:$A$26,0)),"Not found")</f>
        <v>Diabetes</v>
      </c>
      <c r="I2173" s="39" t="n">
        <f aca="false">YEAR(B2173)</f>
        <v>2026</v>
      </c>
      <c r="J2173" s="39" t="n">
        <f aca="false">MONTH(B2173)</f>
        <v>3</v>
      </c>
      <c r="K2173" s="39" t="str">
        <f aca="false">TEXT(B2173,"mmm")</f>
        <v>Mar</v>
      </c>
      <c r="L2173" s="45" t="n">
        <f aca="false">IFERROR(INDEX(medicine_master!$I$2:$I$26,MATCH($C2173,medicine_master!$A$2:$A$26,0)),0)</f>
        <v>225</v>
      </c>
      <c r="M2173" s="45" t="n">
        <f aca="false">IFERROR(INDEX(medicine_master!$G$2:$G$26,MATCH($C2173,medicine_master!$A$2:$A$26,0)),0)</f>
        <v>165</v>
      </c>
      <c r="N2173" s="45" t="n">
        <f aca="false">IF(D2173="Sale",E2173*L2173,0)</f>
        <v>3375</v>
      </c>
      <c r="O2173" s="45" t="n">
        <f aca="false">IF(D2173="Sale",E2173*M2173,0)</f>
        <v>2475</v>
      </c>
      <c r="P2173" s="45" t="n">
        <f aca="false">N2173-O2173</f>
        <v>900</v>
      </c>
      <c r="Q2173" s="45" t="n">
        <f aca="false">IF(D2173="Purchase",E2173*M2173,0)</f>
        <v>0</v>
      </c>
    </row>
    <row r="2174" customFormat="false" ht="15" hidden="false" customHeight="false" outlineLevel="0" collapsed="false">
      <c r="A2174" s="39" t="s">
        <v>2498</v>
      </c>
      <c r="B2174" s="44" t="n">
        <v>46111</v>
      </c>
      <c r="C2174" s="39" t="s">
        <v>159</v>
      </c>
      <c r="D2174" s="39" t="s">
        <v>138</v>
      </c>
      <c r="E2174" s="39" t="n">
        <v>10</v>
      </c>
      <c r="F2174" s="39" t="str">
        <f aca="false">IF(COUNTIF(medicine_master!$A$2:$A$26,C2174)&gt;0,"Valid","Invalid")</f>
        <v>Valid</v>
      </c>
      <c r="G2174" s="39" t="str">
        <f aca="false">IFERROR(INDEX(medicine_master!$B$2:$B$26,MATCH($C2174,medicine_master!$A$2:$A$26,0)),"Not found")</f>
        <v>Antiseptic Liquid 100ml</v>
      </c>
      <c r="H2174" s="39" t="str">
        <f aca="false">IFERROR(INDEX(medicine_master!$C$2:$C$26,MATCH($C2174,medicine_master!$A$2:$A$26,0)),"Not found")</f>
        <v>First Aid</v>
      </c>
      <c r="I2174" s="39" t="n">
        <f aca="false">YEAR(B2174)</f>
        <v>2026</v>
      </c>
      <c r="J2174" s="39" t="n">
        <f aca="false">MONTH(B2174)</f>
        <v>3</v>
      </c>
      <c r="K2174" s="39" t="str">
        <f aca="false">TEXT(B2174,"mmm")</f>
        <v>Mar</v>
      </c>
      <c r="L2174" s="45" t="n">
        <f aca="false">IFERROR(INDEX(medicine_master!$I$2:$I$26,MATCH($C2174,medicine_master!$A$2:$A$26,0)),0)</f>
        <v>65</v>
      </c>
      <c r="M2174" s="45" t="n">
        <f aca="false">IFERROR(INDEX(medicine_master!$G$2:$G$26,MATCH($C2174,medicine_master!$A$2:$A$26,0)),0)</f>
        <v>48</v>
      </c>
      <c r="N2174" s="45" t="n">
        <f aca="false">IF(D2174="Sale",E2174*L2174,0)</f>
        <v>0</v>
      </c>
      <c r="O2174" s="45" t="n">
        <f aca="false">IF(D2174="Sale",E2174*M2174,0)</f>
        <v>0</v>
      </c>
      <c r="P2174" s="45" t="n">
        <f aca="false">N2174-O2174</f>
        <v>0</v>
      </c>
      <c r="Q2174" s="45" t="n">
        <f aca="false">IF(D2174="Purchase",E2174*M2174,0)</f>
        <v>480</v>
      </c>
    </row>
    <row r="2175" customFormat="false" ht="15" hidden="false" customHeight="false" outlineLevel="0" collapsed="false">
      <c r="A2175" s="39" t="s">
        <v>2499</v>
      </c>
      <c r="B2175" s="44" t="n">
        <v>46096</v>
      </c>
      <c r="C2175" s="39" t="s">
        <v>144</v>
      </c>
      <c r="D2175" s="39" t="s">
        <v>137</v>
      </c>
      <c r="E2175" s="39" t="n">
        <v>15</v>
      </c>
      <c r="F2175" s="39" t="str">
        <f aca="false">IF(COUNTIF(medicine_master!$A$2:$A$26,C2175)&gt;0,"Valid","Invalid")</f>
        <v>Valid</v>
      </c>
      <c r="G2175" s="39" t="str">
        <f aca="false">IFERROR(INDEX(medicine_master!$B$2:$B$26,MATCH($C2175,medicine_master!$A$2:$A$26,0)),"Not found")</f>
        <v>Glimepiride 2mg</v>
      </c>
      <c r="H2175" s="39" t="str">
        <f aca="false">IFERROR(INDEX(medicine_master!$C$2:$C$26,MATCH($C2175,medicine_master!$A$2:$A$26,0)),"Not found")</f>
        <v>Diabetes</v>
      </c>
      <c r="I2175" s="39" t="n">
        <f aca="false">YEAR(B2175)</f>
        <v>2026</v>
      </c>
      <c r="J2175" s="39" t="n">
        <f aca="false">MONTH(B2175)</f>
        <v>3</v>
      </c>
      <c r="K2175" s="39" t="str">
        <f aca="false">TEXT(B2175,"mmm")</f>
        <v>Mar</v>
      </c>
      <c r="L2175" s="45" t="n">
        <f aca="false">IFERROR(INDEX(medicine_master!$I$2:$I$26,MATCH($C2175,medicine_master!$A$2:$A$26,0)),0)</f>
        <v>52</v>
      </c>
      <c r="M2175" s="45" t="n">
        <f aca="false">IFERROR(INDEX(medicine_master!$G$2:$G$26,MATCH($C2175,medicine_master!$A$2:$A$26,0)),0)</f>
        <v>38</v>
      </c>
      <c r="N2175" s="45" t="n">
        <f aca="false">IF(D2175="Sale",E2175*L2175,0)</f>
        <v>780</v>
      </c>
      <c r="O2175" s="45" t="n">
        <f aca="false">IF(D2175="Sale",E2175*M2175,0)</f>
        <v>570</v>
      </c>
      <c r="P2175" s="45" t="n">
        <f aca="false">N2175-O2175</f>
        <v>210</v>
      </c>
      <c r="Q2175" s="45" t="n">
        <f aca="false">IF(D2175="Purchase",E2175*M2175,0)</f>
        <v>0</v>
      </c>
    </row>
    <row r="2176" customFormat="false" ht="15" hidden="false" customHeight="false" outlineLevel="0" collapsed="false">
      <c r="A2176" s="39" t="s">
        <v>2500</v>
      </c>
      <c r="B2176" s="44" t="n">
        <v>46259</v>
      </c>
      <c r="C2176" s="39" t="s">
        <v>151</v>
      </c>
      <c r="D2176" s="39" t="s">
        <v>137</v>
      </c>
      <c r="E2176" s="39" t="n">
        <v>15</v>
      </c>
      <c r="F2176" s="39" t="str">
        <f aca="false">IF(COUNTIF(medicine_master!$A$2:$A$26,C2176)&gt;0,"Valid","Invalid")</f>
        <v>Valid</v>
      </c>
      <c r="G2176" s="39" t="str">
        <f aca="false">IFERROR(INDEX(medicine_master!$B$2:$B$26,MATCH($C2176,medicine_master!$A$2:$A$26,0)),"Not found")</f>
        <v>Cetirizine 10mg</v>
      </c>
      <c r="H2176" s="39" t="str">
        <f aca="false">IFERROR(INDEX(medicine_master!$C$2:$C$26,MATCH($C2176,medicine_master!$A$2:$A$26,0)),"Not found")</f>
        <v>Allergy</v>
      </c>
      <c r="I2176" s="39" t="n">
        <f aca="false">YEAR(B2176)</f>
        <v>2026</v>
      </c>
      <c r="J2176" s="39" t="n">
        <f aca="false">MONTH(B2176)</f>
        <v>8</v>
      </c>
      <c r="K2176" s="39" t="str">
        <f aca="false">TEXT(B2176,"mmm")</f>
        <v>Aug</v>
      </c>
      <c r="L2176" s="45" t="n">
        <f aca="false">IFERROR(INDEX(medicine_master!$I$2:$I$26,MATCH($C2176,medicine_master!$A$2:$A$26,0)),0)</f>
        <v>13</v>
      </c>
      <c r="M2176" s="45" t="n">
        <f aca="false">IFERROR(INDEX(medicine_master!$G$2:$G$26,MATCH($C2176,medicine_master!$A$2:$A$26,0)),0)</f>
        <v>8</v>
      </c>
      <c r="N2176" s="45" t="n">
        <f aca="false">IF(D2176="Sale",E2176*L2176,0)</f>
        <v>195</v>
      </c>
      <c r="O2176" s="45" t="n">
        <f aca="false">IF(D2176="Sale",E2176*M2176,0)</f>
        <v>120</v>
      </c>
      <c r="P2176" s="45" t="n">
        <f aca="false">N2176-O2176</f>
        <v>75</v>
      </c>
      <c r="Q2176" s="45" t="n">
        <f aca="false">IF(D2176="Purchase",E2176*M2176,0)</f>
        <v>0</v>
      </c>
    </row>
    <row r="2177" customFormat="false" ht="15" hidden="false" customHeight="false" outlineLevel="0" collapsed="false">
      <c r="A2177" s="39" t="s">
        <v>2501</v>
      </c>
      <c r="B2177" s="44" t="n">
        <v>46102</v>
      </c>
      <c r="C2177" s="39" t="s">
        <v>180</v>
      </c>
      <c r="D2177" s="39" t="s">
        <v>137</v>
      </c>
      <c r="E2177" s="39" t="n">
        <v>10</v>
      </c>
      <c r="F2177" s="39" t="str">
        <f aca="false">IF(COUNTIF(medicine_master!$A$2:$A$26,C2177)&gt;0,"Valid","Invalid")</f>
        <v>Valid</v>
      </c>
      <c r="G2177" s="39" t="str">
        <f aca="false">IFERROR(INDEX(medicine_master!$B$2:$B$26,MATCH($C2177,medicine_master!$A$2:$A$26,0)),"Not found")</f>
        <v>Vitamin C 500mg</v>
      </c>
      <c r="H2177" s="39" t="str">
        <f aca="false">IFERROR(INDEX(medicine_master!$C$2:$C$26,MATCH($C2177,medicine_master!$A$2:$A$26,0)),"Not found")</f>
        <v>Vitamin</v>
      </c>
      <c r="I2177" s="39" t="n">
        <f aca="false">YEAR(B2177)</f>
        <v>2026</v>
      </c>
      <c r="J2177" s="39" t="n">
        <f aca="false">MONTH(B2177)</f>
        <v>3</v>
      </c>
      <c r="K2177" s="39" t="str">
        <f aca="false">TEXT(B2177,"mmm")</f>
        <v>Mar</v>
      </c>
      <c r="L2177" s="45" t="n">
        <f aca="false">IFERROR(INDEX(medicine_master!$I$2:$I$26,MATCH($C2177,medicine_master!$A$2:$A$26,0)),0)</f>
        <v>22</v>
      </c>
      <c r="M2177" s="45" t="n">
        <f aca="false">IFERROR(INDEX(medicine_master!$G$2:$G$26,MATCH($C2177,medicine_master!$A$2:$A$26,0)),0)</f>
        <v>14</v>
      </c>
      <c r="N2177" s="45" t="n">
        <f aca="false">IF(D2177="Sale",E2177*L2177,0)</f>
        <v>220</v>
      </c>
      <c r="O2177" s="45" t="n">
        <f aca="false">IF(D2177="Sale",E2177*M2177,0)</f>
        <v>140</v>
      </c>
      <c r="P2177" s="45" t="n">
        <f aca="false">N2177-O2177</f>
        <v>80</v>
      </c>
      <c r="Q2177" s="45" t="n">
        <f aca="false">IF(D2177="Purchase",E2177*M2177,0)</f>
        <v>0</v>
      </c>
    </row>
    <row r="2178" customFormat="false" ht="15" hidden="false" customHeight="false" outlineLevel="0" collapsed="false">
      <c r="A2178" s="39" t="s">
        <v>2502</v>
      </c>
      <c r="B2178" s="44" t="n">
        <v>46181</v>
      </c>
      <c r="C2178" s="39" t="s">
        <v>495</v>
      </c>
      <c r="D2178" s="39" t="s">
        <v>137</v>
      </c>
      <c r="E2178" s="39" t="n">
        <v>20</v>
      </c>
      <c r="F2178" s="39" t="str">
        <f aca="false">IF(COUNTIF(medicine_master!$A$2:$A$26,C2178)&gt;0,"Valid","Invalid")</f>
        <v>Valid</v>
      </c>
      <c r="G2178" s="39" t="str">
        <f aca="false">IFERROR(INDEX(medicine_master!$B$2:$B$26,MATCH($C2178,medicine_master!$A$2:$A$26,0)),"Not found")</f>
        <v>Metformin 500mg</v>
      </c>
      <c r="H2178" s="39" t="str">
        <f aca="false">IFERROR(INDEX(medicine_master!$C$2:$C$26,MATCH($C2178,medicine_master!$A$2:$A$26,0)),"Not found")</f>
        <v>Diabetes</v>
      </c>
      <c r="I2178" s="39" t="n">
        <f aca="false">YEAR(B2178)</f>
        <v>2026</v>
      </c>
      <c r="J2178" s="39" t="n">
        <f aca="false">MONTH(B2178)</f>
        <v>6</v>
      </c>
      <c r="K2178" s="39" t="str">
        <f aca="false">TEXT(B2178,"mmm")</f>
        <v>Jun</v>
      </c>
      <c r="L2178" s="45" t="n">
        <f aca="false">IFERROR(INDEX(medicine_master!$I$2:$I$26,MATCH($C2178,medicine_master!$A$2:$A$26,0)),0)</f>
        <v>24</v>
      </c>
      <c r="M2178" s="45" t="n">
        <f aca="false">IFERROR(INDEX(medicine_master!$G$2:$G$26,MATCH($C2178,medicine_master!$A$2:$A$26,0)),0)</f>
        <v>16</v>
      </c>
      <c r="N2178" s="45" t="n">
        <f aca="false">IF(D2178="Sale",E2178*L2178,0)</f>
        <v>480</v>
      </c>
      <c r="O2178" s="45" t="n">
        <f aca="false">IF(D2178="Sale",E2178*M2178,0)</f>
        <v>320</v>
      </c>
      <c r="P2178" s="45" t="n">
        <f aca="false">N2178-O2178</f>
        <v>160</v>
      </c>
      <c r="Q2178" s="45" t="n">
        <f aca="false">IF(D2178="Purchase",E2178*M2178,0)</f>
        <v>0</v>
      </c>
    </row>
    <row r="2179" customFormat="false" ht="15" hidden="false" customHeight="false" outlineLevel="0" collapsed="false">
      <c r="A2179" s="39" t="s">
        <v>2503</v>
      </c>
      <c r="B2179" s="44" t="n">
        <v>46332</v>
      </c>
      <c r="C2179" s="39" t="s">
        <v>148</v>
      </c>
      <c r="D2179" s="39" t="s">
        <v>137</v>
      </c>
      <c r="E2179" s="39" t="n">
        <v>20</v>
      </c>
      <c r="F2179" s="39" t="str">
        <f aca="false">IF(COUNTIF(medicine_master!$A$2:$A$26,C2179)&gt;0,"Valid","Invalid")</f>
        <v>Valid</v>
      </c>
      <c r="G2179" s="39" t="str">
        <f aca="false">IFERROR(INDEX(medicine_master!$B$2:$B$26,MATCH($C2179,medicine_master!$A$2:$A$26,0)),"Not found")</f>
        <v>Dextromethorphan Syrup</v>
      </c>
      <c r="H2179" s="39" t="str">
        <f aca="false">IFERROR(INDEX(medicine_master!$C$2:$C$26,MATCH($C2179,medicine_master!$A$2:$A$26,0)),"Not found")</f>
        <v>Cold &amp; Cough</v>
      </c>
      <c r="I2179" s="39" t="n">
        <f aca="false">YEAR(B2179)</f>
        <v>2026</v>
      </c>
      <c r="J2179" s="39" t="n">
        <f aca="false">MONTH(B2179)</f>
        <v>11</v>
      </c>
      <c r="K2179" s="39" t="str">
        <f aca="false">TEXT(B2179,"mmm")</f>
        <v>Nov</v>
      </c>
      <c r="L2179" s="45" t="n">
        <f aca="false">IFERROR(INDEX(medicine_master!$I$2:$I$26,MATCH($C2179,medicine_master!$A$2:$A$26,0)),0)</f>
        <v>80</v>
      </c>
      <c r="M2179" s="45" t="n">
        <f aca="false">IFERROR(INDEX(medicine_master!$G$2:$G$26,MATCH($C2179,medicine_master!$A$2:$A$26,0)),0)</f>
        <v>58</v>
      </c>
      <c r="N2179" s="45" t="n">
        <f aca="false">IF(D2179="Sale",E2179*L2179,0)</f>
        <v>1600</v>
      </c>
      <c r="O2179" s="45" t="n">
        <f aca="false">IF(D2179="Sale",E2179*M2179,0)</f>
        <v>1160</v>
      </c>
      <c r="P2179" s="45" t="n">
        <f aca="false">N2179-O2179</f>
        <v>440</v>
      </c>
      <c r="Q2179" s="45" t="n">
        <f aca="false">IF(D2179="Purchase",E2179*M2179,0)</f>
        <v>0</v>
      </c>
    </row>
    <row r="2180" customFormat="false" ht="15" hidden="false" customHeight="false" outlineLevel="0" collapsed="false">
      <c r="A2180" s="39" t="s">
        <v>2504</v>
      </c>
      <c r="B2180" s="44" t="n">
        <v>46249</v>
      </c>
      <c r="C2180" s="39" t="s">
        <v>326</v>
      </c>
      <c r="D2180" s="39" t="s">
        <v>137</v>
      </c>
      <c r="E2180" s="39" t="n">
        <v>25</v>
      </c>
      <c r="F2180" s="39" t="str">
        <f aca="false">IF(COUNTIF(medicine_master!$A$2:$A$26,C2180)&gt;0,"Valid","Invalid")</f>
        <v>Valid</v>
      </c>
      <c r="G2180" s="39" t="str">
        <f aca="false">IFERROR(INDEX(medicine_master!$B$2:$B$26,MATCH($C2180,medicine_master!$A$2:$A$26,0)),"Not found")</f>
        <v>Omeprazole 20mg</v>
      </c>
      <c r="H2180" s="39" t="str">
        <f aca="false">IFERROR(INDEX(medicine_master!$C$2:$C$26,MATCH($C2180,medicine_master!$A$2:$A$26,0)),"Not found")</f>
        <v>Gastric</v>
      </c>
      <c r="I2180" s="39" t="n">
        <f aca="false">YEAR(B2180)</f>
        <v>2026</v>
      </c>
      <c r="J2180" s="39" t="n">
        <f aca="false">MONTH(B2180)</f>
        <v>8</v>
      </c>
      <c r="K2180" s="39" t="str">
        <f aca="false">TEXT(B2180,"mmm")</f>
        <v>Aug</v>
      </c>
      <c r="L2180" s="45" t="n">
        <f aca="false">IFERROR(INDEX(medicine_master!$I$2:$I$26,MATCH($C2180,medicine_master!$A$2:$A$26,0)),0)</f>
        <v>26</v>
      </c>
      <c r="M2180" s="45" t="n">
        <f aca="false">IFERROR(INDEX(medicine_master!$G$2:$G$26,MATCH($C2180,medicine_master!$A$2:$A$26,0)),0)</f>
        <v>18</v>
      </c>
      <c r="N2180" s="45" t="n">
        <f aca="false">IF(D2180="Sale",E2180*L2180,0)</f>
        <v>650</v>
      </c>
      <c r="O2180" s="45" t="n">
        <f aca="false">IF(D2180="Sale",E2180*M2180,0)</f>
        <v>450</v>
      </c>
      <c r="P2180" s="45" t="n">
        <f aca="false">N2180-O2180</f>
        <v>200</v>
      </c>
      <c r="Q2180" s="45" t="n">
        <f aca="false">IF(D2180="Purchase",E2180*M2180,0)</f>
        <v>0</v>
      </c>
    </row>
    <row r="2181" customFormat="false" ht="15" hidden="false" customHeight="false" outlineLevel="0" collapsed="false">
      <c r="A2181" s="39" t="s">
        <v>2505</v>
      </c>
      <c r="B2181" s="44" t="n">
        <v>46137</v>
      </c>
      <c r="C2181" s="39" t="s">
        <v>152</v>
      </c>
      <c r="D2181" s="39" t="s">
        <v>137</v>
      </c>
      <c r="E2181" s="39" t="n">
        <v>5</v>
      </c>
      <c r="F2181" s="39" t="str">
        <f aca="false">IF(COUNTIF(medicine_master!$A$2:$A$26,C2181)&gt;0,"Valid","Invalid")</f>
        <v>Valid</v>
      </c>
      <c r="G2181" s="39" t="str">
        <f aca="false">IFERROR(INDEX(medicine_master!$B$2:$B$26,MATCH($C2181,medicine_master!$A$2:$A$26,0)),"Not found")</f>
        <v>Amoxicillin 500mg</v>
      </c>
      <c r="H2181" s="39" t="str">
        <f aca="false">IFERROR(INDEX(medicine_master!$C$2:$C$26,MATCH($C2181,medicine_master!$A$2:$A$26,0)),"Not found")</f>
        <v>Antibiotic</v>
      </c>
      <c r="I2181" s="39" t="n">
        <f aca="false">YEAR(B2181)</f>
        <v>2026</v>
      </c>
      <c r="J2181" s="39" t="n">
        <f aca="false">MONTH(B2181)</f>
        <v>4</v>
      </c>
      <c r="K2181" s="39" t="str">
        <f aca="false">TEXT(B2181,"mmm")</f>
        <v>Apr</v>
      </c>
      <c r="L2181" s="45" t="n">
        <f aca="false">IFERROR(INDEX(medicine_master!$I$2:$I$26,MATCH($C2181,medicine_master!$A$2:$A$26,0)),0)</f>
        <v>40</v>
      </c>
      <c r="M2181" s="45" t="n">
        <f aca="false">IFERROR(INDEX(medicine_master!$G$2:$G$26,MATCH($C2181,medicine_master!$A$2:$A$26,0)),0)</f>
        <v>28</v>
      </c>
      <c r="N2181" s="45" t="n">
        <f aca="false">IF(D2181="Sale",E2181*L2181,0)</f>
        <v>200</v>
      </c>
      <c r="O2181" s="45" t="n">
        <f aca="false">IF(D2181="Sale",E2181*M2181,0)</f>
        <v>140</v>
      </c>
      <c r="P2181" s="45" t="n">
        <f aca="false">N2181-O2181</f>
        <v>60</v>
      </c>
      <c r="Q2181" s="45" t="n">
        <f aca="false">IF(D2181="Purchase",E2181*M2181,0)</f>
        <v>0</v>
      </c>
    </row>
    <row r="2182" customFormat="false" ht="15" hidden="false" customHeight="false" outlineLevel="0" collapsed="false">
      <c r="A2182" s="39" t="s">
        <v>2506</v>
      </c>
      <c r="B2182" s="44" t="n">
        <v>46358</v>
      </c>
      <c r="C2182" s="39" t="s">
        <v>177</v>
      </c>
      <c r="D2182" s="39" t="s">
        <v>137</v>
      </c>
      <c r="E2182" s="39" t="n">
        <v>5</v>
      </c>
      <c r="F2182" s="39" t="str">
        <f aca="false">IF(COUNTIF(medicine_master!$A$2:$A$26,C2182)&gt;0,"Valid","Invalid")</f>
        <v>Valid</v>
      </c>
      <c r="G2182" s="39" t="str">
        <f aca="false">IFERROR(INDEX(medicine_master!$B$2:$B$26,MATCH($C2182,medicine_master!$A$2:$A$26,0)),"Not found")</f>
        <v>Bandage Roll</v>
      </c>
      <c r="H2182" s="39" t="str">
        <f aca="false">IFERROR(INDEX(medicine_master!$C$2:$C$26,MATCH($C2182,medicine_master!$A$2:$A$26,0)),"Not found")</f>
        <v>First Aid</v>
      </c>
      <c r="I2182" s="39" t="n">
        <f aca="false">YEAR(B2182)</f>
        <v>2026</v>
      </c>
      <c r="J2182" s="39" t="n">
        <f aca="false">MONTH(B2182)</f>
        <v>12</v>
      </c>
      <c r="K2182" s="39" t="str">
        <f aca="false">TEXT(B2182,"mmm")</f>
        <v>Dec</v>
      </c>
      <c r="L2182" s="45" t="n">
        <f aca="false">IFERROR(INDEX(medicine_master!$I$2:$I$26,MATCH($C2182,medicine_master!$A$2:$A$26,0)),0)</f>
        <v>25</v>
      </c>
      <c r="M2182" s="45" t="n">
        <f aca="false">IFERROR(INDEX(medicine_master!$G$2:$G$26,MATCH($C2182,medicine_master!$A$2:$A$26,0)),0)</f>
        <v>15</v>
      </c>
      <c r="N2182" s="45" t="n">
        <f aca="false">IF(D2182="Sale",E2182*L2182,0)</f>
        <v>125</v>
      </c>
      <c r="O2182" s="45" t="n">
        <f aca="false">IF(D2182="Sale",E2182*M2182,0)</f>
        <v>75</v>
      </c>
      <c r="P2182" s="45" t="n">
        <f aca="false">N2182-O2182</f>
        <v>50</v>
      </c>
      <c r="Q2182" s="45" t="n">
        <f aca="false">IF(D2182="Purchase",E2182*M2182,0)</f>
        <v>0</v>
      </c>
    </row>
    <row r="2183" customFormat="false" ht="15" hidden="false" customHeight="false" outlineLevel="0" collapsed="false">
      <c r="A2183" s="39" t="s">
        <v>2507</v>
      </c>
      <c r="B2183" s="44" t="n">
        <v>46169</v>
      </c>
      <c r="C2183" s="39" t="s">
        <v>145</v>
      </c>
      <c r="D2183" s="39" t="s">
        <v>137</v>
      </c>
      <c r="E2183" s="39" t="n">
        <v>10</v>
      </c>
      <c r="F2183" s="39" t="str">
        <f aca="false">IF(COUNTIF(medicine_master!$A$2:$A$26,C2183)&gt;0,"Valid","Invalid")</f>
        <v>Valid</v>
      </c>
      <c r="G2183" s="39" t="str">
        <f aca="false">IFERROR(INDEX(medicine_master!$B$2:$B$26,MATCH($C2183,medicine_master!$A$2:$A$26,0)),"Not found")</f>
        <v>Clotrimazole Cream</v>
      </c>
      <c r="H2183" s="39" t="str">
        <f aca="false">IFERROR(INDEX(medicine_master!$C$2:$C$26,MATCH($C2183,medicine_master!$A$2:$A$26,0)),"Not found")</f>
        <v>Dermatology</v>
      </c>
      <c r="I2183" s="39" t="n">
        <f aca="false">YEAR(B2183)</f>
        <v>2026</v>
      </c>
      <c r="J2183" s="39" t="n">
        <f aca="false">MONTH(B2183)</f>
        <v>5</v>
      </c>
      <c r="K2183" s="39" t="str">
        <f aca="false">TEXT(B2183,"mmm")</f>
        <v>May</v>
      </c>
      <c r="L2183" s="45" t="n">
        <f aca="false">IFERROR(INDEX(medicine_master!$I$2:$I$26,MATCH($C2183,medicine_master!$A$2:$A$26,0)),0)</f>
        <v>48</v>
      </c>
      <c r="M2183" s="45" t="n">
        <f aca="false">IFERROR(INDEX(medicine_master!$G$2:$G$26,MATCH($C2183,medicine_master!$A$2:$A$26,0)),0)</f>
        <v>32</v>
      </c>
      <c r="N2183" s="45" t="n">
        <f aca="false">IF(D2183="Sale",E2183*L2183,0)</f>
        <v>480</v>
      </c>
      <c r="O2183" s="45" t="n">
        <f aca="false">IF(D2183="Sale",E2183*M2183,0)</f>
        <v>320</v>
      </c>
      <c r="P2183" s="45" t="n">
        <f aca="false">N2183-O2183</f>
        <v>160</v>
      </c>
      <c r="Q2183" s="45" t="n">
        <f aca="false">IF(D2183="Purchase",E2183*M2183,0)</f>
        <v>0</v>
      </c>
    </row>
    <row r="2184" customFormat="false" ht="15" hidden="false" customHeight="false" outlineLevel="0" collapsed="false">
      <c r="A2184" s="39" t="s">
        <v>2508</v>
      </c>
      <c r="B2184" s="44" t="n">
        <v>46080</v>
      </c>
      <c r="C2184" s="39" t="s">
        <v>147</v>
      </c>
      <c r="D2184" s="39" t="s">
        <v>138</v>
      </c>
      <c r="E2184" s="39" t="n">
        <v>25</v>
      </c>
      <c r="F2184" s="39" t="str">
        <f aca="false">IF(COUNTIF(medicine_master!$A$2:$A$26,C2184)&gt;0,"Valid","Invalid")</f>
        <v>Valid</v>
      </c>
      <c r="G2184" s="39" t="str">
        <f aca="false">IFERROR(INDEX(medicine_master!$B$2:$B$26,MATCH($C2184,medicine_master!$A$2:$A$26,0)),"Not found")</f>
        <v>Insulin Injection</v>
      </c>
      <c r="H2184" s="39" t="str">
        <f aca="false">IFERROR(INDEX(medicine_master!$C$2:$C$26,MATCH($C2184,medicine_master!$A$2:$A$26,0)),"Not found")</f>
        <v>Diabetes</v>
      </c>
      <c r="I2184" s="39" t="n">
        <f aca="false">YEAR(B2184)</f>
        <v>2026</v>
      </c>
      <c r="J2184" s="39" t="n">
        <f aca="false">MONTH(B2184)</f>
        <v>2</v>
      </c>
      <c r="K2184" s="39" t="str">
        <f aca="false">TEXT(B2184,"mmm")</f>
        <v>Feb</v>
      </c>
      <c r="L2184" s="45" t="n">
        <f aca="false">IFERROR(INDEX(medicine_master!$I$2:$I$26,MATCH($C2184,medicine_master!$A$2:$A$26,0)),0)</f>
        <v>225</v>
      </c>
      <c r="M2184" s="45" t="n">
        <f aca="false">IFERROR(INDEX(medicine_master!$G$2:$G$26,MATCH($C2184,medicine_master!$A$2:$A$26,0)),0)</f>
        <v>165</v>
      </c>
      <c r="N2184" s="45" t="n">
        <f aca="false">IF(D2184="Sale",E2184*L2184,0)</f>
        <v>0</v>
      </c>
      <c r="O2184" s="45" t="n">
        <f aca="false">IF(D2184="Sale",E2184*M2184,0)</f>
        <v>0</v>
      </c>
      <c r="P2184" s="45" t="n">
        <f aca="false">N2184-O2184</f>
        <v>0</v>
      </c>
      <c r="Q2184" s="45" t="n">
        <f aca="false">IF(D2184="Purchase",E2184*M2184,0)</f>
        <v>4125</v>
      </c>
    </row>
    <row r="2185" customFormat="false" ht="15" hidden="false" customHeight="false" outlineLevel="0" collapsed="false">
      <c r="A2185" s="39" t="s">
        <v>2509</v>
      </c>
      <c r="B2185" s="44" t="n">
        <v>46344</v>
      </c>
      <c r="C2185" s="39" t="s">
        <v>145</v>
      </c>
      <c r="D2185" s="39" t="s">
        <v>137</v>
      </c>
      <c r="E2185" s="39" t="n">
        <v>10</v>
      </c>
      <c r="F2185" s="39" t="str">
        <f aca="false">IF(COUNTIF(medicine_master!$A$2:$A$26,C2185)&gt;0,"Valid","Invalid")</f>
        <v>Valid</v>
      </c>
      <c r="G2185" s="39" t="str">
        <f aca="false">IFERROR(INDEX(medicine_master!$B$2:$B$26,MATCH($C2185,medicine_master!$A$2:$A$26,0)),"Not found")</f>
        <v>Clotrimazole Cream</v>
      </c>
      <c r="H2185" s="39" t="str">
        <f aca="false">IFERROR(INDEX(medicine_master!$C$2:$C$26,MATCH($C2185,medicine_master!$A$2:$A$26,0)),"Not found")</f>
        <v>Dermatology</v>
      </c>
      <c r="I2185" s="39" t="n">
        <f aca="false">YEAR(B2185)</f>
        <v>2026</v>
      </c>
      <c r="J2185" s="39" t="n">
        <f aca="false">MONTH(B2185)</f>
        <v>11</v>
      </c>
      <c r="K2185" s="39" t="str">
        <f aca="false">TEXT(B2185,"mmm")</f>
        <v>Nov</v>
      </c>
      <c r="L2185" s="45" t="n">
        <f aca="false">IFERROR(INDEX(medicine_master!$I$2:$I$26,MATCH($C2185,medicine_master!$A$2:$A$26,0)),0)</f>
        <v>48</v>
      </c>
      <c r="M2185" s="45" t="n">
        <f aca="false">IFERROR(INDEX(medicine_master!$G$2:$G$26,MATCH($C2185,medicine_master!$A$2:$A$26,0)),0)</f>
        <v>32</v>
      </c>
      <c r="N2185" s="45" t="n">
        <f aca="false">IF(D2185="Sale",E2185*L2185,0)</f>
        <v>480</v>
      </c>
      <c r="O2185" s="45" t="n">
        <f aca="false">IF(D2185="Sale",E2185*M2185,0)</f>
        <v>320</v>
      </c>
      <c r="P2185" s="45" t="n">
        <f aca="false">N2185-O2185</f>
        <v>160</v>
      </c>
      <c r="Q2185" s="45" t="n">
        <f aca="false">IF(D2185="Purchase",E2185*M2185,0)</f>
        <v>0</v>
      </c>
    </row>
    <row r="2186" customFormat="false" ht="15" hidden="false" customHeight="false" outlineLevel="0" collapsed="false">
      <c r="A2186" s="39" t="s">
        <v>2510</v>
      </c>
      <c r="B2186" s="44" t="n">
        <v>46159</v>
      </c>
      <c r="C2186" s="39" t="s">
        <v>167</v>
      </c>
      <c r="D2186" s="39" t="s">
        <v>137</v>
      </c>
      <c r="E2186" s="39" t="n">
        <v>10</v>
      </c>
      <c r="F2186" s="39" t="str">
        <f aca="false">IF(COUNTIF(medicine_master!$A$2:$A$26,C2186)&gt;0,"Valid","Invalid")</f>
        <v>Valid</v>
      </c>
      <c r="G2186" s="39" t="str">
        <f aca="false">IFERROR(INDEX(medicine_master!$B$2:$B$26,MATCH($C2186,medicine_master!$A$2:$A$26,0)),"Not found")</f>
        <v>Amlodipine 5mg</v>
      </c>
      <c r="H2186" s="39" t="str">
        <f aca="false">IFERROR(INDEX(medicine_master!$C$2:$C$26,MATCH($C2186,medicine_master!$A$2:$A$26,0)),"Not found")</f>
        <v>Cardiac</v>
      </c>
      <c r="I2186" s="39" t="n">
        <f aca="false">YEAR(B2186)</f>
        <v>2026</v>
      </c>
      <c r="J2186" s="39" t="n">
        <f aca="false">MONTH(B2186)</f>
        <v>5</v>
      </c>
      <c r="K2186" s="39" t="str">
        <f aca="false">TEXT(B2186,"mmm")</f>
        <v>May</v>
      </c>
      <c r="L2186" s="45" t="n">
        <f aca="false">IFERROR(INDEX(medicine_master!$I$2:$I$26,MATCH($C2186,medicine_master!$A$2:$A$26,0)),0)</f>
        <v>19</v>
      </c>
      <c r="M2186" s="45" t="n">
        <f aca="false">IFERROR(INDEX(medicine_master!$G$2:$G$26,MATCH($C2186,medicine_master!$A$2:$A$26,0)),0)</f>
        <v>13</v>
      </c>
      <c r="N2186" s="45" t="n">
        <f aca="false">IF(D2186="Sale",E2186*L2186,0)</f>
        <v>190</v>
      </c>
      <c r="O2186" s="45" t="n">
        <f aca="false">IF(D2186="Sale",E2186*M2186,0)</f>
        <v>130</v>
      </c>
      <c r="P2186" s="45" t="n">
        <f aca="false">N2186-O2186</f>
        <v>60</v>
      </c>
      <c r="Q2186" s="45" t="n">
        <f aca="false">IF(D2186="Purchase",E2186*M2186,0)</f>
        <v>0</v>
      </c>
    </row>
    <row r="2187" customFormat="false" ht="15" hidden="false" customHeight="false" outlineLevel="0" collapsed="false">
      <c r="A2187" s="39" t="s">
        <v>2511</v>
      </c>
      <c r="B2187" s="44" t="n">
        <v>46024</v>
      </c>
      <c r="C2187" s="39" t="s">
        <v>150</v>
      </c>
      <c r="D2187" s="39" t="s">
        <v>137</v>
      </c>
      <c r="E2187" s="39" t="n">
        <v>10</v>
      </c>
      <c r="F2187" s="39" t="str">
        <f aca="false">IF(COUNTIF(medicine_master!$A$2:$A$26,C2187)&gt;0,"Valid","Invalid")</f>
        <v>Valid</v>
      </c>
      <c r="G2187" s="39" t="str">
        <f aca="false">IFERROR(INDEX(medicine_master!$B$2:$B$26,MATCH($C2187,medicine_master!$A$2:$A$26,0)),"Not found")</f>
        <v>Pantoprazole 40mg</v>
      </c>
      <c r="H2187" s="39" t="str">
        <f aca="false">IFERROR(INDEX(medicine_master!$C$2:$C$26,MATCH($C2187,medicine_master!$A$2:$A$26,0)),"Not found")</f>
        <v>Gastric</v>
      </c>
      <c r="I2187" s="39" t="n">
        <f aca="false">YEAR(B2187)</f>
        <v>2026</v>
      </c>
      <c r="J2187" s="39" t="n">
        <f aca="false">MONTH(B2187)</f>
        <v>1</v>
      </c>
      <c r="K2187" s="39" t="str">
        <f aca="false">TEXT(B2187,"mmm")</f>
        <v>Jan</v>
      </c>
      <c r="L2187" s="45" t="n">
        <f aca="false">IFERROR(INDEX(medicine_master!$I$2:$I$26,MATCH($C2187,medicine_master!$A$2:$A$26,0)),0)</f>
        <v>35</v>
      </c>
      <c r="M2187" s="45" t="n">
        <f aca="false">IFERROR(INDEX(medicine_master!$G$2:$G$26,MATCH($C2187,medicine_master!$A$2:$A$26,0)),0)</f>
        <v>24</v>
      </c>
      <c r="N2187" s="45" t="n">
        <f aca="false">IF(D2187="Sale",E2187*L2187,0)</f>
        <v>350</v>
      </c>
      <c r="O2187" s="45" t="n">
        <f aca="false">IF(D2187="Sale",E2187*M2187,0)</f>
        <v>240</v>
      </c>
      <c r="P2187" s="45" t="n">
        <f aca="false">N2187-O2187</f>
        <v>110</v>
      </c>
      <c r="Q2187" s="45" t="n">
        <f aca="false">IF(D2187="Purchase",E2187*M2187,0)</f>
        <v>0</v>
      </c>
    </row>
    <row r="2188" customFormat="false" ht="15" hidden="false" customHeight="false" outlineLevel="0" collapsed="false">
      <c r="A2188" s="39" t="s">
        <v>2512</v>
      </c>
      <c r="B2188" s="44" t="n">
        <v>46192</v>
      </c>
      <c r="C2188" s="39" t="s">
        <v>167</v>
      </c>
      <c r="D2188" s="39" t="s">
        <v>138</v>
      </c>
      <c r="E2188" s="39" t="n">
        <v>5</v>
      </c>
      <c r="F2188" s="39" t="str">
        <f aca="false">IF(COUNTIF(medicine_master!$A$2:$A$26,C2188)&gt;0,"Valid","Invalid")</f>
        <v>Valid</v>
      </c>
      <c r="G2188" s="39" t="str">
        <f aca="false">IFERROR(INDEX(medicine_master!$B$2:$B$26,MATCH($C2188,medicine_master!$A$2:$A$26,0)),"Not found")</f>
        <v>Amlodipine 5mg</v>
      </c>
      <c r="H2188" s="39" t="str">
        <f aca="false">IFERROR(INDEX(medicine_master!$C$2:$C$26,MATCH($C2188,medicine_master!$A$2:$A$26,0)),"Not found")</f>
        <v>Cardiac</v>
      </c>
      <c r="I2188" s="39" t="n">
        <f aca="false">YEAR(B2188)</f>
        <v>2026</v>
      </c>
      <c r="J2188" s="39" t="n">
        <f aca="false">MONTH(B2188)</f>
        <v>6</v>
      </c>
      <c r="K2188" s="39" t="str">
        <f aca="false">TEXT(B2188,"mmm")</f>
        <v>Jun</v>
      </c>
      <c r="L2188" s="45" t="n">
        <f aca="false">IFERROR(INDEX(medicine_master!$I$2:$I$26,MATCH($C2188,medicine_master!$A$2:$A$26,0)),0)</f>
        <v>19</v>
      </c>
      <c r="M2188" s="45" t="n">
        <f aca="false">IFERROR(INDEX(medicine_master!$G$2:$G$26,MATCH($C2188,medicine_master!$A$2:$A$26,0)),0)</f>
        <v>13</v>
      </c>
      <c r="N2188" s="45" t="n">
        <f aca="false">IF(D2188="Sale",E2188*L2188,0)</f>
        <v>0</v>
      </c>
      <c r="O2188" s="45" t="n">
        <f aca="false">IF(D2188="Sale",E2188*M2188,0)</f>
        <v>0</v>
      </c>
      <c r="P2188" s="45" t="n">
        <f aca="false">N2188-O2188</f>
        <v>0</v>
      </c>
      <c r="Q2188" s="45" t="n">
        <f aca="false">IF(D2188="Purchase",E2188*M2188,0)</f>
        <v>65</v>
      </c>
    </row>
    <row r="2189" customFormat="false" ht="15" hidden="false" customHeight="false" outlineLevel="0" collapsed="false">
      <c r="A2189" s="39" t="s">
        <v>2513</v>
      </c>
      <c r="B2189" s="44" t="n">
        <v>46217</v>
      </c>
      <c r="C2189" s="39" t="s">
        <v>146</v>
      </c>
      <c r="D2189" s="39" t="s">
        <v>138</v>
      </c>
      <c r="E2189" s="39" t="n">
        <v>25</v>
      </c>
      <c r="F2189" s="39" t="str">
        <f aca="false">IF(COUNTIF(medicine_master!$A$2:$A$26,C2189)&gt;0,"Valid","Invalid")</f>
        <v>Valid</v>
      </c>
      <c r="G2189" s="39" t="str">
        <f aca="false">IFERROR(INDEX(medicine_master!$B$2:$B$26,MATCH($C2189,medicine_master!$A$2:$A$26,0)),"Not found")</f>
        <v>Diclofenac Gel</v>
      </c>
      <c r="H2189" s="39" t="str">
        <f aca="false">IFERROR(INDEX(medicine_master!$C$2:$C$26,MATCH($C2189,medicine_master!$A$2:$A$26,0)),"Not found")</f>
        <v>Pain Relief</v>
      </c>
      <c r="I2189" s="39" t="n">
        <f aca="false">YEAR(B2189)</f>
        <v>2026</v>
      </c>
      <c r="J2189" s="39" t="n">
        <f aca="false">MONTH(B2189)</f>
        <v>7</v>
      </c>
      <c r="K2189" s="39" t="str">
        <f aca="false">TEXT(B2189,"mmm")</f>
        <v>Jul</v>
      </c>
      <c r="L2189" s="45" t="n">
        <f aca="false">IFERROR(INDEX(medicine_master!$I$2:$I$26,MATCH($C2189,medicine_master!$A$2:$A$26,0)),0)</f>
        <v>55</v>
      </c>
      <c r="M2189" s="45" t="n">
        <f aca="false">IFERROR(INDEX(medicine_master!$G$2:$G$26,MATCH($C2189,medicine_master!$A$2:$A$26,0)),0)</f>
        <v>38</v>
      </c>
      <c r="N2189" s="45" t="n">
        <f aca="false">IF(D2189="Sale",E2189*L2189,0)</f>
        <v>0</v>
      </c>
      <c r="O2189" s="45" t="n">
        <f aca="false">IF(D2189="Sale",E2189*M2189,0)</f>
        <v>0</v>
      </c>
      <c r="P2189" s="45" t="n">
        <f aca="false">N2189-O2189</f>
        <v>0</v>
      </c>
      <c r="Q2189" s="45" t="n">
        <f aca="false">IF(D2189="Purchase",E2189*M2189,0)</f>
        <v>950</v>
      </c>
    </row>
    <row r="2190" customFormat="false" ht="15" hidden="false" customHeight="false" outlineLevel="0" collapsed="false">
      <c r="A2190" s="39" t="s">
        <v>2514</v>
      </c>
      <c r="B2190" s="44" t="n">
        <v>46076</v>
      </c>
      <c r="C2190" s="39" t="s">
        <v>157</v>
      </c>
      <c r="D2190" s="39" t="s">
        <v>137</v>
      </c>
      <c r="E2190" s="39" t="n">
        <v>40</v>
      </c>
      <c r="F2190" s="39" t="str">
        <f aca="false">IF(COUNTIF(medicine_master!$A$2:$A$26,C2190)&gt;0,"Valid","Invalid")</f>
        <v>Valid</v>
      </c>
      <c r="G2190" s="39" t="str">
        <f aca="false">IFERROR(INDEX(medicine_master!$B$2:$B$26,MATCH($C2190,medicine_master!$A$2:$A$26,0)),"Not found")</f>
        <v>Multivitamin Tablets</v>
      </c>
      <c r="H2190" s="39" t="str">
        <f aca="false">IFERROR(INDEX(medicine_master!$C$2:$C$26,MATCH($C2190,medicine_master!$A$2:$A$26,0)),"Not found")</f>
        <v>Vitamin</v>
      </c>
      <c r="I2190" s="39" t="n">
        <f aca="false">YEAR(B2190)</f>
        <v>2026</v>
      </c>
      <c r="J2190" s="39" t="n">
        <f aca="false">MONTH(B2190)</f>
        <v>2</v>
      </c>
      <c r="K2190" s="39" t="str">
        <f aca="false">TEXT(B2190,"mmm")</f>
        <v>Feb</v>
      </c>
      <c r="L2190" s="45" t="n">
        <f aca="false">IFERROR(INDEX(medicine_master!$I$2:$I$26,MATCH($C2190,medicine_master!$A$2:$A$26,0)),0)</f>
        <v>105</v>
      </c>
      <c r="M2190" s="45" t="n">
        <f aca="false">IFERROR(INDEX(medicine_master!$G$2:$G$26,MATCH($C2190,medicine_master!$A$2:$A$26,0)),0)</f>
        <v>72</v>
      </c>
      <c r="N2190" s="45" t="n">
        <f aca="false">IF(D2190="Sale",E2190*L2190,0)</f>
        <v>4200</v>
      </c>
      <c r="O2190" s="45" t="n">
        <f aca="false">IF(D2190="Sale",E2190*M2190,0)</f>
        <v>2880</v>
      </c>
      <c r="P2190" s="45" t="n">
        <f aca="false">N2190-O2190</f>
        <v>1320</v>
      </c>
      <c r="Q2190" s="45" t="n">
        <f aca="false">IF(D2190="Purchase",E2190*M2190,0)</f>
        <v>0</v>
      </c>
    </row>
    <row r="2191" customFormat="false" ht="15" hidden="false" customHeight="false" outlineLevel="0" collapsed="false">
      <c r="A2191" s="39" t="s">
        <v>2515</v>
      </c>
      <c r="B2191" s="44" t="n">
        <v>46280</v>
      </c>
      <c r="C2191" s="39" t="s">
        <v>160</v>
      </c>
      <c r="D2191" s="39" t="s">
        <v>137</v>
      </c>
      <c r="E2191" s="39" t="n">
        <v>15</v>
      </c>
      <c r="F2191" s="39" t="str">
        <f aca="false">IF(COUNTIF(medicine_master!$A$2:$A$26,C2191)&gt;0,"Valid","Invalid")</f>
        <v>Valid</v>
      </c>
      <c r="G2191" s="39" t="str">
        <f aca="false">IFERROR(INDEX(medicine_master!$B$2:$B$26,MATCH($C2191,medicine_master!$A$2:$A$26,0)),"Not found")</f>
        <v>Calamine Lotion</v>
      </c>
      <c r="H2191" s="39" t="str">
        <f aca="false">IFERROR(INDEX(medicine_master!$C$2:$C$26,MATCH($C2191,medicine_master!$A$2:$A$26,0)),"Not found")</f>
        <v>Dermatology</v>
      </c>
      <c r="I2191" s="39" t="n">
        <f aca="false">YEAR(B2191)</f>
        <v>2026</v>
      </c>
      <c r="J2191" s="39" t="n">
        <f aca="false">MONTH(B2191)</f>
        <v>9</v>
      </c>
      <c r="K2191" s="39" t="str">
        <f aca="false">TEXT(B2191,"mmm")</f>
        <v>Sep</v>
      </c>
      <c r="L2191" s="45" t="n">
        <f aca="false">IFERROR(INDEX(medicine_master!$I$2:$I$26,MATCH($C2191,medicine_master!$A$2:$A$26,0)),0)</f>
        <v>60</v>
      </c>
      <c r="M2191" s="45" t="n">
        <f aca="false">IFERROR(INDEX(medicine_master!$G$2:$G$26,MATCH($C2191,medicine_master!$A$2:$A$26,0)),0)</f>
        <v>42</v>
      </c>
      <c r="N2191" s="45" t="n">
        <f aca="false">IF(D2191="Sale",E2191*L2191,0)</f>
        <v>900</v>
      </c>
      <c r="O2191" s="45" t="n">
        <f aca="false">IF(D2191="Sale",E2191*M2191,0)</f>
        <v>630</v>
      </c>
      <c r="P2191" s="45" t="n">
        <f aca="false">N2191-O2191</f>
        <v>270</v>
      </c>
      <c r="Q2191" s="45" t="n">
        <f aca="false">IF(D2191="Purchase",E2191*M2191,0)</f>
        <v>0</v>
      </c>
    </row>
    <row r="2192" customFormat="false" ht="15" hidden="false" customHeight="false" outlineLevel="0" collapsed="false">
      <c r="A2192" s="39" t="s">
        <v>2516</v>
      </c>
      <c r="B2192" s="44" t="n">
        <v>46102</v>
      </c>
      <c r="C2192" s="39" t="s">
        <v>495</v>
      </c>
      <c r="D2192" s="39" t="s">
        <v>138</v>
      </c>
      <c r="E2192" s="39" t="n">
        <v>20</v>
      </c>
      <c r="F2192" s="39" t="str">
        <f aca="false">IF(COUNTIF(medicine_master!$A$2:$A$26,C2192)&gt;0,"Valid","Invalid")</f>
        <v>Valid</v>
      </c>
      <c r="G2192" s="39" t="str">
        <f aca="false">IFERROR(INDEX(medicine_master!$B$2:$B$26,MATCH($C2192,medicine_master!$A$2:$A$26,0)),"Not found")</f>
        <v>Metformin 500mg</v>
      </c>
      <c r="H2192" s="39" t="str">
        <f aca="false">IFERROR(INDEX(medicine_master!$C$2:$C$26,MATCH($C2192,medicine_master!$A$2:$A$26,0)),"Not found")</f>
        <v>Diabetes</v>
      </c>
      <c r="I2192" s="39" t="n">
        <f aca="false">YEAR(B2192)</f>
        <v>2026</v>
      </c>
      <c r="J2192" s="39" t="n">
        <f aca="false">MONTH(B2192)</f>
        <v>3</v>
      </c>
      <c r="K2192" s="39" t="str">
        <f aca="false">TEXT(B2192,"mmm")</f>
        <v>Mar</v>
      </c>
      <c r="L2192" s="45" t="n">
        <f aca="false">IFERROR(INDEX(medicine_master!$I$2:$I$26,MATCH($C2192,medicine_master!$A$2:$A$26,0)),0)</f>
        <v>24</v>
      </c>
      <c r="M2192" s="45" t="n">
        <f aca="false">IFERROR(INDEX(medicine_master!$G$2:$G$26,MATCH($C2192,medicine_master!$A$2:$A$26,0)),0)</f>
        <v>16</v>
      </c>
      <c r="N2192" s="45" t="n">
        <f aca="false">IF(D2192="Sale",E2192*L2192,0)</f>
        <v>0</v>
      </c>
      <c r="O2192" s="45" t="n">
        <f aca="false">IF(D2192="Sale",E2192*M2192,0)</f>
        <v>0</v>
      </c>
      <c r="P2192" s="45" t="n">
        <f aca="false">N2192-O2192</f>
        <v>0</v>
      </c>
      <c r="Q2192" s="45" t="n">
        <f aca="false">IF(D2192="Purchase",E2192*M2192,0)</f>
        <v>320</v>
      </c>
    </row>
    <row r="2193" customFormat="false" ht="15" hidden="false" customHeight="false" outlineLevel="0" collapsed="false">
      <c r="A2193" s="39" t="s">
        <v>2517</v>
      </c>
      <c r="B2193" s="44" t="n">
        <v>46309</v>
      </c>
      <c r="C2193" s="39" t="s">
        <v>177</v>
      </c>
      <c r="D2193" s="39" t="s">
        <v>137</v>
      </c>
      <c r="E2193" s="39" t="n">
        <v>20</v>
      </c>
      <c r="F2193" s="39" t="str">
        <f aca="false">IF(COUNTIF(medicine_master!$A$2:$A$26,C2193)&gt;0,"Valid","Invalid")</f>
        <v>Valid</v>
      </c>
      <c r="G2193" s="39" t="str">
        <f aca="false">IFERROR(INDEX(medicine_master!$B$2:$B$26,MATCH($C2193,medicine_master!$A$2:$A$26,0)),"Not found")</f>
        <v>Bandage Roll</v>
      </c>
      <c r="H2193" s="39" t="str">
        <f aca="false">IFERROR(INDEX(medicine_master!$C$2:$C$26,MATCH($C2193,medicine_master!$A$2:$A$26,0)),"Not found")</f>
        <v>First Aid</v>
      </c>
      <c r="I2193" s="39" t="n">
        <f aca="false">YEAR(B2193)</f>
        <v>2026</v>
      </c>
      <c r="J2193" s="39" t="n">
        <f aca="false">MONTH(B2193)</f>
        <v>10</v>
      </c>
      <c r="K2193" s="39" t="str">
        <f aca="false">TEXT(B2193,"mmm")</f>
        <v>Oct</v>
      </c>
      <c r="L2193" s="45" t="n">
        <f aca="false">IFERROR(INDEX(medicine_master!$I$2:$I$26,MATCH($C2193,medicine_master!$A$2:$A$26,0)),0)</f>
        <v>25</v>
      </c>
      <c r="M2193" s="45" t="n">
        <f aca="false">IFERROR(INDEX(medicine_master!$G$2:$G$26,MATCH($C2193,medicine_master!$A$2:$A$26,0)),0)</f>
        <v>15</v>
      </c>
      <c r="N2193" s="45" t="n">
        <f aca="false">IF(D2193="Sale",E2193*L2193,0)</f>
        <v>500</v>
      </c>
      <c r="O2193" s="45" t="n">
        <f aca="false">IF(D2193="Sale",E2193*M2193,0)</f>
        <v>300</v>
      </c>
      <c r="P2193" s="45" t="n">
        <f aca="false">N2193-O2193</f>
        <v>200</v>
      </c>
      <c r="Q2193" s="45" t="n">
        <f aca="false">IF(D2193="Purchase",E2193*M2193,0)</f>
        <v>0</v>
      </c>
    </row>
    <row r="2194" customFormat="false" ht="15" hidden="false" customHeight="false" outlineLevel="0" collapsed="false">
      <c r="A2194" s="39" t="s">
        <v>2518</v>
      </c>
      <c r="B2194" s="44" t="n">
        <v>46129</v>
      </c>
      <c r="C2194" s="39" t="s">
        <v>177</v>
      </c>
      <c r="D2194" s="39" t="s">
        <v>138</v>
      </c>
      <c r="E2194" s="39" t="n">
        <v>40</v>
      </c>
      <c r="F2194" s="39" t="str">
        <f aca="false">IF(COUNTIF(medicine_master!$A$2:$A$26,C2194)&gt;0,"Valid","Invalid")</f>
        <v>Valid</v>
      </c>
      <c r="G2194" s="39" t="str">
        <f aca="false">IFERROR(INDEX(medicine_master!$B$2:$B$26,MATCH($C2194,medicine_master!$A$2:$A$26,0)),"Not found")</f>
        <v>Bandage Roll</v>
      </c>
      <c r="H2194" s="39" t="str">
        <f aca="false">IFERROR(INDEX(medicine_master!$C$2:$C$26,MATCH($C2194,medicine_master!$A$2:$A$26,0)),"Not found")</f>
        <v>First Aid</v>
      </c>
      <c r="I2194" s="39" t="n">
        <f aca="false">YEAR(B2194)</f>
        <v>2026</v>
      </c>
      <c r="J2194" s="39" t="n">
        <f aca="false">MONTH(B2194)</f>
        <v>4</v>
      </c>
      <c r="K2194" s="39" t="str">
        <f aca="false">TEXT(B2194,"mmm")</f>
        <v>Apr</v>
      </c>
      <c r="L2194" s="45" t="n">
        <f aca="false">IFERROR(INDEX(medicine_master!$I$2:$I$26,MATCH($C2194,medicine_master!$A$2:$A$26,0)),0)</f>
        <v>25</v>
      </c>
      <c r="M2194" s="45" t="n">
        <f aca="false">IFERROR(INDEX(medicine_master!$G$2:$G$26,MATCH($C2194,medicine_master!$A$2:$A$26,0)),0)</f>
        <v>15</v>
      </c>
      <c r="N2194" s="45" t="n">
        <f aca="false">IF(D2194="Sale",E2194*L2194,0)</f>
        <v>0</v>
      </c>
      <c r="O2194" s="45" t="n">
        <f aca="false">IF(D2194="Sale",E2194*M2194,0)</f>
        <v>0</v>
      </c>
      <c r="P2194" s="45" t="n">
        <f aca="false">N2194-O2194</f>
        <v>0</v>
      </c>
      <c r="Q2194" s="45" t="n">
        <f aca="false">IF(D2194="Purchase",E2194*M2194,0)</f>
        <v>600</v>
      </c>
    </row>
    <row r="2195" customFormat="false" ht="15" hidden="false" customHeight="false" outlineLevel="0" collapsed="false">
      <c r="A2195" s="39" t="s">
        <v>2519</v>
      </c>
      <c r="B2195" s="44" t="n">
        <v>46156</v>
      </c>
      <c r="C2195" s="39" t="s">
        <v>495</v>
      </c>
      <c r="D2195" s="39" t="s">
        <v>138</v>
      </c>
      <c r="E2195" s="39" t="n">
        <v>5</v>
      </c>
      <c r="F2195" s="39" t="str">
        <f aca="false">IF(COUNTIF(medicine_master!$A$2:$A$26,C2195)&gt;0,"Valid","Invalid")</f>
        <v>Valid</v>
      </c>
      <c r="G2195" s="39" t="str">
        <f aca="false">IFERROR(INDEX(medicine_master!$B$2:$B$26,MATCH($C2195,medicine_master!$A$2:$A$26,0)),"Not found")</f>
        <v>Metformin 500mg</v>
      </c>
      <c r="H2195" s="39" t="str">
        <f aca="false">IFERROR(INDEX(medicine_master!$C$2:$C$26,MATCH($C2195,medicine_master!$A$2:$A$26,0)),"Not found")</f>
        <v>Diabetes</v>
      </c>
      <c r="I2195" s="39" t="n">
        <f aca="false">YEAR(B2195)</f>
        <v>2026</v>
      </c>
      <c r="J2195" s="39" t="n">
        <f aca="false">MONTH(B2195)</f>
        <v>5</v>
      </c>
      <c r="K2195" s="39" t="str">
        <f aca="false">TEXT(B2195,"mmm")</f>
        <v>May</v>
      </c>
      <c r="L2195" s="45" t="n">
        <f aca="false">IFERROR(INDEX(medicine_master!$I$2:$I$26,MATCH($C2195,medicine_master!$A$2:$A$26,0)),0)</f>
        <v>24</v>
      </c>
      <c r="M2195" s="45" t="n">
        <f aca="false">IFERROR(INDEX(medicine_master!$G$2:$G$26,MATCH($C2195,medicine_master!$A$2:$A$26,0)),0)</f>
        <v>16</v>
      </c>
      <c r="N2195" s="45" t="n">
        <f aca="false">IF(D2195="Sale",E2195*L2195,0)</f>
        <v>0</v>
      </c>
      <c r="O2195" s="45" t="n">
        <f aca="false">IF(D2195="Sale",E2195*M2195,0)</f>
        <v>0</v>
      </c>
      <c r="P2195" s="45" t="n">
        <f aca="false">N2195-O2195</f>
        <v>0</v>
      </c>
      <c r="Q2195" s="45" t="n">
        <f aca="false">IF(D2195="Purchase",E2195*M2195,0)</f>
        <v>80</v>
      </c>
    </row>
    <row r="2196" customFormat="false" ht="15" hidden="false" customHeight="false" outlineLevel="0" collapsed="false">
      <c r="A2196" s="39" t="s">
        <v>2520</v>
      </c>
      <c r="B2196" s="44" t="n">
        <v>46117</v>
      </c>
      <c r="C2196" s="39" t="s">
        <v>144</v>
      </c>
      <c r="D2196" s="39" t="s">
        <v>137</v>
      </c>
      <c r="E2196" s="39" t="n">
        <v>20</v>
      </c>
      <c r="F2196" s="39" t="str">
        <f aca="false">IF(COUNTIF(medicine_master!$A$2:$A$26,C2196)&gt;0,"Valid","Invalid")</f>
        <v>Valid</v>
      </c>
      <c r="G2196" s="39" t="str">
        <f aca="false">IFERROR(INDEX(medicine_master!$B$2:$B$26,MATCH($C2196,medicine_master!$A$2:$A$26,0)),"Not found")</f>
        <v>Glimepiride 2mg</v>
      </c>
      <c r="H2196" s="39" t="str">
        <f aca="false">IFERROR(INDEX(medicine_master!$C$2:$C$26,MATCH($C2196,medicine_master!$A$2:$A$26,0)),"Not found")</f>
        <v>Diabetes</v>
      </c>
      <c r="I2196" s="39" t="n">
        <f aca="false">YEAR(B2196)</f>
        <v>2026</v>
      </c>
      <c r="J2196" s="39" t="n">
        <f aca="false">MONTH(B2196)</f>
        <v>4</v>
      </c>
      <c r="K2196" s="39" t="str">
        <f aca="false">TEXT(B2196,"mmm")</f>
        <v>Apr</v>
      </c>
      <c r="L2196" s="45" t="n">
        <f aca="false">IFERROR(INDEX(medicine_master!$I$2:$I$26,MATCH($C2196,medicine_master!$A$2:$A$26,0)),0)</f>
        <v>52</v>
      </c>
      <c r="M2196" s="45" t="n">
        <f aca="false">IFERROR(INDEX(medicine_master!$G$2:$G$26,MATCH($C2196,medicine_master!$A$2:$A$26,0)),0)</f>
        <v>38</v>
      </c>
      <c r="N2196" s="45" t="n">
        <f aca="false">IF(D2196="Sale",E2196*L2196,0)</f>
        <v>1040</v>
      </c>
      <c r="O2196" s="45" t="n">
        <f aca="false">IF(D2196="Sale",E2196*M2196,0)</f>
        <v>760</v>
      </c>
      <c r="P2196" s="45" t="n">
        <f aca="false">N2196-O2196</f>
        <v>280</v>
      </c>
      <c r="Q2196" s="45" t="n">
        <f aca="false">IF(D2196="Purchase",E2196*M2196,0)</f>
        <v>0</v>
      </c>
    </row>
    <row r="2197" customFormat="false" ht="15" hidden="false" customHeight="false" outlineLevel="0" collapsed="false">
      <c r="A2197" s="39" t="s">
        <v>2521</v>
      </c>
      <c r="B2197" s="44" t="n">
        <v>46257</v>
      </c>
      <c r="C2197" s="39" t="s">
        <v>149</v>
      </c>
      <c r="D2197" s="39" t="s">
        <v>137</v>
      </c>
      <c r="E2197" s="39" t="n">
        <v>20</v>
      </c>
      <c r="F2197" s="39" t="str">
        <f aca="false">IF(COUNTIF(medicine_master!$A$2:$A$26,C2197)&gt;0,"Valid","Invalid")</f>
        <v>Valid</v>
      </c>
      <c r="G2197" s="39" t="str">
        <f aca="false">IFERROR(INDEX(medicine_master!$B$2:$B$26,MATCH($C2197,medicine_master!$A$2:$A$26,0)),"Not found")</f>
        <v>Azithromycin 500mg</v>
      </c>
      <c r="H2197" s="39" t="str">
        <f aca="false">IFERROR(INDEX(medicine_master!$C$2:$C$26,MATCH($C2197,medicine_master!$A$2:$A$26,0)),"Not found")</f>
        <v>Antibiotic</v>
      </c>
      <c r="I2197" s="39" t="n">
        <f aca="false">YEAR(B2197)</f>
        <v>2026</v>
      </c>
      <c r="J2197" s="39" t="n">
        <f aca="false">MONTH(B2197)</f>
        <v>8</v>
      </c>
      <c r="K2197" s="39" t="str">
        <f aca="false">TEXT(B2197,"mmm")</f>
        <v>Aug</v>
      </c>
      <c r="L2197" s="45" t="n">
        <f aca="false">IFERROR(INDEX(medicine_master!$I$2:$I$26,MATCH($C2197,medicine_master!$A$2:$A$26,0)),0)</f>
        <v>50</v>
      </c>
      <c r="M2197" s="45" t="n">
        <f aca="false">IFERROR(INDEX(medicine_master!$G$2:$G$26,MATCH($C2197,medicine_master!$A$2:$A$26,0)),0)</f>
        <v>35</v>
      </c>
      <c r="N2197" s="45" t="n">
        <f aca="false">IF(D2197="Sale",E2197*L2197,0)</f>
        <v>1000</v>
      </c>
      <c r="O2197" s="45" t="n">
        <f aca="false">IF(D2197="Sale",E2197*M2197,0)</f>
        <v>700</v>
      </c>
      <c r="P2197" s="45" t="n">
        <f aca="false">N2197-O2197</f>
        <v>300</v>
      </c>
      <c r="Q2197" s="45" t="n">
        <f aca="false">IF(D2197="Purchase",E2197*M2197,0)</f>
        <v>0</v>
      </c>
    </row>
    <row r="2198" customFormat="false" ht="15" hidden="false" customHeight="false" outlineLevel="0" collapsed="false">
      <c r="A2198" s="39" t="s">
        <v>2522</v>
      </c>
      <c r="B2198" s="44" t="n">
        <v>46238</v>
      </c>
      <c r="C2198" s="39" t="s">
        <v>148</v>
      </c>
      <c r="D2198" s="39" t="s">
        <v>138</v>
      </c>
      <c r="E2198" s="39" t="n">
        <v>10</v>
      </c>
      <c r="F2198" s="39" t="str">
        <f aca="false">IF(COUNTIF(medicine_master!$A$2:$A$26,C2198)&gt;0,"Valid","Invalid")</f>
        <v>Valid</v>
      </c>
      <c r="G2198" s="39" t="str">
        <f aca="false">IFERROR(INDEX(medicine_master!$B$2:$B$26,MATCH($C2198,medicine_master!$A$2:$A$26,0)),"Not found")</f>
        <v>Dextromethorphan Syrup</v>
      </c>
      <c r="H2198" s="39" t="str">
        <f aca="false">IFERROR(INDEX(medicine_master!$C$2:$C$26,MATCH($C2198,medicine_master!$A$2:$A$26,0)),"Not found")</f>
        <v>Cold &amp; Cough</v>
      </c>
      <c r="I2198" s="39" t="n">
        <f aca="false">YEAR(B2198)</f>
        <v>2026</v>
      </c>
      <c r="J2198" s="39" t="n">
        <f aca="false">MONTH(B2198)</f>
        <v>8</v>
      </c>
      <c r="K2198" s="39" t="str">
        <f aca="false">TEXT(B2198,"mmm")</f>
        <v>Aug</v>
      </c>
      <c r="L2198" s="45" t="n">
        <f aca="false">IFERROR(INDEX(medicine_master!$I$2:$I$26,MATCH($C2198,medicine_master!$A$2:$A$26,0)),0)</f>
        <v>80</v>
      </c>
      <c r="M2198" s="45" t="n">
        <f aca="false">IFERROR(INDEX(medicine_master!$G$2:$G$26,MATCH($C2198,medicine_master!$A$2:$A$26,0)),0)</f>
        <v>58</v>
      </c>
      <c r="N2198" s="45" t="n">
        <f aca="false">IF(D2198="Sale",E2198*L2198,0)</f>
        <v>0</v>
      </c>
      <c r="O2198" s="45" t="n">
        <f aca="false">IF(D2198="Sale",E2198*M2198,0)</f>
        <v>0</v>
      </c>
      <c r="P2198" s="45" t="n">
        <f aca="false">N2198-O2198</f>
        <v>0</v>
      </c>
      <c r="Q2198" s="45" t="n">
        <f aca="false">IF(D2198="Purchase",E2198*M2198,0)</f>
        <v>580</v>
      </c>
    </row>
    <row r="2199" customFormat="false" ht="15" hidden="false" customHeight="false" outlineLevel="0" collapsed="false">
      <c r="A2199" s="39" t="s">
        <v>2523</v>
      </c>
      <c r="B2199" s="44" t="n">
        <v>46333</v>
      </c>
      <c r="C2199" s="39" t="s">
        <v>167</v>
      </c>
      <c r="D2199" s="39" t="s">
        <v>138</v>
      </c>
      <c r="E2199" s="39" t="n">
        <v>30</v>
      </c>
      <c r="F2199" s="39" t="str">
        <f aca="false">IF(COUNTIF(medicine_master!$A$2:$A$26,C2199)&gt;0,"Valid","Invalid")</f>
        <v>Valid</v>
      </c>
      <c r="G2199" s="39" t="str">
        <f aca="false">IFERROR(INDEX(medicine_master!$B$2:$B$26,MATCH($C2199,medicine_master!$A$2:$A$26,0)),"Not found")</f>
        <v>Amlodipine 5mg</v>
      </c>
      <c r="H2199" s="39" t="str">
        <f aca="false">IFERROR(INDEX(medicine_master!$C$2:$C$26,MATCH($C2199,medicine_master!$A$2:$A$26,0)),"Not found")</f>
        <v>Cardiac</v>
      </c>
      <c r="I2199" s="39" t="n">
        <f aca="false">YEAR(B2199)</f>
        <v>2026</v>
      </c>
      <c r="J2199" s="39" t="n">
        <f aca="false">MONTH(B2199)</f>
        <v>11</v>
      </c>
      <c r="K2199" s="39" t="str">
        <f aca="false">TEXT(B2199,"mmm")</f>
        <v>Nov</v>
      </c>
      <c r="L2199" s="45" t="n">
        <f aca="false">IFERROR(INDEX(medicine_master!$I$2:$I$26,MATCH($C2199,medicine_master!$A$2:$A$26,0)),0)</f>
        <v>19</v>
      </c>
      <c r="M2199" s="45" t="n">
        <f aca="false">IFERROR(INDEX(medicine_master!$G$2:$G$26,MATCH($C2199,medicine_master!$A$2:$A$26,0)),0)</f>
        <v>13</v>
      </c>
      <c r="N2199" s="45" t="n">
        <f aca="false">IF(D2199="Sale",E2199*L2199,0)</f>
        <v>0</v>
      </c>
      <c r="O2199" s="45" t="n">
        <f aca="false">IF(D2199="Sale",E2199*M2199,0)</f>
        <v>0</v>
      </c>
      <c r="P2199" s="45" t="n">
        <f aca="false">N2199-O2199</f>
        <v>0</v>
      </c>
      <c r="Q2199" s="45" t="n">
        <f aca="false">IF(D2199="Purchase",E2199*M2199,0)</f>
        <v>390</v>
      </c>
    </row>
    <row r="2200" customFormat="false" ht="15" hidden="false" customHeight="false" outlineLevel="0" collapsed="false">
      <c r="A2200" s="39" t="s">
        <v>2524</v>
      </c>
      <c r="B2200" s="44" t="n">
        <v>46043</v>
      </c>
      <c r="C2200" s="39" t="s">
        <v>146</v>
      </c>
      <c r="D2200" s="39" t="s">
        <v>137</v>
      </c>
      <c r="E2200" s="39" t="n">
        <v>15</v>
      </c>
      <c r="F2200" s="39" t="str">
        <f aca="false">IF(COUNTIF(medicine_master!$A$2:$A$26,C2200)&gt;0,"Valid","Invalid")</f>
        <v>Valid</v>
      </c>
      <c r="G2200" s="39" t="str">
        <f aca="false">IFERROR(INDEX(medicine_master!$B$2:$B$26,MATCH($C2200,medicine_master!$A$2:$A$26,0)),"Not found")</f>
        <v>Diclofenac Gel</v>
      </c>
      <c r="H2200" s="39" t="str">
        <f aca="false">IFERROR(INDEX(medicine_master!$C$2:$C$26,MATCH($C2200,medicine_master!$A$2:$A$26,0)),"Not found")</f>
        <v>Pain Relief</v>
      </c>
      <c r="I2200" s="39" t="n">
        <f aca="false">YEAR(B2200)</f>
        <v>2026</v>
      </c>
      <c r="J2200" s="39" t="n">
        <f aca="false">MONTH(B2200)</f>
        <v>1</v>
      </c>
      <c r="K2200" s="39" t="str">
        <f aca="false">TEXT(B2200,"mmm")</f>
        <v>Jan</v>
      </c>
      <c r="L2200" s="45" t="n">
        <f aca="false">IFERROR(INDEX(medicine_master!$I$2:$I$26,MATCH($C2200,medicine_master!$A$2:$A$26,0)),0)</f>
        <v>55</v>
      </c>
      <c r="M2200" s="45" t="n">
        <f aca="false">IFERROR(INDEX(medicine_master!$G$2:$G$26,MATCH($C2200,medicine_master!$A$2:$A$26,0)),0)</f>
        <v>38</v>
      </c>
      <c r="N2200" s="45" t="n">
        <f aca="false">IF(D2200="Sale",E2200*L2200,0)</f>
        <v>825</v>
      </c>
      <c r="O2200" s="45" t="n">
        <f aca="false">IF(D2200="Sale",E2200*M2200,0)</f>
        <v>570</v>
      </c>
      <c r="P2200" s="45" t="n">
        <f aca="false">N2200-O2200</f>
        <v>255</v>
      </c>
      <c r="Q2200" s="45" t="n">
        <f aca="false">IF(D2200="Purchase",E2200*M2200,0)</f>
        <v>0</v>
      </c>
    </row>
    <row r="2201" customFormat="false" ht="15" hidden="false" customHeight="false" outlineLevel="0" collapsed="false">
      <c r="A2201" s="39" t="s">
        <v>2525</v>
      </c>
      <c r="B2201" s="44" t="n">
        <v>46135</v>
      </c>
      <c r="C2201" s="39" t="s">
        <v>144</v>
      </c>
      <c r="D2201" s="39" t="s">
        <v>138</v>
      </c>
      <c r="E2201" s="39" t="n">
        <v>25</v>
      </c>
      <c r="F2201" s="39" t="str">
        <f aca="false">IF(COUNTIF(medicine_master!$A$2:$A$26,C2201)&gt;0,"Valid","Invalid")</f>
        <v>Valid</v>
      </c>
      <c r="G2201" s="39" t="str">
        <f aca="false">IFERROR(INDEX(medicine_master!$B$2:$B$26,MATCH($C2201,medicine_master!$A$2:$A$26,0)),"Not found")</f>
        <v>Glimepiride 2mg</v>
      </c>
      <c r="H2201" s="39" t="str">
        <f aca="false">IFERROR(INDEX(medicine_master!$C$2:$C$26,MATCH($C2201,medicine_master!$A$2:$A$26,0)),"Not found")</f>
        <v>Diabetes</v>
      </c>
      <c r="I2201" s="39" t="n">
        <f aca="false">YEAR(B2201)</f>
        <v>2026</v>
      </c>
      <c r="J2201" s="39" t="n">
        <f aca="false">MONTH(B2201)</f>
        <v>4</v>
      </c>
      <c r="K2201" s="39" t="str">
        <f aca="false">TEXT(B2201,"mmm")</f>
        <v>Apr</v>
      </c>
      <c r="L2201" s="45" t="n">
        <f aca="false">IFERROR(INDEX(medicine_master!$I$2:$I$26,MATCH($C2201,medicine_master!$A$2:$A$26,0)),0)</f>
        <v>52</v>
      </c>
      <c r="M2201" s="45" t="n">
        <f aca="false">IFERROR(INDEX(medicine_master!$G$2:$G$26,MATCH($C2201,medicine_master!$A$2:$A$26,0)),0)</f>
        <v>38</v>
      </c>
      <c r="N2201" s="45" t="n">
        <f aca="false">IF(D2201="Sale",E2201*L2201,0)</f>
        <v>0</v>
      </c>
      <c r="O2201" s="45" t="n">
        <f aca="false">IF(D2201="Sale",E2201*M2201,0)</f>
        <v>0</v>
      </c>
      <c r="P2201" s="45" t="n">
        <f aca="false">N2201-O2201</f>
        <v>0</v>
      </c>
      <c r="Q2201" s="45" t="n">
        <f aca="false">IF(D2201="Purchase",E2201*M2201,0)</f>
        <v>950</v>
      </c>
    </row>
    <row r="2202" customFormat="false" ht="15" hidden="false" customHeight="false" outlineLevel="0" collapsed="false">
      <c r="A2202" s="39" t="s">
        <v>2526</v>
      </c>
      <c r="B2202" s="44" t="n">
        <v>46347</v>
      </c>
      <c r="C2202" s="39" t="s">
        <v>149</v>
      </c>
      <c r="D2202" s="39" t="s">
        <v>137</v>
      </c>
      <c r="E2202" s="39" t="n">
        <v>20</v>
      </c>
      <c r="F2202" s="39" t="str">
        <f aca="false">IF(COUNTIF(medicine_master!$A$2:$A$26,C2202)&gt;0,"Valid","Invalid")</f>
        <v>Valid</v>
      </c>
      <c r="G2202" s="39" t="str">
        <f aca="false">IFERROR(INDEX(medicine_master!$B$2:$B$26,MATCH($C2202,medicine_master!$A$2:$A$26,0)),"Not found")</f>
        <v>Azithromycin 500mg</v>
      </c>
      <c r="H2202" s="39" t="str">
        <f aca="false">IFERROR(INDEX(medicine_master!$C$2:$C$26,MATCH($C2202,medicine_master!$A$2:$A$26,0)),"Not found")</f>
        <v>Antibiotic</v>
      </c>
      <c r="I2202" s="39" t="n">
        <f aca="false">YEAR(B2202)</f>
        <v>2026</v>
      </c>
      <c r="J2202" s="39" t="n">
        <f aca="false">MONTH(B2202)</f>
        <v>11</v>
      </c>
      <c r="K2202" s="39" t="str">
        <f aca="false">TEXT(B2202,"mmm")</f>
        <v>Nov</v>
      </c>
      <c r="L2202" s="45" t="n">
        <f aca="false">IFERROR(INDEX(medicine_master!$I$2:$I$26,MATCH($C2202,medicine_master!$A$2:$A$26,0)),0)</f>
        <v>50</v>
      </c>
      <c r="M2202" s="45" t="n">
        <f aca="false">IFERROR(INDEX(medicine_master!$G$2:$G$26,MATCH($C2202,medicine_master!$A$2:$A$26,0)),0)</f>
        <v>35</v>
      </c>
      <c r="N2202" s="45" t="n">
        <f aca="false">IF(D2202="Sale",E2202*L2202,0)</f>
        <v>1000</v>
      </c>
      <c r="O2202" s="45" t="n">
        <f aca="false">IF(D2202="Sale",E2202*M2202,0)</f>
        <v>700</v>
      </c>
      <c r="P2202" s="45" t="n">
        <f aca="false">N2202-O2202</f>
        <v>300</v>
      </c>
      <c r="Q2202" s="45" t="n">
        <f aca="false">IF(D2202="Purchase",E2202*M2202,0)</f>
        <v>0</v>
      </c>
    </row>
    <row r="2203" customFormat="false" ht="15" hidden="false" customHeight="false" outlineLevel="0" collapsed="false">
      <c r="A2203" s="39" t="s">
        <v>2527</v>
      </c>
      <c r="B2203" s="44" t="n">
        <v>46073</v>
      </c>
      <c r="C2203" s="39" t="s">
        <v>390</v>
      </c>
      <c r="D2203" s="39" t="s">
        <v>138</v>
      </c>
      <c r="E2203" s="39" t="n">
        <v>10</v>
      </c>
      <c r="F2203" s="39" t="str">
        <f aca="false">IF(COUNTIF(medicine_master!$A$2:$A$26,C2203)&gt;0,"Valid","Invalid")</f>
        <v>Valid</v>
      </c>
      <c r="G2203" s="39" t="str">
        <f aca="false">IFERROR(INDEX(medicine_master!$B$2:$B$26,MATCH($C2203,medicine_master!$A$2:$A$26,0)),"Not found")</f>
        <v>Montelukast 10mg</v>
      </c>
      <c r="H2203" s="39" t="str">
        <f aca="false">IFERROR(INDEX(medicine_master!$C$2:$C$26,MATCH($C2203,medicine_master!$A$2:$A$26,0)),"Not found")</f>
        <v>Allergy</v>
      </c>
      <c r="I2203" s="39" t="n">
        <f aca="false">YEAR(B2203)</f>
        <v>2026</v>
      </c>
      <c r="J2203" s="39" t="n">
        <f aca="false">MONTH(B2203)</f>
        <v>2</v>
      </c>
      <c r="K2203" s="39" t="str">
        <f aca="false">TEXT(B2203,"mmm")</f>
        <v>Feb</v>
      </c>
      <c r="L2203" s="45" t="n">
        <f aca="false">IFERROR(INDEX(medicine_master!$I$2:$I$26,MATCH($C2203,medicine_master!$A$2:$A$26,0)),0)</f>
        <v>39</v>
      </c>
      <c r="M2203" s="45" t="n">
        <f aca="false">IFERROR(INDEX(medicine_master!$G$2:$G$26,MATCH($C2203,medicine_master!$A$2:$A$26,0)),0)</f>
        <v>27</v>
      </c>
      <c r="N2203" s="45" t="n">
        <f aca="false">IF(D2203="Sale",E2203*L2203,0)</f>
        <v>0</v>
      </c>
      <c r="O2203" s="45" t="n">
        <f aca="false">IF(D2203="Sale",E2203*M2203,0)</f>
        <v>0</v>
      </c>
      <c r="P2203" s="45" t="n">
        <f aca="false">N2203-O2203</f>
        <v>0</v>
      </c>
      <c r="Q2203" s="45" t="n">
        <f aca="false">IF(D2203="Purchase",E2203*M2203,0)</f>
        <v>270</v>
      </c>
    </row>
    <row r="2204" customFormat="false" ht="15" hidden="false" customHeight="false" outlineLevel="0" collapsed="false">
      <c r="A2204" s="39" t="s">
        <v>2528</v>
      </c>
      <c r="B2204" s="44" t="n">
        <v>46096</v>
      </c>
      <c r="C2204" s="39" t="s">
        <v>159</v>
      </c>
      <c r="D2204" s="39" t="s">
        <v>137</v>
      </c>
      <c r="E2204" s="39" t="n">
        <v>30</v>
      </c>
      <c r="F2204" s="39" t="str">
        <f aca="false">IF(COUNTIF(medicine_master!$A$2:$A$26,C2204)&gt;0,"Valid","Invalid")</f>
        <v>Valid</v>
      </c>
      <c r="G2204" s="39" t="str">
        <f aca="false">IFERROR(INDEX(medicine_master!$B$2:$B$26,MATCH($C2204,medicine_master!$A$2:$A$26,0)),"Not found")</f>
        <v>Antiseptic Liquid 100ml</v>
      </c>
      <c r="H2204" s="39" t="str">
        <f aca="false">IFERROR(INDEX(medicine_master!$C$2:$C$26,MATCH($C2204,medicine_master!$A$2:$A$26,0)),"Not found")</f>
        <v>First Aid</v>
      </c>
      <c r="I2204" s="39" t="n">
        <f aca="false">YEAR(B2204)</f>
        <v>2026</v>
      </c>
      <c r="J2204" s="39" t="n">
        <f aca="false">MONTH(B2204)</f>
        <v>3</v>
      </c>
      <c r="K2204" s="39" t="str">
        <f aca="false">TEXT(B2204,"mmm")</f>
        <v>Mar</v>
      </c>
      <c r="L2204" s="45" t="n">
        <f aca="false">IFERROR(INDEX(medicine_master!$I$2:$I$26,MATCH($C2204,medicine_master!$A$2:$A$26,0)),0)</f>
        <v>65</v>
      </c>
      <c r="M2204" s="45" t="n">
        <f aca="false">IFERROR(INDEX(medicine_master!$G$2:$G$26,MATCH($C2204,medicine_master!$A$2:$A$26,0)),0)</f>
        <v>48</v>
      </c>
      <c r="N2204" s="45" t="n">
        <f aca="false">IF(D2204="Sale",E2204*L2204,0)</f>
        <v>1950</v>
      </c>
      <c r="O2204" s="45" t="n">
        <f aca="false">IF(D2204="Sale",E2204*M2204,0)</f>
        <v>1440</v>
      </c>
      <c r="P2204" s="45" t="n">
        <f aca="false">N2204-O2204</f>
        <v>510</v>
      </c>
      <c r="Q2204" s="45" t="n">
        <f aca="false">IF(D2204="Purchase",E2204*M2204,0)</f>
        <v>0</v>
      </c>
    </row>
    <row r="2205" customFormat="false" ht="15" hidden="false" customHeight="false" outlineLevel="0" collapsed="false">
      <c r="A2205" s="39" t="s">
        <v>2529</v>
      </c>
      <c r="B2205" s="44" t="n">
        <v>46151</v>
      </c>
      <c r="C2205" s="39" t="s">
        <v>151</v>
      </c>
      <c r="D2205" s="39" t="s">
        <v>138</v>
      </c>
      <c r="E2205" s="39" t="n">
        <v>20</v>
      </c>
      <c r="F2205" s="39" t="str">
        <f aca="false">IF(COUNTIF(medicine_master!$A$2:$A$26,C2205)&gt;0,"Valid","Invalid")</f>
        <v>Valid</v>
      </c>
      <c r="G2205" s="39" t="str">
        <f aca="false">IFERROR(INDEX(medicine_master!$B$2:$B$26,MATCH($C2205,medicine_master!$A$2:$A$26,0)),"Not found")</f>
        <v>Cetirizine 10mg</v>
      </c>
      <c r="H2205" s="39" t="str">
        <f aca="false">IFERROR(INDEX(medicine_master!$C$2:$C$26,MATCH($C2205,medicine_master!$A$2:$A$26,0)),"Not found")</f>
        <v>Allergy</v>
      </c>
      <c r="I2205" s="39" t="n">
        <f aca="false">YEAR(B2205)</f>
        <v>2026</v>
      </c>
      <c r="J2205" s="39" t="n">
        <f aca="false">MONTH(B2205)</f>
        <v>5</v>
      </c>
      <c r="K2205" s="39" t="str">
        <f aca="false">TEXT(B2205,"mmm")</f>
        <v>May</v>
      </c>
      <c r="L2205" s="45" t="n">
        <f aca="false">IFERROR(INDEX(medicine_master!$I$2:$I$26,MATCH($C2205,medicine_master!$A$2:$A$26,0)),0)</f>
        <v>13</v>
      </c>
      <c r="M2205" s="45" t="n">
        <f aca="false">IFERROR(INDEX(medicine_master!$G$2:$G$26,MATCH($C2205,medicine_master!$A$2:$A$26,0)),0)</f>
        <v>8</v>
      </c>
      <c r="N2205" s="45" t="n">
        <f aca="false">IF(D2205="Sale",E2205*L2205,0)</f>
        <v>0</v>
      </c>
      <c r="O2205" s="45" t="n">
        <f aca="false">IF(D2205="Sale",E2205*M2205,0)</f>
        <v>0</v>
      </c>
      <c r="P2205" s="45" t="n">
        <f aca="false">N2205-O2205</f>
        <v>0</v>
      </c>
      <c r="Q2205" s="45" t="n">
        <f aca="false">IF(D2205="Purchase",E2205*M2205,0)</f>
        <v>160</v>
      </c>
    </row>
    <row r="2206" customFormat="false" ht="15" hidden="false" customHeight="false" outlineLevel="0" collapsed="false">
      <c r="A2206" s="39" t="s">
        <v>2530</v>
      </c>
      <c r="B2206" s="44" t="n">
        <v>46081</v>
      </c>
      <c r="C2206" s="39" t="s">
        <v>144</v>
      </c>
      <c r="D2206" s="39" t="s">
        <v>137</v>
      </c>
      <c r="E2206" s="39" t="n">
        <v>20</v>
      </c>
      <c r="F2206" s="39" t="str">
        <f aca="false">IF(COUNTIF(medicine_master!$A$2:$A$26,C2206)&gt;0,"Valid","Invalid")</f>
        <v>Valid</v>
      </c>
      <c r="G2206" s="39" t="str">
        <f aca="false">IFERROR(INDEX(medicine_master!$B$2:$B$26,MATCH($C2206,medicine_master!$A$2:$A$26,0)),"Not found")</f>
        <v>Glimepiride 2mg</v>
      </c>
      <c r="H2206" s="39" t="str">
        <f aca="false">IFERROR(INDEX(medicine_master!$C$2:$C$26,MATCH($C2206,medicine_master!$A$2:$A$26,0)),"Not found")</f>
        <v>Diabetes</v>
      </c>
      <c r="I2206" s="39" t="n">
        <f aca="false">YEAR(B2206)</f>
        <v>2026</v>
      </c>
      <c r="J2206" s="39" t="n">
        <f aca="false">MONTH(B2206)</f>
        <v>2</v>
      </c>
      <c r="K2206" s="39" t="str">
        <f aca="false">TEXT(B2206,"mmm")</f>
        <v>Feb</v>
      </c>
      <c r="L2206" s="45" t="n">
        <f aca="false">IFERROR(INDEX(medicine_master!$I$2:$I$26,MATCH($C2206,medicine_master!$A$2:$A$26,0)),0)</f>
        <v>52</v>
      </c>
      <c r="M2206" s="45" t="n">
        <f aca="false">IFERROR(INDEX(medicine_master!$G$2:$G$26,MATCH($C2206,medicine_master!$A$2:$A$26,0)),0)</f>
        <v>38</v>
      </c>
      <c r="N2206" s="45" t="n">
        <f aca="false">IF(D2206="Sale",E2206*L2206,0)</f>
        <v>1040</v>
      </c>
      <c r="O2206" s="45" t="n">
        <f aca="false">IF(D2206="Sale",E2206*M2206,0)</f>
        <v>760</v>
      </c>
      <c r="P2206" s="45" t="n">
        <f aca="false">N2206-O2206</f>
        <v>280</v>
      </c>
      <c r="Q2206" s="45" t="n">
        <f aca="false">IF(D2206="Purchase",E2206*M2206,0)</f>
        <v>0</v>
      </c>
    </row>
    <row r="2207" customFormat="false" ht="15" hidden="false" customHeight="false" outlineLevel="0" collapsed="false">
      <c r="A2207" s="39" t="s">
        <v>2531</v>
      </c>
      <c r="B2207" s="44" t="n">
        <v>46307</v>
      </c>
      <c r="C2207" s="39" t="s">
        <v>178</v>
      </c>
      <c r="D2207" s="39" t="s">
        <v>138</v>
      </c>
      <c r="E2207" s="39" t="n">
        <v>10</v>
      </c>
      <c r="F2207" s="39" t="str">
        <f aca="false">IF(COUNTIF(medicine_master!$A$2:$A$26,C2207)&gt;0,"Valid","Invalid")</f>
        <v>Valid</v>
      </c>
      <c r="G2207" s="39" t="str">
        <f aca="false">IFERROR(INDEX(medicine_master!$B$2:$B$26,MATCH($C2207,medicine_master!$A$2:$A$26,0)),"Not found")</f>
        <v>Aspirin 75mg</v>
      </c>
      <c r="H2207" s="39" t="str">
        <f aca="false">IFERROR(INDEX(medicine_master!$C$2:$C$26,MATCH($C2207,medicine_master!$A$2:$A$26,0)),"Not found")</f>
        <v>Cardiac</v>
      </c>
      <c r="I2207" s="39" t="n">
        <f aca="false">YEAR(B2207)</f>
        <v>2026</v>
      </c>
      <c r="J2207" s="39" t="n">
        <f aca="false">MONTH(B2207)</f>
        <v>10</v>
      </c>
      <c r="K2207" s="39" t="str">
        <f aca="false">TEXT(B2207,"mmm")</f>
        <v>Oct</v>
      </c>
      <c r="L2207" s="45" t="n">
        <f aca="false">IFERROR(INDEX(medicine_master!$I$2:$I$26,MATCH($C2207,medicine_master!$A$2:$A$26,0)),0)</f>
        <v>15</v>
      </c>
      <c r="M2207" s="45" t="n">
        <f aca="false">IFERROR(INDEX(medicine_master!$G$2:$G$26,MATCH($C2207,medicine_master!$A$2:$A$26,0)),0)</f>
        <v>10</v>
      </c>
      <c r="N2207" s="45" t="n">
        <f aca="false">IF(D2207="Sale",E2207*L2207,0)</f>
        <v>0</v>
      </c>
      <c r="O2207" s="45" t="n">
        <f aca="false">IF(D2207="Sale",E2207*M2207,0)</f>
        <v>0</v>
      </c>
      <c r="P2207" s="45" t="n">
        <f aca="false">N2207-O2207</f>
        <v>0</v>
      </c>
      <c r="Q2207" s="45" t="n">
        <f aca="false">IF(D2207="Purchase",E2207*M2207,0)</f>
        <v>100</v>
      </c>
    </row>
    <row r="2208" customFormat="false" ht="15" hidden="false" customHeight="false" outlineLevel="0" collapsed="false">
      <c r="A2208" s="39" t="s">
        <v>2532</v>
      </c>
      <c r="B2208" s="44" t="n">
        <v>46368</v>
      </c>
      <c r="C2208" s="39" t="s">
        <v>149</v>
      </c>
      <c r="D2208" s="39" t="s">
        <v>137</v>
      </c>
      <c r="E2208" s="39" t="n">
        <v>30</v>
      </c>
      <c r="F2208" s="39" t="str">
        <f aca="false">IF(COUNTIF(medicine_master!$A$2:$A$26,C2208)&gt;0,"Valid","Invalid")</f>
        <v>Valid</v>
      </c>
      <c r="G2208" s="39" t="str">
        <f aca="false">IFERROR(INDEX(medicine_master!$B$2:$B$26,MATCH($C2208,medicine_master!$A$2:$A$26,0)),"Not found")</f>
        <v>Azithromycin 500mg</v>
      </c>
      <c r="H2208" s="39" t="str">
        <f aca="false">IFERROR(INDEX(medicine_master!$C$2:$C$26,MATCH($C2208,medicine_master!$A$2:$A$26,0)),"Not found")</f>
        <v>Antibiotic</v>
      </c>
      <c r="I2208" s="39" t="n">
        <f aca="false">YEAR(B2208)</f>
        <v>2026</v>
      </c>
      <c r="J2208" s="39" t="n">
        <f aca="false">MONTH(B2208)</f>
        <v>12</v>
      </c>
      <c r="K2208" s="39" t="str">
        <f aca="false">TEXT(B2208,"mmm")</f>
        <v>Dec</v>
      </c>
      <c r="L2208" s="45" t="n">
        <f aca="false">IFERROR(INDEX(medicine_master!$I$2:$I$26,MATCH($C2208,medicine_master!$A$2:$A$26,0)),0)</f>
        <v>50</v>
      </c>
      <c r="M2208" s="45" t="n">
        <f aca="false">IFERROR(INDEX(medicine_master!$G$2:$G$26,MATCH($C2208,medicine_master!$A$2:$A$26,0)),0)</f>
        <v>35</v>
      </c>
      <c r="N2208" s="45" t="n">
        <f aca="false">IF(D2208="Sale",E2208*L2208,0)</f>
        <v>1500</v>
      </c>
      <c r="O2208" s="45" t="n">
        <f aca="false">IF(D2208="Sale",E2208*M2208,0)</f>
        <v>1050</v>
      </c>
      <c r="P2208" s="45" t="n">
        <f aca="false">N2208-O2208</f>
        <v>450</v>
      </c>
      <c r="Q2208" s="45" t="n">
        <f aca="false">IF(D2208="Purchase",E2208*M2208,0)</f>
        <v>0</v>
      </c>
    </row>
    <row r="2209" customFormat="false" ht="15" hidden="false" customHeight="false" outlineLevel="0" collapsed="false">
      <c r="A2209" s="39" t="s">
        <v>2533</v>
      </c>
      <c r="B2209" s="44" t="n">
        <v>46198</v>
      </c>
      <c r="C2209" s="39" t="s">
        <v>151</v>
      </c>
      <c r="D2209" s="39" t="s">
        <v>137</v>
      </c>
      <c r="E2209" s="39" t="n">
        <v>30</v>
      </c>
      <c r="F2209" s="39" t="str">
        <f aca="false">IF(COUNTIF(medicine_master!$A$2:$A$26,C2209)&gt;0,"Valid","Invalid")</f>
        <v>Valid</v>
      </c>
      <c r="G2209" s="39" t="str">
        <f aca="false">IFERROR(INDEX(medicine_master!$B$2:$B$26,MATCH($C2209,medicine_master!$A$2:$A$26,0)),"Not found")</f>
        <v>Cetirizine 10mg</v>
      </c>
      <c r="H2209" s="39" t="str">
        <f aca="false">IFERROR(INDEX(medicine_master!$C$2:$C$26,MATCH($C2209,medicine_master!$A$2:$A$26,0)),"Not found")</f>
        <v>Allergy</v>
      </c>
      <c r="I2209" s="39" t="n">
        <f aca="false">YEAR(B2209)</f>
        <v>2026</v>
      </c>
      <c r="J2209" s="39" t="n">
        <f aca="false">MONTH(B2209)</f>
        <v>6</v>
      </c>
      <c r="K2209" s="39" t="str">
        <f aca="false">TEXT(B2209,"mmm")</f>
        <v>Jun</v>
      </c>
      <c r="L2209" s="45" t="n">
        <f aca="false">IFERROR(INDEX(medicine_master!$I$2:$I$26,MATCH($C2209,medicine_master!$A$2:$A$26,0)),0)</f>
        <v>13</v>
      </c>
      <c r="M2209" s="45" t="n">
        <f aca="false">IFERROR(INDEX(medicine_master!$G$2:$G$26,MATCH($C2209,medicine_master!$A$2:$A$26,0)),0)</f>
        <v>8</v>
      </c>
      <c r="N2209" s="45" t="n">
        <f aca="false">IF(D2209="Sale",E2209*L2209,0)</f>
        <v>390</v>
      </c>
      <c r="O2209" s="45" t="n">
        <f aca="false">IF(D2209="Sale",E2209*M2209,0)</f>
        <v>240</v>
      </c>
      <c r="P2209" s="45" t="n">
        <f aca="false">N2209-O2209</f>
        <v>150</v>
      </c>
      <c r="Q2209" s="45" t="n">
        <f aca="false">IF(D2209="Purchase",E2209*M2209,0)</f>
        <v>0</v>
      </c>
    </row>
    <row r="2210" customFormat="false" ht="15" hidden="false" customHeight="false" outlineLevel="0" collapsed="false">
      <c r="A2210" s="39" t="s">
        <v>2534</v>
      </c>
      <c r="B2210" s="44" t="n">
        <v>46299</v>
      </c>
      <c r="C2210" s="39" t="s">
        <v>152</v>
      </c>
      <c r="D2210" s="39" t="s">
        <v>138</v>
      </c>
      <c r="E2210" s="39" t="n">
        <v>20</v>
      </c>
      <c r="F2210" s="39" t="str">
        <f aca="false">IF(COUNTIF(medicine_master!$A$2:$A$26,C2210)&gt;0,"Valid","Invalid")</f>
        <v>Valid</v>
      </c>
      <c r="G2210" s="39" t="str">
        <f aca="false">IFERROR(INDEX(medicine_master!$B$2:$B$26,MATCH($C2210,medicine_master!$A$2:$A$26,0)),"Not found")</f>
        <v>Amoxicillin 500mg</v>
      </c>
      <c r="H2210" s="39" t="str">
        <f aca="false">IFERROR(INDEX(medicine_master!$C$2:$C$26,MATCH($C2210,medicine_master!$A$2:$A$26,0)),"Not found")</f>
        <v>Antibiotic</v>
      </c>
      <c r="I2210" s="39" t="n">
        <f aca="false">YEAR(B2210)</f>
        <v>2026</v>
      </c>
      <c r="J2210" s="39" t="n">
        <f aca="false">MONTH(B2210)</f>
        <v>10</v>
      </c>
      <c r="K2210" s="39" t="str">
        <f aca="false">TEXT(B2210,"mmm")</f>
        <v>Oct</v>
      </c>
      <c r="L2210" s="45" t="n">
        <f aca="false">IFERROR(INDEX(medicine_master!$I$2:$I$26,MATCH($C2210,medicine_master!$A$2:$A$26,0)),0)</f>
        <v>40</v>
      </c>
      <c r="M2210" s="45" t="n">
        <f aca="false">IFERROR(INDEX(medicine_master!$G$2:$G$26,MATCH($C2210,medicine_master!$A$2:$A$26,0)),0)</f>
        <v>28</v>
      </c>
      <c r="N2210" s="45" t="n">
        <f aca="false">IF(D2210="Sale",E2210*L2210,0)</f>
        <v>0</v>
      </c>
      <c r="O2210" s="45" t="n">
        <f aca="false">IF(D2210="Sale",E2210*M2210,0)</f>
        <v>0</v>
      </c>
      <c r="P2210" s="45" t="n">
        <f aca="false">N2210-O2210</f>
        <v>0</v>
      </c>
      <c r="Q2210" s="45" t="n">
        <f aca="false">IF(D2210="Purchase",E2210*M2210,0)</f>
        <v>560</v>
      </c>
    </row>
    <row r="2211" customFormat="false" ht="15" hidden="false" customHeight="false" outlineLevel="0" collapsed="false">
      <c r="A2211" s="39" t="s">
        <v>2535</v>
      </c>
      <c r="B2211" s="44" t="n">
        <v>46063</v>
      </c>
      <c r="C2211" s="39" t="s">
        <v>151</v>
      </c>
      <c r="D2211" s="39" t="s">
        <v>137</v>
      </c>
      <c r="E2211" s="39" t="n">
        <v>20</v>
      </c>
      <c r="F2211" s="39" t="str">
        <f aca="false">IF(COUNTIF(medicine_master!$A$2:$A$26,C2211)&gt;0,"Valid","Invalid")</f>
        <v>Valid</v>
      </c>
      <c r="G2211" s="39" t="str">
        <f aca="false">IFERROR(INDEX(medicine_master!$B$2:$B$26,MATCH($C2211,medicine_master!$A$2:$A$26,0)),"Not found")</f>
        <v>Cetirizine 10mg</v>
      </c>
      <c r="H2211" s="39" t="str">
        <f aca="false">IFERROR(INDEX(medicine_master!$C$2:$C$26,MATCH($C2211,medicine_master!$A$2:$A$26,0)),"Not found")</f>
        <v>Allergy</v>
      </c>
      <c r="I2211" s="39" t="n">
        <f aca="false">YEAR(B2211)</f>
        <v>2026</v>
      </c>
      <c r="J2211" s="39" t="n">
        <f aca="false">MONTH(B2211)</f>
        <v>2</v>
      </c>
      <c r="K2211" s="39" t="str">
        <f aca="false">TEXT(B2211,"mmm")</f>
        <v>Feb</v>
      </c>
      <c r="L2211" s="45" t="n">
        <f aca="false">IFERROR(INDEX(medicine_master!$I$2:$I$26,MATCH($C2211,medicine_master!$A$2:$A$26,0)),0)</f>
        <v>13</v>
      </c>
      <c r="M2211" s="45" t="n">
        <f aca="false">IFERROR(INDEX(medicine_master!$G$2:$G$26,MATCH($C2211,medicine_master!$A$2:$A$26,0)),0)</f>
        <v>8</v>
      </c>
      <c r="N2211" s="45" t="n">
        <f aca="false">IF(D2211="Sale",E2211*L2211,0)</f>
        <v>260</v>
      </c>
      <c r="O2211" s="45" t="n">
        <f aca="false">IF(D2211="Sale",E2211*M2211,0)</f>
        <v>160</v>
      </c>
      <c r="P2211" s="45" t="n">
        <f aca="false">N2211-O2211</f>
        <v>100</v>
      </c>
      <c r="Q2211" s="45" t="n">
        <f aca="false">IF(D2211="Purchase",E2211*M2211,0)</f>
        <v>0</v>
      </c>
    </row>
    <row r="2212" customFormat="false" ht="15" hidden="false" customHeight="false" outlineLevel="0" collapsed="false">
      <c r="A2212" s="39" t="s">
        <v>2536</v>
      </c>
      <c r="B2212" s="44" t="n">
        <v>46051</v>
      </c>
      <c r="C2212" s="39" t="s">
        <v>159</v>
      </c>
      <c r="D2212" s="39" t="s">
        <v>138</v>
      </c>
      <c r="E2212" s="39" t="n">
        <v>50</v>
      </c>
      <c r="F2212" s="39" t="str">
        <f aca="false">IF(COUNTIF(medicine_master!$A$2:$A$26,C2212)&gt;0,"Valid","Invalid")</f>
        <v>Valid</v>
      </c>
      <c r="G2212" s="39" t="str">
        <f aca="false">IFERROR(INDEX(medicine_master!$B$2:$B$26,MATCH($C2212,medicine_master!$A$2:$A$26,0)),"Not found")</f>
        <v>Antiseptic Liquid 100ml</v>
      </c>
      <c r="H2212" s="39" t="str">
        <f aca="false">IFERROR(INDEX(medicine_master!$C$2:$C$26,MATCH($C2212,medicine_master!$A$2:$A$26,0)),"Not found")</f>
        <v>First Aid</v>
      </c>
      <c r="I2212" s="39" t="n">
        <f aca="false">YEAR(B2212)</f>
        <v>2026</v>
      </c>
      <c r="J2212" s="39" t="n">
        <f aca="false">MONTH(B2212)</f>
        <v>1</v>
      </c>
      <c r="K2212" s="39" t="str">
        <f aca="false">TEXT(B2212,"mmm")</f>
        <v>Jan</v>
      </c>
      <c r="L2212" s="45" t="n">
        <f aca="false">IFERROR(INDEX(medicine_master!$I$2:$I$26,MATCH($C2212,medicine_master!$A$2:$A$26,0)),0)</f>
        <v>65</v>
      </c>
      <c r="M2212" s="45" t="n">
        <f aca="false">IFERROR(INDEX(medicine_master!$G$2:$G$26,MATCH($C2212,medicine_master!$A$2:$A$26,0)),0)</f>
        <v>48</v>
      </c>
      <c r="N2212" s="45" t="n">
        <f aca="false">IF(D2212="Sale",E2212*L2212,0)</f>
        <v>0</v>
      </c>
      <c r="O2212" s="45" t="n">
        <f aca="false">IF(D2212="Sale",E2212*M2212,0)</f>
        <v>0</v>
      </c>
      <c r="P2212" s="45" t="n">
        <f aca="false">N2212-O2212</f>
        <v>0</v>
      </c>
      <c r="Q2212" s="45" t="n">
        <f aca="false">IF(D2212="Purchase",E2212*M2212,0)</f>
        <v>2400</v>
      </c>
    </row>
    <row r="2213" customFormat="false" ht="15" hidden="false" customHeight="false" outlineLevel="0" collapsed="false">
      <c r="A2213" s="39" t="s">
        <v>2537</v>
      </c>
      <c r="B2213" s="44" t="n">
        <v>46266</v>
      </c>
      <c r="C2213" s="39" t="s">
        <v>321</v>
      </c>
      <c r="D2213" s="39" t="s">
        <v>138</v>
      </c>
      <c r="E2213" s="39" t="n">
        <v>20</v>
      </c>
      <c r="F2213" s="39" t="str">
        <f aca="false">IF(COUNTIF(medicine_master!$A$2:$A$26,C2213)&gt;0,"Valid","Invalid")</f>
        <v>Valid</v>
      </c>
      <c r="G2213" s="39" t="str">
        <f aca="false">IFERROR(INDEX(medicine_master!$B$2:$B$26,MATCH($C2213,medicine_master!$A$2:$A$26,0)),"Not found")</f>
        <v>Levocetirizine 5mg</v>
      </c>
      <c r="H2213" s="39" t="str">
        <f aca="false">IFERROR(INDEX(medicine_master!$C$2:$C$26,MATCH($C2213,medicine_master!$A$2:$A$26,0)),"Not found")</f>
        <v>Allergy</v>
      </c>
      <c r="I2213" s="39" t="n">
        <f aca="false">YEAR(B2213)</f>
        <v>2026</v>
      </c>
      <c r="J2213" s="39" t="n">
        <f aca="false">MONTH(B2213)</f>
        <v>9</v>
      </c>
      <c r="K2213" s="39" t="str">
        <f aca="false">TEXT(B2213,"mmm")</f>
        <v>Sep</v>
      </c>
      <c r="L2213" s="45" t="n">
        <f aca="false">IFERROR(INDEX(medicine_master!$I$2:$I$26,MATCH($C2213,medicine_master!$A$2:$A$26,0)),0)</f>
        <v>22</v>
      </c>
      <c r="M2213" s="45" t="n">
        <f aca="false">IFERROR(INDEX(medicine_master!$G$2:$G$26,MATCH($C2213,medicine_master!$A$2:$A$26,0)),0)</f>
        <v>14</v>
      </c>
      <c r="N2213" s="45" t="n">
        <f aca="false">IF(D2213="Sale",E2213*L2213,0)</f>
        <v>0</v>
      </c>
      <c r="O2213" s="45" t="n">
        <f aca="false">IF(D2213="Sale",E2213*M2213,0)</f>
        <v>0</v>
      </c>
      <c r="P2213" s="45" t="n">
        <f aca="false">N2213-O2213</f>
        <v>0</v>
      </c>
      <c r="Q2213" s="45" t="n">
        <f aca="false">IF(D2213="Purchase",E2213*M2213,0)</f>
        <v>280</v>
      </c>
    </row>
    <row r="2214" customFormat="false" ht="15" hidden="false" customHeight="false" outlineLevel="0" collapsed="false">
      <c r="A2214" s="39" t="s">
        <v>2538</v>
      </c>
      <c r="B2214" s="44" t="n">
        <v>46356</v>
      </c>
      <c r="C2214" s="39" t="s">
        <v>145</v>
      </c>
      <c r="D2214" s="39" t="s">
        <v>137</v>
      </c>
      <c r="E2214" s="39" t="n">
        <v>20</v>
      </c>
      <c r="F2214" s="39" t="str">
        <f aca="false">IF(COUNTIF(medicine_master!$A$2:$A$26,C2214)&gt;0,"Valid","Invalid")</f>
        <v>Valid</v>
      </c>
      <c r="G2214" s="39" t="str">
        <f aca="false">IFERROR(INDEX(medicine_master!$B$2:$B$26,MATCH($C2214,medicine_master!$A$2:$A$26,0)),"Not found")</f>
        <v>Clotrimazole Cream</v>
      </c>
      <c r="H2214" s="39" t="str">
        <f aca="false">IFERROR(INDEX(medicine_master!$C$2:$C$26,MATCH($C2214,medicine_master!$A$2:$A$26,0)),"Not found")</f>
        <v>Dermatology</v>
      </c>
      <c r="I2214" s="39" t="n">
        <f aca="false">YEAR(B2214)</f>
        <v>2026</v>
      </c>
      <c r="J2214" s="39" t="n">
        <f aca="false">MONTH(B2214)</f>
        <v>11</v>
      </c>
      <c r="K2214" s="39" t="str">
        <f aca="false">TEXT(B2214,"mmm")</f>
        <v>Nov</v>
      </c>
      <c r="L2214" s="45" t="n">
        <f aca="false">IFERROR(INDEX(medicine_master!$I$2:$I$26,MATCH($C2214,medicine_master!$A$2:$A$26,0)),0)</f>
        <v>48</v>
      </c>
      <c r="M2214" s="45" t="n">
        <f aca="false">IFERROR(INDEX(medicine_master!$G$2:$G$26,MATCH($C2214,medicine_master!$A$2:$A$26,0)),0)</f>
        <v>32</v>
      </c>
      <c r="N2214" s="45" t="n">
        <f aca="false">IF(D2214="Sale",E2214*L2214,0)</f>
        <v>960</v>
      </c>
      <c r="O2214" s="45" t="n">
        <f aca="false">IF(D2214="Sale",E2214*M2214,0)</f>
        <v>640</v>
      </c>
      <c r="P2214" s="45" t="n">
        <f aca="false">N2214-O2214</f>
        <v>320</v>
      </c>
      <c r="Q2214" s="45" t="n">
        <f aca="false">IF(D2214="Purchase",E2214*M2214,0)</f>
        <v>0</v>
      </c>
    </row>
    <row r="2215" customFormat="false" ht="15" hidden="false" customHeight="false" outlineLevel="0" collapsed="false">
      <c r="A2215" s="39" t="s">
        <v>2539</v>
      </c>
      <c r="B2215" s="44" t="n">
        <v>46166</v>
      </c>
      <c r="C2215" s="39" t="s">
        <v>345</v>
      </c>
      <c r="D2215" s="39" t="s">
        <v>137</v>
      </c>
      <c r="E2215" s="39" t="n">
        <v>30</v>
      </c>
      <c r="F2215" s="39" t="str">
        <f aca="false">IF(COUNTIF(medicine_master!$A$2:$A$26,C2215)&gt;0,"Valid","Invalid")</f>
        <v>Valid</v>
      </c>
      <c r="G2215" s="39" t="str">
        <f aca="false">IFERROR(INDEX(medicine_master!$B$2:$B$26,MATCH($C2215,medicine_master!$A$2:$A$26,0)),"Not found")</f>
        <v>Paracetamol 500mg</v>
      </c>
      <c r="H2215" s="39" t="str">
        <f aca="false">IFERROR(INDEX(medicine_master!$C$2:$C$26,MATCH($C2215,medicine_master!$A$2:$A$26,0)),"Not found")</f>
        <v>Pain Relief</v>
      </c>
      <c r="I2215" s="39" t="n">
        <f aca="false">YEAR(B2215)</f>
        <v>2026</v>
      </c>
      <c r="J2215" s="39" t="n">
        <f aca="false">MONTH(B2215)</f>
        <v>5</v>
      </c>
      <c r="K2215" s="39" t="str">
        <f aca="false">TEXT(B2215,"mmm")</f>
        <v>May</v>
      </c>
      <c r="L2215" s="45" t="n">
        <f aca="false">IFERROR(INDEX(medicine_master!$I$2:$I$26,MATCH($C2215,medicine_master!$A$2:$A$26,0)),0)</f>
        <v>18</v>
      </c>
      <c r="M2215" s="45" t="n">
        <f aca="false">IFERROR(INDEX(medicine_master!$G$2:$G$26,MATCH($C2215,medicine_master!$A$2:$A$26,0)),0)</f>
        <v>12</v>
      </c>
      <c r="N2215" s="45" t="n">
        <f aca="false">IF(D2215="Sale",E2215*L2215,0)</f>
        <v>540</v>
      </c>
      <c r="O2215" s="45" t="n">
        <f aca="false">IF(D2215="Sale",E2215*M2215,0)</f>
        <v>360</v>
      </c>
      <c r="P2215" s="45" t="n">
        <f aca="false">N2215-O2215</f>
        <v>180</v>
      </c>
      <c r="Q2215" s="45" t="n">
        <f aca="false">IF(D2215="Purchase",E2215*M2215,0)</f>
        <v>0</v>
      </c>
    </row>
    <row r="2216" customFormat="false" ht="15" hidden="false" customHeight="false" outlineLevel="0" collapsed="false">
      <c r="A2216" s="39" t="s">
        <v>2540</v>
      </c>
      <c r="B2216" s="44" t="n">
        <v>46077</v>
      </c>
      <c r="C2216" s="39" t="s">
        <v>404</v>
      </c>
      <c r="D2216" s="39" t="s">
        <v>137</v>
      </c>
      <c r="E2216" s="39" t="n">
        <v>15</v>
      </c>
      <c r="F2216" s="39" t="str">
        <f aca="false">IF(COUNTIF(medicine_master!$A$2:$A$26,C2216)&gt;0,"Valid","Invalid")</f>
        <v>Valid</v>
      </c>
      <c r="G2216" s="39" t="str">
        <f aca="false">IFERROR(INDEX(medicine_master!$B$2:$B$26,MATCH($C2216,medicine_master!$A$2:$A$26,0)),"Not found")</f>
        <v>ORS Sachet</v>
      </c>
      <c r="H2216" s="39" t="str">
        <f aca="false">IFERROR(INDEX(medicine_master!$C$2:$C$26,MATCH($C2216,medicine_master!$A$2:$A$26,0)),"Not found")</f>
        <v>First Aid</v>
      </c>
      <c r="I2216" s="39" t="n">
        <f aca="false">YEAR(B2216)</f>
        <v>2026</v>
      </c>
      <c r="J2216" s="39" t="n">
        <f aca="false">MONTH(B2216)</f>
        <v>2</v>
      </c>
      <c r="K2216" s="39" t="str">
        <f aca="false">TEXT(B2216,"mmm")</f>
        <v>Feb</v>
      </c>
      <c r="L2216" s="45" t="n">
        <f aca="false">IFERROR(INDEX(medicine_master!$I$2:$I$26,MATCH($C2216,medicine_master!$A$2:$A$26,0)),0)</f>
        <v>10</v>
      </c>
      <c r="M2216" s="45" t="n">
        <f aca="false">IFERROR(INDEX(medicine_master!$G$2:$G$26,MATCH($C2216,medicine_master!$A$2:$A$26,0)),0)</f>
        <v>6</v>
      </c>
      <c r="N2216" s="45" t="n">
        <f aca="false">IF(D2216="Sale",E2216*L2216,0)</f>
        <v>150</v>
      </c>
      <c r="O2216" s="45" t="n">
        <f aca="false">IF(D2216="Sale",E2216*M2216,0)</f>
        <v>90</v>
      </c>
      <c r="P2216" s="45" t="n">
        <f aca="false">N2216-O2216</f>
        <v>60</v>
      </c>
      <c r="Q2216" s="45" t="n">
        <f aca="false">IF(D2216="Purchase",E2216*M2216,0)</f>
        <v>0</v>
      </c>
    </row>
    <row r="2217" customFormat="false" ht="15" hidden="false" customHeight="false" outlineLevel="0" collapsed="false">
      <c r="A2217" s="39" t="s">
        <v>2541</v>
      </c>
      <c r="B2217" s="44" t="n">
        <v>46307</v>
      </c>
      <c r="C2217" s="39" t="s">
        <v>152</v>
      </c>
      <c r="D2217" s="39" t="s">
        <v>138</v>
      </c>
      <c r="E2217" s="39" t="n">
        <v>40</v>
      </c>
      <c r="F2217" s="39" t="str">
        <f aca="false">IF(COUNTIF(medicine_master!$A$2:$A$26,C2217)&gt;0,"Valid","Invalid")</f>
        <v>Valid</v>
      </c>
      <c r="G2217" s="39" t="str">
        <f aca="false">IFERROR(INDEX(medicine_master!$B$2:$B$26,MATCH($C2217,medicine_master!$A$2:$A$26,0)),"Not found")</f>
        <v>Amoxicillin 500mg</v>
      </c>
      <c r="H2217" s="39" t="str">
        <f aca="false">IFERROR(INDEX(medicine_master!$C$2:$C$26,MATCH($C2217,medicine_master!$A$2:$A$26,0)),"Not found")</f>
        <v>Antibiotic</v>
      </c>
      <c r="I2217" s="39" t="n">
        <f aca="false">YEAR(B2217)</f>
        <v>2026</v>
      </c>
      <c r="J2217" s="39" t="n">
        <f aca="false">MONTH(B2217)</f>
        <v>10</v>
      </c>
      <c r="K2217" s="39" t="str">
        <f aca="false">TEXT(B2217,"mmm")</f>
        <v>Oct</v>
      </c>
      <c r="L2217" s="45" t="n">
        <f aca="false">IFERROR(INDEX(medicine_master!$I$2:$I$26,MATCH($C2217,medicine_master!$A$2:$A$26,0)),0)</f>
        <v>40</v>
      </c>
      <c r="M2217" s="45" t="n">
        <f aca="false">IFERROR(INDEX(medicine_master!$G$2:$G$26,MATCH($C2217,medicine_master!$A$2:$A$26,0)),0)</f>
        <v>28</v>
      </c>
      <c r="N2217" s="45" t="n">
        <f aca="false">IF(D2217="Sale",E2217*L2217,0)</f>
        <v>0</v>
      </c>
      <c r="O2217" s="45" t="n">
        <f aca="false">IF(D2217="Sale",E2217*M2217,0)</f>
        <v>0</v>
      </c>
      <c r="P2217" s="45" t="n">
        <f aca="false">N2217-O2217</f>
        <v>0</v>
      </c>
      <c r="Q2217" s="45" t="n">
        <f aca="false">IF(D2217="Purchase",E2217*M2217,0)</f>
        <v>1120</v>
      </c>
    </row>
    <row r="2218" customFormat="false" ht="15" hidden="false" customHeight="false" outlineLevel="0" collapsed="false">
      <c r="A2218" s="39" t="s">
        <v>2542</v>
      </c>
      <c r="B2218" s="44" t="n">
        <v>46134</v>
      </c>
      <c r="C2218" s="39" t="s">
        <v>153</v>
      </c>
      <c r="D2218" s="39" t="s">
        <v>137</v>
      </c>
      <c r="E2218" s="39" t="n">
        <v>40</v>
      </c>
      <c r="F2218" s="39" t="str">
        <f aca="false">IF(COUNTIF(medicine_master!$A$2:$A$26,C2218)&gt;0,"Valid","Invalid")</f>
        <v>Valid</v>
      </c>
      <c r="G2218" s="39" t="str">
        <f aca="false">IFERROR(INDEX(medicine_master!$B$2:$B$26,MATCH($C2218,medicine_master!$A$2:$A$26,0)),"Not found")</f>
        <v>Atorvastatin 10mg</v>
      </c>
      <c r="H2218" s="39" t="str">
        <f aca="false">IFERROR(INDEX(medicine_master!$C$2:$C$26,MATCH($C2218,medicine_master!$A$2:$A$26,0)),"Not found")</f>
        <v>Cardiac</v>
      </c>
      <c r="I2218" s="39" t="n">
        <f aca="false">YEAR(B2218)</f>
        <v>2026</v>
      </c>
      <c r="J2218" s="39" t="n">
        <f aca="false">MONTH(B2218)</f>
        <v>4</v>
      </c>
      <c r="K2218" s="39" t="str">
        <f aca="false">TEXT(B2218,"mmm")</f>
        <v>Apr</v>
      </c>
      <c r="L2218" s="45" t="n">
        <f aca="false">IFERROR(INDEX(medicine_master!$I$2:$I$26,MATCH($C2218,medicine_master!$A$2:$A$26,0)),0)</f>
        <v>28</v>
      </c>
      <c r="M2218" s="45" t="n">
        <f aca="false">IFERROR(INDEX(medicine_master!$G$2:$G$26,MATCH($C2218,medicine_master!$A$2:$A$26,0)),0)</f>
        <v>19</v>
      </c>
      <c r="N2218" s="45" t="n">
        <f aca="false">IF(D2218="Sale",E2218*L2218,0)</f>
        <v>1120</v>
      </c>
      <c r="O2218" s="45" t="n">
        <f aca="false">IF(D2218="Sale",E2218*M2218,0)</f>
        <v>760</v>
      </c>
      <c r="P2218" s="45" t="n">
        <f aca="false">N2218-O2218</f>
        <v>360</v>
      </c>
      <c r="Q2218" s="45" t="n">
        <f aca="false">IF(D2218="Purchase",E2218*M2218,0)</f>
        <v>0</v>
      </c>
    </row>
    <row r="2219" customFormat="false" ht="15" hidden="false" customHeight="false" outlineLevel="0" collapsed="false">
      <c r="A2219" s="39" t="s">
        <v>2543</v>
      </c>
      <c r="B2219" s="44" t="n">
        <v>46096</v>
      </c>
      <c r="C2219" s="39" t="s">
        <v>326</v>
      </c>
      <c r="D2219" s="39" t="s">
        <v>137</v>
      </c>
      <c r="E2219" s="39" t="n">
        <v>20</v>
      </c>
      <c r="F2219" s="39" t="str">
        <f aca="false">IF(COUNTIF(medicine_master!$A$2:$A$26,C2219)&gt;0,"Valid","Invalid")</f>
        <v>Valid</v>
      </c>
      <c r="G2219" s="39" t="str">
        <f aca="false">IFERROR(INDEX(medicine_master!$B$2:$B$26,MATCH($C2219,medicine_master!$A$2:$A$26,0)),"Not found")</f>
        <v>Omeprazole 20mg</v>
      </c>
      <c r="H2219" s="39" t="str">
        <f aca="false">IFERROR(INDEX(medicine_master!$C$2:$C$26,MATCH($C2219,medicine_master!$A$2:$A$26,0)),"Not found")</f>
        <v>Gastric</v>
      </c>
      <c r="I2219" s="39" t="n">
        <f aca="false">YEAR(B2219)</f>
        <v>2026</v>
      </c>
      <c r="J2219" s="39" t="n">
        <f aca="false">MONTH(B2219)</f>
        <v>3</v>
      </c>
      <c r="K2219" s="39" t="str">
        <f aca="false">TEXT(B2219,"mmm")</f>
        <v>Mar</v>
      </c>
      <c r="L2219" s="45" t="n">
        <f aca="false">IFERROR(INDEX(medicine_master!$I$2:$I$26,MATCH($C2219,medicine_master!$A$2:$A$26,0)),0)</f>
        <v>26</v>
      </c>
      <c r="M2219" s="45" t="n">
        <f aca="false">IFERROR(INDEX(medicine_master!$G$2:$G$26,MATCH($C2219,medicine_master!$A$2:$A$26,0)),0)</f>
        <v>18</v>
      </c>
      <c r="N2219" s="45" t="n">
        <f aca="false">IF(D2219="Sale",E2219*L2219,0)</f>
        <v>520</v>
      </c>
      <c r="O2219" s="45" t="n">
        <f aca="false">IF(D2219="Sale",E2219*M2219,0)</f>
        <v>360</v>
      </c>
      <c r="P2219" s="45" t="n">
        <f aca="false">N2219-O2219</f>
        <v>160</v>
      </c>
      <c r="Q2219" s="45" t="n">
        <f aca="false">IF(D2219="Purchase",E2219*M2219,0)</f>
        <v>0</v>
      </c>
    </row>
    <row r="2220" customFormat="false" ht="15" hidden="false" customHeight="false" outlineLevel="0" collapsed="false">
      <c r="A2220" s="39" t="s">
        <v>2544</v>
      </c>
      <c r="B2220" s="44" t="n">
        <v>46074</v>
      </c>
      <c r="C2220" s="39" t="s">
        <v>179</v>
      </c>
      <c r="D2220" s="39" t="s">
        <v>137</v>
      </c>
      <c r="E2220" s="39" t="n">
        <v>10</v>
      </c>
      <c r="F2220" s="39" t="str">
        <f aca="false">IF(COUNTIF(medicine_master!$A$2:$A$26,C2220)&gt;0,"Valid","Invalid")</f>
        <v>Valid</v>
      </c>
      <c r="G2220" s="39" t="str">
        <f aca="false">IFERROR(INDEX(medicine_master!$B$2:$B$26,MATCH($C2220,medicine_master!$A$2:$A$26,0)),"Not found")</f>
        <v>Ibuprofen 400mg</v>
      </c>
      <c r="H2220" s="39" t="str">
        <f aca="false">IFERROR(INDEX(medicine_master!$C$2:$C$26,MATCH($C2220,medicine_master!$A$2:$A$26,0)),"Not found")</f>
        <v>Pain Relief</v>
      </c>
      <c r="I2220" s="39" t="n">
        <f aca="false">YEAR(B2220)</f>
        <v>2026</v>
      </c>
      <c r="J2220" s="39" t="n">
        <f aca="false">MONTH(B2220)</f>
        <v>2</v>
      </c>
      <c r="K2220" s="39" t="str">
        <f aca="false">TEXT(B2220,"mmm")</f>
        <v>Feb</v>
      </c>
      <c r="L2220" s="45" t="n">
        <f aca="false">IFERROR(INDEX(medicine_master!$I$2:$I$26,MATCH($C2220,medicine_master!$A$2:$A$26,0)),0)</f>
        <v>30</v>
      </c>
      <c r="M2220" s="45" t="n">
        <f aca="false">IFERROR(INDEX(medicine_master!$G$2:$G$26,MATCH($C2220,medicine_master!$A$2:$A$26,0)),0)</f>
        <v>22</v>
      </c>
      <c r="N2220" s="45" t="n">
        <f aca="false">IF(D2220="Sale",E2220*L2220,0)</f>
        <v>300</v>
      </c>
      <c r="O2220" s="45" t="n">
        <f aca="false">IF(D2220="Sale",E2220*M2220,0)</f>
        <v>220</v>
      </c>
      <c r="P2220" s="45" t="n">
        <f aca="false">N2220-O2220</f>
        <v>80</v>
      </c>
      <c r="Q2220" s="45" t="n">
        <f aca="false">IF(D2220="Purchase",E2220*M2220,0)</f>
        <v>0</v>
      </c>
    </row>
    <row r="2221" customFormat="false" ht="15" hidden="false" customHeight="false" outlineLevel="0" collapsed="false">
      <c r="A2221" s="39" t="s">
        <v>2545</v>
      </c>
      <c r="B2221" s="44" t="n">
        <v>46131</v>
      </c>
      <c r="C2221" s="39" t="s">
        <v>167</v>
      </c>
      <c r="D2221" s="39" t="s">
        <v>137</v>
      </c>
      <c r="E2221" s="39" t="n">
        <v>20</v>
      </c>
      <c r="F2221" s="39" t="str">
        <f aca="false">IF(COUNTIF(medicine_master!$A$2:$A$26,C2221)&gt;0,"Valid","Invalid")</f>
        <v>Valid</v>
      </c>
      <c r="G2221" s="39" t="str">
        <f aca="false">IFERROR(INDEX(medicine_master!$B$2:$B$26,MATCH($C2221,medicine_master!$A$2:$A$26,0)),"Not found")</f>
        <v>Amlodipine 5mg</v>
      </c>
      <c r="H2221" s="39" t="str">
        <f aca="false">IFERROR(INDEX(medicine_master!$C$2:$C$26,MATCH($C2221,medicine_master!$A$2:$A$26,0)),"Not found")</f>
        <v>Cardiac</v>
      </c>
      <c r="I2221" s="39" t="n">
        <f aca="false">YEAR(B2221)</f>
        <v>2026</v>
      </c>
      <c r="J2221" s="39" t="n">
        <f aca="false">MONTH(B2221)</f>
        <v>4</v>
      </c>
      <c r="K2221" s="39" t="str">
        <f aca="false">TEXT(B2221,"mmm")</f>
        <v>Apr</v>
      </c>
      <c r="L2221" s="45" t="n">
        <f aca="false">IFERROR(INDEX(medicine_master!$I$2:$I$26,MATCH($C2221,medicine_master!$A$2:$A$26,0)),0)</f>
        <v>19</v>
      </c>
      <c r="M2221" s="45" t="n">
        <f aca="false">IFERROR(INDEX(medicine_master!$G$2:$G$26,MATCH($C2221,medicine_master!$A$2:$A$26,0)),0)</f>
        <v>13</v>
      </c>
      <c r="N2221" s="45" t="n">
        <f aca="false">IF(D2221="Sale",E2221*L2221,0)</f>
        <v>380</v>
      </c>
      <c r="O2221" s="45" t="n">
        <f aca="false">IF(D2221="Sale",E2221*M2221,0)</f>
        <v>260</v>
      </c>
      <c r="P2221" s="45" t="n">
        <f aca="false">N2221-O2221</f>
        <v>120</v>
      </c>
      <c r="Q2221" s="45" t="n">
        <f aca="false">IF(D2221="Purchase",E2221*M2221,0)</f>
        <v>0</v>
      </c>
    </row>
    <row r="2222" customFormat="false" ht="15" hidden="false" customHeight="false" outlineLevel="0" collapsed="false">
      <c r="A2222" s="39" t="s">
        <v>2546</v>
      </c>
      <c r="B2222" s="44" t="n">
        <v>46091</v>
      </c>
      <c r="C2222" s="39" t="s">
        <v>147</v>
      </c>
      <c r="D2222" s="39" t="s">
        <v>137</v>
      </c>
      <c r="E2222" s="39" t="n">
        <v>30</v>
      </c>
      <c r="F2222" s="39" t="str">
        <f aca="false">IF(COUNTIF(medicine_master!$A$2:$A$26,C2222)&gt;0,"Valid","Invalid")</f>
        <v>Valid</v>
      </c>
      <c r="G2222" s="39" t="str">
        <f aca="false">IFERROR(INDEX(medicine_master!$B$2:$B$26,MATCH($C2222,medicine_master!$A$2:$A$26,0)),"Not found")</f>
        <v>Insulin Injection</v>
      </c>
      <c r="H2222" s="39" t="str">
        <f aca="false">IFERROR(INDEX(medicine_master!$C$2:$C$26,MATCH($C2222,medicine_master!$A$2:$A$26,0)),"Not found")</f>
        <v>Diabetes</v>
      </c>
      <c r="I2222" s="39" t="n">
        <f aca="false">YEAR(B2222)</f>
        <v>2026</v>
      </c>
      <c r="J2222" s="39" t="n">
        <f aca="false">MONTH(B2222)</f>
        <v>3</v>
      </c>
      <c r="K2222" s="39" t="str">
        <f aca="false">TEXT(B2222,"mmm")</f>
        <v>Mar</v>
      </c>
      <c r="L2222" s="45" t="n">
        <f aca="false">IFERROR(INDEX(medicine_master!$I$2:$I$26,MATCH($C2222,medicine_master!$A$2:$A$26,0)),0)</f>
        <v>225</v>
      </c>
      <c r="M2222" s="45" t="n">
        <f aca="false">IFERROR(INDEX(medicine_master!$G$2:$G$26,MATCH($C2222,medicine_master!$A$2:$A$26,0)),0)</f>
        <v>165</v>
      </c>
      <c r="N2222" s="45" t="n">
        <f aca="false">IF(D2222="Sale",E2222*L2222,0)</f>
        <v>6750</v>
      </c>
      <c r="O2222" s="45" t="n">
        <f aca="false">IF(D2222="Sale",E2222*M2222,0)</f>
        <v>4950</v>
      </c>
      <c r="P2222" s="45" t="n">
        <f aca="false">N2222-O2222</f>
        <v>1800</v>
      </c>
      <c r="Q2222" s="45" t="n">
        <f aca="false">IF(D2222="Purchase",E2222*M2222,0)</f>
        <v>0</v>
      </c>
    </row>
    <row r="2223" customFormat="false" ht="15" hidden="false" customHeight="false" outlineLevel="0" collapsed="false">
      <c r="A2223" s="39" t="s">
        <v>2547</v>
      </c>
      <c r="B2223" s="44" t="n">
        <v>46213</v>
      </c>
      <c r="C2223" s="39" t="s">
        <v>321</v>
      </c>
      <c r="D2223" s="39" t="s">
        <v>137</v>
      </c>
      <c r="E2223" s="39" t="n">
        <v>10</v>
      </c>
      <c r="F2223" s="39" t="str">
        <f aca="false">IF(COUNTIF(medicine_master!$A$2:$A$26,C2223)&gt;0,"Valid","Invalid")</f>
        <v>Valid</v>
      </c>
      <c r="G2223" s="39" t="str">
        <f aca="false">IFERROR(INDEX(medicine_master!$B$2:$B$26,MATCH($C2223,medicine_master!$A$2:$A$26,0)),"Not found")</f>
        <v>Levocetirizine 5mg</v>
      </c>
      <c r="H2223" s="39" t="str">
        <f aca="false">IFERROR(INDEX(medicine_master!$C$2:$C$26,MATCH($C2223,medicine_master!$A$2:$A$26,0)),"Not found")</f>
        <v>Allergy</v>
      </c>
      <c r="I2223" s="39" t="n">
        <f aca="false">YEAR(B2223)</f>
        <v>2026</v>
      </c>
      <c r="J2223" s="39" t="n">
        <f aca="false">MONTH(B2223)</f>
        <v>7</v>
      </c>
      <c r="K2223" s="39" t="str">
        <f aca="false">TEXT(B2223,"mmm")</f>
        <v>Jul</v>
      </c>
      <c r="L2223" s="45" t="n">
        <f aca="false">IFERROR(INDEX(medicine_master!$I$2:$I$26,MATCH($C2223,medicine_master!$A$2:$A$26,0)),0)</f>
        <v>22</v>
      </c>
      <c r="M2223" s="45" t="n">
        <f aca="false">IFERROR(INDEX(medicine_master!$G$2:$G$26,MATCH($C2223,medicine_master!$A$2:$A$26,0)),0)</f>
        <v>14</v>
      </c>
      <c r="N2223" s="45" t="n">
        <f aca="false">IF(D2223="Sale",E2223*L2223,0)</f>
        <v>220</v>
      </c>
      <c r="O2223" s="45" t="n">
        <f aca="false">IF(D2223="Sale",E2223*M2223,0)</f>
        <v>140</v>
      </c>
      <c r="P2223" s="45" t="n">
        <f aca="false">N2223-O2223</f>
        <v>80</v>
      </c>
      <c r="Q2223" s="45" t="n">
        <f aca="false">IF(D2223="Purchase",E2223*M2223,0)</f>
        <v>0</v>
      </c>
    </row>
    <row r="2224" customFormat="false" ht="15" hidden="false" customHeight="false" outlineLevel="0" collapsed="false">
      <c r="A2224" s="39" t="s">
        <v>2548</v>
      </c>
      <c r="B2224" s="44" t="n">
        <v>46118</v>
      </c>
      <c r="C2224" s="39" t="s">
        <v>147</v>
      </c>
      <c r="D2224" s="39" t="s">
        <v>137</v>
      </c>
      <c r="E2224" s="39" t="n">
        <v>20</v>
      </c>
      <c r="F2224" s="39" t="str">
        <f aca="false">IF(COUNTIF(medicine_master!$A$2:$A$26,C2224)&gt;0,"Valid","Invalid")</f>
        <v>Valid</v>
      </c>
      <c r="G2224" s="39" t="str">
        <f aca="false">IFERROR(INDEX(medicine_master!$B$2:$B$26,MATCH($C2224,medicine_master!$A$2:$A$26,0)),"Not found")</f>
        <v>Insulin Injection</v>
      </c>
      <c r="H2224" s="39" t="str">
        <f aca="false">IFERROR(INDEX(medicine_master!$C$2:$C$26,MATCH($C2224,medicine_master!$A$2:$A$26,0)),"Not found")</f>
        <v>Diabetes</v>
      </c>
      <c r="I2224" s="39" t="n">
        <f aca="false">YEAR(B2224)</f>
        <v>2026</v>
      </c>
      <c r="J2224" s="39" t="n">
        <f aca="false">MONTH(B2224)</f>
        <v>4</v>
      </c>
      <c r="K2224" s="39" t="str">
        <f aca="false">TEXT(B2224,"mmm")</f>
        <v>Apr</v>
      </c>
      <c r="L2224" s="45" t="n">
        <f aca="false">IFERROR(INDEX(medicine_master!$I$2:$I$26,MATCH($C2224,medicine_master!$A$2:$A$26,0)),0)</f>
        <v>225</v>
      </c>
      <c r="M2224" s="45" t="n">
        <f aca="false">IFERROR(INDEX(medicine_master!$G$2:$G$26,MATCH($C2224,medicine_master!$A$2:$A$26,0)),0)</f>
        <v>165</v>
      </c>
      <c r="N2224" s="45" t="n">
        <f aca="false">IF(D2224="Sale",E2224*L2224,0)</f>
        <v>4500</v>
      </c>
      <c r="O2224" s="45" t="n">
        <f aca="false">IF(D2224="Sale",E2224*M2224,0)</f>
        <v>3300</v>
      </c>
      <c r="P2224" s="45" t="n">
        <f aca="false">N2224-O2224</f>
        <v>1200</v>
      </c>
      <c r="Q2224" s="45" t="n">
        <f aca="false">IF(D2224="Purchase",E2224*M2224,0)</f>
        <v>0</v>
      </c>
    </row>
    <row r="2225" customFormat="false" ht="15" hidden="false" customHeight="false" outlineLevel="0" collapsed="false">
      <c r="A2225" s="39" t="s">
        <v>2549</v>
      </c>
      <c r="B2225" s="44" t="n">
        <v>46135</v>
      </c>
      <c r="C2225" s="39" t="s">
        <v>157</v>
      </c>
      <c r="D2225" s="39" t="s">
        <v>137</v>
      </c>
      <c r="E2225" s="39" t="n">
        <v>20</v>
      </c>
      <c r="F2225" s="39" t="str">
        <f aca="false">IF(COUNTIF(medicine_master!$A$2:$A$26,C2225)&gt;0,"Valid","Invalid")</f>
        <v>Valid</v>
      </c>
      <c r="G2225" s="39" t="str">
        <f aca="false">IFERROR(INDEX(medicine_master!$B$2:$B$26,MATCH($C2225,medicine_master!$A$2:$A$26,0)),"Not found")</f>
        <v>Multivitamin Tablets</v>
      </c>
      <c r="H2225" s="39" t="str">
        <f aca="false">IFERROR(INDEX(medicine_master!$C$2:$C$26,MATCH($C2225,medicine_master!$A$2:$A$26,0)),"Not found")</f>
        <v>Vitamin</v>
      </c>
      <c r="I2225" s="39" t="n">
        <f aca="false">YEAR(B2225)</f>
        <v>2026</v>
      </c>
      <c r="J2225" s="39" t="n">
        <f aca="false">MONTH(B2225)</f>
        <v>4</v>
      </c>
      <c r="K2225" s="39" t="str">
        <f aca="false">TEXT(B2225,"mmm")</f>
        <v>Apr</v>
      </c>
      <c r="L2225" s="45" t="n">
        <f aca="false">IFERROR(INDEX(medicine_master!$I$2:$I$26,MATCH($C2225,medicine_master!$A$2:$A$26,0)),0)</f>
        <v>105</v>
      </c>
      <c r="M2225" s="45" t="n">
        <f aca="false">IFERROR(INDEX(medicine_master!$G$2:$G$26,MATCH($C2225,medicine_master!$A$2:$A$26,0)),0)</f>
        <v>72</v>
      </c>
      <c r="N2225" s="45" t="n">
        <f aca="false">IF(D2225="Sale",E2225*L2225,0)</f>
        <v>2100</v>
      </c>
      <c r="O2225" s="45" t="n">
        <f aca="false">IF(D2225="Sale",E2225*M2225,0)</f>
        <v>1440</v>
      </c>
      <c r="P2225" s="45" t="n">
        <f aca="false">N2225-O2225</f>
        <v>660</v>
      </c>
      <c r="Q2225" s="45" t="n">
        <f aca="false">IF(D2225="Purchase",E2225*M2225,0)</f>
        <v>0</v>
      </c>
    </row>
    <row r="2226" customFormat="false" ht="15" hidden="false" customHeight="false" outlineLevel="0" collapsed="false">
      <c r="A2226" s="39" t="s">
        <v>2550</v>
      </c>
      <c r="B2226" s="44" t="n">
        <v>46143</v>
      </c>
      <c r="C2226" s="39" t="s">
        <v>152</v>
      </c>
      <c r="D2226" s="39" t="s">
        <v>137</v>
      </c>
      <c r="E2226" s="39" t="n">
        <v>15</v>
      </c>
      <c r="F2226" s="39" t="str">
        <f aca="false">IF(COUNTIF(medicine_master!$A$2:$A$26,C2226)&gt;0,"Valid","Invalid")</f>
        <v>Valid</v>
      </c>
      <c r="G2226" s="39" t="str">
        <f aca="false">IFERROR(INDEX(medicine_master!$B$2:$B$26,MATCH($C2226,medicine_master!$A$2:$A$26,0)),"Not found")</f>
        <v>Amoxicillin 500mg</v>
      </c>
      <c r="H2226" s="39" t="str">
        <f aca="false">IFERROR(INDEX(medicine_master!$C$2:$C$26,MATCH($C2226,medicine_master!$A$2:$A$26,0)),"Not found")</f>
        <v>Antibiotic</v>
      </c>
      <c r="I2226" s="39" t="n">
        <f aca="false">YEAR(B2226)</f>
        <v>2026</v>
      </c>
      <c r="J2226" s="39" t="n">
        <f aca="false">MONTH(B2226)</f>
        <v>5</v>
      </c>
      <c r="K2226" s="39" t="str">
        <f aca="false">TEXT(B2226,"mmm")</f>
        <v>May</v>
      </c>
      <c r="L2226" s="45" t="n">
        <f aca="false">IFERROR(INDEX(medicine_master!$I$2:$I$26,MATCH($C2226,medicine_master!$A$2:$A$26,0)),0)</f>
        <v>40</v>
      </c>
      <c r="M2226" s="45" t="n">
        <f aca="false">IFERROR(INDEX(medicine_master!$G$2:$G$26,MATCH($C2226,medicine_master!$A$2:$A$26,0)),0)</f>
        <v>28</v>
      </c>
      <c r="N2226" s="45" t="n">
        <f aca="false">IF(D2226="Sale",E2226*L2226,0)</f>
        <v>600</v>
      </c>
      <c r="O2226" s="45" t="n">
        <f aca="false">IF(D2226="Sale",E2226*M2226,0)</f>
        <v>420</v>
      </c>
      <c r="P2226" s="45" t="n">
        <f aca="false">N2226-O2226</f>
        <v>180</v>
      </c>
      <c r="Q2226" s="45" t="n">
        <f aca="false">IF(D2226="Purchase",E2226*M2226,0)</f>
        <v>0</v>
      </c>
    </row>
    <row r="2227" customFormat="false" ht="15" hidden="false" customHeight="false" outlineLevel="0" collapsed="false">
      <c r="A2227" s="39" t="s">
        <v>2551</v>
      </c>
      <c r="B2227" s="44" t="n">
        <v>46282</v>
      </c>
      <c r="C2227" s="39" t="s">
        <v>180</v>
      </c>
      <c r="D2227" s="39" t="s">
        <v>138</v>
      </c>
      <c r="E2227" s="39" t="n">
        <v>25</v>
      </c>
      <c r="F2227" s="39" t="str">
        <f aca="false">IF(COUNTIF(medicine_master!$A$2:$A$26,C2227)&gt;0,"Valid","Invalid")</f>
        <v>Valid</v>
      </c>
      <c r="G2227" s="39" t="str">
        <f aca="false">IFERROR(INDEX(medicine_master!$B$2:$B$26,MATCH($C2227,medicine_master!$A$2:$A$26,0)),"Not found")</f>
        <v>Vitamin C 500mg</v>
      </c>
      <c r="H2227" s="39" t="str">
        <f aca="false">IFERROR(INDEX(medicine_master!$C$2:$C$26,MATCH($C2227,medicine_master!$A$2:$A$26,0)),"Not found")</f>
        <v>Vitamin</v>
      </c>
      <c r="I2227" s="39" t="n">
        <f aca="false">YEAR(B2227)</f>
        <v>2026</v>
      </c>
      <c r="J2227" s="39" t="n">
        <f aca="false">MONTH(B2227)</f>
        <v>9</v>
      </c>
      <c r="K2227" s="39" t="str">
        <f aca="false">TEXT(B2227,"mmm")</f>
        <v>Sep</v>
      </c>
      <c r="L2227" s="45" t="n">
        <f aca="false">IFERROR(INDEX(medicine_master!$I$2:$I$26,MATCH($C2227,medicine_master!$A$2:$A$26,0)),0)</f>
        <v>22</v>
      </c>
      <c r="M2227" s="45" t="n">
        <f aca="false">IFERROR(INDEX(medicine_master!$G$2:$G$26,MATCH($C2227,medicine_master!$A$2:$A$26,0)),0)</f>
        <v>14</v>
      </c>
      <c r="N2227" s="45" t="n">
        <f aca="false">IF(D2227="Sale",E2227*L2227,0)</f>
        <v>0</v>
      </c>
      <c r="O2227" s="45" t="n">
        <f aca="false">IF(D2227="Sale",E2227*M2227,0)</f>
        <v>0</v>
      </c>
      <c r="P2227" s="45" t="n">
        <f aca="false">N2227-O2227</f>
        <v>0</v>
      </c>
      <c r="Q2227" s="45" t="n">
        <f aca="false">IF(D2227="Purchase",E2227*M2227,0)</f>
        <v>350</v>
      </c>
    </row>
    <row r="2228" customFormat="false" ht="15" hidden="false" customHeight="false" outlineLevel="0" collapsed="false">
      <c r="A2228" s="39" t="s">
        <v>2552</v>
      </c>
      <c r="B2228" s="44" t="n">
        <v>46311</v>
      </c>
      <c r="C2228" s="39" t="s">
        <v>157</v>
      </c>
      <c r="D2228" s="39" t="s">
        <v>137</v>
      </c>
      <c r="E2228" s="39" t="n">
        <v>50</v>
      </c>
      <c r="F2228" s="39" t="str">
        <f aca="false">IF(COUNTIF(medicine_master!$A$2:$A$26,C2228)&gt;0,"Valid","Invalid")</f>
        <v>Valid</v>
      </c>
      <c r="G2228" s="39" t="str">
        <f aca="false">IFERROR(INDEX(medicine_master!$B$2:$B$26,MATCH($C2228,medicine_master!$A$2:$A$26,0)),"Not found")</f>
        <v>Multivitamin Tablets</v>
      </c>
      <c r="H2228" s="39" t="str">
        <f aca="false">IFERROR(INDEX(medicine_master!$C$2:$C$26,MATCH($C2228,medicine_master!$A$2:$A$26,0)),"Not found")</f>
        <v>Vitamin</v>
      </c>
      <c r="I2228" s="39" t="n">
        <f aca="false">YEAR(B2228)</f>
        <v>2026</v>
      </c>
      <c r="J2228" s="39" t="n">
        <f aca="false">MONTH(B2228)</f>
        <v>10</v>
      </c>
      <c r="K2228" s="39" t="str">
        <f aca="false">TEXT(B2228,"mmm")</f>
        <v>Oct</v>
      </c>
      <c r="L2228" s="45" t="n">
        <f aca="false">IFERROR(INDEX(medicine_master!$I$2:$I$26,MATCH($C2228,medicine_master!$A$2:$A$26,0)),0)</f>
        <v>105</v>
      </c>
      <c r="M2228" s="45" t="n">
        <f aca="false">IFERROR(INDEX(medicine_master!$G$2:$G$26,MATCH($C2228,medicine_master!$A$2:$A$26,0)),0)</f>
        <v>72</v>
      </c>
      <c r="N2228" s="45" t="n">
        <f aca="false">IF(D2228="Sale",E2228*L2228,0)</f>
        <v>5250</v>
      </c>
      <c r="O2228" s="45" t="n">
        <f aca="false">IF(D2228="Sale",E2228*M2228,0)</f>
        <v>3600</v>
      </c>
      <c r="P2228" s="45" t="n">
        <f aca="false">N2228-O2228</f>
        <v>1650</v>
      </c>
      <c r="Q2228" s="45" t="n">
        <f aca="false">IF(D2228="Purchase",E2228*M2228,0)</f>
        <v>0</v>
      </c>
    </row>
    <row r="2229" customFormat="false" ht="15" hidden="false" customHeight="false" outlineLevel="0" collapsed="false">
      <c r="A2229" s="39" t="s">
        <v>2553</v>
      </c>
      <c r="B2229" s="44" t="n">
        <v>46270</v>
      </c>
      <c r="C2229" s="39" t="s">
        <v>148</v>
      </c>
      <c r="D2229" s="39" t="s">
        <v>137</v>
      </c>
      <c r="E2229" s="39" t="n">
        <v>15</v>
      </c>
      <c r="F2229" s="39" t="str">
        <f aca="false">IF(COUNTIF(medicine_master!$A$2:$A$26,C2229)&gt;0,"Valid","Invalid")</f>
        <v>Valid</v>
      </c>
      <c r="G2229" s="39" t="str">
        <f aca="false">IFERROR(INDEX(medicine_master!$B$2:$B$26,MATCH($C2229,medicine_master!$A$2:$A$26,0)),"Not found")</f>
        <v>Dextromethorphan Syrup</v>
      </c>
      <c r="H2229" s="39" t="str">
        <f aca="false">IFERROR(INDEX(medicine_master!$C$2:$C$26,MATCH($C2229,medicine_master!$A$2:$A$26,0)),"Not found")</f>
        <v>Cold &amp; Cough</v>
      </c>
      <c r="I2229" s="39" t="n">
        <f aca="false">YEAR(B2229)</f>
        <v>2026</v>
      </c>
      <c r="J2229" s="39" t="n">
        <f aca="false">MONTH(B2229)</f>
        <v>9</v>
      </c>
      <c r="K2229" s="39" t="str">
        <f aca="false">TEXT(B2229,"mmm")</f>
        <v>Sep</v>
      </c>
      <c r="L2229" s="45" t="n">
        <f aca="false">IFERROR(INDEX(medicine_master!$I$2:$I$26,MATCH($C2229,medicine_master!$A$2:$A$26,0)),0)</f>
        <v>80</v>
      </c>
      <c r="M2229" s="45" t="n">
        <f aca="false">IFERROR(INDEX(medicine_master!$G$2:$G$26,MATCH($C2229,medicine_master!$A$2:$A$26,0)),0)</f>
        <v>58</v>
      </c>
      <c r="N2229" s="45" t="n">
        <f aca="false">IF(D2229="Sale",E2229*L2229,0)</f>
        <v>1200</v>
      </c>
      <c r="O2229" s="45" t="n">
        <f aca="false">IF(D2229="Sale",E2229*M2229,0)</f>
        <v>870</v>
      </c>
      <c r="P2229" s="45" t="n">
        <f aca="false">N2229-O2229</f>
        <v>330</v>
      </c>
      <c r="Q2229" s="45" t="n">
        <f aca="false">IF(D2229="Purchase",E2229*M2229,0)</f>
        <v>0</v>
      </c>
    </row>
    <row r="2230" customFormat="false" ht="15" hidden="false" customHeight="false" outlineLevel="0" collapsed="false">
      <c r="A2230" s="39" t="s">
        <v>2554</v>
      </c>
      <c r="B2230" s="44" t="n">
        <v>46064</v>
      </c>
      <c r="C2230" s="39" t="s">
        <v>144</v>
      </c>
      <c r="D2230" s="39" t="s">
        <v>137</v>
      </c>
      <c r="E2230" s="39" t="n">
        <v>30</v>
      </c>
      <c r="F2230" s="39" t="str">
        <f aca="false">IF(COUNTIF(medicine_master!$A$2:$A$26,C2230)&gt;0,"Valid","Invalid")</f>
        <v>Valid</v>
      </c>
      <c r="G2230" s="39" t="str">
        <f aca="false">IFERROR(INDEX(medicine_master!$B$2:$B$26,MATCH($C2230,medicine_master!$A$2:$A$26,0)),"Not found")</f>
        <v>Glimepiride 2mg</v>
      </c>
      <c r="H2230" s="39" t="str">
        <f aca="false">IFERROR(INDEX(medicine_master!$C$2:$C$26,MATCH($C2230,medicine_master!$A$2:$A$26,0)),"Not found")</f>
        <v>Diabetes</v>
      </c>
      <c r="I2230" s="39" t="n">
        <f aca="false">YEAR(B2230)</f>
        <v>2026</v>
      </c>
      <c r="J2230" s="39" t="n">
        <f aca="false">MONTH(B2230)</f>
        <v>2</v>
      </c>
      <c r="K2230" s="39" t="str">
        <f aca="false">TEXT(B2230,"mmm")</f>
        <v>Feb</v>
      </c>
      <c r="L2230" s="45" t="n">
        <f aca="false">IFERROR(INDEX(medicine_master!$I$2:$I$26,MATCH($C2230,medicine_master!$A$2:$A$26,0)),0)</f>
        <v>52</v>
      </c>
      <c r="M2230" s="45" t="n">
        <f aca="false">IFERROR(INDEX(medicine_master!$G$2:$G$26,MATCH($C2230,medicine_master!$A$2:$A$26,0)),0)</f>
        <v>38</v>
      </c>
      <c r="N2230" s="45" t="n">
        <f aca="false">IF(D2230="Sale",E2230*L2230,0)</f>
        <v>1560</v>
      </c>
      <c r="O2230" s="45" t="n">
        <f aca="false">IF(D2230="Sale",E2230*M2230,0)</f>
        <v>1140</v>
      </c>
      <c r="P2230" s="45" t="n">
        <f aca="false">N2230-O2230</f>
        <v>420</v>
      </c>
      <c r="Q2230" s="45" t="n">
        <f aca="false">IF(D2230="Purchase",E2230*M2230,0)</f>
        <v>0</v>
      </c>
    </row>
    <row r="2231" customFormat="false" ht="15" hidden="false" customHeight="false" outlineLevel="0" collapsed="false">
      <c r="A2231" s="39" t="s">
        <v>2555</v>
      </c>
      <c r="B2231" s="44" t="n">
        <v>46137</v>
      </c>
      <c r="C2231" s="39" t="s">
        <v>326</v>
      </c>
      <c r="D2231" s="39" t="s">
        <v>137</v>
      </c>
      <c r="E2231" s="39" t="n">
        <v>50</v>
      </c>
      <c r="F2231" s="39" t="str">
        <f aca="false">IF(COUNTIF(medicine_master!$A$2:$A$26,C2231)&gt;0,"Valid","Invalid")</f>
        <v>Valid</v>
      </c>
      <c r="G2231" s="39" t="str">
        <f aca="false">IFERROR(INDEX(medicine_master!$B$2:$B$26,MATCH($C2231,medicine_master!$A$2:$A$26,0)),"Not found")</f>
        <v>Omeprazole 20mg</v>
      </c>
      <c r="H2231" s="39" t="str">
        <f aca="false">IFERROR(INDEX(medicine_master!$C$2:$C$26,MATCH($C2231,medicine_master!$A$2:$A$26,0)),"Not found")</f>
        <v>Gastric</v>
      </c>
      <c r="I2231" s="39" t="n">
        <f aca="false">YEAR(B2231)</f>
        <v>2026</v>
      </c>
      <c r="J2231" s="39" t="n">
        <f aca="false">MONTH(B2231)</f>
        <v>4</v>
      </c>
      <c r="K2231" s="39" t="str">
        <f aca="false">TEXT(B2231,"mmm")</f>
        <v>Apr</v>
      </c>
      <c r="L2231" s="45" t="n">
        <f aca="false">IFERROR(INDEX(medicine_master!$I$2:$I$26,MATCH($C2231,medicine_master!$A$2:$A$26,0)),0)</f>
        <v>26</v>
      </c>
      <c r="M2231" s="45" t="n">
        <f aca="false">IFERROR(INDEX(medicine_master!$G$2:$G$26,MATCH($C2231,medicine_master!$A$2:$A$26,0)),0)</f>
        <v>18</v>
      </c>
      <c r="N2231" s="45" t="n">
        <f aca="false">IF(D2231="Sale",E2231*L2231,0)</f>
        <v>1300</v>
      </c>
      <c r="O2231" s="45" t="n">
        <f aca="false">IF(D2231="Sale",E2231*M2231,0)</f>
        <v>900</v>
      </c>
      <c r="P2231" s="45" t="n">
        <f aca="false">N2231-O2231</f>
        <v>400</v>
      </c>
      <c r="Q2231" s="45" t="n">
        <f aca="false">IF(D2231="Purchase",E2231*M2231,0)</f>
        <v>0</v>
      </c>
    </row>
    <row r="2232" customFormat="false" ht="15" hidden="false" customHeight="false" outlineLevel="0" collapsed="false">
      <c r="A2232" s="39" t="s">
        <v>2556</v>
      </c>
      <c r="B2232" s="44" t="n">
        <v>46264</v>
      </c>
      <c r="C2232" s="39" t="s">
        <v>153</v>
      </c>
      <c r="D2232" s="39" t="s">
        <v>137</v>
      </c>
      <c r="E2232" s="39" t="n">
        <v>30</v>
      </c>
      <c r="F2232" s="39" t="str">
        <f aca="false">IF(COUNTIF(medicine_master!$A$2:$A$26,C2232)&gt;0,"Valid","Invalid")</f>
        <v>Valid</v>
      </c>
      <c r="G2232" s="39" t="str">
        <f aca="false">IFERROR(INDEX(medicine_master!$B$2:$B$26,MATCH($C2232,medicine_master!$A$2:$A$26,0)),"Not found")</f>
        <v>Atorvastatin 10mg</v>
      </c>
      <c r="H2232" s="39" t="str">
        <f aca="false">IFERROR(INDEX(medicine_master!$C$2:$C$26,MATCH($C2232,medicine_master!$A$2:$A$26,0)),"Not found")</f>
        <v>Cardiac</v>
      </c>
      <c r="I2232" s="39" t="n">
        <f aca="false">YEAR(B2232)</f>
        <v>2026</v>
      </c>
      <c r="J2232" s="39" t="n">
        <f aca="false">MONTH(B2232)</f>
        <v>8</v>
      </c>
      <c r="K2232" s="39" t="str">
        <f aca="false">TEXT(B2232,"mmm")</f>
        <v>Aug</v>
      </c>
      <c r="L2232" s="45" t="n">
        <f aca="false">IFERROR(INDEX(medicine_master!$I$2:$I$26,MATCH($C2232,medicine_master!$A$2:$A$26,0)),0)</f>
        <v>28</v>
      </c>
      <c r="M2232" s="45" t="n">
        <f aca="false">IFERROR(INDEX(medicine_master!$G$2:$G$26,MATCH($C2232,medicine_master!$A$2:$A$26,0)),0)</f>
        <v>19</v>
      </c>
      <c r="N2232" s="45" t="n">
        <f aca="false">IF(D2232="Sale",E2232*L2232,0)</f>
        <v>840</v>
      </c>
      <c r="O2232" s="45" t="n">
        <f aca="false">IF(D2232="Sale",E2232*M2232,0)</f>
        <v>570</v>
      </c>
      <c r="P2232" s="45" t="n">
        <f aca="false">N2232-O2232</f>
        <v>270</v>
      </c>
      <c r="Q2232" s="45" t="n">
        <f aca="false">IF(D2232="Purchase",E2232*M2232,0)</f>
        <v>0</v>
      </c>
    </row>
    <row r="2233" customFormat="false" ht="15" hidden="false" customHeight="false" outlineLevel="0" collapsed="false">
      <c r="A2233" s="39" t="s">
        <v>2557</v>
      </c>
      <c r="B2233" s="44" t="n">
        <v>46264</v>
      </c>
      <c r="C2233" s="39" t="s">
        <v>147</v>
      </c>
      <c r="D2233" s="39" t="s">
        <v>137</v>
      </c>
      <c r="E2233" s="39" t="n">
        <v>20</v>
      </c>
      <c r="F2233" s="39" t="str">
        <f aca="false">IF(COUNTIF(medicine_master!$A$2:$A$26,C2233)&gt;0,"Valid","Invalid")</f>
        <v>Valid</v>
      </c>
      <c r="G2233" s="39" t="str">
        <f aca="false">IFERROR(INDEX(medicine_master!$B$2:$B$26,MATCH($C2233,medicine_master!$A$2:$A$26,0)),"Not found")</f>
        <v>Insulin Injection</v>
      </c>
      <c r="H2233" s="39" t="str">
        <f aca="false">IFERROR(INDEX(medicine_master!$C$2:$C$26,MATCH($C2233,medicine_master!$A$2:$A$26,0)),"Not found")</f>
        <v>Diabetes</v>
      </c>
      <c r="I2233" s="39" t="n">
        <f aca="false">YEAR(B2233)</f>
        <v>2026</v>
      </c>
      <c r="J2233" s="39" t="n">
        <f aca="false">MONTH(B2233)</f>
        <v>8</v>
      </c>
      <c r="K2233" s="39" t="str">
        <f aca="false">TEXT(B2233,"mmm")</f>
        <v>Aug</v>
      </c>
      <c r="L2233" s="45" t="n">
        <f aca="false">IFERROR(INDEX(medicine_master!$I$2:$I$26,MATCH($C2233,medicine_master!$A$2:$A$26,0)),0)</f>
        <v>225</v>
      </c>
      <c r="M2233" s="45" t="n">
        <f aca="false">IFERROR(INDEX(medicine_master!$G$2:$G$26,MATCH($C2233,medicine_master!$A$2:$A$26,0)),0)</f>
        <v>165</v>
      </c>
      <c r="N2233" s="45" t="n">
        <f aca="false">IF(D2233="Sale",E2233*L2233,0)</f>
        <v>4500</v>
      </c>
      <c r="O2233" s="45" t="n">
        <f aca="false">IF(D2233="Sale",E2233*M2233,0)</f>
        <v>3300</v>
      </c>
      <c r="P2233" s="45" t="n">
        <f aca="false">N2233-O2233</f>
        <v>1200</v>
      </c>
      <c r="Q2233" s="45" t="n">
        <f aca="false">IF(D2233="Purchase",E2233*M2233,0)</f>
        <v>0</v>
      </c>
    </row>
    <row r="2234" customFormat="false" ht="15" hidden="false" customHeight="false" outlineLevel="0" collapsed="false">
      <c r="A2234" s="39" t="s">
        <v>2558</v>
      </c>
      <c r="B2234" s="44" t="n">
        <v>46134</v>
      </c>
      <c r="C2234" s="39" t="s">
        <v>390</v>
      </c>
      <c r="D2234" s="39" t="s">
        <v>138</v>
      </c>
      <c r="E2234" s="39" t="n">
        <v>15</v>
      </c>
      <c r="F2234" s="39" t="str">
        <f aca="false">IF(COUNTIF(medicine_master!$A$2:$A$26,C2234)&gt;0,"Valid","Invalid")</f>
        <v>Valid</v>
      </c>
      <c r="G2234" s="39" t="str">
        <f aca="false">IFERROR(INDEX(medicine_master!$B$2:$B$26,MATCH($C2234,medicine_master!$A$2:$A$26,0)),"Not found")</f>
        <v>Montelukast 10mg</v>
      </c>
      <c r="H2234" s="39" t="str">
        <f aca="false">IFERROR(INDEX(medicine_master!$C$2:$C$26,MATCH($C2234,medicine_master!$A$2:$A$26,0)),"Not found")</f>
        <v>Allergy</v>
      </c>
      <c r="I2234" s="39" t="n">
        <f aca="false">YEAR(B2234)</f>
        <v>2026</v>
      </c>
      <c r="J2234" s="39" t="n">
        <f aca="false">MONTH(B2234)</f>
        <v>4</v>
      </c>
      <c r="K2234" s="39" t="str">
        <f aca="false">TEXT(B2234,"mmm")</f>
        <v>Apr</v>
      </c>
      <c r="L2234" s="45" t="n">
        <f aca="false">IFERROR(INDEX(medicine_master!$I$2:$I$26,MATCH($C2234,medicine_master!$A$2:$A$26,0)),0)</f>
        <v>39</v>
      </c>
      <c r="M2234" s="45" t="n">
        <f aca="false">IFERROR(INDEX(medicine_master!$G$2:$G$26,MATCH($C2234,medicine_master!$A$2:$A$26,0)),0)</f>
        <v>27</v>
      </c>
      <c r="N2234" s="45" t="n">
        <f aca="false">IF(D2234="Sale",E2234*L2234,0)</f>
        <v>0</v>
      </c>
      <c r="O2234" s="45" t="n">
        <f aca="false">IF(D2234="Sale",E2234*M2234,0)</f>
        <v>0</v>
      </c>
      <c r="P2234" s="45" t="n">
        <f aca="false">N2234-O2234</f>
        <v>0</v>
      </c>
      <c r="Q2234" s="45" t="n">
        <f aca="false">IF(D2234="Purchase",E2234*M2234,0)</f>
        <v>405</v>
      </c>
    </row>
    <row r="2235" customFormat="false" ht="15" hidden="false" customHeight="false" outlineLevel="0" collapsed="false">
      <c r="A2235" s="39" t="s">
        <v>2559</v>
      </c>
      <c r="B2235" s="44" t="n">
        <v>46225</v>
      </c>
      <c r="C2235" s="39" t="s">
        <v>345</v>
      </c>
      <c r="D2235" s="39" t="s">
        <v>137</v>
      </c>
      <c r="E2235" s="39" t="n">
        <v>30</v>
      </c>
      <c r="F2235" s="39" t="str">
        <f aca="false">IF(COUNTIF(medicine_master!$A$2:$A$26,C2235)&gt;0,"Valid","Invalid")</f>
        <v>Valid</v>
      </c>
      <c r="G2235" s="39" t="str">
        <f aca="false">IFERROR(INDEX(medicine_master!$B$2:$B$26,MATCH($C2235,medicine_master!$A$2:$A$26,0)),"Not found")</f>
        <v>Paracetamol 500mg</v>
      </c>
      <c r="H2235" s="39" t="str">
        <f aca="false">IFERROR(INDEX(medicine_master!$C$2:$C$26,MATCH($C2235,medicine_master!$A$2:$A$26,0)),"Not found")</f>
        <v>Pain Relief</v>
      </c>
      <c r="I2235" s="39" t="n">
        <f aca="false">YEAR(B2235)</f>
        <v>2026</v>
      </c>
      <c r="J2235" s="39" t="n">
        <f aca="false">MONTH(B2235)</f>
        <v>7</v>
      </c>
      <c r="K2235" s="39" t="str">
        <f aca="false">TEXT(B2235,"mmm")</f>
        <v>Jul</v>
      </c>
      <c r="L2235" s="45" t="n">
        <f aca="false">IFERROR(INDEX(medicine_master!$I$2:$I$26,MATCH($C2235,medicine_master!$A$2:$A$26,0)),0)</f>
        <v>18</v>
      </c>
      <c r="M2235" s="45" t="n">
        <f aca="false">IFERROR(INDEX(medicine_master!$G$2:$G$26,MATCH($C2235,medicine_master!$A$2:$A$26,0)),0)</f>
        <v>12</v>
      </c>
      <c r="N2235" s="45" t="n">
        <f aca="false">IF(D2235="Sale",E2235*L2235,0)</f>
        <v>540</v>
      </c>
      <c r="O2235" s="45" t="n">
        <f aca="false">IF(D2235="Sale",E2235*M2235,0)</f>
        <v>360</v>
      </c>
      <c r="P2235" s="45" t="n">
        <f aca="false">N2235-O2235</f>
        <v>180</v>
      </c>
      <c r="Q2235" s="45" t="n">
        <f aca="false">IF(D2235="Purchase",E2235*M2235,0)</f>
        <v>0</v>
      </c>
    </row>
    <row r="2236" customFormat="false" ht="15" hidden="false" customHeight="false" outlineLevel="0" collapsed="false">
      <c r="A2236" s="39" t="s">
        <v>2560</v>
      </c>
      <c r="B2236" s="44" t="n">
        <v>46189</v>
      </c>
      <c r="C2236" s="39" t="s">
        <v>146</v>
      </c>
      <c r="D2236" s="39" t="s">
        <v>137</v>
      </c>
      <c r="E2236" s="39" t="n">
        <v>30</v>
      </c>
      <c r="F2236" s="39" t="str">
        <f aca="false">IF(COUNTIF(medicine_master!$A$2:$A$26,C2236)&gt;0,"Valid","Invalid")</f>
        <v>Valid</v>
      </c>
      <c r="G2236" s="39" t="str">
        <f aca="false">IFERROR(INDEX(medicine_master!$B$2:$B$26,MATCH($C2236,medicine_master!$A$2:$A$26,0)),"Not found")</f>
        <v>Diclofenac Gel</v>
      </c>
      <c r="H2236" s="39" t="str">
        <f aca="false">IFERROR(INDEX(medicine_master!$C$2:$C$26,MATCH($C2236,medicine_master!$A$2:$A$26,0)),"Not found")</f>
        <v>Pain Relief</v>
      </c>
      <c r="I2236" s="39" t="n">
        <f aca="false">YEAR(B2236)</f>
        <v>2026</v>
      </c>
      <c r="J2236" s="39" t="n">
        <f aca="false">MONTH(B2236)</f>
        <v>6</v>
      </c>
      <c r="K2236" s="39" t="str">
        <f aca="false">TEXT(B2236,"mmm")</f>
        <v>Jun</v>
      </c>
      <c r="L2236" s="45" t="n">
        <f aca="false">IFERROR(INDEX(medicine_master!$I$2:$I$26,MATCH($C2236,medicine_master!$A$2:$A$26,0)),0)</f>
        <v>55</v>
      </c>
      <c r="M2236" s="45" t="n">
        <f aca="false">IFERROR(INDEX(medicine_master!$G$2:$G$26,MATCH($C2236,medicine_master!$A$2:$A$26,0)),0)</f>
        <v>38</v>
      </c>
      <c r="N2236" s="45" t="n">
        <f aca="false">IF(D2236="Sale",E2236*L2236,0)</f>
        <v>1650</v>
      </c>
      <c r="O2236" s="45" t="n">
        <f aca="false">IF(D2236="Sale",E2236*M2236,0)</f>
        <v>1140</v>
      </c>
      <c r="P2236" s="45" t="n">
        <f aca="false">N2236-O2236</f>
        <v>510</v>
      </c>
      <c r="Q2236" s="45" t="n">
        <f aca="false">IF(D2236="Purchase",E2236*M2236,0)</f>
        <v>0</v>
      </c>
    </row>
    <row r="2237" customFormat="false" ht="15" hidden="false" customHeight="false" outlineLevel="0" collapsed="false">
      <c r="A2237" s="39" t="s">
        <v>2561</v>
      </c>
      <c r="B2237" s="44" t="n">
        <v>46303</v>
      </c>
      <c r="C2237" s="39" t="s">
        <v>178</v>
      </c>
      <c r="D2237" s="39" t="s">
        <v>137</v>
      </c>
      <c r="E2237" s="39" t="n">
        <v>30</v>
      </c>
      <c r="F2237" s="39" t="str">
        <f aca="false">IF(COUNTIF(medicine_master!$A$2:$A$26,C2237)&gt;0,"Valid","Invalid")</f>
        <v>Valid</v>
      </c>
      <c r="G2237" s="39" t="str">
        <f aca="false">IFERROR(INDEX(medicine_master!$B$2:$B$26,MATCH($C2237,medicine_master!$A$2:$A$26,0)),"Not found")</f>
        <v>Aspirin 75mg</v>
      </c>
      <c r="H2237" s="39" t="str">
        <f aca="false">IFERROR(INDEX(medicine_master!$C$2:$C$26,MATCH($C2237,medicine_master!$A$2:$A$26,0)),"Not found")</f>
        <v>Cardiac</v>
      </c>
      <c r="I2237" s="39" t="n">
        <f aca="false">YEAR(B2237)</f>
        <v>2026</v>
      </c>
      <c r="J2237" s="39" t="n">
        <f aca="false">MONTH(B2237)</f>
        <v>10</v>
      </c>
      <c r="K2237" s="39" t="str">
        <f aca="false">TEXT(B2237,"mmm")</f>
        <v>Oct</v>
      </c>
      <c r="L2237" s="45" t="n">
        <f aca="false">IFERROR(INDEX(medicine_master!$I$2:$I$26,MATCH($C2237,medicine_master!$A$2:$A$26,0)),0)</f>
        <v>15</v>
      </c>
      <c r="M2237" s="45" t="n">
        <f aca="false">IFERROR(INDEX(medicine_master!$G$2:$G$26,MATCH($C2237,medicine_master!$A$2:$A$26,0)),0)</f>
        <v>10</v>
      </c>
      <c r="N2237" s="45" t="n">
        <f aca="false">IF(D2237="Sale",E2237*L2237,0)</f>
        <v>450</v>
      </c>
      <c r="O2237" s="45" t="n">
        <f aca="false">IF(D2237="Sale",E2237*M2237,0)</f>
        <v>300</v>
      </c>
      <c r="P2237" s="45" t="n">
        <f aca="false">N2237-O2237</f>
        <v>150</v>
      </c>
      <c r="Q2237" s="45" t="n">
        <f aca="false">IF(D2237="Purchase",E2237*M2237,0)</f>
        <v>0</v>
      </c>
    </row>
    <row r="2238" customFormat="false" ht="15" hidden="false" customHeight="false" outlineLevel="0" collapsed="false">
      <c r="A2238" s="39" t="s">
        <v>2562</v>
      </c>
      <c r="B2238" s="44" t="n">
        <v>46042</v>
      </c>
      <c r="C2238" s="39" t="s">
        <v>150</v>
      </c>
      <c r="D2238" s="39" t="s">
        <v>137</v>
      </c>
      <c r="E2238" s="39" t="n">
        <v>50</v>
      </c>
      <c r="F2238" s="39" t="str">
        <f aca="false">IF(COUNTIF(medicine_master!$A$2:$A$26,C2238)&gt;0,"Valid","Invalid")</f>
        <v>Valid</v>
      </c>
      <c r="G2238" s="39" t="str">
        <f aca="false">IFERROR(INDEX(medicine_master!$B$2:$B$26,MATCH($C2238,medicine_master!$A$2:$A$26,0)),"Not found")</f>
        <v>Pantoprazole 40mg</v>
      </c>
      <c r="H2238" s="39" t="str">
        <f aca="false">IFERROR(INDEX(medicine_master!$C$2:$C$26,MATCH($C2238,medicine_master!$A$2:$A$26,0)),"Not found")</f>
        <v>Gastric</v>
      </c>
      <c r="I2238" s="39" t="n">
        <f aca="false">YEAR(B2238)</f>
        <v>2026</v>
      </c>
      <c r="J2238" s="39" t="n">
        <f aca="false">MONTH(B2238)</f>
        <v>1</v>
      </c>
      <c r="K2238" s="39" t="str">
        <f aca="false">TEXT(B2238,"mmm")</f>
        <v>Jan</v>
      </c>
      <c r="L2238" s="45" t="n">
        <f aca="false">IFERROR(INDEX(medicine_master!$I$2:$I$26,MATCH($C2238,medicine_master!$A$2:$A$26,0)),0)</f>
        <v>35</v>
      </c>
      <c r="M2238" s="45" t="n">
        <f aca="false">IFERROR(INDEX(medicine_master!$G$2:$G$26,MATCH($C2238,medicine_master!$A$2:$A$26,0)),0)</f>
        <v>24</v>
      </c>
      <c r="N2238" s="45" t="n">
        <f aca="false">IF(D2238="Sale",E2238*L2238,0)</f>
        <v>1750</v>
      </c>
      <c r="O2238" s="45" t="n">
        <f aca="false">IF(D2238="Sale",E2238*M2238,0)</f>
        <v>1200</v>
      </c>
      <c r="P2238" s="45" t="n">
        <f aca="false">N2238-O2238</f>
        <v>550</v>
      </c>
      <c r="Q2238" s="45" t="n">
        <f aca="false">IF(D2238="Purchase",E2238*M2238,0)</f>
        <v>0</v>
      </c>
    </row>
    <row r="2239" customFormat="false" ht="15" hidden="false" customHeight="false" outlineLevel="0" collapsed="false">
      <c r="A2239" s="39" t="s">
        <v>2563</v>
      </c>
      <c r="B2239" s="44" t="n">
        <v>46039</v>
      </c>
      <c r="C2239" s="39" t="s">
        <v>178</v>
      </c>
      <c r="D2239" s="39" t="s">
        <v>138</v>
      </c>
      <c r="E2239" s="39" t="n">
        <v>30</v>
      </c>
      <c r="F2239" s="39" t="str">
        <f aca="false">IF(COUNTIF(medicine_master!$A$2:$A$26,C2239)&gt;0,"Valid","Invalid")</f>
        <v>Valid</v>
      </c>
      <c r="G2239" s="39" t="str">
        <f aca="false">IFERROR(INDEX(medicine_master!$B$2:$B$26,MATCH($C2239,medicine_master!$A$2:$A$26,0)),"Not found")</f>
        <v>Aspirin 75mg</v>
      </c>
      <c r="H2239" s="39" t="str">
        <f aca="false">IFERROR(INDEX(medicine_master!$C$2:$C$26,MATCH($C2239,medicine_master!$A$2:$A$26,0)),"Not found")</f>
        <v>Cardiac</v>
      </c>
      <c r="I2239" s="39" t="n">
        <f aca="false">YEAR(B2239)</f>
        <v>2026</v>
      </c>
      <c r="J2239" s="39" t="n">
        <f aca="false">MONTH(B2239)</f>
        <v>1</v>
      </c>
      <c r="K2239" s="39" t="str">
        <f aca="false">TEXT(B2239,"mmm")</f>
        <v>Jan</v>
      </c>
      <c r="L2239" s="45" t="n">
        <f aca="false">IFERROR(INDEX(medicine_master!$I$2:$I$26,MATCH($C2239,medicine_master!$A$2:$A$26,0)),0)</f>
        <v>15</v>
      </c>
      <c r="M2239" s="45" t="n">
        <f aca="false">IFERROR(INDEX(medicine_master!$G$2:$G$26,MATCH($C2239,medicine_master!$A$2:$A$26,0)),0)</f>
        <v>10</v>
      </c>
      <c r="N2239" s="45" t="n">
        <f aca="false">IF(D2239="Sale",E2239*L2239,0)</f>
        <v>0</v>
      </c>
      <c r="O2239" s="45" t="n">
        <f aca="false">IF(D2239="Sale",E2239*M2239,0)</f>
        <v>0</v>
      </c>
      <c r="P2239" s="45" t="n">
        <f aca="false">N2239-O2239</f>
        <v>0</v>
      </c>
      <c r="Q2239" s="45" t="n">
        <f aca="false">IF(D2239="Purchase",E2239*M2239,0)</f>
        <v>300</v>
      </c>
    </row>
    <row r="2240" customFormat="false" ht="15" hidden="false" customHeight="false" outlineLevel="0" collapsed="false">
      <c r="A2240" s="39" t="s">
        <v>2564</v>
      </c>
      <c r="B2240" s="44" t="n">
        <v>46109</v>
      </c>
      <c r="C2240" s="39" t="s">
        <v>404</v>
      </c>
      <c r="D2240" s="39" t="s">
        <v>137</v>
      </c>
      <c r="E2240" s="39" t="n">
        <v>20</v>
      </c>
      <c r="F2240" s="39" t="str">
        <f aca="false">IF(COUNTIF(medicine_master!$A$2:$A$26,C2240)&gt;0,"Valid","Invalid")</f>
        <v>Valid</v>
      </c>
      <c r="G2240" s="39" t="str">
        <f aca="false">IFERROR(INDEX(medicine_master!$B$2:$B$26,MATCH($C2240,medicine_master!$A$2:$A$26,0)),"Not found")</f>
        <v>ORS Sachet</v>
      </c>
      <c r="H2240" s="39" t="str">
        <f aca="false">IFERROR(INDEX(medicine_master!$C$2:$C$26,MATCH($C2240,medicine_master!$A$2:$A$26,0)),"Not found")</f>
        <v>First Aid</v>
      </c>
      <c r="I2240" s="39" t="n">
        <f aca="false">YEAR(B2240)</f>
        <v>2026</v>
      </c>
      <c r="J2240" s="39" t="n">
        <f aca="false">MONTH(B2240)</f>
        <v>3</v>
      </c>
      <c r="K2240" s="39" t="str">
        <f aca="false">TEXT(B2240,"mmm")</f>
        <v>Mar</v>
      </c>
      <c r="L2240" s="45" t="n">
        <f aca="false">IFERROR(INDEX(medicine_master!$I$2:$I$26,MATCH($C2240,medicine_master!$A$2:$A$26,0)),0)</f>
        <v>10</v>
      </c>
      <c r="M2240" s="45" t="n">
        <f aca="false">IFERROR(INDEX(medicine_master!$G$2:$G$26,MATCH($C2240,medicine_master!$A$2:$A$26,0)),0)</f>
        <v>6</v>
      </c>
      <c r="N2240" s="45" t="n">
        <f aca="false">IF(D2240="Sale",E2240*L2240,0)</f>
        <v>200</v>
      </c>
      <c r="O2240" s="45" t="n">
        <f aca="false">IF(D2240="Sale",E2240*M2240,0)</f>
        <v>120</v>
      </c>
      <c r="P2240" s="45" t="n">
        <f aca="false">N2240-O2240</f>
        <v>80</v>
      </c>
      <c r="Q2240" s="45" t="n">
        <f aca="false">IF(D2240="Purchase",E2240*M2240,0)</f>
        <v>0</v>
      </c>
    </row>
    <row r="2241" customFormat="false" ht="15" hidden="false" customHeight="false" outlineLevel="0" collapsed="false">
      <c r="A2241" s="39" t="s">
        <v>2565</v>
      </c>
      <c r="B2241" s="44" t="n">
        <v>46286</v>
      </c>
      <c r="C2241" s="39" t="s">
        <v>145</v>
      </c>
      <c r="D2241" s="39" t="s">
        <v>137</v>
      </c>
      <c r="E2241" s="39" t="n">
        <v>20</v>
      </c>
      <c r="F2241" s="39" t="str">
        <f aca="false">IF(COUNTIF(medicine_master!$A$2:$A$26,C2241)&gt;0,"Valid","Invalid")</f>
        <v>Valid</v>
      </c>
      <c r="G2241" s="39" t="str">
        <f aca="false">IFERROR(INDEX(medicine_master!$B$2:$B$26,MATCH($C2241,medicine_master!$A$2:$A$26,0)),"Not found")</f>
        <v>Clotrimazole Cream</v>
      </c>
      <c r="H2241" s="39" t="str">
        <f aca="false">IFERROR(INDEX(medicine_master!$C$2:$C$26,MATCH($C2241,medicine_master!$A$2:$A$26,0)),"Not found")</f>
        <v>Dermatology</v>
      </c>
      <c r="I2241" s="39" t="n">
        <f aca="false">YEAR(B2241)</f>
        <v>2026</v>
      </c>
      <c r="J2241" s="39" t="n">
        <f aca="false">MONTH(B2241)</f>
        <v>9</v>
      </c>
      <c r="K2241" s="39" t="str">
        <f aca="false">TEXT(B2241,"mmm")</f>
        <v>Sep</v>
      </c>
      <c r="L2241" s="45" t="n">
        <f aca="false">IFERROR(INDEX(medicine_master!$I$2:$I$26,MATCH($C2241,medicine_master!$A$2:$A$26,0)),0)</f>
        <v>48</v>
      </c>
      <c r="M2241" s="45" t="n">
        <f aca="false">IFERROR(INDEX(medicine_master!$G$2:$G$26,MATCH($C2241,medicine_master!$A$2:$A$26,0)),0)</f>
        <v>32</v>
      </c>
      <c r="N2241" s="45" t="n">
        <f aca="false">IF(D2241="Sale",E2241*L2241,0)</f>
        <v>960</v>
      </c>
      <c r="O2241" s="45" t="n">
        <f aca="false">IF(D2241="Sale",E2241*M2241,0)</f>
        <v>640</v>
      </c>
      <c r="P2241" s="45" t="n">
        <f aca="false">N2241-O2241</f>
        <v>320</v>
      </c>
      <c r="Q2241" s="45" t="n">
        <f aca="false">IF(D2241="Purchase",E2241*M2241,0)</f>
        <v>0</v>
      </c>
    </row>
    <row r="2242" customFormat="false" ht="15" hidden="false" customHeight="false" outlineLevel="0" collapsed="false">
      <c r="A2242" s="39" t="s">
        <v>2566</v>
      </c>
      <c r="B2242" s="44" t="n">
        <v>46195</v>
      </c>
      <c r="C2242" s="39" t="s">
        <v>149</v>
      </c>
      <c r="D2242" s="39" t="s">
        <v>137</v>
      </c>
      <c r="E2242" s="39" t="n">
        <v>30</v>
      </c>
      <c r="F2242" s="39" t="str">
        <f aca="false">IF(COUNTIF(medicine_master!$A$2:$A$26,C2242)&gt;0,"Valid","Invalid")</f>
        <v>Valid</v>
      </c>
      <c r="G2242" s="39" t="str">
        <f aca="false">IFERROR(INDEX(medicine_master!$B$2:$B$26,MATCH($C2242,medicine_master!$A$2:$A$26,0)),"Not found")</f>
        <v>Azithromycin 500mg</v>
      </c>
      <c r="H2242" s="39" t="str">
        <f aca="false">IFERROR(INDEX(medicine_master!$C$2:$C$26,MATCH($C2242,medicine_master!$A$2:$A$26,0)),"Not found")</f>
        <v>Antibiotic</v>
      </c>
      <c r="I2242" s="39" t="n">
        <f aca="false">YEAR(B2242)</f>
        <v>2026</v>
      </c>
      <c r="J2242" s="39" t="n">
        <f aca="false">MONTH(B2242)</f>
        <v>6</v>
      </c>
      <c r="K2242" s="39" t="str">
        <f aca="false">TEXT(B2242,"mmm")</f>
        <v>Jun</v>
      </c>
      <c r="L2242" s="45" t="n">
        <f aca="false">IFERROR(INDEX(medicine_master!$I$2:$I$26,MATCH($C2242,medicine_master!$A$2:$A$26,0)),0)</f>
        <v>50</v>
      </c>
      <c r="M2242" s="45" t="n">
        <f aca="false">IFERROR(INDEX(medicine_master!$G$2:$G$26,MATCH($C2242,medicine_master!$A$2:$A$26,0)),0)</f>
        <v>35</v>
      </c>
      <c r="N2242" s="45" t="n">
        <f aca="false">IF(D2242="Sale",E2242*L2242,0)</f>
        <v>1500</v>
      </c>
      <c r="O2242" s="45" t="n">
        <f aca="false">IF(D2242="Sale",E2242*M2242,0)</f>
        <v>1050</v>
      </c>
      <c r="P2242" s="45" t="n">
        <f aca="false">N2242-O2242</f>
        <v>450</v>
      </c>
      <c r="Q2242" s="45" t="n">
        <f aca="false">IF(D2242="Purchase",E2242*M2242,0)</f>
        <v>0</v>
      </c>
    </row>
    <row r="2243" customFormat="false" ht="15" hidden="false" customHeight="false" outlineLevel="0" collapsed="false">
      <c r="A2243" s="39" t="s">
        <v>2567</v>
      </c>
      <c r="B2243" s="44" t="n">
        <v>46132</v>
      </c>
      <c r="C2243" s="39" t="s">
        <v>151</v>
      </c>
      <c r="D2243" s="39" t="s">
        <v>137</v>
      </c>
      <c r="E2243" s="39" t="n">
        <v>15</v>
      </c>
      <c r="F2243" s="39" t="str">
        <f aca="false">IF(COUNTIF(medicine_master!$A$2:$A$26,C2243)&gt;0,"Valid","Invalid")</f>
        <v>Valid</v>
      </c>
      <c r="G2243" s="39" t="str">
        <f aca="false">IFERROR(INDEX(medicine_master!$B$2:$B$26,MATCH($C2243,medicine_master!$A$2:$A$26,0)),"Not found")</f>
        <v>Cetirizine 10mg</v>
      </c>
      <c r="H2243" s="39" t="str">
        <f aca="false">IFERROR(INDEX(medicine_master!$C$2:$C$26,MATCH($C2243,medicine_master!$A$2:$A$26,0)),"Not found")</f>
        <v>Allergy</v>
      </c>
      <c r="I2243" s="39" t="n">
        <f aca="false">YEAR(B2243)</f>
        <v>2026</v>
      </c>
      <c r="J2243" s="39" t="n">
        <f aca="false">MONTH(B2243)</f>
        <v>4</v>
      </c>
      <c r="K2243" s="39" t="str">
        <f aca="false">TEXT(B2243,"mmm")</f>
        <v>Apr</v>
      </c>
      <c r="L2243" s="45" t="n">
        <f aca="false">IFERROR(INDEX(medicine_master!$I$2:$I$26,MATCH($C2243,medicine_master!$A$2:$A$26,0)),0)</f>
        <v>13</v>
      </c>
      <c r="M2243" s="45" t="n">
        <f aca="false">IFERROR(INDEX(medicine_master!$G$2:$G$26,MATCH($C2243,medicine_master!$A$2:$A$26,0)),0)</f>
        <v>8</v>
      </c>
      <c r="N2243" s="45" t="n">
        <f aca="false">IF(D2243="Sale",E2243*L2243,0)</f>
        <v>195</v>
      </c>
      <c r="O2243" s="45" t="n">
        <f aca="false">IF(D2243="Sale",E2243*M2243,0)</f>
        <v>120</v>
      </c>
      <c r="P2243" s="45" t="n">
        <f aca="false">N2243-O2243</f>
        <v>75</v>
      </c>
      <c r="Q2243" s="45" t="n">
        <f aca="false">IF(D2243="Purchase",E2243*M2243,0)</f>
        <v>0</v>
      </c>
    </row>
    <row r="2244" customFormat="false" ht="15" hidden="false" customHeight="false" outlineLevel="0" collapsed="false">
      <c r="A2244" s="39" t="s">
        <v>2568</v>
      </c>
      <c r="B2244" s="44" t="n">
        <v>46053</v>
      </c>
      <c r="C2244" s="39" t="s">
        <v>148</v>
      </c>
      <c r="D2244" s="39" t="s">
        <v>137</v>
      </c>
      <c r="E2244" s="39" t="n">
        <v>15</v>
      </c>
      <c r="F2244" s="39" t="str">
        <f aca="false">IF(COUNTIF(medicine_master!$A$2:$A$26,C2244)&gt;0,"Valid","Invalid")</f>
        <v>Valid</v>
      </c>
      <c r="G2244" s="39" t="str">
        <f aca="false">IFERROR(INDEX(medicine_master!$B$2:$B$26,MATCH($C2244,medicine_master!$A$2:$A$26,0)),"Not found")</f>
        <v>Dextromethorphan Syrup</v>
      </c>
      <c r="H2244" s="39" t="str">
        <f aca="false">IFERROR(INDEX(medicine_master!$C$2:$C$26,MATCH($C2244,medicine_master!$A$2:$A$26,0)),"Not found")</f>
        <v>Cold &amp; Cough</v>
      </c>
      <c r="I2244" s="39" t="n">
        <f aca="false">YEAR(B2244)</f>
        <v>2026</v>
      </c>
      <c r="J2244" s="39" t="n">
        <f aca="false">MONTH(B2244)</f>
        <v>1</v>
      </c>
      <c r="K2244" s="39" t="str">
        <f aca="false">TEXT(B2244,"mmm")</f>
        <v>Jan</v>
      </c>
      <c r="L2244" s="45" t="n">
        <f aca="false">IFERROR(INDEX(medicine_master!$I$2:$I$26,MATCH($C2244,medicine_master!$A$2:$A$26,0)),0)</f>
        <v>80</v>
      </c>
      <c r="M2244" s="45" t="n">
        <f aca="false">IFERROR(INDEX(medicine_master!$G$2:$G$26,MATCH($C2244,medicine_master!$A$2:$A$26,0)),0)</f>
        <v>58</v>
      </c>
      <c r="N2244" s="45" t="n">
        <f aca="false">IF(D2244="Sale",E2244*L2244,0)</f>
        <v>1200</v>
      </c>
      <c r="O2244" s="45" t="n">
        <f aca="false">IF(D2244="Sale",E2244*M2244,0)</f>
        <v>870</v>
      </c>
      <c r="P2244" s="45" t="n">
        <f aca="false">N2244-O2244</f>
        <v>330</v>
      </c>
      <c r="Q2244" s="45" t="n">
        <f aca="false">IF(D2244="Purchase",E2244*M2244,0)</f>
        <v>0</v>
      </c>
    </row>
    <row r="2245" customFormat="false" ht="15" hidden="false" customHeight="false" outlineLevel="0" collapsed="false">
      <c r="A2245" s="39" t="s">
        <v>2569</v>
      </c>
      <c r="B2245" s="44" t="n">
        <v>46350</v>
      </c>
      <c r="C2245" s="39" t="s">
        <v>178</v>
      </c>
      <c r="D2245" s="39" t="s">
        <v>137</v>
      </c>
      <c r="E2245" s="39" t="n">
        <v>5</v>
      </c>
      <c r="F2245" s="39" t="str">
        <f aca="false">IF(COUNTIF(medicine_master!$A$2:$A$26,C2245)&gt;0,"Valid","Invalid")</f>
        <v>Valid</v>
      </c>
      <c r="G2245" s="39" t="str">
        <f aca="false">IFERROR(INDEX(medicine_master!$B$2:$B$26,MATCH($C2245,medicine_master!$A$2:$A$26,0)),"Not found")</f>
        <v>Aspirin 75mg</v>
      </c>
      <c r="H2245" s="39" t="str">
        <f aca="false">IFERROR(INDEX(medicine_master!$C$2:$C$26,MATCH($C2245,medicine_master!$A$2:$A$26,0)),"Not found")</f>
        <v>Cardiac</v>
      </c>
      <c r="I2245" s="39" t="n">
        <f aca="false">YEAR(B2245)</f>
        <v>2026</v>
      </c>
      <c r="J2245" s="39" t="n">
        <f aca="false">MONTH(B2245)</f>
        <v>11</v>
      </c>
      <c r="K2245" s="39" t="str">
        <f aca="false">TEXT(B2245,"mmm")</f>
        <v>Nov</v>
      </c>
      <c r="L2245" s="45" t="n">
        <f aca="false">IFERROR(INDEX(medicine_master!$I$2:$I$26,MATCH($C2245,medicine_master!$A$2:$A$26,0)),0)</f>
        <v>15</v>
      </c>
      <c r="M2245" s="45" t="n">
        <f aca="false">IFERROR(INDEX(medicine_master!$G$2:$G$26,MATCH($C2245,medicine_master!$A$2:$A$26,0)),0)</f>
        <v>10</v>
      </c>
      <c r="N2245" s="45" t="n">
        <f aca="false">IF(D2245="Sale",E2245*L2245,0)</f>
        <v>75</v>
      </c>
      <c r="O2245" s="45" t="n">
        <f aca="false">IF(D2245="Sale",E2245*M2245,0)</f>
        <v>50</v>
      </c>
      <c r="P2245" s="45" t="n">
        <f aca="false">N2245-O2245</f>
        <v>25</v>
      </c>
      <c r="Q2245" s="45" t="n">
        <f aca="false">IF(D2245="Purchase",E2245*M2245,0)</f>
        <v>0</v>
      </c>
    </row>
    <row r="2246" customFormat="false" ht="15" hidden="false" customHeight="false" outlineLevel="0" collapsed="false">
      <c r="A2246" s="39" t="s">
        <v>2570</v>
      </c>
      <c r="B2246" s="44" t="n">
        <v>46041</v>
      </c>
      <c r="C2246" s="39" t="s">
        <v>146</v>
      </c>
      <c r="D2246" s="39" t="s">
        <v>137</v>
      </c>
      <c r="E2246" s="39" t="n">
        <v>10</v>
      </c>
      <c r="F2246" s="39" t="str">
        <f aca="false">IF(COUNTIF(medicine_master!$A$2:$A$26,C2246)&gt;0,"Valid","Invalid")</f>
        <v>Valid</v>
      </c>
      <c r="G2246" s="39" t="str">
        <f aca="false">IFERROR(INDEX(medicine_master!$B$2:$B$26,MATCH($C2246,medicine_master!$A$2:$A$26,0)),"Not found")</f>
        <v>Diclofenac Gel</v>
      </c>
      <c r="H2246" s="39" t="str">
        <f aca="false">IFERROR(INDEX(medicine_master!$C$2:$C$26,MATCH($C2246,medicine_master!$A$2:$A$26,0)),"Not found")</f>
        <v>Pain Relief</v>
      </c>
      <c r="I2246" s="39" t="n">
        <f aca="false">YEAR(B2246)</f>
        <v>2026</v>
      </c>
      <c r="J2246" s="39" t="n">
        <f aca="false">MONTH(B2246)</f>
        <v>1</v>
      </c>
      <c r="K2246" s="39" t="str">
        <f aca="false">TEXT(B2246,"mmm")</f>
        <v>Jan</v>
      </c>
      <c r="L2246" s="45" t="n">
        <f aca="false">IFERROR(INDEX(medicine_master!$I$2:$I$26,MATCH($C2246,medicine_master!$A$2:$A$26,0)),0)</f>
        <v>55</v>
      </c>
      <c r="M2246" s="45" t="n">
        <f aca="false">IFERROR(INDEX(medicine_master!$G$2:$G$26,MATCH($C2246,medicine_master!$A$2:$A$26,0)),0)</f>
        <v>38</v>
      </c>
      <c r="N2246" s="45" t="n">
        <f aca="false">IF(D2246="Sale",E2246*L2246,0)</f>
        <v>550</v>
      </c>
      <c r="O2246" s="45" t="n">
        <f aca="false">IF(D2246="Sale",E2246*M2246,0)</f>
        <v>380</v>
      </c>
      <c r="P2246" s="45" t="n">
        <f aca="false">N2246-O2246</f>
        <v>170</v>
      </c>
      <c r="Q2246" s="45" t="n">
        <f aca="false">IF(D2246="Purchase",E2246*M2246,0)</f>
        <v>0</v>
      </c>
    </row>
    <row r="2247" customFormat="false" ht="15" hidden="false" customHeight="false" outlineLevel="0" collapsed="false">
      <c r="A2247" s="39" t="s">
        <v>2571</v>
      </c>
      <c r="B2247" s="44" t="n">
        <v>46032</v>
      </c>
      <c r="C2247" s="39" t="s">
        <v>177</v>
      </c>
      <c r="D2247" s="39" t="s">
        <v>138</v>
      </c>
      <c r="E2247" s="39" t="n">
        <v>10</v>
      </c>
      <c r="F2247" s="39" t="str">
        <f aca="false">IF(COUNTIF(medicine_master!$A$2:$A$26,C2247)&gt;0,"Valid","Invalid")</f>
        <v>Valid</v>
      </c>
      <c r="G2247" s="39" t="str">
        <f aca="false">IFERROR(INDEX(medicine_master!$B$2:$B$26,MATCH($C2247,medicine_master!$A$2:$A$26,0)),"Not found")</f>
        <v>Bandage Roll</v>
      </c>
      <c r="H2247" s="39" t="str">
        <f aca="false">IFERROR(INDEX(medicine_master!$C$2:$C$26,MATCH($C2247,medicine_master!$A$2:$A$26,0)),"Not found")</f>
        <v>First Aid</v>
      </c>
      <c r="I2247" s="39" t="n">
        <f aca="false">YEAR(B2247)</f>
        <v>2026</v>
      </c>
      <c r="J2247" s="39" t="n">
        <f aca="false">MONTH(B2247)</f>
        <v>1</v>
      </c>
      <c r="K2247" s="39" t="str">
        <f aca="false">TEXT(B2247,"mmm")</f>
        <v>Jan</v>
      </c>
      <c r="L2247" s="45" t="n">
        <f aca="false">IFERROR(INDEX(medicine_master!$I$2:$I$26,MATCH($C2247,medicine_master!$A$2:$A$26,0)),0)</f>
        <v>25</v>
      </c>
      <c r="M2247" s="45" t="n">
        <f aca="false">IFERROR(INDEX(medicine_master!$G$2:$G$26,MATCH($C2247,medicine_master!$A$2:$A$26,0)),0)</f>
        <v>15</v>
      </c>
      <c r="N2247" s="45" t="n">
        <f aca="false">IF(D2247="Sale",E2247*L2247,0)</f>
        <v>0</v>
      </c>
      <c r="O2247" s="45" t="n">
        <f aca="false">IF(D2247="Sale",E2247*M2247,0)</f>
        <v>0</v>
      </c>
      <c r="P2247" s="45" t="n">
        <f aca="false">N2247-O2247</f>
        <v>0</v>
      </c>
      <c r="Q2247" s="45" t="n">
        <f aca="false">IF(D2247="Purchase",E2247*M2247,0)</f>
        <v>150</v>
      </c>
    </row>
    <row r="2248" customFormat="false" ht="15" hidden="false" customHeight="false" outlineLevel="0" collapsed="false">
      <c r="A2248" s="39" t="s">
        <v>2572</v>
      </c>
      <c r="B2248" s="44" t="n">
        <v>46370</v>
      </c>
      <c r="C2248" s="39" t="s">
        <v>495</v>
      </c>
      <c r="D2248" s="39" t="s">
        <v>137</v>
      </c>
      <c r="E2248" s="39" t="n">
        <v>30</v>
      </c>
      <c r="F2248" s="39" t="str">
        <f aca="false">IF(COUNTIF(medicine_master!$A$2:$A$26,C2248)&gt;0,"Valid","Invalid")</f>
        <v>Valid</v>
      </c>
      <c r="G2248" s="39" t="str">
        <f aca="false">IFERROR(INDEX(medicine_master!$B$2:$B$26,MATCH($C2248,medicine_master!$A$2:$A$26,0)),"Not found")</f>
        <v>Metformin 500mg</v>
      </c>
      <c r="H2248" s="39" t="str">
        <f aca="false">IFERROR(INDEX(medicine_master!$C$2:$C$26,MATCH($C2248,medicine_master!$A$2:$A$26,0)),"Not found")</f>
        <v>Diabetes</v>
      </c>
      <c r="I2248" s="39" t="n">
        <f aca="false">YEAR(B2248)</f>
        <v>2026</v>
      </c>
      <c r="J2248" s="39" t="n">
        <f aca="false">MONTH(B2248)</f>
        <v>12</v>
      </c>
      <c r="K2248" s="39" t="str">
        <f aca="false">TEXT(B2248,"mmm")</f>
        <v>Dec</v>
      </c>
      <c r="L2248" s="45" t="n">
        <f aca="false">IFERROR(INDEX(medicine_master!$I$2:$I$26,MATCH($C2248,medicine_master!$A$2:$A$26,0)),0)</f>
        <v>24</v>
      </c>
      <c r="M2248" s="45" t="n">
        <f aca="false">IFERROR(INDEX(medicine_master!$G$2:$G$26,MATCH($C2248,medicine_master!$A$2:$A$26,0)),0)</f>
        <v>16</v>
      </c>
      <c r="N2248" s="45" t="n">
        <f aca="false">IF(D2248="Sale",E2248*L2248,0)</f>
        <v>720</v>
      </c>
      <c r="O2248" s="45" t="n">
        <f aca="false">IF(D2248="Sale",E2248*M2248,0)</f>
        <v>480</v>
      </c>
      <c r="P2248" s="45" t="n">
        <f aca="false">N2248-O2248</f>
        <v>240</v>
      </c>
      <c r="Q2248" s="45" t="n">
        <f aca="false">IF(D2248="Purchase",E2248*M2248,0)</f>
        <v>0</v>
      </c>
    </row>
    <row r="2249" customFormat="false" ht="15" hidden="false" customHeight="false" outlineLevel="0" collapsed="false">
      <c r="A2249" s="39" t="s">
        <v>2573</v>
      </c>
      <c r="B2249" s="44" t="n">
        <v>46297</v>
      </c>
      <c r="C2249" s="39" t="s">
        <v>390</v>
      </c>
      <c r="D2249" s="39" t="s">
        <v>137</v>
      </c>
      <c r="E2249" s="39" t="n">
        <v>25</v>
      </c>
      <c r="F2249" s="39" t="str">
        <f aca="false">IF(COUNTIF(medicine_master!$A$2:$A$26,C2249)&gt;0,"Valid","Invalid")</f>
        <v>Valid</v>
      </c>
      <c r="G2249" s="39" t="str">
        <f aca="false">IFERROR(INDEX(medicine_master!$B$2:$B$26,MATCH($C2249,medicine_master!$A$2:$A$26,0)),"Not found")</f>
        <v>Montelukast 10mg</v>
      </c>
      <c r="H2249" s="39" t="str">
        <f aca="false">IFERROR(INDEX(medicine_master!$C$2:$C$26,MATCH($C2249,medicine_master!$A$2:$A$26,0)),"Not found")</f>
        <v>Allergy</v>
      </c>
      <c r="I2249" s="39" t="n">
        <f aca="false">YEAR(B2249)</f>
        <v>2026</v>
      </c>
      <c r="J2249" s="39" t="n">
        <f aca="false">MONTH(B2249)</f>
        <v>10</v>
      </c>
      <c r="K2249" s="39" t="str">
        <f aca="false">TEXT(B2249,"mmm")</f>
        <v>Oct</v>
      </c>
      <c r="L2249" s="45" t="n">
        <f aca="false">IFERROR(INDEX(medicine_master!$I$2:$I$26,MATCH($C2249,medicine_master!$A$2:$A$26,0)),0)</f>
        <v>39</v>
      </c>
      <c r="M2249" s="45" t="n">
        <f aca="false">IFERROR(INDEX(medicine_master!$G$2:$G$26,MATCH($C2249,medicine_master!$A$2:$A$26,0)),0)</f>
        <v>27</v>
      </c>
      <c r="N2249" s="45" t="n">
        <f aca="false">IF(D2249="Sale",E2249*L2249,0)</f>
        <v>975</v>
      </c>
      <c r="O2249" s="45" t="n">
        <f aca="false">IF(D2249="Sale",E2249*M2249,0)</f>
        <v>675</v>
      </c>
      <c r="P2249" s="45" t="n">
        <f aca="false">N2249-O2249</f>
        <v>300</v>
      </c>
      <c r="Q2249" s="45" t="n">
        <f aca="false">IF(D2249="Purchase",E2249*M2249,0)</f>
        <v>0</v>
      </c>
    </row>
    <row r="2250" customFormat="false" ht="15" hidden="false" customHeight="false" outlineLevel="0" collapsed="false">
      <c r="A2250" s="39" t="s">
        <v>2574</v>
      </c>
      <c r="B2250" s="44" t="n">
        <v>46305</v>
      </c>
      <c r="C2250" s="39" t="s">
        <v>145</v>
      </c>
      <c r="D2250" s="39" t="s">
        <v>137</v>
      </c>
      <c r="E2250" s="39" t="n">
        <v>20</v>
      </c>
      <c r="F2250" s="39" t="str">
        <f aca="false">IF(COUNTIF(medicine_master!$A$2:$A$26,C2250)&gt;0,"Valid","Invalid")</f>
        <v>Valid</v>
      </c>
      <c r="G2250" s="39" t="str">
        <f aca="false">IFERROR(INDEX(medicine_master!$B$2:$B$26,MATCH($C2250,medicine_master!$A$2:$A$26,0)),"Not found")</f>
        <v>Clotrimazole Cream</v>
      </c>
      <c r="H2250" s="39" t="str">
        <f aca="false">IFERROR(INDEX(medicine_master!$C$2:$C$26,MATCH($C2250,medicine_master!$A$2:$A$26,0)),"Not found")</f>
        <v>Dermatology</v>
      </c>
      <c r="I2250" s="39" t="n">
        <f aca="false">YEAR(B2250)</f>
        <v>2026</v>
      </c>
      <c r="J2250" s="39" t="n">
        <f aca="false">MONTH(B2250)</f>
        <v>10</v>
      </c>
      <c r="K2250" s="39" t="str">
        <f aca="false">TEXT(B2250,"mmm")</f>
        <v>Oct</v>
      </c>
      <c r="L2250" s="45" t="n">
        <f aca="false">IFERROR(INDEX(medicine_master!$I$2:$I$26,MATCH($C2250,medicine_master!$A$2:$A$26,0)),0)</f>
        <v>48</v>
      </c>
      <c r="M2250" s="45" t="n">
        <f aca="false">IFERROR(INDEX(medicine_master!$G$2:$G$26,MATCH($C2250,medicine_master!$A$2:$A$26,0)),0)</f>
        <v>32</v>
      </c>
      <c r="N2250" s="45" t="n">
        <f aca="false">IF(D2250="Sale",E2250*L2250,0)</f>
        <v>960</v>
      </c>
      <c r="O2250" s="45" t="n">
        <f aca="false">IF(D2250="Sale",E2250*M2250,0)</f>
        <v>640</v>
      </c>
      <c r="P2250" s="45" t="n">
        <f aca="false">N2250-O2250</f>
        <v>320</v>
      </c>
      <c r="Q2250" s="45" t="n">
        <f aca="false">IF(D2250="Purchase",E2250*M2250,0)</f>
        <v>0</v>
      </c>
    </row>
    <row r="2251" customFormat="false" ht="15" hidden="false" customHeight="false" outlineLevel="0" collapsed="false">
      <c r="A2251" s="39" t="s">
        <v>2575</v>
      </c>
      <c r="B2251" s="44" t="n">
        <v>46230</v>
      </c>
      <c r="C2251" s="39" t="s">
        <v>160</v>
      </c>
      <c r="D2251" s="39" t="s">
        <v>137</v>
      </c>
      <c r="E2251" s="39" t="n">
        <v>25</v>
      </c>
      <c r="F2251" s="39" t="str">
        <f aca="false">IF(COUNTIF(medicine_master!$A$2:$A$26,C2251)&gt;0,"Valid","Invalid")</f>
        <v>Valid</v>
      </c>
      <c r="G2251" s="39" t="str">
        <f aca="false">IFERROR(INDEX(medicine_master!$B$2:$B$26,MATCH($C2251,medicine_master!$A$2:$A$26,0)),"Not found")</f>
        <v>Calamine Lotion</v>
      </c>
      <c r="H2251" s="39" t="str">
        <f aca="false">IFERROR(INDEX(medicine_master!$C$2:$C$26,MATCH($C2251,medicine_master!$A$2:$A$26,0)),"Not found")</f>
        <v>Dermatology</v>
      </c>
      <c r="I2251" s="39" t="n">
        <f aca="false">YEAR(B2251)</f>
        <v>2026</v>
      </c>
      <c r="J2251" s="39" t="n">
        <f aca="false">MONTH(B2251)</f>
        <v>7</v>
      </c>
      <c r="K2251" s="39" t="str">
        <f aca="false">TEXT(B2251,"mmm")</f>
        <v>Jul</v>
      </c>
      <c r="L2251" s="45" t="n">
        <f aca="false">IFERROR(INDEX(medicine_master!$I$2:$I$26,MATCH($C2251,medicine_master!$A$2:$A$26,0)),0)</f>
        <v>60</v>
      </c>
      <c r="M2251" s="45" t="n">
        <f aca="false">IFERROR(INDEX(medicine_master!$G$2:$G$26,MATCH($C2251,medicine_master!$A$2:$A$26,0)),0)</f>
        <v>42</v>
      </c>
      <c r="N2251" s="45" t="n">
        <f aca="false">IF(D2251="Sale",E2251*L2251,0)</f>
        <v>1500</v>
      </c>
      <c r="O2251" s="45" t="n">
        <f aca="false">IF(D2251="Sale",E2251*M2251,0)</f>
        <v>1050</v>
      </c>
      <c r="P2251" s="45" t="n">
        <f aca="false">N2251-O2251</f>
        <v>450</v>
      </c>
      <c r="Q2251" s="45" t="n">
        <f aca="false">IF(D2251="Purchase",E2251*M2251,0)</f>
        <v>0</v>
      </c>
    </row>
    <row r="2252" customFormat="false" ht="15" hidden="false" customHeight="false" outlineLevel="0" collapsed="false">
      <c r="A2252" s="39" t="s">
        <v>2576</v>
      </c>
      <c r="B2252" s="44" t="n">
        <v>46226</v>
      </c>
      <c r="C2252" s="39" t="s">
        <v>158</v>
      </c>
      <c r="D2252" s="39" t="s">
        <v>137</v>
      </c>
      <c r="E2252" s="39" t="n">
        <v>5</v>
      </c>
      <c r="F2252" s="39" t="str">
        <f aca="false">IF(COUNTIF(medicine_master!$A$2:$A$26,C2252)&gt;0,"Valid","Invalid")</f>
        <v>Valid</v>
      </c>
      <c r="G2252" s="39" t="str">
        <f aca="false">IFERROR(INDEX(medicine_master!$B$2:$B$26,MATCH($C2252,medicine_master!$A$2:$A$26,0)),"Not found")</f>
        <v>Cough Syrup 100ml</v>
      </c>
      <c r="H2252" s="39" t="str">
        <f aca="false">IFERROR(INDEX(medicine_master!$C$2:$C$26,MATCH($C2252,medicine_master!$A$2:$A$26,0)),"Not found")</f>
        <v>Cold &amp; Cough</v>
      </c>
      <c r="I2252" s="39" t="n">
        <f aca="false">YEAR(B2252)</f>
        <v>2026</v>
      </c>
      <c r="J2252" s="39" t="n">
        <f aca="false">MONTH(B2252)</f>
        <v>7</v>
      </c>
      <c r="K2252" s="39" t="str">
        <f aca="false">TEXT(B2252,"mmm")</f>
        <v>Jul</v>
      </c>
      <c r="L2252" s="45" t="n">
        <f aca="false">IFERROR(INDEX(medicine_master!$I$2:$I$26,MATCH($C2252,medicine_master!$A$2:$A$26,0)),0)</f>
        <v>72</v>
      </c>
      <c r="M2252" s="45" t="n">
        <f aca="false">IFERROR(INDEX(medicine_master!$G$2:$G$26,MATCH($C2252,medicine_master!$A$2:$A$26,0)),0)</f>
        <v>52</v>
      </c>
      <c r="N2252" s="45" t="n">
        <f aca="false">IF(D2252="Sale",E2252*L2252,0)</f>
        <v>360</v>
      </c>
      <c r="O2252" s="45" t="n">
        <f aca="false">IF(D2252="Sale",E2252*M2252,0)</f>
        <v>260</v>
      </c>
      <c r="P2252" s="45" t="n">
        <f aca="false">N2252-O2252</f>
        <v>100</v>
      </c>
      <c r="Q2252" s="45" t="n">
        <f aca="false">IF(D2252="Purchase",E2252*M2252,0)</f>
        <v>0</v>
      </c>
    </row>
    <row r="2253" customFormat="false" ht="15" hidden="false" customHeight="false" outlineLevel="0" collapsed="false">
      <c r="A2253" s="39" t="s">
        <v>2577</v>
      </c>
      <c r="B2253" s="44" t="n">
        <v>46102</v>
      </c>
      <c r="C2253" s="39" t="s">
        <v>160</v>
      </c>
      <c r="D2253" s="39" t="s">
        <v>137</v>
      </c>
      <c r="E2253" s="39" t="n">
        <v>40</v>
      </c>
      <c r="F2253" s="39" t="str">
        <f aca="false">IF(COUNTIF(medicine_master!$A$2:$A$26,C2253)&gt;0,"Valid","Invalid")</f>
        <v>Valid</v>
      </c>
      <c r="G2253" s="39" t="str">
        <f aca="false">IFERROR(INDEX(medicine_master!$B$2:$B$26,MATCH($C2253,medicine_master!$A$2:$A$26,0)),"Not found")</f>
        <v>Calamine Lotion</v>
      </c>
      <c r="H2253" s="39" t="str">
        <f aca="false">IFERROR(INDEX(medicine_master!$C$2:$C$26,MATCH($C2253,medicine_master!$A$2:$A$26,0)),"Not found")</f>
        <v>Dermatology</v>
      </c>
      <c r="I2253" s="39" t="n">
        <f aca="false">YEAR(B2253)</f>
        <v>2026</v>
      </c>
      <c r="J2253" s="39" t="n">
        <f aca="false">MONTH(B2253)</f>
        <v>3</v>
      </c>
      <c r="K2253" s="39" t="str">
        <f aca="false">TEXT(B2253,"mmm")</f>
        <v>Mar</v>
      </c>
      <c r="L2253" s="45" t="n">
        <f aca="false">IFERROR(INDEX(medicine_master!$I$2:$I$26,MATCH($C2253,medicine_master!$A$2:$A$26,0)),0)</f>
        <v>60</v>
      </c>
      <c r="M2253" s="45" t="n">
        <f aca="false">IFERROR(INDEX(medicine_master!$G$2:$G$26,MATCH($C2253,medicine_master!$A$2:$A$26,0)),0)</f>
        <v>42</v>
      </c>
      <c r="N2253" s="45" t="n">
        <f aca="false">IF(D2253="Sale",E2253*L2253,0)</f>
        <v>2400</v>
      </c>
      <c r="O2253" s="45" t="n">
        <f aca="false">IF(D2253="Sale",E2253*M2253,0)</f>
        <v>1680</v>
      </c>
      <c r="P2253" s="45" t="n">
        <f aca="false">N2253-O2253</f>
        <v>720</v>
      </c>
      <c r="Q2253" s="45" t="n">
        <f aca="false">IF(D2253="Purchase",E2253*M2253,0)</f>
        <v>0</v>
      </c>
    </row>
    <row r="2254" customFormat="false" ht="15" hidden="false" customHeight="false" outlineLevel="0" collapsed="false">
      <c r="A2254" s="39" t="s">
        <v>2578</v>
      </c>
      <c r="B2254" s="44" t="n">
        <v>46158</v>
      </c>
      <c r="C2254" s="39" t="s">
        <v>151</v>
      </c>
      <c r="D2254" s="39" t="s">
        <v>138</v>
      </c>
      <c r="E2254" s="39" t="n">
        <v>30</v>
      </c>
      <c r="F2254" s="39" t="str">
        <f aca="false">IF(COUNTIF(medicine_master!$A$2:$A$26,C2254)&gt;0,"Valid","Invalid")</f>
        <v>Valid</v>
      </c>
      <c r="G2254" s="39" t="str">
        <f aca="false">IFERROR(INDEX(medicine_master!$B$2:$B$26,MATCH($C2254,medicine_master!$A$2:$A$26,0)),"Not found")</f>
        <v>Cetirizine 10mg</v>
      </c>
      <c r="H2254" s="39" t="str">
        <f aca="false">IFERROR(INDEX(medicine_master!$C$2:$C$26,MATCH($C2254,medicine_master!$A$2:$A$26,0)),"Not found")</f>
        <v>Allergy</v>
      </c>
      <c r="I2254" s="39" t="n">
        <f aca="false">YEAR(B2254)</f>
        <v>2026</v>
      </c>
      <c r="J2254" s="39" t="n">
        <f aca="false">MONTH(B2254)</f>
        <v>5</v>
      </c>
      <c r="K2254" s="39" t="str">
        <f aca="false">TEXT(B2254,"mmm")</f>
        <v>May</v>
      </c>
      <c r="L2254" s="45" t="n">
        <f aca="false">IFERROR(INDEX(medicine_master!$I$2:$I$26,MATCH($C2254,medicine_master!$A$2:$A$26,0)),0)</f>
        <v>13</v>
      </c>
      <c r="M2254" s="45" t="n">
        <f aca="false">IFERROR(INDEX(medicine_master!$G$2:$G$26,MATCH($C2254,medicine_master!$A$2:$A$26,0)),0)</f>
        <v>8</v>
      </c>
      <c r="N2254" s="45" t="n">
        <f aca="false">IF(D2254="Sale",E2254*L2254,0)</f>
        <v>0</v>
      </c>
      <c r="O2254" s="45" t="n">
        <f aca="false">IF(D2254="Sale",E2254*M2254,0)</f>
        <v>0</v>
      </c>
      <c r="P2254" s="45" t="n">
        <f aca="false">N2254-O2254</f>
        <v>0</v>
      </c>
      <c r="Q2254" s="45" t="n">
        <f aca="false">IF(D2254="Purchase",E2254*M2254,0)</f>
        <v>240</v>
      </c>
    </row>
    <row r="2255" customFormat="false" ht="15" hidden="false" customHeight="false" outlineLevel="0" collapsed="false">
      <c r="A2255" s="39" t="s">
        <v>2579</v>
      </c>
      <c r="B2255" s="44" t="n">
        <v>46205</v>
      </c>
      <c r="C2255" s="39" t="s">
        <v>157</v>
      </c>
      <c r="D2255" s="39" t="s">
        <v>138</v>
      </c>
      <c r="E2255" s="39" t="n">
        <v>30</v>
      </c>
      <c r="F2255" s="39" t="str">
        <f aca="false">IF(COUNTIF(medicine_master!$A$2:$A$26,C2255)&gt;0,"Valid","Invalid")</f>
        <v>Valid</v>
      </c>
      <c r="G2255" s="39" t="str">
        <f aca="false">IFERROR(INDEX(medicine_master!$B$2:$B$26,MATCH($C2255,medicine_master!$A$2:$A$26,0)),"Not found")</f>
        <v>Multivitamin Tablets</v>
      </c>
      <c r="H2255" s="39" t="str">
        <f aca="false">IFERROR(INDEX(medicine_master!$C$2:$C$26,MATCH($C2255,medicine_master!$A$2:$A$26,0)),"Not found")</f>
        <v>Vitamin</v>
      </c>
      <c r="I2255" s="39" t="n">
        <f aca="false">YEAR(B2255)</f>
        <v>2026</v>
      </c>
      <c r="J2255" s="39" t="n">
        <f aca="false">MONTH(B2255)</f>
        <v>7</v>
      </c>
      <c r="K2255" s="39" t="str">
        <f aca="false">TEXT(B2255,"mmm")</f>
        <v>Jul</v>
      </c>
      <c r="L2255" s="45" t="n">
        <f aca="false">IFERROR(INDEX(medicine_master!$I$2:$I$26,MATCH($C2255,medicine_master!$A$2:$A$26,0)),0)</f>
        <v>105</v>
      </c>
      <c r="M2255" s="45" t="n">
        <f aca="false">IFERROR(INDEX(medicine_master!$G$2:$G$26,MATCH($C2255,medicine_master!$A$2:$A$26,0)),0)</f>
        <v>72</v>
      </c>
      <c r="N2255" s="45" t="n">
        <f aca="false">IF(D2255="Sale",E2255*L2255,0)</f>
        <v>0</v>
      </c>
      <c r="O2255" s="45" t="n">
        <f aca="false">IF(D2255="Sale",E2255*M2255,0)</f>
        <v>0</v>
      </c>
      <c r="P2255" s="45" t="n">
        <f aca="false">N2255-O2255</f>
        <v>0</v>
      </c>
      <c r="Q2255" s="45" t="n">
        <f aca="false">IF(D2255="Purchase",E2255*M2255,0)</f>
        <v>2160</v>
      </c>
    </row>
    <row r="2256" customFormat="false" ht="15" hidden="false" customHeight="false" outlineLevel="0" collapsed="false">
      <c r="A2256" s="39" t="s">
        <v>2580</v>
      </c>
      <c r="B2256" s="44" t="n">
        <v>46117</v>
      </c>
      <c r="C2256" s="39" t="s">
        <v>345</v>
      </c>
      <c r="D2256" s="39" t="s">
        <v>137</v>
      </c>
      <c r="E2256" s="39" t="n">
        <v>40</v>
      </c>
      <c r="F2256" s="39" t="str">
        <f aca="false">IF(COUNTIF(medicine_master!$A$2:$A$26,C2256)&gt;0,"Valid","Invalid")</f>
        <v>Valid</v>
      </c>
      <c r="G2256" s="39" t="str">
        <f aca="false">IFERROR(INDEX(medicine_master!$B$2:$B$26,MATCH($C2256,medicine_master!$A$2:$A$26,0)),"Not found")</f>
        <v>Paracetamol 500mg</v>
      </c>
      <c r="H2256" s="39" t="str">
        <f aca="false">IFERROR(INDEX(medicine_master!$C$2:$C$26,MATCH($C2256,medicine_master!$A$2:$A$26,0)),"Not found")</f>
        <v>Pain Relief</v>
      </c>
      <c r="I2256" s="39" t="n">
        <f aca="false">YEAR(B2256)</f>
        <v>2026</v>
      </c>
      <c r="J2256" s="39" t="n">
        <f aca="false">MONTH(B2256)</f>
        <v>4</v>
      </c>
      <c r="K2256" s="39" t="str">
        <f aca="false">TEXT(B2256,"mmm")</f>
        <v>Apr</v>
      </c>
      <c r="L2256" s="45" t="n">
        <f aca="false">IFERROR(INDEX(medicine_master!$I$2:$I$26,MATCH($C2256,medicine_master!$A$2:$A$26,0)),0)</f>
        <v>18</v>
      </c>
      <c r="M2256" s="45" t="n">
        <f aca="false">IFERROR(INDEX(medicine_master!$G$2:$G$26,MATCH($C2256,medicine_master!$A$2:$A$26,0)),0)</f>
        <v>12</v>
      </c>
      <c r="N2256" s="45" t="n">
        <f aca="false">IF(D2256="Sale",E2256*L2256,0)</f>
        <v>720</v>
      </c>
      <c r="O2256" s="45" t="n">
        <f aca="false">IF(D2256="Sale",E2256*M2256,0)</f>
        <v>480</v>
      </c>
      <c r="P2256" s="45" t="n">
        <f aca="false">N2256-O2256</f>
        <v>240</v>
      </c>
      <c r="Q2256" s="45" t="n">
        <f aca="false">IF(D2256="Purchase",E2256*M2256,0)</f>
        <v>0</v>
      </c>
    </row>
    <row r="2257" customFormat="false" ht="15" hidden="false" customHeight="false" outlineLevel="0" collapsed="false">
      <c r="A2257" s="39" t="s">
        <v>2581</v>
      </c>
      <c r="B2257" s="44" t="n">
        <v>46253</v>
      </c>
      <c r="C2257" s="39" t="s">
        <v>177</v>
      </c>
      <c r="D2257" s="39" t="s">
        <v>137</v>
      </c>
      <c r="E2257" s="39" t="n">
        <v>40</v>
      </c>
      <c r="F2257" s="39" t="str">
        <f aca="false">IF(COUNTIF(medicine_master!$A$2:$A$26,C2257)&gt;0,"Valid","Invalid")</f>
        <v>Valid</v>
      </c>
      <c r="G2257" s="39" t="str">
        <f aca="false">IFERROR(INDEX(medicine_master!$B$2:$B$26,MATCH($C2257,medicine_master!$A$2:$A$26,0)),"Not found")</f>
        <v>Bandage Roll</v>
      </c>
      <c r="H2257" s="39" t="str">
        <f aca="false">IFERROR(INDEX(medicine_master!$C$2:$C$26,MATCH($C2257,medicine_master!$A$2:$A$26,0)),"Not found")</f>
        <v>First Aid</v>
      </c>
      <c r="I2257" s="39" t="n">
        <f aca="false">YEAR(B2257)</f>
        <v>2026</v>
      </c>
      <c r="J2257" s="39" t="n">
        <f aca="false">MONTH(B2257)</f>
        <v>8</v>
      </c>
      <c r="K2257" s="39" t="str">
        <f aca="false">TEXT(B2257,"mmm")</f>
        <v>Aug</v>
      </c>
      <c r="L2257" s="45" t="n">
        <f aca="false">IFERROR(INDEX(medicine_master!$I$2:$I$26,MATCH($C2257,medicine_master!$A$2:$A$26,0)),0)</f>
        <v>25</v>
      </c>
      <c r="M2257" s="45" t="n">
        <f aca="false">IFERROR(INDEX(medicine_master!$G$2:$G$26,MATCH($C2257,medicine_master!$A$2:$A$26,0)),0)</f>
        <v>15</v>
      </c>
      <c r="N2257" s="45" t="n">
        <f aca="false">IF(D2257="Sale",E2257*L2257,0)</f>
        <v>1000</v>
      </c>
      <c r="O2257" s="45" t="n">
        <f aca="false">IF(D2257="Sale",E2257*M2257,0)</f>
        <v>600</v>
      </c>
      <c r="P2257" s="45" t="n">
        <f aca="false">N2257-O2257</f>
        <v>400</v>
      </c>
      <c r="Q2257" s="45" t="n">
        <f aca="false">IF(D2257="Purchase",E2257*M2257,0)</f>
        <v>0</v>
      </c>
    </row>
    <row r="2258" customFormat="false" ht="15" hidden="false" customHeight="false" outlineLevel="0" collapsed="false">
      <c r="A2258" s="39" t="s">
        <v>2582</v>
      </c>
      <c r="B2258" s="44" t="n">
        <v>46157</v>
      </c>
      <c r="C2258" s="39" t="s">
        <v>153</v>
      </c>
      <c r="D2258" s="39" t="s">
        <v>138</v>
      </c>
      <c r="E2258" s="39" t="n">
        <v>10</v>
      </c>
      <c r="F2258" s="39" t="str">
        <f aca="false">IF(COUNTIF(medicine_master!$A$2:$A$26,C2258)&gt;0,"Valid","Invalid")</f>
        <v>Valid</v>
      </c>
      <c r="G2258" s="39" t="str">
        <f aca="false">IFERROR(INDEX(medicine_master!$B$2:$B$26,MATCH($C2258,medicine_master!$A$2:$A$26,0)),"Not found")</f>
        <v>Atorvastatin 10mg</v>
      </c>
      <c r="H2258" s="39" t="str">
        <f aca="false">IFERROR(INDEX(medicine_master!$C$2:$C$26,MATCH($C2258,medicine_master!$A$2:$A$26,0)),"Not found")</f>
        <v>Cardiac</v>
      </c>
      <c r="I2258" s="39" t="n">
        <f aca="false">YEAR(B2258)</f>
        <v>2026</v>
      </c>
      <c r="J2258" s="39" t="n">
        <f aca="false">MONTH(B2258)</f>
        <v>5</v>
      </c>
      <c r="K2258" s="39" t="str">
        <f aca="false">TEXT(B2258,"mmm")</f>
        <v>May</v>
      </c>
      <c r="L2258" s="45" t="n">
        <f aca="false">IFERROR(INDEX(medicine_master!$I$2:$I$26,MATCH($C2258,medicine_master!$A$2:$A$26,0)),0)</f>
        <v>28</v>
      </c>
      <c r="M2258" s="45" t="n">
        <f aca="false">IFERROR(INDEX(medicine_master!$G$2:$G$26,MATCH($C2258,medicine_master!$A$2:$A$26,0)),0)</f>
        <v>19</v>
      </c>
      <c r="N2258" s="45" t="n">
        <f aca="false">IF(D2258="Sale",E2258*L2258,0)</f>
        <v>0</v>
      </c>
      <c r="O2258" s="45" t="n">
        <f aca="false">IF(D2258="Sale",E2258*M2258,0)</f>
        <v>0</v>
      </c>
      <c r="P2258" s="45" t="n">
        <f aca="false">N2258-O2258</f>
        <v>0</v>
      </c>
      <c r="Q2258" s="45" t="n">
        <f aca="false">IF(D2258="Purchase",E2258*M2258,0)</f>
        <v>190</v>
      </c>
    </row>
    <row r="2259" customFormat="false" ht="15" hidden="false" customHeight="false" outlineLevel="0" collapsed="false">
      <c r="A2259" s="39" t="s">
        <v>2583</v>
      </c>
      <c r="B2259" s="44" t="n">
        <v>46367</v>
      </c>
      <c r="C2259" s="39" t="s">
        <v>158</v>
      </c>
      <c r="D2259" s="39" t="s">
        <v>137</v>
      </c>
      <c r="E2259" s="39" t="n">
        <v>5</v>
      </c>
      <c r="F2259" s="39" t="str">
        <f aca="false">IF(COUNTIF(medicine_master!$A$2:$A$26,C2259)&gt;0,"Valid","Invalid")</f>
        <v>Valid</v>
      </c>
      <c r="G2259" s="39" t="str">
        <f aca="false">IFERROR(INDEX(medicine_master!$B$2:$B$26,MATCH($C2259,medicine_master!$A$2:$A$26,0)),"Not found")</f>
        <v>Cough Syrup 100ml</v>
      </c>
      <c r="H2259" s="39" t="str">
        <f aca="false">IFERROR(INDEX(medicine_master!$C$2:$C$26,MATCH($C2259,medicine_master!$A$2:$A$26,0)),"Not found")</f>
        <v>Cold &amp; Cough</v>
      </c>
      <c r="I2259" s="39" t="n">
        <f aca="false">YEAR(B2259)</f>
        <v>2026</v>
      </c>
      <c r="J2259" s="39" t="n">
        <f aca="false">MONTH(B2259)</f>
        <v>12</v>
      </c>
      <c r="K2259" s="39" t="str">
        <f aca="false">TEXT(B2259,"mmm")</f>
        <v>Dec</v>
      </c>
      <c r="L2259" s="45" t="n">
        <f aca="false">IFERROR(INDEX(medicine_master!$I$2:$I$26,MATCH($C2259,medicine_master!$A$2:$A$26,0)),0)</f>
        <v>72</v>
      </c>
      <c r="M2259" s="45" t="n">
        <f aca="false">IFERROR(INDEX(medicine_master!$G$2:$G$26,MATCH($C2259,medicine_master!$A$2:$A$26,0)),0)</f>
        <v>52</v>
      </c>
      <c r="N2259" s="45" t="n">
        <f aca="false">IF(D2259="Sale",E2259*L2259,0)</f>
        <v>360</v>
      </c>
      <c r="O2259" s="45" t="n">
        <f aca="false">IF(D2259="Sale",E2259*M2259,0)</f>
        <v>260</v>
      </c>
      <c r="P2259" s="45" t="n">
        <f aca="false">N2259-O2259</f>
        <v>100</v>
      </c>
      <c r="Q2259" s="45" t="n">
        <f aca="false">IF(D2259="Purchase",E2259*M2259,0)</f>
        <v>0</v>
      </c>
    </row>
    <row r="2260" customFormat="false" ht="15" hidden="false" customHeight="false" outlineLevel="0" collapsed="false">
      <c r="A2260" s="39" t="s">
        <v>2584</v>
      </c>
      <c r="B2260" s="44" t="n">
        <v>46051</v>
      </c>
      <c r="C2260" s="39" t="s">
        <v>177</v>
      </c>
      <c r="D2260" s="39" t="s">
        <v>138</v>
      </c>
      <c r="E2260" s="39" t="n">
        <v>40</v>
      </c>
      <c r="F2260" s="39" t="str">
        <f aca="false">IF(COUNTIF(medicine_master!$A$2:$A$26,C2260)&gt;0,"Valid","Invalid")</f>
        <v>Valid</v>
      </c>
      <c r="G2260" s="39" t="str">
        <f aca="false">IFERROR(INDEX(medicine_master!$B$2:$B$26,MATCH($C2260,medicine_master!$A$2:$A$26,0)),"Not found")</f>
        <v>Bandage Roll</v>
      </c>
      <c r="H2260" s="39" t="str">
        <f aca="false">IFERROR(INDEX(medicine_master!$C$2:$C$26,MATCH($C2260,medicine_master!$A$2:$A$26,0)),"Not found")</f>
        <v>First Aid</v>
      </c>
      <c r="I2260" s="39" t="n">
        <f aca="false">YEAR(B2260)</f>
        <v>2026</v>
      </c>
      <c r="J2260" s="39" t="n">
        <f aca="false">MONTH(B2260)</f>
        <v>1</v>
      </c>
      <c r="K2260" s="39" t="str">
        <f aca="false">TEXT(B2260,"mmm")</f>
        <v>Jan</v>
      </c>
      <c r="L2260" s="45" t="n">
        <f aca="false">IFERROR(INDEX(medicine_master!$I$2:$I$26,MATCH($C2260,medicine_master!$A$2:$A$26,0)),0)</f>
        <v>25</v>
      </c>
      <c r="M2260" s="45" t="n">
        <f aca="false">IFERROR(INDEX(medicine_master!$G$2:$G$26,MATCH($C2260,medicine_master!$A$2:$A$26,0)),0)</f>
        <v>15</v>
      </c>
      <c r="N2260" s="45" t="n">
        <f aca="false">IF(D2260="Sale",E2260*L2260,0)</f>
        <v>0</v>
      </c>
      <c r="O2260" s="45" t="n">
        <f aca="false">IF(D2260="Sale",E2260*M2260,0)</f>
        <v>0</v>
      </c>
      <c r="P2260" s="45" t="n">
        <f aca="false">N2260-O2260</f>
        <v>0</v>
      </c>
      <c r="Q2260" s="45" t="n">
        <f aca="false">IF(D2260="Purchase",E2260*M2260,0)</f>
        <v>600</v>
      </c>
    </row>
    <row r="2261" customFormat="false" ht="15" hidden="false" customHeight="false" outlineLevel="0" collapsed="false">
      <c r="A2261" s="39" t="s">
        <v>2585</v>
      </c>
      <c r="B2261" s="44" t="n">
        <v>46369</v>
      </c>
      <c r="C2261" s="39" t="s">
        <v>178</v>
      </c>
      <c r="D2261" s="39" t="s">
        <v>138</v>
      </c>
      <c r="E2261" s="39" t="n">
        <v>25</v>
      </c>
      <c r="F2261" s="39" t="str">
        <f aca="false">IF(COUNTIF(medicine_master!$A$2:$A$26,C2261)&gt;0,"Valid","Invalid")</f>
        <v>Valid</v>
      </c>
      <c r="G2261" s="39" t="str">
        <f aca="false">IFERROR(INDEX(medicine_master!$B$2:$B$26,MATCH($C2261,medicine_master!$A$2:$A$26,0)),"Not found")</f>
        <v>Aspirin 75mg</v>
      </c>
      <c r="H2261" s="39" t="str">
        <f aca="false">IFERROR(INDEX(medicine_master!$C$2:$C$26,MATCH($C2261,medicine_master!$A$2:$A$26,0)),"Not found")</f>
        <v>Cardiac</v>
      </c>
      <c r="I2261" s="39" t="n">
        <f aca="false">YEAR(B2261)</f>
        <v>2026</v>
      </c>
      <c r="J2261" s="39" t="n">
        <f aca="false">MONTH(B2261)</f>
        <v>12</v>
      </c>
      <c r="K2261" s="39" t="str">
        <f aca="false">TEXT(B2261,"mmm")</f>
        <v>Dec</v>
      </c>
      <c r="L2261" s="45" t="n">
        <f aca="false">IFERROR(INDEX(medicine_master!$I$2:$I$26,MATCH($C2261,medicine_master!$A$2:$A$26,0)),0)</f>
        <v>15</v>
      </c>
      <c r="M2261" s="45" t="n">
        <f aca="false">IFERROR(INDEX(medicine_master!$G$2:$G$26,MATCH($C2261,medicine_master!$A$2:$A$26,0)),0)</f>
        <v>10</v>
      </c>
      <c r="N2261" s="45" t="n">
        <f aca="false">IF(D2261="Sale",E2261*L2261,0)</f>
        <v>0</v>
      </c>
      <c r="O2261" s="45" t="n">
        <f aca="false">IF(D2261="Sale",E2261*M2261,0)</f>
        <v>0</v>
      </c>
      <c r="P2261" s="45" t="n">
        <f aca="false">N2261-O2261</f>
        <v>0</v>
      </c>
      <c r="Q2261" s="45" t="n">
        <f aca="false">IF(D2261="Purchase",E2261*M2261,0)</f>
        <v>250</v>
      </c>
    </row>
    <row r="2262" customFormat="false" ht="15" hidden="false" customHeight="false" outlineLevel="0" collapsed="false">
      <c r="A2262" s="39" t="s">
        <v>2586</v>
      </c>
      <c r="B2262" s="44" t="n">
        <v>46290</v>
      </c>
      <c r="C2262" s="39" t="s">
        <v>326</v>
      </c>
      <c r="D2262" s="39" t="s">
        <v>137</v>
      </c>
      <c r="E2262" s="39" t="n">
        <v>15</v>
      </c>
      <c r="F2262" s="39" t="str">
        <f aca="false">IF(COUNTIF(medicine_master!$A$2:$A$26,C2262)&gt;0,"Valid","Invalid")</f>
        <v>Valid</v>
      </c>
      <c r="G2262" s="39" t="str">
        <f aca="false">IFERROR(INDEX(medicine_master!$B$2:$B$26,MATCH($C2262,medicine_master!$A$2:$A$26,0)),"Not found")</f>
        <v>Omeprazole 20mg</v>
      </c>
      <c r="H2262" s="39" t="str">
        <f aca="false">IFERROR(INDEX(medicine_master!$C$2:$C$26,MATCH($C2262,medicine_master!$A$2:$A$26,0)),"Not found")</f>
        <v>Gastric</v>
      </c>
      <c r="I2262" s="39" t="n">
        <f aca="false">YEAR(B2262)</f>
        <v>2026</v>
      </c>
      <c r="J2262" s="39" t="n">
        <f aca="false">MONTH(B2262)</f>
        <v>9</v>
      </c>
      <c r="K2262" s="39" t="str">
        <f aca="false">TEXT(B2262,"mmm")</f>
        <v>Sep</v>
      </c>
      <c r="L2262" s="45" t="n">
        <f aca="false">IFERROR(INDEX(medicine_master!$I$2:$I$26,MATCH($C2262,medicine_master!$A$2:$A$26,0)),0)</f>
        <v>26</v>
      </c>
      <c r="M2262" s="45" t="n">
        <f aca="false">IFERROR(INDEX(medicine_master!$G$2:$G$26,MATCH($C2262,medicine_master!$A$2:$A$26,0)),0)</f>
        <v>18</v>
      </c>
      <c r="N2262" s="45" t="n">
        <f aca="false">IF(D2262="Sale",E2262*L2262,0)</f>
        <v>390</v>
      </c>
      <c r="O2262" s="45" t="n">
        <f aca="false">IF(D2262="Sale",E2262*M2262,0)</f>
        <v>270</v>
      </c>
      <c r="P2262" s="45" t="n">
        <f aca="false">N2262-O2262</f>
        <v>120</v>
      </c>
      <c r="Q2262" s="45" t="n">
        <f aca="false">IF(D2262="Purchase",E2262*M2262,0)</f>
        <v>0</v>
      </c>
    </row>
    <row r="2263" customFormat="false" ht="15" hidden="false" customHeight="false" outlineLevel="0" collapsed="false">
      <c r="A2263" s="39" t="s">
        <v>2587</v>
      </c>
      <c r="B2263" s="44" t="n">
        <v>46236</v>
      </c>
      <c r="C2263" s="39" t="s">
        <v>160</v>
      </c>
      <c r="D2263" s="39" t="s">
        <v>138</v>
      </c>
      <c r="E2263" s="39" t="n">
        <v>10</v>
      </c>
      <c r="F2263" s="39" t="str">
        <f aca="false">IF(COUNTIF(medicine_master!$A$2:$A$26,C2263)&gt;0,"Valid","Invalid")</f>
        <v>Valid</v>
      </c>
      <c r="G2263" s="39" t="str">
        <f aca="false">IFERROR(INDEX(medicine_master!$B$2:$B$26,MATCH($C2263,medicine_master!$A$2:$A$26,0)),"Not found")</f>
        <v>Calamine Lotion</v>
      </c>
      <c r="H2263" s="39" t="str">
        <f aca="false">IFERROR(INDEX(medicine_master!$C$2:$C$26,MATCH($C2263,medicine_master!$A$2:$A$26,0)),"Not found")</f>
        <v>Dermatology</v>
      </c>
      <c r="I2263" s="39" t="n">
        <f aca="false">YEAR(B2263)</f>
        <v>2026</v>
      </c>
      <c r="J2263" s="39" t="n">
        <f aca="false">MONTH(B2263)</f>
        <v>8</v>
      </c>
      <c r="K2263" s="39" t="str">
        <f aca="false">TEXT(B2263,"mmm")</f>
        <v>Aug</v>
      </c>
      <c r="L2263" s="45" t="n">
        <f aca="false">IFERROR(INDEX(medicine_master!$I$2:$I$26,MATCH($C2263,medicine_master!$A$2:$A$26,0)),0)</f>
        <v>60</v>
      </c>
      <c r="M2263" s="45" t="n">
        <f aca="false">IFERROR(INDEX(medicine_master!$G$2:$G$26,MATCH($C2263,medicine_master!$A$2:$A$26,0)),0)</f>
        <v>42</v>
      </c>
      <c r="N2263" s="45" t="n">
        <f aca="false">IF(D2263="Sale",E2263*L2263,0)</f>
        <v>0</v>
      </c>
      <c r="O2263" s="45" t="n">
        <f aca="false">IF(D2263="Sale",E2263*M2263,0)</f>
        <v>0</v>
      </c>
      <c r="P2263" s="45" t="n">
        <f aca="false">N2263-O2263</f>
        <v>0</v>
      </c>
      <c r="Q2263" s="45" t="n">
        <f aca="false">IF(D2263="Purchase",E2263*M2263,0)</f>
        <v>420</v>
      </c>
    </row>
    <row r="2264" customFormat="false" ht="15" hidden="false" customHeight="false" outlineLevel="0" collapsed="false">
      <c r="A2264" s="39" t="s">
        <v>2588</v>
      </c>
      <c r="B2264" s="44" t="n">
        <v>46232</v>
      </c>
      <c r="C2264" s="39" t="s">
        <v>160</v>
      </c>
      <c r="D2264" s="39" t="s">
        <v>138</v>
      </c>
      <c r="E2264" s="39" t="n">
        <v>25</v>
      </c>
      <c r="F2264" s="39" t="str">
        <f aca="false">IF(COUNTIF(medicine_master!$A$2:$A$26,C2264)&gt;0,"Valid","Invalid")</f>
        <v>Valid</v>
      </c>
      <c r="G2264" s="39" t="str">
        <f aca="false">IFERROR(INDEX(medicine_master!$B$2:$B$26,MATCH($C2264,medicine_master!$A$2:$A$26,0)),"Not found")</f>
        <v>Calamine Lotion</v>
      </c>
      <c r="H2264" s="39" t="str">
        <f aca="false">IFERROR(INDEX(medicine_master!$C$2:$C$26,MATCH($C2264,medicine_master!$A$2:$A$26,0)),"Not found")</f>
        <v>Dermatology</v>
      </c>
      <c r="I2264" s="39" t="n">
        <f aca="false">YEAR(B2264)</f>
        <v>2026</v>
      </c>
      <c r="J2264" s="39" t="n">
        <f aca="false">MONTH(B2264)</f>
        <v>7</v>
      </c>
      <c r="K2264" s="39" t="str">
        <f aca="false">TEXT(B2264,"mmm")</f>
        <v>Jul</v>
      </c>
      <c r="L2264" s="45" t="n">
        <f aca="false">IFERROR(INDEX(medicine_master!$I$2:$I$26,MATCH($C2264,medicine_master!$A$2:$A$26,0)),0)</f>
        <v>60</v>
      </c>
      <c r="M2264" s="45" t="n">
        <f aca="false">IFERROR(INDEX(medicine_master!$G$2:$G$26,MATCH($C2264,medicine_master!$A$2:$A$26,0)),0)</f>
        <v>42</v>
      </c>
      <c r="N2264" s="45" t="n">
        <f aca="false">IF(D2264="Sale",E2264*L2264,0)</f>
        <v>0</v>
      </c>
      <c r="O2264" s="45" t="n">
        <f aca="false">IF(D2264="Sale",E2264*M2264,0)</f>
        <v>0</v>
      </c>
      <c r="P2264" s="45" t="n">
        <f aca="false">N2264-O2264</f>
        <v>0</v>
      </c>
      <c r="Q2264" s="45" t="n">
        <f aca="false">IF(D2264="Purchase",E2264*M2264,0)</f>
        <v>1050</v>
      </c>
    </row>
    <row r="2265" customFormat="false" ht="15" hidden="false" customHeight="false" outlineLevel="0" collapsed="false">
      <c r="A2265" s="39" t="s">
        <v>2589</v>
      </c>
      <c r="B2265" s="44" t="n">
        <v>46195</v>
      </c>
      <c r="C2265" s="39" t="s">
        <v>145</v>
      </c>
      <c r="D2265" s="39" t="s">
        <v>137</v>
      </c>
      <c r="E2265" s="39" t="n">
        <v>40</v>
      </c>
      <c r="F2265" s="39" t="str">
        <f aca="false">IF(COUNTIF(medicine_master!$A$2:$A$26,C2265)&gt;0,"Valid","Invalid")</f>
        <v>Valid</v>
      </c>
      <c r="G2265" s="39" t="str">
        <f aca="false">IFERROR(INDEX(medicine_master!$B$2:$B$26,MATCH($C2265,medicine_master!$A$2:$A$26,0)),"Not found")</f>
        <v>Clotrimazole Cream</v>
      </c>
      <c r="H2265" s="39" t="str">
        <f aca="false">IFERROR(INDEX(medicine_master!$C$2:$C$26,MATCH($C2265,medicine_master!$A$2:$A$26,0)),"Not found")</f>
        <v>Dermatology</v>
      </c>
      <c r="I2265" s="39" t="n">
        <f aca="false">YEAR(B2265)</f>
        <v>2026</v>
      </c>
      <c r="J2265" s="39" t="n">
        <f aca="false">MONTH(B2265)</f>
        <v>6</v>
      </c>
      <c r="K2265" s="39" t="str">
        <f aca="false">TEXT(B2265,"mmm")</f>
        <v>Jun</v>
      </c>
      <c r="L2265" s="45" t="n">
        <f aca="false">IFERROR(INDEX(medicine_master!$I$2:$I$26,MATCH($C2265,medicine_master!$A$2:$A$26,0)),0)</f>
        <v>48</v>
      </c>
      <c r="M2265" s="45" t="n">
        <f aca="false">IFERROR(INDEX(medicine_master!$G$2:$G$26,MATCH($C2265,medicine_master!$A$2:$A$26,0)),0)</f>
        <v>32</v>
      </c>
      <c r="N2265" s="45" t="n">
        <f aca="false">IF(D2265="Sale",E2265*L2265,0)</f>
        <v>1920</v>
      </c>
      <c r="O2265" s="45" t="n">
        <f aca="false">IF(D2265="Sale",E2265*M2265,0)</f>
        <v>1280</v>
      </c>
      <c r="P2265" s="45" t="n">
        <f aca="false">N2265-O2265</f>
        <v>640</v>
      </c>
      <c r="Q2265" s="45" t="n">
        <f aca="false">IF(D2265="Purchase",E2265*M2265,0)</f>
        <v>0</v>
      </c>
    </row>
    <row r="2266" customFormat="false" ht="15" hidden="false" customHeight="false" outlineLevel="0" collapsed="false">
      <c r="A2266" s="39" t="s">
        <v>2590</v>
      </c>
      <c r="B2266" s="44" t="n">
        <v>46219</v>
      </c>
      <c r="C2266" s="39" t="s">
        <v>153</v>
      </c>
      <c r="D2266" s="39" t="s">
        <v>137</v>
      </c>
      <c r="E2266" s="39" t="n">
        <v>40</v>
      </c>
      <c r="F2266" s="39" t="str">
        <f aca="false">IF(COUNTIF(medicine_master!$A$2:$A$26,C2266)&gt;0,"Valid","Invalid")</f>
        <v>Valid</v>
      </c>
      <c r="G2266" s="39" t="str">
        <f aca="false">IFERROR(INDEX(medicine_master!$B$2:$B$26,MATCH($C2266,medicine_master!$A$2:$A$26,0)),"Not found")</f>
        <v>Atorvastatin 10mg</v>
      </c>
      <c r="H2266" s="39" t="str">
        <f aca="false">IFERROR(INDEX(medicine_master!$C$2:$C$26,MATCH($C2266,medicine_master!$A$2:$A$26,0)),"Not found")</f>
        <v>Cardiac</v>
      </c>
      <c r="I2266" s="39" t="n">
        <f aca="false">YEAR(B2266)</f>
        <v>2026</v>
      </c>
      <c r="J2266" s="39" t="n">
        <f aca="false">MONTH(B2266)</f>
        <v>7</v>
      </c>
      <c r="K2266" s="39" t="str">
        <f aca="false">TEXT(B2266,"mmm")</f>
        <v>Jul</v>
      </c>
      <c r="L2266" s="45" t="n">
        <f aca="false">IFERROR(INDEX(medicine_master!$I$2:$I$26,MATCH($C2266,medicine_master!$A$2:$A$26,0)),0)</f>
        <v>28</v>
      </c>
      <c r="M2266" s="45" t="n">
        <f aca="false">IFERROR(INDEX(medicine_master!$G$2:$G$26,MATCH($C2266,medicine_master!$A$2:$A$26,0)),0)</f>
        <v>19</v>
      </c>
      <c r="N2266" s="45" t="n">
        <f aca="false">IF(D2266="Sale",E2266*L2266,0)</f>
        <v>1120</v>
      </c>
      <c r="O2266" s="45" t="n">
        <f aca="false">IF(D2266="Sale",E2266*M2266,0)</f>
        <v>760</v>
      </c>
      <c r="P2266" s="45" t="n">
        <f aca="false">N2266-O2266</f>
        <v>360</v>
      </c>
      <c r="Q2266" s="45" t="n">
        <f aca="false">IF(D2266="Purchase",E2266*M2266,0)</f>
        <v>0</v>
      </c>
    </row>
    <row r="2267" customFormat="false" ht="15" hidden="false" customHeight="false" outlineLevel="0" collapsed="false">
      <c r="A2267" s="39" t="s">
        <v>2591</v>
      </c>
      <c r="B2267" s="44" t="n">
        <v>46264</v>
      </c>
      <c r="C2267" s="39" t="s">
        <v>167</v>
      </c>
      <c r="D2267" s="39" t="s">
        <v>138</v>
      </c>
      <c r="E2267" s="39" t="n">
        <v>25</v>
      </c>
      <c r="F2267" s="39" t="str">
        <f aca="false">IF(COUNTIF(medicine_master!$A$2:$A$26,C2267)&gt;0,"Valid","Invalid")</f>
        <v>Valid</v>
      </c>
      <c r="G2267" s="39" t="str">
        <f aca="false">IFERROR(INDEX(medicine_master!$B$2:$B$26,MATCH($C2267,medicine_master!$A$2:$A$26,0)),"Not found")</f>
        <v>Amlodipine 5mg</v>
      </c>
      <c r="H2267" s="39" t="str">
        <f aca="false">IFERROR(INDEX(medicine_master!$C$2:$C$26,MATCH($C2267,medicine_master!$A$2:$A$26,0)),"Not found")</f>
        <v>Cardiac</v>
      </c>
      <c r="I2267" s="39" t="n">
        <f aca="false">YEAR(B2267)</f>
        <v>2026</v>
      </c>
      <c r="J2267" s="39" t="n">
        <f aca="false">MONTH(B2267)</f>
        <v>8</v>
      </c>
      <c r="K2267" s="39" t="str">
        <f aca="false">TEXT(B2267,"mmm")</f>
        <v>Aug</v>
      </c>
      <c r="L2267" s="45" t="n">
        <f aca="false">IFERROR(INDEX(medicine_master!$I$2:$I$26,MATCH($C2267,medicine_master!$A$2:$A$26,0)),0)</f>
        <v>19</v>
      </c>
      <c r="M2267" s="45" t="n">
        <f aca="false">IFERROR(INDEX(medicine_master!$G$2:$G$26,MATCH($C2267,medicine_master!$A$2:$A$26,0)),0)</f>
        <v>13</v>
      </c>
      <c r="N2267" s="45" t="n">
        <f aca="false">IF(D2267="Sale",E2267*L2267,0)</f>
        <v>0</v>
      </c>
      <c r="O2267" s="45" t="n">
        <f aca="false">IF(D2267="Sale",E2267*M2267,0)</f>
        <v>0</v>
      </c>
      <c r="P2267" s="45" t="n">
        <f aca="false">N2267-O2267</f>
        <v>0</v>
      </c>
      <c r="Q2267" s="45" t="n">
        <f aca="false">IF(D2267="Purchase",E2267*M2267,0)</f>
        <v>325</v>
      </c>
    </row>
    <row r="2268" customFormat="false" ht="15" hidden="false" customHeight="false" outlineLevel="0" collapsed="false">
      <c r="A2268" s="39" t="s">
        <v>2592</v>
      </c>
      <c r="B2268" s="44" t="n">
        <v>46160</v>
      </c>
      <c r="C2268" s="39" t="s">
        <v>178</v>
      </c>
      <c r="D2268" s="39" t="s">
        <v>137</v>
      </c>
      <c r="E2268" s="39" t="n">
        <v>5</v>
      </c>
      <c r="F2268" s="39" t="str">
        <f aca="false">IF(COUNTIF(medicine_master!$A$2:$A$26,C2268)&gt;0,"Valid","Invalid")</f>
        <v>Valid</v>
      </c>
      <c r="G2268" s="39" t="str">
        <f aca="false">IFERROR(INDEX(medicine_master!$B$2:$B$26,MATCH($C2268,medicine_master!$A$2:$A$26,0)),"Not found")</f>
        <v>Aspirin 75mg</v>
      </c>
      <c r="H2268" s="39" t="str">
        <f aca="false">IFERROR(INDEX(medicine_master!$C$2:$C$26,MATCH($C2268,medicine_master!$A$2:$A$26,0)),"Not found")</f>
        <v>Cardiac</v>
      </c>
      <c r="I2268" s="39" t="n">
        <f aca="false">YEAR(B2268)</f>
        <v>2026</v>
      </c>
      <c r="J2268" s="39" t="n">
        <f aca="false">MONTH(B2268)</f>
        <v>5</v>
      </c>
      <c r="K2268" s="39" t="str">
        <f aca="false">TEXT(B2268,"mmm")</f>
        <v>May</v>
      </c>
      <c r="L2268" s="45" t="n">
        <f aca="false">IFERROR(INDEX(medicine_master!$I$2:$I$26,MATCH($C2268,medicine_master!$A$2:$A$26,0)),0)</f>
        <v>15</v>
      </c>
      <c r="M2268" s="45" t="n">
        <f aca="false">IFERROR(INDEX(medicine_master!$G$2:$G$26,MATCH($C2268,medicine_master!$A$2:$A$26,0)),0)</f>
        <v>10</v>
      </c>
      <c r="N2268" s="45" t="n">
        <f aca="false">IF(D2268="Sale",E2268*L2268,0)</f>
        <v>75</v>
      </c>
      <c r="O2268" s="45" t="n">
        <f aca="false">IF(D2268="Sale",E2268*M2268,0)</f>
        <v>50</v>
      </c>
      <c r="P2268" s="45" t="n">
        <f aca="false">N2268-O2268</f>
        <v>25</v>
      </c>
      <c r="Q2268" s="45" t="n">
        <f aca="false">IF(D2268="Purchase",E2268*M2268,0)</f>
        <v>0</v>
      </c>
    </row>
    <row r="2269" customFormat="false" ht="15" hidden="false" customHeight="false" outlineLevel="0" collapsed="false">
      <c r="A2269" s="39" t="s">
        <v>2593</v>
      </c>
      <c r="B2269" s="44" t="n">
        <v>46205</v>
      </c>
      <c r="C2269" s="39" t="s">
        <v>152</v>
      </c>
      <c r="D2269" s="39" t="s">
        <v>138</v>
      </c>
      <c r="E2269" s="39" t="n">
        <v>25</v>
      </c>
      <c r="F2269" s="39" t="str">
        <f aca="false">IF(COUNTIF(medicine_master!$A$2:$A$26,C2269)&gt;0,"Valid","Invalid")</f>
        <v>Valid</v>
      </c>
      <c r="G2269" s="39" t="str">
        <f aca="false">IFERROR(INDEX(medicine_master!$B$2:$B$26,MATCH($C2269,medicine_master!$A$2:$A$26,0)),"Not found")</f>
        <v>Amoxicillin 500mg</v>
      </c>
      <c r="H2269" s="39" t="str">
        <f aca="false">IFERROR(INDEX(medicine_master!$C$2:$C$26,MATCH($C2269,medicine_master!$A$2:$A$26,0)),"Not found")</f>
        <v>Antibiotic</v>
      </c>
      <c r="I2269" s="39" t="n">
        <f aca="false">YEAR(B2269)</f>
        <v>2026</v>
      </c>
      <c r="J2269" s="39" t="n">
        <f aca="false">MONTH(B2269)</f>
        <v>7</v>
      </c>
      <c r="K2269" s="39" t="str">
        <f aca="false">TEXT(B2269,"mmm")</f>
        <v>Jul</v>
      </c>
      <c r="L2269" s="45" t="n">
        <f aca="false">IFERROR(INDEX(medicine_master!$I$2:$I$26,MATCH($C2269,medicine_master!$A$2:$A$26,0)),0)</f>
        <v>40</v>
      </c>
      <c r="M2269" s="45" t="n">
        <f aca="false">IFERROR(INDEX(medicine_master!$G$2:$G$26,MATCH($C2269,medicine_master!$A$2:$A$26,0)),0)</f>
        <v>28</v>
      </c>
      <c r="N2269" s="45" t="n">
        <f aca="false">IF(D2269="Sale",E2269*L2269,0)</f>
        <v>0</v>
      </c>
      <c r="O2269" s="45" t="n">
        <f aca="false">IF(D2269="Sale",E2269*M2269,0)</f>
        <v>0</v>
      </c>
      <c r="P2269" s="45" t="n">
        <f aca="false">N2269-O2269</f>
        <v>0</v>
      </c>
      <c r="Q2269" s="45" t="n">
        <f aca="false">IF(D2269="Purchase",E2269*M2269,0)</f>
        <v>700</v>
      </c>
    </row>
    <row r="2270" customFormat="false" ht="15" hidden="false" customHeight="false" outlineLevel="0" collapsed="false">
      <c r="A2270" s="39" t="s">
        <v>2594</v>
      </c>
      <c r="B2270" s="44" t="n">
        <v>46237</v>
      </c>
      <c r="C2270" s="39" t="s">
        <v>321</v>
      </c>
      <c r="D2270" s="39" t="s">
        <v>138</v>
      </c>
      <c r="E2270" s="39" t="n">
        <v>15</v>
      </c>
      <c r="F2270" s="39" t="str">
        <f aca="false">IF(COUNTIF(medicine_master!$A$2:$A$26,C2270)&gt;0,"Valid","Invalid")</f>
        <v>Valid</v>
      </c>
      <c r="G2270" s="39" t="str">
        <f aca="false">IFERROR(INDEX(medicine_master!$B$2:$B$26,MATCH($C2270,medicine_master!$A$2:$A$26,0)),"Not found")</f>
        <v>Levocetirizine 5mg</v>
      </c>
      <c r="H2270" s="39" t="str">
        <f aca="false">IFERROR(INDEX(medicine_master!$C$2:$C$26,MATCH($C2270,medicine_master!$A$2:$A$26,0)),"Not found")</f>
        <v>Allergy</v>
      </c>
      <c r="I2270" s="39" t="n">
        <f aca="false">YEAR(B2270)</f>
        <v>2026</v>
      </c>
      <c r="J2270" s="39" t="n">
        <f aca="false">MONTH(B2270)</f>
        <v>8</v>
      </c>
      <c r="K2270" s="39" t="str">
        <f aca="false">TEXT(B2270,"mmm")</f>
        <v>Aug</v>
      </c>
      <c r="L2270" s="45" t="n">
        <f aca="false">IFERROR(INDEX(medicine_master!$I$2:$I$26,MATCH($C2270,medicine_master!$A$2:$A$26,0)),0)</f>
        <v>22</v>
      </c>
      <c r="M2270" s="45" t="n">
        <f aca="false">IFERROR(INDEX(medicine_master!$G$2:$G$26,MATCH($C2270,medicine_master!$A$2:$A$26,0)),0)</f>
        <v>14</v>
      </c>
      <c r="N2270" s="45" t="n">
        <f aca="false">IF(D2270="Sale",E2270*L2270,0)</f>
        <v>0</v>
      </c>
      <c r="O2270" s="45" t="n">
        <f aca="false">IF(D2270="Sale",E2270*M2270,0)</f>
        <v>0</v>
      </c>
      <c r="P2270" s="45" t="n">
        <f aca="false">N2270-O2270</f>
        <v>0</v>
      </c>
      <c r="Q2270" s="45" t="n">
        <f aca="false">IF(D2270="Purchase",E2270*M2270,0)</f>
        <v>210</v>
      </c>
    </row>
    <row r="2271" customFormat="false" ht="15" hidden="false" customHeight="false" outlineLevel="0" collapsed="false">
      <c r="A2271" s="39" t="s">
        <v>2595</v>
      </c>
      <c r="B2271" s="44" t="n">
        <v>46280</v>
      </c>
      <c r="C2271" s="39" t="s">
        <v>147</v>
      </c>
      <c r="D2271" s="39" t="s">
        <v>138</v>
      </c>
      <c r="E2271" s="39" t="n">
        <v>40</v>
      </c>
      <c r="F2271" s="39" t="str">
        <f aca="false">IF(COUNTIF(medicine_master!$A$2:$A$26,C2271)&gt;0,"Valid","Invalid")</f>
        <v>Valid</v>
      </c>
      <c r="G2271" s="39" t="str">
        <f aca="false">IFERROR(INDEX(medicine_master!$B$2:$B$26,MATCH($C2271,medicine_master!$A$2:$A$26,0)),"Not found")</f>
        <v>Insulin Injection</v>
      </c>
      <c r="H2271" s="39" t="str">
        <f aca="false">IFERROR(INDEX(medicine_master!$C$2:$C$26,MATCH($C2271,medicine_master!$A$2:$A$26,0)),"Not found")</f>
        <v>Diabetes</v>
      </c>
      <c r="I2271" s="39" t="n">
        <f aca="false">YEAR(B2271)</f>
        <v>2026</v>
      </c>
      <c r="J2271" s="39" t="n">
        <f aca="false">MONTH(B2271)</f>
        <v>9</v>
      </c>
      <c r="K2271" s="39" t="str">
        <f aca="false">TEXT(B2271,"mmm")</f>
        <v>Sep</v>
      </c>
      <c r="L2271" s="45" t="n">
        <f aca="false">IFERROR(INDEX(medicine_master!$I$2:$I$26,MATCH($C2271,medicine_master!$A$2:$A$26,0)),0)</f>
        <v>225</v>
      </c>
      <c r="M2271" s="45" t="n">
        <f aca="false">IFERROR(INDEX(medicine_master!$G$2:$G$26,MATCH($C2271,medicine_master!$A$2:$A$26,0)),0)</f>
        <v>165</v>
      </c>
      <c r="N2271" s="45" t="n">
        <f aca="false">IF(D2271="Sale",E2271*L2271,0)</f>
        <v>0</v>
      </c>
      <c r="O2271" s="45" t="n">
        <f aca="false">IF(D2271="Sale",E2271*M2271,0)</f>
        <v>0</v>
      </c>
      <c r="P2271" s="45" t="n">
        <f aca="false">N2271-O2271</f>
        <v>0</v>
      </c>
      <c r="Q2271" s="45" t="n">
        <f aca="false">IF(D2271="Purchase",E2271*M2271,0)</f>
        <v>6600</v>
      </c>
    </row>
    <row r="2272" customFormat="false" ht="15" hidden="false" customHeight="false" outlineLevel="0" collapsed="false">
      <c r="A2272" s="39" t="s">
        <v>2596</v>
      </c>
      <c r="B2272" s="44" t="n">
        <v>46193</v>
      </c>
      <c r="C2272" s="39" t="s">
        <v>167</v>
      </c>
      <c r="D2272" s="39" t="s">
        <v>137</v>
      </c>
      <c r="E2272" s="39" t="n">
        <v>30</v>
      </c>
      <c r="F2272" s="39" t="str">
        <f aca="false">IF(COUNTIF(medicine_master!$A$2:$A$26,C2272)&gt;0,"Valid","Invalid")</f>
        <v>Valid</v>
      </c>
      <c r="G2272" s="39" t="str">
        <f aca="false">IFERROR(INDEX(medicine_master!$B$2:$B$26,MATCH($C2272,medicine_master!$A$2:$A$26,0)),"Not found")</f>
        <v>Amlodipine 5mg</v>
      </c>
      <c r="H2272" s="39" t="str">
        <f aca="false">IFERROR(INDEX(medicine_master!$C$2:$C$26,MATCH($C2272,medicine_master!$A$2:$A$26,0)),"Not found")</f>
        <v>Cardiac</v>
      </c>
      <c r="I2272" s="39" t="n">
        <f aca="false">YEAR(B2272)</f>
        <v>2026</v>
      </c>
      <c r="J2272" s="39" t="n">
        <f aca="false">MONTH(B2272)</f>
        <v>6</v>
      </c>
      <c r="K2272" s="39" t="str">
        <f aca="false">TEXT(B2272,"mmm")</f>
        <v>Jun</v>
      </c>
      <c r="L2272" s="45" t="n">
        <f aca="false">IFERROR(INDEX(medicine_master!$I$2:$I$26,MATCH($C2272,medicine_master!$A$2:$A$26,0)),0)</f>
        <v>19</v>
      </c>
      <c r="M2272" s="45" t="n">
        <f aca="false">IFERROR(INDEX(medicine_master!$G$2:$G$26,MATCH($C2272,medicine_master!$A$2:$A$26,0)),0)</f>
        <v>13</v>
      </c>
      <c r="N2272" s="45" t="n">
        <f aca="false">IF(D2272="Sale",E2272*L2272,0)</f>
        <v>570</v>
      </c>
      <c r="O2272" s="45" t="n">
        <f aca="false">IF(D2272="Sale",E2272*M2272,0)</f>
        <v>390</v>
      </c>
      <c r="P2272" s="45" t="n">
        <f aca="false">N2272-O2272</f>
        <v>180</v>
      </c>
      <c r="Q2272" s="45" t="n">
        <f aca="false">IF(D2272="Purchase",E2272*M2272,0)</f>
        <v>0</v>
      </c>
    </row>
    <row r="2273" customFormat="false" ht="15" hidden="false" customHeight="false" outlineLevel="0" collapsed="false">
      <c r="A2273" s="39" t="s">
        <v>2597</v>
      </c>
      <c r="B2273" s="44" t="n">
        <v>46290</v>
      </c>
      <c r="C2273" s="39" t="s">
        <v>149</v>
      </c>
      <c r="D2273" s="39" t="s">
        <v>138</v>
      </c>
      <c r="E2273" s="39" t="n">
        <v>30</v>
      </c>
      <c r="F2273" s="39" t="str">
        <f aca="false">IF(COUNTIF(medicine_master!$A$2:$A$26,C2273)&gt;0,"Valid","Invalid")</f>
        <v>Valid</v>
      </c>
      <c r="G2273" s="39" t="str">
        <f aca="false">IFERROR(INDEX(medicine_master!$B$2:$B$26,MATCH($C2273,medicine_master!$A$2:$A$26,0)),"Not found")</f>
        <v>Azithromycin 500mg</v>
      </c>
      <c r="H2273" s="39" t="str">
        <f aca="false">IFERROR(INDEX(medicine_master!$C$2:$C$26,MATCH($C2273,medicine_master!$A$2:$A$26,0)),"Not found")</f>
        <v>Antibiotic</v>
      </c>
      <c r="I2273" s="39" t="n">
        <f aca="false">YEAR(B2273)</f>
        <v>2026</v>
      </c>
      <c r="J2273" s="39" t="n">
        <f aca="false">MONTH(B2273)</f>
        <v>9</v>
      </c>
      <c r="K2273" s="39" t="str">
        <f aca="false">TEXT(B2273,"mmm")</f>
        <v>Sep</v>
      </c>
      <c r="L2273" s="45" t="n">
        <f aca="false">IFERROR(INDEX(medicine_master!$I$2:$I$26,MATCH($C2273,medicine_master!$A$2:$A$26,0)),0)</f>
        <v>50</v>
      </c>
      <c r="M2273" s="45" t="n">
        <f aca="false">IFERROR(INDEX(medicine_master!$G$2:$G$26,MATCH($C2273,medicine_master!$A$2:$A$26,0)),0)</f>
        <v>35</v>
      </c>
      <c r="N2273" s="45" t="n">
        <f aca="false">IF(D2273="Sale",E2273*L2273,0)</f>
        <v>0</v>
      </c>
      <c r="O2273" s="45" t="n">
        <f aca="false">IF(D2273="Sale",E2273*M2273,0)</f>
        <v>0</v>
      </c>
      <c r="P2273" s="45" t="n">
        <f aca="false">N2273-O2273</f>
        <v>0</v>
      </c>
      <c r="Q2273" s="45" t="n">
        <f aca="false">IF(D2273="Purchase",E2273*M2273,0)</f>
        <v>1050</v>
      </c>
    </row>
    <row r="2274" customFormat="false" ht="15" hidden="false" customHeight="false" outlineLevel="0" collapsed="false">
      <c r="A2274" s="39" t="s">
        <v>2598</v>
      </c>
      <c r="B2274" s="44" t="n">
        <v>46063</v>
      </c>
      <c r="C2274" s="39" t="s">
        <v>180</v>
      </c>
      <c r="D2274" s="39" t="s">
        <v>137</v>
      </c>
      <c r="E2274" s="39" t="n">
        <v>40</v>
      </c>
      <c r="F2274" s="39" t="str">
        <f aca="false">IF(COUNTIF(medicine_master!$A$2:$A$26,C2274)&gt;0,"Valid","Invalid")</f>
        <v>Valid</v>
      </c>
      <c r="G2274" s="39" t="str">
        <f aca="false">IFERROR(INDEX(medicine_master!$B$2:$B$26,MATCH($C2274,medicine_master!$A$2:$A$26,0)),"Not found")</f>
        <v>Vitamin C 500mg</v>
      </c>
      <c r="H2274" s="39" t="str">
        <f aca="false">IFERROR(INDEX(medicine_master!$C$2:$C$26,MATCH($C2274,medicine_master!$A$2:$A$26,0)),"Not found")</f>
        <v>Vitamin</v>
      </c>
      <c r="I2274" s="39" t="n">
        <f aca="false">YEAR(B2274)</f>
        <v>2026</v>
      </c>
      <c r="J2274" s="39" t="n">
        <f aca="false">MONTH(B2274)</f>
        <v>2</v>
      </c>
      <c r="K2274" s="39" t="str">
        <f aca="false">TEXT(B2274,"mmm")</f>
        <v>Feb</v>
      </c>
      <c r="L2274" s="45" t="n">
        <f aca="false">IFERROR(INDEX(medicine_master!$I$2:$I$26,MATCH($C2274,medicine_master!$A$2:$A$26,0)),0)</f>
        <v>22</v>
      </c>
      <c r="M2274" s="45" t="n">
        <f aca="false">IFERROR(INDEX(medicine_master!$G$2:$G$26,MATCH($C2274,medicine_master!$A$2:$A$26,0)),0)</f>
        <v>14</v>
      </c>
      <c r="N2274" s="45" t="n">
        <f aca="false">IF(D2274="Sale",E2274*L2274,0)</f>
        <v>880</v>
      </c>
      <c r="O2274" s="45" t="n">
        <f aca="false">IF(D2274="Sale",E2274*M2274,0)</f>
        <v>560</v>
      </c>
      <c r="P2274" s="45" t="n">
        <f aca="false">N2274-O2274</f>
        <v>320</v>
      </c>
      <c r="Q2274" s="45" t="n">
        <f aca="false">IF(D2274="Purchase",E2274*M2274,0)</f>
        <v>0</v>
      </c>
    </row>
    <row r="2275" customFormat="false" ht="15" hidden="false" customHeight="false" outlineLevel="0" collapsed="false">
      <c r="A2275" s="39" t="s">
        <v>2599</v>
      </c>
      <c r="B2275" s="44" t="n">
        <v>46091</v>
      </c>
      <c r="C2275" s="39" t="s">
        <v>145</v>
      </c>
      <c r="D2275" s="39" t="s">
        <v>138</v>
      </c>
      <c r="E2275" s="39" t="n">
        <v>25</v>
      </c>
      <c r="F2275" s="39" t="str">
        <f aca="false">IF(COUNTIF(medicine_master!$A$2:$A$26,C2275)&gt;0,"Valid","Invalid")</f>
        <v>Valid</v>
      </c>
      <c r="G2275" s="39" t="str">
        <f aca="false">IFERROR(INDEX(medicine_master!$B$2:$B$26,MATCH($C2275,medicine_master!$A$2:$A$26,0)),"Not found")</f>
        <v>Clotrimazole Cream</v>
      </c>
      <c r="H2275" s="39" t="str">
        <f aca="false">IFERROR(INDEX(medicine_master!$C$2:$C$26,MATCH($C2275,medicine_master!$A$2:$A$26,0)),"Not found")</f>
        <v>Dermatology</v>
      </c>
      <c r="I2275" s="39" t="n">
        <f aca="false">YEAR(B2275)</f>
        <v>2026</v>
      </c>
      <c r="J2275" s="39" t="n">
        <f aca="false">MONTH(B2275)</f>
        <v>3</v>
      </c>
      <c r="K2275" s="39" t="str">
        <f aca="false">TEXT(B2275,"mmm")</f>
        <v>Mar</v>
      </c>
      <c r="L2275" s="45" t="n">
        <f aca="false">IFERROR(INDEX(medicine_master!$I$2:$I$26,MATCH($C2275,medicine_master!$A$2:$A$26,0)),0)</f>
        <v>48</v>
      </c>
      <c r="M2275" s="45" t="n">
        <f aca="false">IFERROR(INDEX(medicine_master!$G$2:$G$26,MATCH($C2275,medicine_master!$A$2:$A$26,0)),0)</f>
        <v>32</v>
      </c>
      <c r="N2275" s="45" t="n">
        <f aca="false">IF(D2275="Sale",E2275*L2275,0)</f>
        <v>0</v>
      </c>
      <c r="O2275" s="45" t="n">
        <f aca="false">IF(D2275="Sale",E2275*M2275,0)</f>
        <v>0</v>
      </c>
      <c r="P2275" s="45" t="n">
        <f aca="false">N2275-O2275</f>
        <v>0</v>
      </c>
      <c r="Q2275" s="45" t="n">
        <f aca="false">IF(D2275="Purchase",E2275*M2275,0)</f>
        <v>800</v>
      </c>
    </row>
    <row r="2276" customFormat="false" ht="15" hidden="false" customHeight="false" outlineLevel="0" collapsed="false">
      <c r="A2276" s="39" t="s">
        <v>2600</v>
      </c>
      <c r="B2276" s="44" t="n">
        <v>46230</v>
      </c>
      <c r="C2276" s="39" t="s">
        <v>390</v>
      </c>
      <c r="D2276" s="39" t="s">
        <v>137</v>
      </c>
      <c r="E2276" s="39" t="n">
        <v>40</v>
      </c>
      <c r="F2276" s="39" t="str">
        <f aca="false">IF(COUNTIF(medicine_master!$A$2:$A$26,C2276)&gt;0,"Valid","Invalid")</f>
        <v>Valid</v>
      </c>
      <c r="G2276" s="39" t="str">
        <f aca="false">IFERROR(INDEX(medicine_master!$B$2:$B$26,MATCH($C2276,medicine_master!$A$2:$A$26,0)),"Not found")</f>
        <v>Montelukast 10mg</v>
      </c>
      <c r="H2276" s="39" t="str">
        <f aca="false">IFERROR(INDEX(medicine_master!$C$2:$C$26,MATCH($C2276,medicine_master!$A$2:$A$26,0)),"Not found")</f>
        <v>Allergy</v>
      </c>
      <c r="I2276" s="39" t="n">
        <f aca="false">YEAR(B2276)</f>
        <v>2026</v>
      </c>
      <c r="J2276" s="39" t="n">
        <f aca="false">MONTH(B2276)</f>
        <v>7</v>
      </c>
      <c r="K2276" s="39" t="str">
        <f aca="false">TEXT(B2276,"mmm")</f>
        <v>Jul</v>
      </c>
      <c r="L2276" s="45" t="n">
        <f aca="false">IFERROR(INDEX(medicine_master!$I$2:$I$26,MATCH($C2276,medicine_master!$A$2:$A$26,0)),0)</f>
        <v>39</v>
      </c>
      <c r="M2276" s="45" t="n">
        <f aca="false">IFERROR(INDEX(medicine_master!$G$2:$G$26,MATCH($C2276,medicine_master!$A$2:$A$26,0)),0)</f>
        <v>27</v>
      </c>
      <c r="N2276" s="45" t="n">
        <f aca="false">IF(D2276="Sale",E2276*L2276,0)</f>
        <v>1560</v>
      </c>
      <c r="O2276" s="45" t="n">
        <f aca="false">IF(D2276="Sale",E2276*M2276,0)</f>
        <v>1080</v>
      </c>
      <c r="P2276" s="45" t="n">
        <f aca="false">N2276-O2276</f>
        <v>480</v>
      </c>
      <c r="Q2276" s="45" t="n">
        <f aca="false">IF(D2276="Purchase",E2276*M2276,0)</f>
        <v>0</v>
      </c>
    </row>
    <row r="2277" customFormat="false" ht="15" hidden="false" customHeight="false" outlineLevel="0" collapsed="false">
      <c r="A2277" s="39" t="s">
        <v>2601</v>
      </c>
      <c r="B2277" s="44" t="n">
        <v>46229</v>
      </c>
      <c r="C2277" s="39" t="s">
        <v>167</v>
      </c>
      <c r="D2277" s="39" t="s">
        <v>137</v>
      </c>
      <c r="E2277" s="39" t="n">
        <v>25</v>
      </c>
      <c r="F2277" s="39" t="str">
        <f aca="false">IF(COUNTIF(medicine_master!$A$2:$A$26,C2277)&gt;0,"Valid","Invalid")</f>
        <v>Valid</v>
      </c>
      <c r="G2277" s="39" t="str">
        <f aca="false">IFERROR(INDEX(medicine_master!$B$2:$B$26,MATCH($C2277,medicine_master!$A$2:$A$26,0)),"Not found")</f>
        <v>Amlodipine 5mg</v>
      </c>
      <c r="H2277" s="39" t="str">
        <f aca="false">IFERROR(INDEX(medicine_master!$C$2:$C$26,MATCH($C2277,medicine_master!$A$2:$A$26,0)),"Not found")</f>
        <v>Cardiac</v>
      </c>
      <c r="I2277" s="39" t="n">
        <f aca="false">YEAR(B2277)</f>
        <v>2026</v>
      </c>
      <c r="J2277" s="39" t="n">
        <f aca="false">MONTH(B2277)</f>
        <v>7</v>
      </c>
      <c r="K2277" s="39" t="str">
        <f aca="false">TEXT(B2277,"mmm")</f>
        <v>Jul</v>
      </c>
      <c r="L2277" s="45" t="n">
        <f aca="false">IFERROR(INDEX(medicine_master!$I$2:$I$26,MATCH($C2277,medicine_master!$A$2:$A$26,0)),0)</f>
        <v>19</v>
      </c>
      <c r="M2277" s="45" t="n">
        <f aca="false">IFERROR(INDEX(medicine_master!$G$2:$G$26,MATCH($C2277,medicine_master!$A$2:$A$26,0)),0)</f>
        <v>13</v>
      </c>
      <c r="N2277" s="45" t="n">
        <f aca="false">IF(D2277="Sale",E2277*L2277,0)</f>
        <v>475</v>
      </c>
      <c r="O2277" s="45" t="n">
        <f aca="false">IF(D2277="Sale",E2277*M2277,0)</f>
        <v>325</v>
      </c>
      <c r="P2277" s="45" t="n">
        <f aca="false">N2277-O2277</f>
        <v>150</v>
      </c>
      <c r="Q2277" s="45" t="n">
        <f aca="false">IF(D2277="Purchase",E2277*M2277,0)</f>
        <v>0</v>
      </c>
    </row>
    <row r="2278" customFormat="false" ht="15" hidden="false" customHeight="false" outlineLevel="0" collapsed="false">
      <c r="A2278" s="39" t="s">
        <v>2602</v>
      </c>
      <c r="B2278" s="44" t="n">
        <v>46132</v>
      </c>
      <c r="C2278" s="39" t="s">
        <v>157</v>
      </c>
      <c r="D2278" s="39" t="s">
        <v>137</v>
      </c>
      <c r="E2278" s="39" t="n">
        <v>20</v>
      </c>
      <c r="F2278" s="39" t="str">
        <f aca="false">IF(COUNTIF(medicine_master!$A$2:$A$26,C2278)&gt;0,"Valid","Invalid")</f>
        <v>Valid</v>
      </c>
      <c r="G2278" s="39" t="str">
        <f aca="false">IFERROR(INDEX(medicine_master!$B$2:$B$26,MATCH($C2278,medicine_master!$A$2:$A$26,0)),"Not found")</f>
        <v>Multivitamin Tablets</v>
      </c>
      <c r="H2278" s="39" t="str">
        <f aca="false">IFERROR(INDEX(medicine_master!$C$2:$C$26,MATCH($C2278,medicine_master!$A$2:$A$26,0)),"Not found")</f>
        <v>Vitamin</v>
      </c>
      <c r="I2278" s="39" t="n">
        <f aca="false">YEAR(B2278)</f>
        <v>2026</v>
      </c>
      <c r="J2278" s="39" t="n">
        <f aca="false">MONTH(B2278)</f>
        <v>4</v>
      </c>
      <c r="K2278" s="39" t="str">
        <f aca="false">TEXT(B2278,"mmm")</f>
        <v>Apr</v>
      </c>
      <c r="L2278" s="45" t="n">
        <f aca="false">IFERROR(INDEX(medicine_master!$I$2:$I$26,MATCH($C2278,medicine_master!$A$2:$A$26,0)),0)</f>
        <v>105</v>
      </c>
      <c r="M2278" s="45" t="n">
        <f aca="false">IFERROR(INDEX(medicine_master!$G$2:$G$26,MATCH($C2278,medicine_master!$A$2:$A$26,0)),0)</f>
        <v>72</v>
      </c>
      <c r="N2278" s="45" t="n">
        <f aca="false">IF(D2278="Sale",E2278*L2278,0)</f>
        <v>2100</v>
      </c>
      <c r="O2278" s="45" t="n">
        <f aca="false">IF(D2278="Sale",E2278*M2278,0)</f>
        <v>1440</v>
      </c>
      <c r="P2278" s="45" t="n">
        <f aca="false">N2278-O2278</f>
        <v>660</v>
      </c>
      <c r="Q2278" s="45" t="n">
        <f aca="false">IF(D2278="Purchase",E2278*M2278,0)</f>
        <v>0</v>
      </c>
    </row>
    <row r="2279" customFormat="false" ht="15" hidden="false" customHeight="false" outlineLevel="0" collapsed="false">
      <c r="A2279" s="39" t="s">
        <v>2603</v>
      </c>
      <c r="B2279" s="44" t="n">
        <v>46176</v>
      </c>
      <c r="C2279" s="39" t="s">
        <v>150</v>
      </c>
      <c r="D2279" s="39" t="s">
        <v>137</v>
      </c>
      <c r="E2279" s="39" t="n">
        <v>50</v>
      </c>
      <c r="F2279" s="39" t="str">
        <f aca="false">IF(COUNTIF(medicine_master!$A$2:$A$26,C2279)&gt;0,"Valid","Invalid")</f>
        <v>Valid</v>
      </c>
      <c r="G2279" s="39" t="str">
        <f aca="false">IFERROR(INDEX(medicine_master!$B$2:$B$26,MATCH($C2279,medicine_master!$A$2:$A$26,0)),"Not found")</f>
        <v>Pantoprazole 40mg</v>
      </c>
      <c r="H2279" s="39" t="str">
        <f aca="false">IFERROR(INDEX(medicine_master!$C$2:$C$26,MATCH($C2279,medicine_master!$A$2:$A$26,0)),"Not found")</f>
        <v>Gastric</v>
      </c>
      <c r="I2279" s="39" t="n">
        <f aca="false">YEAR(B2279)</f>
        <v>2026</v>
      </c>
      <c r="J2279" s="39" t="n">
        <f aca="false">MONTH(B2279)</f>
        <v>6</v>
      </c>
      <c r="K2279" s="39" t="str">
        <f aca="false">TEXT(B2279,"mmm")</f>
        <v>Jun</v>
      </c>
      <c r="L2279" s="45" t="n">
        <f aca="false">IFERROR(INDEX(medicine_master!$I$2:$I$26,MATCH($C2279,medicine_master!$A$2:$A$26,0)),0)</f>
        <v>35</v>
      </c>
      <c r="M2279" s="45" t="n">
        <f aca="false">IFERROR(INDEX(medicine_master!$G$2:$G$26,MATCH($C2279,medicine_master!$A$2:$A$26,0)),0)</f>
        <v>24</v>
      </c>
      <c r="N2279" s="45" t="n">
        <f aca="false">IF(D2279="Sale",E2279*L2279,0)</f>
        <v>1750</v>
      </c>
      <c r="O2279" s="45" t="n">
        <f aca="false">IF(D2279="Sale",E2279*M2279,0)</f>
        <v>1200</v>
      </c>
      <c r="P2279" s="45" t="n">
        <f aca="false">N2279-O2279</f>
        <v>550</v>
      </c>
      <c r="Q2279" s="45" t="n">
        <f aca="false">IF(D2279="Purchase",E2279*M2279,0)</f>
        <v>0</v>
      </c>
    </row>
    <row r="2280" customFormat="false" ht="15" hidden="false" customHeight="false" outlineLevel="0" collapsed="false">
      <c r="A2280" s="39" t="s">
        <v>2604</v>
      </c>
      <c r="B2280" s="44" t="n">
        <v>46099</v>
      </c>
      <c r="C2280" s="39" t="s">
        <v>345</v>
      </c>
      <c r="D2280" s="39" t="s">
        <v>138</v>
      </c>
      <c r="E2280" s="39" t="n">
        <v>40</v>
      </c>
      <c r="F2280" s="39" t="str">
        <f aca="false">IF(COUNTIF(medicine_master!$A$2:$A$26,C2280)&gt;0,"Valid","Invalid")</f>
        <v>Valid</v>
      </c>
      <c r="G2280" s="39" t="str">
        <f aca="false">IFERROR(INDEX(medicine_master!$B$2:$B$26,MATCH($C2280,medicine_master!$A$2:$A$26,0)),"Not found")</f>
        <v>Paracetamol 500mg</v>
      </c>
      <c r="H2280" s="39" t="str">
        <f aca="false">IFERROR(INDEX(medicine_master!$C$2:$C$26,MATCH($C2280,medicine_master!$A$2:$A$26,0)),"Not found")</f>
        <v>Pain Relief</v>
      </c>
      <c r="I2280" s="39" t="n">
        <f aca="false">YEAR(B2280)</f>
        <v>2026</v>
      </c>
      <c r="J2280" s="39" t="n">
        <f aca="false">MONTH(B2280)</f>
        <v>3</v>
      </c>
      <c r="K2280" s="39" t="str">
        <f aca="false">TEXT(B2280,"mmm")</f>
        <v>Mar</v>
      </c>
      <c r="L2280" s="45" t="n">
        <f aca="false">IFERROR(INDEX(medicine_master!$I$2:$I$26,MATCH($C2280,medicine_master!$A$2:$A$26,0)),0)</f>
        <v>18</v>
      </c>
      <c r="M2280" s="45" t="n">
        <f aca="false">IFERROR(INDEX(medicine_master!$G$2:$G$26,MATCH($C2280,medicine_master!$A$2:$A$26,0)),0)</f>
        <v>12</v>
      </c>
      <c r="N2280" s="45" t="n">
        <f aca="false">IF(D2280="Sale",E2280*L2280,0)</f>
        <v>0</v>
      </c>
      <c r="O2280" s="45" t="n">
        <f aca="false">IF(D2280="Sale",E2280*M2280,0)</f>
        <v>0</v>
      </c>
      <c r="P2280" s="45" t="n">
        <f aca="false">N2280-O2280</f>
        <v>0</v>
      </c>
      <c r="Q2280" s="45" t="n">
        <f aca="false">IF(D2280="Purchase",E2280*M2280,0)</f>
        <v>480</v>
      </c>
    </row>
    <row r="2281" customFormat="false" ht="15" hidden="false" customHeight="false" outlineLevel="0" collapsed="false">
      <c r="A2281" s="39" t="s">
        <v>2605</v>
      </c>
      <c r="B2281" s="44" t="n">
        <v>46250</v>
      </c>
      <c r="C2281" s="39" t="s">
        <v>151</v>
      </c>
      <c r="D2281" s="39" t="s">
        <v>137</v>
      </c>
      <c r="E2281" s="39" t="n">
        <v>30</v>
      </c>
      <c r="F2281" s="39" t="str">
        <f aca="false">IF(COUNTIF(medicine_master!$A$2:$A$26,C2281)&gt;0,"Valid","Invalid")</f>
        <v>Valid</v>
      </c>
      <c r="G2281" s="39" t="str">
        <f aca="false">IFERROR(INDEX(medicine_master!$B$2:$B$26,MATCH($C2281,medicine_master!$A$2:$A$26,0)),"Not found")</f>
        <v>Cetirizine 10mg</v>
      </c>
      <c r="H2281" s="39" t="str">
        <f aca="false">IFERROR(INDEX(medicine_master!$C$2:$C$26,MATCH($C2281,medicine_master!$A$2:$A$26,0)),"Not found")</f>
        <v>Allergy</v>
      </c>
      <c r="I2281" s="39" t="n">
        <f aca="false">YEAR(B2281)</f>
        <v>2026</v>
      </c>
      <c r="J2281" s="39" t="n">
        <f aca="false">MONTH(B2281)</f>
        <v>8</v>
      </c>
      <c r="K2281" s="39" t="str">
        <f aca="false">TEXT(B2281,"mmm")</f>
        <v>Aug</v>
      </c>
      <c r="L2281" s="45" t="n">
        <f aca="false">IFERROR(INDEX(medicine_master!$I$2:$I$26,MATCH($C2281,medicine_master!$A$2:$A$26,0)),0)</f>
        <v>13</v>
      </c>
      <c r="M2281" s="45" t="n">
        <f aca="false">IFERROR(INDEX(medicine_master!$G$2:$G$26,MATCH($C2281,medicine_master!$A$2:$A$26,0)),0)</f>
        <v>8</v>
      </c>
      <c r="N2281" s="45" t="n">
        <f aca="false">IF(D2281="Sale",E2281*L2281,0)</f>
        <v>390</v>
      </c>
      <c r="O2281" s="45" t="n">
        <f aca="false">IF(D2281="Sale",E2281*M2281,0)</f>
        <v>240</v>
      </c>
      <c r="P2281" s="45" t="n">
        <f aca="false">N2281-O2281</f>
        <v>150</v>
      </c>
      <c r="Q2281" s="45" t="n">
        <f aca="false">IF(D2281="Purchase",E2281*M2281,0)</f>
        <v>0</v>
      </c>
    </row>
    <row r="2282" customFormat="false" ht="15" hidden="false" customHeight="false" outlineLevel="0" collapsed="false">
      <c r="A2282" s="39" t="s">
        <v>2606</v>
      </c>
      <c r="B2282" s="44" t="n">
        <v>46052</v>
      </c>
      <c r="C2282" s="39" t="s">
        <v>180</v>
      </c>
      <c r="D2282" s="39" t="s">
        <v>138</v>
      </c>
      <c r="E2282" s="39" t="n">
        <v>10</v>
      </c>
      <c r="F2282" s="39" t="str">
        <f aca="false">IF(COUNTIF(medicine_master!$A$2:$A$26,C2282)&gt;0,"Valid","Invalid")</f>
        <v>Valid</v>
      </c>
      <c r="G2282" s="39" t="str">
        <f aca="false">IFERROR(INDEX(medicine_master!$B$2:$B$26,MATCH($C2282,medicine_master!$A$2:$A$26,0)),"Not found")</f>
        <v>Vitamin C 500mg</v>
      </c>
      <c r="H2282" s="39" t="str">
        <f aca="false">IFERROR(INDEX(medicine_master!$C$2:$C$26,MATCH($C2282,medicine_master!$A$2:$A$26,0)),"Not found")</f>
        <v>Vitamin</v>
      </c>
      <c r="I2282" s="39" t="n">
        <f aca="false">YEAR(B2282)</f>
        <v>2026</v>
      </c>
      <c r="J2282" s="39" t="n">
        <f aca="false">MONTH(B2282)</f>
        <v>1</v>
      </c>
      <c r="K2282" s="39" t="str">
        <f aca="false">TEXT(B2282,"mmm")</f>
        <v>Jan</v>
      </c>
      <c r="L2282" s="45" t="n">
        <f aca="false">IFERROR(INDEX(medicine_master!$I$2:$I$26,MATCH($C2282,medicine_master!$A$2:$A$26,0)),0)</f>
        <v>22</v>
      </c>
      <c r="M2282" s="45" t="n">
        <f aca="false">IFERROR(INDEX(medicine_master!$G$2:$G$26,MATCH($C2282,medicine_master!$A$2:$A$26,0)),0)</f>
        <v>14</v>
      </c>
      <c r="N2282" s="45" t="n">
        <f aca="false">IF(D2282="Sale",E2282*L2282,0)</f>
        <v>0</v>
      </c>
      <c r="O2282" s="45" t="n">
        <f aca="false">IF(D2282="Sale",E2282*M2282,0)</f>
        <v>0</v>
      </c>
      <c r="P2282" s="45" t="n">
        <f aca="false">N2282-O2282</f>
        <v>0</v>
      </c>
      <c r="Q2282" s="45" t="n">
        <f aca="false">IF(D2282="Purchase",E2282*M2282,0)</f>
        <v>140</v>
      </c>
    </row>
    <row r="2283" customFormat="false" ht="15" hidden="false" customHeight="false" outlineLevel="0" collapsed="false">
      <c r="A2283" s="39" t="s">
        <v>2607</v>
      </c>
      <c r="B2283" s="44" t="n">
        <v>46338</v>
      </c>
      <c r="C2283" s="39" t="s">
        <v>158</v>
      </c>
      <c r="D2283" s="39" t="s">
        <v>137</v>
      </c>
      <c r="E2283" s="39" t="n">
        <v>25</v>
      </c>
      <c r="F2283" s="39" t="str">
        <f aca="false">IF(COUNTIF(medicine_master!$A$2:$A$26,C2283)&gt;0,"Valid","Invalid")</f>
        <v>Valid</v>
      </c>
      <c r="G2283" s="39" t="str">
        <f aca="false">IFERROR(INDEX(medicine_master!$B$2:$B$26,MATCH($C2283,medicine_master!$A$2:$A$26,0)),"Not found")</f>
        <v>Cough Syrup 100ml</v>
      </c>
      <c r="H2283" s="39" t="str">
        <f aca="false">IFERROR(INDEX(medicine_master!$C$2:$C$26,MATCH($C2283,medicine_master!$A$2:$A$26,0)),"Not found")</f>
        <v>Cold &amp; Cough</v>
      </c>
      <c r="I2283" s="39" t="n">
        <f aca="false">YEAR(B2283)</f>
        <v>2026</v>
      </c>
      <c r="J2283" s="39" t="n">
        <f aca="false">MONTH(B2283)</f>
        <v>11</v>
      </c>
      <c r="K2283" s="39" t="str">
        <f aca="false">TEXT(B2283,"mmm")</f>
        <v>Nov</v>
      </c>
      <c r="L2283" s="45" t="n">
        <f aca="false">IFERROR(INDEX(medicine_master!$I$2:$I$26,MATCH($C2283,medicine_master!$A$2:$A$26,0)),0)</f>
        <v>72</v>
      </c>
      <c r="M2283" s="45" t="n">
        <f aca="false">IFERROR(INDEX(medicine_master!$G$2:$G$26,MATCH($C2283,medicine_master!$A$2:$A$26,0)),0)</f>
        <v>52</v>
      </c>
      <c r="N2283" s="45" t="n">
        <f aca="false">IF(D2283="Sale",E2283*L2283,0)</f>
        <v>1800</v>
      </c>
      <c r="O2283" s="45" t="n">
        <f aca="false">IF(D2283="Sale",E2283*M2283,0)</f>
        <v>1300</v>
      </c>
      <c r="P2283" s="45" t="n">
        <f aca="false">N2283-O2283</f>
        <v>500</v>
      </c>
      <c r="Q2283" s="45" t="n">
        <f aca="false">IF(D2283="Purchase",E2283*M2283,0)</f>
        <v>0</v>
      </c>
    </row>
    <row r="2284" customFormat="false" ht="15" hidden="false" customHeight="false" outlineLevel="0" collapsed="false">
      <c r="A2284" s="39" t="s">
        <v>2608</v>
      </c>
      <c r="B2284" s="44" t="n">
        <v>46242</v>
      </c>
      <c r="C2284" s="39" t="s">
        <v>178</v>
      </c>
      <c r="D2284" s="39" t="s">
        <v>138</v>
      </c>
      <c r="E2284" s="39" t="n">
        <v>40</v>
      </c>
      <c r="F2284" s="39" t="str">
        <f aca="false">IF(COUNTIF(medicine_master!$A$2:$A$26,C2284)&gt;0,"Valid","Invalid")</f>
        <v>Valid</v>
      </c>
      <c r="G2284" s="39" t="str">
        <f aca="false">IFERROR(INDEX(medicine_master!$B$2:$B$26,MATCH($C2284,medicine_master!$A$2:$A$26,0)),"Not found")</f>
        <v>Aspirin 75mg</v>
      </c>
      <c r="H2284" s="39" t="str">
        <f aca="false">IFERROR(INDEX(medicine_master!$C$2:$C$26,MATCH($C2284,medicine_master!$A$2:$A$26,0)),"Not found")</f>
        <v>Cardiac</v>
      </c>
      <c r="I2284" s="39" t="n">
        <f aca="false">YEAR(B2284)</f>
        <v>2026</v>
      </c>
      <c r="J2284" s="39" t="n">
        <f aca="false">MONTH(B2284)</f>
        <v>8</v>
      </c>
      <c r="K2284" s="39" t="str">
        <f aca="false">TEXT(B2284,"mmm")</f>
        <v>Aug</v>
      </c>
      <c r="L2284" s="45" t="n">
        <f aca="false">IFERROR(INDEX(medicine_master!$I$2:$I$26,MATCH($C2284,medicine_master!$A$2:$A$26,0)),0)</f>
        <v>15</v>
      </c>
      <c r="M2284" s="45" t="n">
        <f aca="false">IFERROR(INDEX(medicine_master!$G$2:$G$26,MATCH($C2284,medicine_master!$A$2:$A$26,0)),0)</f>
        <v>10</v>
      </c>
      <c r="N2284" s="45" t="n">
        <f aca="false">IF(D2284="Sale",E2284*L2284,0)</f>
        <v>0</v>
      </c>
      <c r="O2284" s="45" t="n">
        <f aca="false">IF(D2284="Sale",E2284*M2284,0)</f>
        <v>0</v>
      </c>
      <c r="P2284" s="45" t="n">
        <f aca="false">N2284-O2284</f>
        <v>0</v>
      </c>
      <c r="Q2284" s="45" t="n">
        <f aca="false">IF(D2284="Purchase",E2284*M2284,0)</f>
        <v>400</v>
      </c>
    </row>
    <row r="2285" customFormat="false" ht="15" hidden="false" customHeight="false" outlineLevel="0" collapsed="false">
      <c r="A2285" s="39" t="s">
        <v>2609</v>
      </c>
      <c r="B2285" s="44" t="n">
        <v>46321</v>
      </c>
      <c r="C2285" s="39" t="s">
        <v>159</v>
      </c>
      <c r="D2285" s="39" t="s">
        <v>138</v>
      </c>
      <c r="E2285" s="39" t="n">
        <v>20</v>
      </c>
      <c r="F2285" s="39" t="str">
        <f aca="false">IF(COUNTIF(medicine_master!$A$2:$A$26,C2285)&gt;0,"Valid","Invalid")</f>
        <v>Valid</v>
      </c>
      <c r="G2285" s="39" t="str">
        <f aca="false">IFERROR(INDEX(medicine_master!$B$2:$B$26,MATCH($C2285,medicine_master!$A$2:$A$26,0)),"Not found")</f>
        <v>Antiseptic Liquid 100ml</v>
      </c>
      <c r="H2285" s="39" t="str">
        <f aca="false">IFERROR(INDEX(medicine_master!$C$2:$C$26,MATCH($C2285,medicine_master!$A$2:$A$26,0)),"Not found")</f>
        <v>First Aid</v>
      </c>
      <c r="I2285" s="39" t="n">
        <f aca="false">YEAR(B2285)</f>
        <v>2026</v>
      </c>
      <c r="J2285" s="39" t="n">
        <f aca="false">MONTH(B2285)</f>
        <v>10</v>
      </c>
      <c r="K2285" s="39" t="str">
        <f aca="false">TEXT(B2285,"mmm")</f>
        <v>Oct</v>
      </c>
      <c r="L2285" s="45" t="n">
        <f aca="false">IFERROR(INDEX(medicine_master!$I$2:$I$26,MATCH($C2285,medicine_master!$A$2:$A$26,0)),0)</f>
        <v>65</v>
      </c>
      <c r="M2285" s="45" t="n">
        <f aca="false">IFERROR(INDEX(medicine_master!$G$2:$G$26,MATCH($C2285,medicine_master!$A$2:$A$26,0)),0)</f>
        <v>48</v>
      </c>
      <c r="N2285" s="45" t="n">
        <f aca="false">IF(D2285="Sale",E2285*L2285,0)</f>
        <v>0</v>
      </c>
      <c r="O2285" s="45" t="n">
        <f aca="false">IF(D2285="Sale",E2285*M2285,0)</f>
        <v>0</v>
      </c>
      <c r="P2285" s="45" t="n">
        <f aca="false">N2285-O2285</f>
        <v>0</v>
      </c>
      <c r="Q2285" s="45" t="n">
        <f aca="false">IF(D2285="Purchase",E2285*M2285,0)</f>
        <v>960</v>
      </c>
    </row>
    <row r="2286" customFormat="false" ht="15" hidden="false" customHeight="false" outlineLevel="0" collapsed="false">
      <c r="A2286" s="39" t="s">
        <v>2610</v>
      </c>
      <c r="B2286" s="44" t="n">
        <v>46387</v>
      </c>
      <c r="C2286" s="39" t="s">
        <v>177</v>
      </c>
      <c r="D2286" s="39" t="s">
        <v>138</v>
      </c>
      <c r="E2286" s="39" t="n">
        <v>15</v>
      </c>
      <c r="F2286" s="39" t="str">
        <f aca="false">IF(COUNTIF(medicine_master!$A$2:$A$26,C2286)&gt;0,"Valid","Invalid")</f>
        <v>Valid</v>
      </c>
      <c r="G2286" s="39" t="str">
        <f aca="false">IFERROR(INDEX(medicine_master!$B$2:$B$26,MATCH($C2286,medicine_master!$A$2:$A$26,0)),"Not found")</f>
        <v>Bandage Roll</v>
      </c>
      <c r="H2286" s="39" t="str">
        <f aca="false">IFERROR(INDEX(medicine_master!$C$2:$C$26,MATCH($C2286,medicine_master!$A$2:$A$26,0)),"Not found")</f>
        <v>First Aid</v>
      </c>
      <c r="I2286" s="39" t="n">
        <f aca="false">YEAR(B2286)</f>
        <v>2026</v>
      </c>
      <c r="J2286" s="39" t="n">
        <f aca="false">MONTH(B2286)</f>
        <v>12</v>
      </c>
      <c r="K2286" s="39" t="str">
        <f aca="false">TEXT(B2286,"mmm")</f>
        <v>Dec</v>
      </c>
      <c r="L2286" s="45" t="n">
        <f aca="false">IFERROR(INDEX(medicine_master!$I$2:$I$26,MATCH($C2286,medicine_master!$A$2:$A$26,0)),0)</f>
        <v>25</v>
      </c>
      <c r="M2286" s="45" t="n">
        <f aca="false">IFERROR(INDEX(medicine_master!$G$2:$G$26,MATCH($C2286,medicine_master!$A$2:$A$26,0)),0)</f>
        <v>15</v>
      </c>
      <c r="N2286" s="45" t="n">
        <f aca="false">IF(D2286="Sale",E2286*L2286,0)</f>
        <v>0</v>
      </c>
      <c r="O2286" s="45" t="n">
        <f aca="false">IF(D2286="Sale",E2286*M2286,0)</f>
        <v>0</v>
      </c>
      <c r="P2286" s="45" t="n">
        <f aca="false">N2286-O2286</f>
        <v>0</v>
      </c>
      <c r="Q2286" s="45" t="n">
        <f aca="false">IF(D2286="Purchase",E2286*M2286,0)</f>
        <v>225</v>
      </c>
    </row>
    <row r="2287" customFormat="false" ht="15" hidden="false" customHeight="false" outlineLevel="0" collapsed="false">
      <c r="A2287" s="39" t="s">
        <v>2611</v>
      </c>
      <c r="B2287" s="44" t="n">
        <v>46183</v>
      </c>
      <c r="C2287" s="39" t="s">
        <v>152</v>
      </c>
      <c r="D2287" s="39" t="s">
        <v>137</v>
      </c>
      <c r="E2287" s="39" t="n">
        <v>25</v>
      </c>
      <c r="F2287" s="39" t="str">
        <f aca="false">IF(COUNTIF(medicine_master!$A$2:$A$26,C2287)&gt;0,"Valid","Invalid")</f>
        <v>Valid</v>
      </c>
      <c r="G2287" s="39" t="str">
        <f aca="false">IFERROR(INDEX(medicine_master!$B$2:$B$26,MATCH($C2287,medicine_master!$A$2:$A$26,0)),"Not found")</f>
        <v>Amoxicillin 500mg</v>
      </c>
      <c r="H2287" s="39" t="str">
        <f aca="false">IFERROR(INDEX(medicine_master!$C$2:$C$26,MATCH($C2287,medicine_master!$A$2:$A$26,0)),"Not found")</f>
        <v>Antibiotic</v>
      </c>
      <c r="I2287" s="39" t="n">
        <f aca="false">YEAR(B2287)</f>
        <v>2026</v>
      </c>
      <c r="J2287" s="39" t="n">
        <f aca="false">MONTH(B2287)</f>
        <v>6</v>
      </c>
      <c r="K2287" s="39" t="str">
        <f aca="false">TEXT(B2287,"mmm")</f>
        <v>Jun</v>
      </c>
      <c r="L2287" s="45" t="n">
        <f aca="false">IFERROR(INDEX(medicine_master!$I$2:$I$26,MATCH($C2287,medicine_master!$A$2:$A$26,0)),0)</f>
        <v>40</v>
      </c>
      <c r="M2287" s="45" t="n">
        <f aca="false">IFERROR(INDEX(medicine_master!$G$2:$G$26,MATCH($C2287,medicine_master!$A$2:$A$26,0)),0)</f>
        <v>28</v>
      </c>
      <c r="N2287" s="45" t="n">
        <f aca="false">IF(D2287="Sale",E2287*L2287,0)</f>
        <v>1000</v>
      </c>
      <c r="O2287" s="45" t="n">
        <f aca="false">IF(D2287="Sale",E2287*M2287,0)</f>
        <v>700</v>
      </c>
      <c r="P2287" s="45" t="n">
        <f aca="false">N2287-O2287</f>
        <v>300</v>
      </c>
      <c r="Q2287" s="45" t="n">
        <f aca="false">IF(D2287="Purchase",E2287*M2287,0)</f>
        <v>0</v>
      </c>
    </row>
    <row r="2288" customFormat="false" ht="15" hidden="false" customHeight="false" outlineLevel="0" collapsed="false">
      <c r="A2288" s="39" t="s">
        <v>2612</v>
      </c>
      <c r="B2288" s="44" t="n">
        <v>46292</v>
      </c>
      <c r="C2288" s="39" t="s">
        <v>157</v>
      </c>
      <c r="D2288" s="39" t="s">
        <v>138</v>
      </c>
      <c r="E2288" s="39" t="n">
        <v>5</v>
      </c>
      <c r="F2288" s="39" t="str">
        <f aca="false">IF(COUNTIF(medicine_master!$A$2:$A$26,C2288)&gt;0,"Valid","Invalid")</f>
        <v>Valid</v>
      </c>
      <c r="G2288" s="39" t="str">
        <f aca="false">IFERROR(INDEX(medicine_master!$B$2:$B$26,MATCH($C2288,medicine_master!$A$2:$A$26,0)),"Not found")</f>
        <v>Multivitamin Tablets</v>
      </c>
      <c r="H2288" s="39" t="str">
        <f aca="false">IFERROR(INDEX(medicine_master!$C$2:$C$26,MATCH($C2288,medicine_master!$A$2:$A$26,0)),"Not found")</f>
        <v>Vitamin</v>
      </c>
      <c r="I2288" s="39" t="n">
        <f aca="false">YEAR(B2288)</f>
        <v>2026</v>
      </c>
      <c r="J2288" s="39" t="n">
        <f aca="false">MONTH(B2288)</f>
        <v>9</v>
      </c>
      <c r="K2288" s="39" t="str">
        <f aca="false">TEXT(B2288,"mmm")</f>
        <v>Sep</v>
      </c>
      <c r="L2288" s="45" t="n">
        <f aca="false">IFERROR(INDEX(medicine_master!$I$2:$I$26,MATCH($C2288,medicine_master!$A$2:$A$26,0)),0)</f>
        <v>105</v>
      </c>
      <c r="M2288" s="45" t="n">
        <f aca="false">IFERROR(INDEX(medicine_master!$G$2:$G$26,MATCH($C2288,medicine_master!$A$2:$A$26,0)),0)</f>
        <v>72</v>
      </c>
      <c r="N2288" s="45" t="n">
        <f aca="false">IF(D2288="Sale",E2288*L2288,0)</f>
        <v>0</v>
      </c>
      <c r="O2288" s="45" t="n">
        <f aca="false">IF(D2288="Sale",E2288*M2288,0)</f>
        <v>0</v>
      </c>
      <c r="P2288" s="45" t="n">
        <f aca="false">N2288-O2288</f>
        <v>0</v>
      </c>
      <c r="Q2288" s="45" t="n">
        <f aca="false">IF(D2288="Purchase",E2288*M2288,0)</f>
        <v>360</v>
      </c>
    </row>
    <row r="2289" customFormat="false" ht="15" hidden="false" customHeight="false" outlineLevel="0" collapsed="false">
      <c r="A2289" s="39" t="s">
        <v>2613</v>
      </c>
      <c r="B2289" s="44" t="n">
        <v>46197</v>
      </c>
      <c r="C2289" s="39" t="s">
        <v>321</v>
      </c>
      <c r="D2289" s="39" t="s">
        <v>137</v>
      </c>
      <c r="E2289" s="39" t="n">
        <v>20</v>
      </c>
      <c r="F2289" s="39" t="str">
        <f aca="false">IF(COUNTIF(medicine_master!$A$2:$A$26,C2289)&gt;0,"Valid","Invalid")</f>
        <v>Valid</v>
      </c>
      <c r="G2289" s="39" t="str">
        <f aca="false">IFERROR(INDEX(medicine_master!$B$2:$B$26,MATCH($C2289,medicine_master!$A$2:$A$26,0)),"Not found")</f>
        <v>Levocetirizine 5mg</v>
      </c>
      <c r="H2289" s="39" t="str">
        <f aca="false">IFERROR(INDEX(medicine_master!$C$2:$C$26,MATCH($C2289,medicine_master!$A$2:$A$26,0)),"Not found")</f>
        <v>Allergy</v>
      </c>
      <c r="I2289" s="39" t="n">
        <f aca="false">YEAR(B2289)</f>
        <v>2026</v>
      </c>
      <c r="J2289" s="39" t="n">
        <f aca="false">MONTH(B2289)</f>
        <v>6</v>
      </c>
      <c r="K2289" s="39" t="str">
        <f aca="false">TEXT(B2289,"mmm")</f>
        <v>Jun</v>
      </c>
      <c r="L2289" s="45" t="n">
        <f aca="false">IFERROR(INDEX(medicine_master!$I$2:$I$26,MATCH($C2289,medicine_master!$A$2:$A$26,0)),0)</f>
        <v>22</v>
      </c>
      <c r="M2289" s="45" t="n">
        <f aca="false">IFERROR(INDEX(medicine_master!$G$2:$G$26,MATCH($C2289,medicine_master!$A$2:$A$26,0)),0)</f>
        <v>14</v>
      </c>
      <c r="N2289" s="45" t="n">
        <f aca="false">IF(D2289="Sale",E2289*L2289,0)</f>
        <v>440</v>
      </c>
      <c r="O2289" s="45" t="n">
        <f aca="false">IF(D2289="Sale",E2289*M2289,0)</f>
        <v>280</v>
      </c>
      <c r="P2289" s="45" t="n">
        <f aca="false">N2289-O2289</f>
        <v>160</v>
      </c>
      <c r="Q2289" s="45" t="n">
        <f aca="false">IF(D2289="Purchase",E2289*M2289,0)</f>
        <v>0</v>
      </c>
    </row>
    <row r="2290" customFormat="false" ht="15" hidden="false" customHeight="false" outlineLevel="0" collapsed="false">
      <c r="A2290" s="39" t="s">
        <v>2614</v>
      </c>
      <c r="B2290" s="44" t="n">
        <v>46245</v>
      </c>
      <c r="C2290" s="39" t="s">
        <v>326</v>
      </c>
      <c r="D2290" s="39" t="s">
        <v>138</v>
      </c>
      <c r="E2290" s="39" t="n">
        <v>20</v>
      </c>
      <c r="F2290" s="39" t="str">
        <f aca="false">IF(COUNTIF(medicine_master!$A$2:$A$26,C2290)&gt;0,"Valid","Invalid")</f>
        <v>Valid</v>
      </c>
      <c r="G2290" s="39" t="str">
        <f aca="false">IFERROR(INDEX(medicine_master!$B$2:$B$26,MATCH($C2290,medicine_master!$A$2:$A$26,0)),"Not found")</f>
        <v>Omeprazole 20mg</v>
      </c>
      <c r="H2290" s="39" t="str">
        <f aca="false">IFERROR(INDEX(medicine_master!$C$2:$C$26,MATCH($C2290,medicine_master!$A$2:$A$26,0)),"Not found")</f>
        <v>Gastric</v>
      </c>
      <c r="I2290" s="39" t="n">
        <f aca="false">YEAR(B2290)</f>
        <v>2026</v>
      </c>
      <c r="J2290" s="39" t="n">
        <f aca="false">MONTH(B2290)</f>
        <v>8</v>
      </c>
      <c r="K2290" s="39" t="str">
        <f aca="false">TEXT(B2290,"mmm")</f>
        <v>Aug</v>
      </c>
      <c r="L2290" s="45" t="n">
        <f aca="false">IFERROR(INDEX(medicine_master!$I$2:$I$26,MATCH($C2290,medicine_master!$A$2:$A$26,0)),0)</f>
        <v>26</v>
      </c>
      <c r="M2290" s="45" t="n">
        <f aca="false">IFERROR(INDEX(medicine_master!$G$2:$G$26,MATCH($C2290,medicine_master!$A$2:$A$26,0)),0)</f>
        <v>18</v>
      </c>
      <c r="N2290" s="45" t="n">
        <f aca="false">IF(D2290="Sale",E2290*L2290,0)</f>
        <v>0</v>
      </c>
      <c r="O2290" s="45" t="n">
        <f aca="false">IF(D2290="Sale",E2290*M2290,0)</f>
        <v>0</v>
      </c>
      <c r="P2290" s="45" t="n">
        <f aca="false">N2290-O2290</f>
        <v>0</v>
      </c>
      <c r="Q2290" s="45" t="n">
        <f aca="false">IF(D2290="Purchase",E2290*M2290,0)</f>
        <v>360</v>
      </c>
    </row>
    <row r="2291" customFormat="false" ht="15" hidden="false" customHeight="false" outlineLevel="0" collapsed="false">
      <c r="A2291" s="39" t="s">
        <v>2615</v>
      </c>
      <c r="B2291" s="44" t="n">
        <v>46338</v>
      </c>
      <c r="C2291" s="39" t="s">
        <v>153</v>
      </c>
      <c r="D2291" s="39" t="s">
        <v>137</v>
      </c>
      <c r="E2291" s="39" t="n">
        <v>5</v>
      </c>
      <c r="F2291" s="39" t="str">
        <f aca="false">IF(COUNTIF(medicine_master!$A$2:$A$26,C2291)&gt;0,"Valid","Invalid")</f>
        <v>Valid</v>
      </c>
      <c r="G2291" s="39" t="str">
        <f aca="false">IFERROR(INDEX(medicine_master!$B$2:$B$26,MATCH($C2291,medicine_master!$A$2:$A$26,0)),"Not found")</f>
        <v>Atorvastatin 10mg</v>
      </c>
      <c r="H2291" s="39" t="str">
        <f aca="false">IFERROR(INDEX(medicine_master!$C$2:$C$26,MATCH($C2291,medicine_master!$A$2:$A$26,0)),"Not found")</f>
        <v>Cardiac</v>
      </c>
      <c r="I2291" s="39" t="n">
        <f aca="false">YEAR(B2291)</f>
        <v>2026</v>
      </c>
      <c r="J2291" s="39" t="n">
        <f aca="false">MONTH(B2291)</f>
        <v>11</v>
      </c>
      <c r="K2291" s="39" t="str">
        <f aca="false">TEXT(B2291,"mmm")</f>
        <v>Nov</v>
      </c>
      <c r="L2291" s="45" t="n">
        <f aca="false">IFERROR(INDEX(medicine_master!$I$2:$I$26,MATCH($C2291,medicine_master!$A$2:$A$26,0)),0)</f>
        <v>28</v>
      </c>
      <c r="M2291" s="45" t="n">
        <f aca="false">IFERROR(INDEX(medicine_master!$G$2:$G$26,MATCH($C2291,medicine_master!$A$2:$A$26,0)),0)</f>
        <v>19</v>
      </c>
      <c r="N2291" s="45" t="n">
        <f aca="false">IF(D2291="Sale",E2291*L2291,0)</f>
        <v>140</v>
      </c>
      <c r="O2291" s="45" t="n">
        <f aca="false">IF(D2291="Sale",E2291*M2291,0)</f>
        <v>95</v>
      </c>
      <c r="P2291" s="45" t="n">
        <f aca="false">N2291-O2291</f>
        <v>45</v>
      </c>
      <c r="Q2291" s="45" t="n">
        <f aca="false">IF(D2291="Purchase",E2291*M2291,0)</f>
        <v>0</v>
      </c>
    </row>
    <row r="2292" customFormat="false" ht="15" hidden="false" customHeight="false" outlineLevel="0" collapsed="false">
      <c r="A2292" s="39" t="s">
        <v>2616</v>
      </c>
      <c r="B2292" s="44" t="n">
        <v>46187</v>
      </c>
      <c r="C2292" s="39" t="s">
        <v>148</v>
      </c>
      <c r="D2292" s="39" t="s">
        <v>138</v>
      </c>
      <c r="E2292" s="39" t="n">
        <v>40</v>
      </c>
      <c r="F2292" s="39" t="str">
        <f aca="false">IF(COUNTIF(medicine_master!$A$2:$A$26,C2292)&gt;0,"Valid","Invalid")</f>
        <v>Valid</v>
      </c>
      <c r="G2292" s="39" t="str">
        <f aca="false">IFERROR(INDEX(medicine_master!$B$2:$B$26,MATCH($C2292,medicine_master!$A$2:$A$26,0)),"Not found")</f>
        <v>Dextromethorphan Syrup</v>
      </c>
      <c r="H2292" s="39" t="str">
        <f aca="false">IFERROR(INDEX(medicine_master!$C$2:$C$26,MATCH($C2292,medicine_master!$A$2:$A$26,0)),"Not found")</f>
        <v>Cold &amp; Cough</v>
      </c>
      <c r="I2292" s="39" t="n">
        <f aca="false">YEAR(B2292)</f>
        <v>2026</v>
      </c>
      <c r="J2292" s="39" t="n">
        <f aca="false">MONTH(B2292)</f>
        <v>6</v>
      </c>
      <c r="K2292" s="39" t="str">
        <f aca="false">TEXT(B2292,"mmm")</f>
        <v>Jun</v>
      </c>
      <c r="L2292" s="45" t="n">
        <f aca="false">IFERROR(INDEX(medicine_master!$I$2:$I$26,MATCH($C2292,medicine_master!$A$2:$A$26,0)),0)</f>
        <v>80</v>
      </c>
      <c r="M2292" s="45" t="n">
        <f aca="false">IFERROR(INDEX(medicine_master!$G$2:$G$26,MATCH($C2292,medicine_master!$A$2:$A$26,0)),0)</f>
        <v>58</v>
      </c>
      <c r="N2292" s="45" t="n">
        <f aca="false">IF(D2292="Sale",E2292*L2292,0)</f>
        <v>0</v>
      </c>
      <c r="O2292" s="45" t="n">
        <f aca="false">IF(D2292="Sale",E2292*M2292,0)</f>
        <v>0</v>
      </c>
      <c r="P2292" s="45" t="n">
        <f aca="false">N2292-O2292</f>
        <v>0</v>
      </c>
      <c r="Q2292" s="45" t="n">
        <f aca="false">IF(D2292="Purchase",E2292*M2292,0)</f>
        <v>2320</v>
      </c>
    </row>
    <row r="2293" customFormat="false" ht="15" hidden="false" customHeight="false" outlineLevel="0" collapsed="false">
      <c r="A2293" s="39" t="s">
        <v>2617</v>
      </c>
      <c r="B2293" s="44" t="n">
        <v>46387</v>
      </c>
      <c r="C2293" s="39" t="s">
        <v>167</v>
      </c>
      <c r="D2293" s="39" t="s">
        <v>138</v>
      </c>
      <c r="E2293" s="39" t="n">
        <v>20</v>
      </c>
      <c r="F2293" s="39" t="str">
        <f aca="false">IF(COUNTIF(medicine_master!$A$2:$A$26,C2293)&gt;0,"Valid","Invalid")</f>
        <v>Valid</v>
      </c>
      <c r="G2293" s="39" t="str">
        <f aca="false">IFERROR(INDEX(medicine_master!$B$2:$B$26,MATCH($C2293,medicine_master!$A$2:$A$26,0)),"Not found")</f>
        <v>Amlodipine 5mg</v>
      </c>
      <c r="H2293" s="39" t="str">
        <f aca="false">IFERROR(INDEX(medicine_master!$C$2:$C$26,MATCH($C2293,medicine_master!$A$2:$A$26,0)),"Not found")</f>
        <v>Cardiac</v>
      </c>
      <c r="I2293" s="39" t="n">
        <f aca="false">YEAR(B2293)</f>
        <v>2026</v>
      </c>
      <c r="J2293" s="39" t="n">
        <f aca="false">MONTH(B2293)</f>
        <v>12</v>
      </c>
      <c r="K2293" s="39" t="str">
        <f aca="false">TEXT(B2293,"mmm")</f>
        <v>Dec</v>
      </c>
      <c r="L2293" s="45" t="n">
        <f aca="false">IFERROR(INDEX(medicine_master!$I$2:$I$26,MATCH($C2293,medicine_master!$A$2:$A$26,0)),0)</f>
        <v>19</v>
      </c>
      <c r="M2293" s="45" t="n">
        <f aca="false">IFERROR(INDEX(medicine_master!$G$2:$G$26,MATCH($C2293,medicine_master!$A$2:$A$26,0)),0)</f>
        <v>13</v>
      </c>
      <c r="N2293" s="45" t="n">
        <f aca="false">IF(D2293="Sale",E2293*L2293,0)</f>
        <v>0</v>
      </c>
      <c r="O2293" s="45" t="n">
        <f aca="false">IF(D2293="Sale",E2293*M2293,0)</f>
        <v>0</v>
      </c>
      <c r="P2293" s="45" t="n">
        <f aca="false">N2293-O2293</f>
        <v>0</v>
      </c>
      <c r="Q2293" s="45" t="n">
        <f aca="false">IF(D2293="Purchase",E2293*M2293,0)</f>
        <v>260</v>
      </c>
    </row>
    <row r="2294" customFormat="false" ht="15" hidden="false" customHeight="false" outlineLevel="0" collapsed="false">
      <c r="A2294" s="39" t="s">
        <v>2618</v>
      </c>
      <c r="B2294" s="44" t="n">
        <v>46279</v>
      </c>
      <c r="C2294" s="39" t="s">
        <v>157</v>
      </c>
      <c r="D2294" s="39" t="s">
        <v>138</v>
      </c>
      <c r="E2294" s="39" t="n">
        <v>25</v>
      </c>
      <c r="F2294" s="39" t="str">
        <f aca="false">IF(COUNTIF(medicine_master!$A$2:$A$26,C2294)&gt;0,"Valid","Invalid")</f>
        <v>Valid</v>
      </c>
      <c r="G2294" s="39" t="str">
        <f aca="false">IFERROR(INDEX(medicine_master!$B$2:$B$26,MATCH($C2294,medicine_master!$A$2:$A$26,0)),"Not found")</f>
        <v>Multivitamin Tablets</v>
      </c>
      <c r="H2294" s="39" t="str">
        <f aca="false">IFERROR(INDEX(medicine_master!$C$2:$C$26,MATCH($C2294,medicine_master!$A$2:$A$26,0)),"Not found")</f>
        <v>Vitamin</v>
      </c>
      <c r="I2294" s="39" t="n">
        <f aca="false">YEAR(B2294)</f>
        <v>2026</v>
      </c>
      <c r="J2294" s="39" t="n">
        <f aca="false">MONTH(B2294)</f>
        <v>9</v>
      </c>
      <c r="K2294" s="39" t="str">
        <f aca="false">TEXT(B2294,"mmm")</f>
        <v>Sep</v>
      </c>
      <c r="L2294" s="45" t="n">
        <f aca="false">IFERROR(INDEX(medicine_master!$I$2:$I$26,MATCH($C2294,medicine_master!$A$2:$A$26,0)),0)</f>
        <v>105</v>
      </c>
      <c r="M2294" s="45" t="n">
        <f aca="false">IFERROR(INDEX(medicine_master!$G$2:$G$26,MATCH($C2294,medicine_master!$A$2:$A$26,0)),0)</f>
        <v>72</v>
      </c>
      <c r="N2294" s="45" t="n">
        <f aca="false">IF(D2294="Sale",E2294*L2294,0)</f>
        <v>0</v>
      </c>
      <c r="O2294" s="45" t="n">
        <f aca="false">IF(D2294="Sale",E2294*M2294,0)</f>
        <v>0</v>
      </c>
      <c r="P2294" s="45" t="n">
        <f aca="false">N2294-O2294</f>
        <v>0</v>
      </c>
      <c r="Q2294" s="45" t="n">
        <f aca="false">IF(D2294="Purchase",E2294*M2294,0)</f>
        <v>1800</v>
      </c>
    </row>
    <row r="2295" customFormat="false" ht="15" hidden="false" customHeight="false" outlineLevel="0" collapsed="false">
      <c r="A2295" s="39" t="s">
        <v>2619</v>
      </c>
      <c r="B2295" s="44" t="n">
        <v>46062</v>
      </c>
      <c r="C2295" s="39" t="s">
        <v>158</v>
      </c>
      <c r="D2295" s="39" t="s">
        <v>138</v>
      </c>
      <c r="E2295" s="39" t="n">
        <v>20</v>
      </c>
      <c r="F2295" s="39" t="str">
        <f aca="false">IF(COUNTIF(medicine_master!$A$2:$A$26,C2295)&gt;0,"Valid","Invalid")</f>
        <v>Valid</v>
      </c>
      <c r="G2295" s="39" t="str">
        <f aca="false">IFERROR(INDEX(medicine_master!$B$2:$B$26,MATCH($C2295,medicine_master!$A$2:$A$26,0)),"Not found")</f>
        <v>Cough Syrup 100ml</v>
      </c>
      <c r="H2295" s="39" t="str">
        <f aca="false">IFERROR(INDEX(medicine_master!$C$2:$C$26,MATCH($C2295,medicine_master!$A$2:$A$26,0)),"Not found")</f>
        <v>Cold &amp; Cough</v>
      </c>
      <c r="I2295" s="39" t="n">
        <f aca="false">YEAR(B2295)</f>
        <v>2026</v>
      </c>
      <c r="J2295" s="39" t="n">
        <f aca="false">MONTH(B2295)</f>
        <v>2</v>
      </c>
      <c r="K2295" s="39" t="str">
        <f aca="false">TEXT(B2295,"mmm")</f>
        <v>Feb</v>
      </c>
      <c r="L2295" s="45" t="n">
        <f aca="false">IFERROR(INDEX(medicine_master!$I$2:$I$26,MATCH($C2295,medicine_master!$A$2:$A$26,0)),0)</f>
        <v>72</v>
      </c>
      <c r="M2295" s="45" t="n">
        <f aca="false">IFERROR(INDEX(medicine_master!$G$2:$G$26,MATCH($C2295,medicine_master!$A$2:$A$26,0)),0)</f>
        <v>52</v>
      </c>
      <c r="N2295" s="45" t="n">
        <f aca="false">IF(D2295="Sale",E2295*L2295,0)</f>
        <v>0</v>
      </c>
      <c r="O2295" s="45" t="n">
        <f aca="false">IF(D2295="Sale",E2295*M2295,0)</f>
        <v>0</v>
      </c>
      <c r="P2295" s="45" t="n">
        <f aca="false">N2295-O2295</f>
        <v>0</v>
      </c>
      <c r="Q2295" s="45" t="n">
        <f aca="false">IF(D2295="Purchase",E2295*M2295,0)</f>
        <v>1040</v>
      </c>
    </row>
    <row r="2296" customFormat="false" ht="15" hidden="false" customHeight="false" outlineLevel="0" collapsed="false">
      <c r="A2296" s="39" t="s">
        <v>2620</v>
      </c>
      <c r="B2296" s="44" t="n">
        <v>46205</v>
      </c>
      <c r="C2296" s="39" t="s">
        <v>404</v>
      </c>
      <c r="D2296" s="39" t="s">
        <v>137</v>
      </c>
      <c r="E2296" s="39" t="n">
        <v>20</v>
      </c>
      <c r="F2296" s="39" t="str">
        <f aca="false">IF(COUNTIF(medicine_master!$A$2:$A$26,C2296)&gt;0,"Valid","Invalid")</f>
        <v>Valid</v>
      </c>
      <c r="G2296" s="39" t="str">
        <f aca="false">IFERROR(INDEX(medicine_master!$B$2:$B$26,MATCH($C2296,medicine_master!$A$2:$A$26,0)),"Not found")</f>
        <v>ORS Sachet</v>
      </c>
      <c r="H2296" s="39" t="str">
        <f aca="false">IFERROR(INDEX(medicine_master!$C$2:$C$26,MATCH($C2296,medicine_master!$A$2:$A$26,0)),"Not found")</f>
        <v>First Aid</v>
      </c>
      <c r="I2296" s="39" t="n">
        <f aca="false">YEAR(B2296)</f>
        <v>2026</v>
      </c>
      <c r="J2296" s="39" t="n">
        <f aca="false">MONTH(B2296)</f>
        <v>7</v>
      </c>
      <c r="K2296" s="39" t="str">
        <f aca="false">TEXT(B2296,"mmm")</f>
        <v>Jul</v>
      </c>
      <c r="L2296" s="45" t="n">
        <f aca="false">IFERROR(INDEX(medicine_master!$I$2:$I$26,MATCH($C2296,medicine_master!$A$2:$A$26,0)),0)</f>
        <v>10</v>
      </c>
      <c r="M2296" s="45" t="n">
        <f aca="false">IFERROR(INDEX(medicine_master!$G$2:$G$26,MATCH($C2296,medicine_master!$A$2:$A$26,0)),0)</f>
        <v>6</v>
      </c>
      <c r="N2296" s="45" t="n">
        <f aca="false">IF(D2296="Sale",E2296*L2296,0)</f>
        <v>200</v>
      </c>
      <c r="O2296" s="45" t="n">
        <f aca="false">IF(D2296="Sale",E2296*M2296,0)</f>
        <v>120</v>
      </c>
      <c r="P2296" s="45" t="n">
        <f aca="false">N2296-O2296</f>
        <v>80</v>
      </c>
      <c r="Q2296" s="45" t="n">
        <f aca="false">IF(D2296="Purchase",E2296*M2296,0)</f>
        <v>0</v>
      </c>
    </row>
    <row r="2297" customFormat="false" ht="15" hidden="false" customHeight="false" outlineLevel="0" collapsed="false">
      <c r="A2297" s="39" t="s">
        <v>2621</v>
      </c>
      <c r="B2297" s="44" t="n">
        <v>46346</v>
      </c>
      <c r="C2297" s="39" t="s">
        <v>495</v>
      </c>
      <c r="D2297" s="39" t="s">
        <v>138</v>
      </c>
      <c r="E2297" s="39" t="n">
        <v>30</v>
      </c>
      <c r="F2297" s="39" t="str">
        <f aca="false">IF(COUNTIF(medicine_master!$A$2:$A$26,C2297)&gt;0,"Valid","Invalid")</f>
        <v>Valid</v>
      </c>
      <c r="G2297" s="39" t="str">
        <f aca="false">IFERROR(INDEX(medicine_master!$B$2:$B$26,MATCH($C2297,medicine_master!$A$2:$A$26,0)),"Not found")</f>
        <v>Metformin 500mg</v>
      </c>
      <c r="H2297" s="39" t="str">
        <f aca="false">IFERROR(INDEX(medicine_master!$C$2:$C$26,MATCH($C2297,medicine_master!$A$2:$A$26,0)),"Not found")</f>
        <v>Diabetes</v>
      </c>
      <c r="I2297" s="39" t="n">
        <f aca="false">YEAR(B2297)</f>
        <v>2026</v>
      </c>
      <c r="J2297" s="39" t="n">
        <f aca="false">MONTH(B2297)</f>
        <v>11</v>
      </c>
      <c r="K2297" s="39" t="str">
        <f aca="false">TEXT(B2297,"mmm")</f>
        <v>Nov</v>
      </c>
      <c r="L2297" s="45" t="n">
        <f aca="false">IFERROR(INDEX(medicine_master!$I$2:$I$26,MATCH($C2297,medicine_master!$A$2:$A$26,0)),0)</f>
        <v>24</v>
      </c>
      <c r="M2297" s="45" t="n">
        <f aca="false">IFERROR(INDEX(medicine_master!$G$2:$G$26,MATCH($C2297,medicine_master!$A$2:$A$26,0)),0)</f>
        <v>16</v>
      </c>
      <c r="N2297" s="45" t="n">
        <f aca="false">IF(D2297="Sale",E2297*L2297,0)</f>
        <v>0</v>
      </c>
      <c r="O2297" s="45" t="n">
        <f aca="false">IF(D2297="Sale",E2297*M2297,0)</f>
        <v>0</v>
      </c>
      <c r="P2297" s="45" t="n">
        <f aca="false">N2297-O2297</f>
        <v>0</v>
      </c>
      <c r="Q2297" s="45" t="n">
        <f aca="false">IF(D2297="Purchase",E2297*M2297,0)</f>
        <v>480</v>
      </c>
    </row>
    <row r="2298" customFormat="false" ht="15" hidden="false" customHeight="false" outlineLevel="0" collapsed="false">
      <c r="A2298" s="39" t="s">
        <v>2622</v>
      </c>
      <c r="B2298" s="44" t="n">
        <v>46358</v>
      </c>
      <c r="C2298" s="39" t="s">
        <v>158</v>
      </c>
      <c r="D2298" s="39" t="s">
        <v>137</v>
      </c>
      <c r="E2298" s="39" t="n">
        <v>20</v>
      </c>
      <c r="F2298" s="39" t="str">
        <f aca="false">IF(COUNTIF(medicine_master!$A$2:$A$26,C2298)&gt;0,"Valid","Invalid")</f>
        <v>Valid</v>
      </c>
      <c r="G2298" s="39" t="str">
        <f aca="false">IFERROR(INDEX(medicine_master!$B$2:$B$26,MATCH($C2298,medicine_master!$A$2:$A$26,0)),"Not found")</f>
        <v>Cough Syrup 100ml</v>
      </c>
      <c r="H2298" s="39" t="str">
        <f aca="false">IFERROR(INDEX(medicine_master!$C$2:$C$26,MATCH($C2298,medicine_master!$A$2:$A$26,0)),"Not found")</f>
        <v>Cold &amp; Cough</v>
      </c>
      <c r="I2298" s="39" t="n">
        <f aca="false">YEAR(B2298)</f>
        <v>2026</v>
      </c>
      <c r="J2298" s="39" t="n">
        <f aca="false">MONTH(B2298)</f>
        <v>12</v>
      </c>
      <c r="K2298" s="39" t="str">
        <f aca="false">TEXT(B2298,"mmm")</f>
        <v>Dec</v>
      </c>
      <c r="L2298" s="45" t="n">
        <f aca="false">IFERROR(INDEX(medicine_master!$I$2:$I$26,MATCH($C2298,medicine_master!$A$2:$A$26,0)),0)</f>
        <v>72</v>
      </c>
      <c r="M2298" s="45" t="n">
        <f aca="false">IFERROR(INDEX(medicine_master!$G$2:$G$26,MATCH($C2298,medicine_master!$A$2:$A$26,0)),0)</f>
        <v>52</v>
      </c>
      <c r="N2298" s="45" t="n">
        <f aca="false">IF(D2298="Sale",E2298*L2298,0)</f>
        <v>1440</v>
      </c>
      <c r="O2298" s="45" t="n">
        <f aca="false">IF(D2298="Sale",E2298*M2298,0)</f>
        <v>1040</v>
      </c>
      <c r="P2298" s="45" t="n">
        <f aca="false">N2298-O2298</f>
        <v>400</v>
      </c>
      <c r="Q2298" s="45" t="n">
        <f aca="false">IF(D2298="Purchase",E2298*M2298,0)</f>
        <v>0</v>
      </c>
    </row>
    <row r="2299" customFormat="false" ht="15" hidden="false" customHeight="false" outlineLevel="0" collapsed="false">
      <c r="A2299" s="39" t="s">
        <v>2623</v>
      </c>
      <c r="B2299" s="44" t="n">
        <v>46050</v>
      </c>
      <c r="C2299" s="39" t="s">
        <v>157</v>
      </c>
      <c r="D2299" s="39" t="s">
        <v>138</v>
      </c>
      <c r="E2299" s="39" t="n">
        <v>25</v>
      </c>
      <c r="F2299" s="39" t="str">
        <f aca="false">IF(COUNTIF(medicine_master!$A$2:$A$26,C2299)&gt;0,"Valid","Invalid")</f>
        <v>Valid</v>
      </c>
      <c r="G2299" s="39" t="str">
        <f aca="false">IFERROR(INDEX(medicine_master!$B$2:$B$26,MATCH($C2299,medicine_master!$A$2:$A$26,0)),"Not found")</f>
        <v>Multivitamin Tablets</v>
      </c>
      <c r="H2299" s="39" t="str">
        <f aca="false">IFERROR(INDEX(medicine_master!$C$2:$C$26,MATCH($C2299,medicine_master!$A$2:$A$26,0)),"Not found")</f>
        <v>Vitamin</v>
      </c>
      <c r="I2299" s="39" t="n">
        <f aca="false">YEAR(B2299)</f>
        <v>2026</v>
      </c>
      <c r="J2299" s="39" t="n">
        <f aca="false">MONTH(B2299)</f>
        <v>1</v>
      </c>
      <c r="K2299" s="39" t="str">
        <f aca="false">TEXT(B2299,"mmm")</f>
        <v>Jan</v>
      </c>
      <c r="L2299" s="45" t="n">
        <f aca="false">IFERROR(INDEX(medicine_master!$I$2:$I$26,MATCH($C2299,medicine_master!$A$2:$A$26,0)),0)</f>
        <v>105</v>
      </c>
      <c r="M2299" s="45" t="n">
        <f aca="false">IFERROR(INDEX(medicine_master!$G$2:$G$26,MATCH($C2299,medicine_master!$A$2:$A$26,0)),0)</f>
        <v>72</v>
      </c>
      <c r="N2299" s="45" t="n">
        <f aca="false">IF(D2299="Sale",E2299*L2299,0)</f>
        <v>0</v>
      </c>
      <c r="O2299" s="45" t="n">
        <f aca="false">IF(D2299="Sale",E2299*M2299,0)</f>
        <v>0</v>
      </c>
      <c r="P2299" s="45" t="n">
        <f aca="false">N2299-O2299</f>
        <v>0</v>
      </c>
      <c r="Q2299" s="45" t="n">
        <f aca="false">IF(D2299="Purchase",E2299*M2299,0)</f>
        <v>1800</v>
      </c>
    </row>
    <row r="2300" customFormat="false" ht="15" hidden="false" customHeight="false" outlineLevel="0" collapsed="false">
      <c r="A2300" s="39" t="s">
        <v>2624</v>
      </c>
      <c r="B2300" s="44" t="n">
        <v>46078</v>
      </c>
      <c r="C2300" s="39" t="s">
        <v>147</v>
      </c>
      <c r="D2300" s="39" t="s">
        <v>137</v>
      </c>
      <c r="E2300" s="39" t="n">
        <v>20</v>
      </c>
      <c r="F2300" s="39" t="str">
        <f aca="false">IF(COUNTIF(medicine_master!$A$2:$A$26,C2300)&gt;0,"Valid","Invalid")</f>
        <v>Valid</v>
      </c>
      <c r="G2300" s="39" t="str">
        <f aca="false">IFERROR(INDEX(medicine_master!$B$2:$B$26,MATCH($C2300,medicine_master!$A$2:$A$26,0)),"Not found")</f>
        <v>Insulin Injection</v>
      </c>
      <c r="H2300" s="39" t="str">
        <f aca="false">IFERROR(INDEX(medicine_master!$C$2:$C$26,MATCH($C2300,medicine_master!$A$2:$A$26,0)),"Not found")</f>
        <v>Diabetes</v>
      </c>
      <c r="I2300" s="39" t="n">
        <f aca="false">YEAR(B2300)</f>
        <v>2026</v>
      </c>
      <c r="J2300" s="39" t="n">
        <f aca="false">MONTH(B2300)</f>
        <v>2</v>
      </c>
      <c r="K2300" s="39" t="str">
        <f aca="false">TEXT(B2300,"mmm")</f>
        <v>Feb</v>
      </c>
      <c r="L2300" s="45" t="n">
        <f aca="false">IFERROR(INDEX(medicine_master!$I$2:$I$26,MATCH($C2300,medicine_master!$A$2:$A$26,0)),0)</f>
        <v>225</v>
      </c>
      <c r="M2300" s="45" t="n">
        <f aca="false">IFERROR(INDEX(medicine_master!$G$2:$G$26,MATCH($C2300,medicine_master!$A$2:$A$26,0)),0)</f>
        <v>165</v>
      </c>
      <c r="N2300" s="45" t="n">
        <f aca="false">IF(D2300="Sale",E2300*L2300,0)</f>
        <v>4500</v>
      </c>
      <c r="O2300" s="45" t="n">
        <f aca="false">IF(D2300="Sale",E2300*M2300,0)</f>
        <v>3300</v>
      </c>
      <c r="P2300" s="45" t="n">
        <f aca="false">N2300-O2300</f>
        <v>1200</v>
      </c>
      <c r="Q2300" s="45" t="n">
        <f aca="false">IF(D2300="Purchase",E2300*M2300,0)</f>
        <v>0</v>
      </c>
    </row>
    <row r="2301" customFormat="false" ht="15" hidden="false" customHeight="false" outlineLevel="0" collapsed="false">
      <c r="A2301" s="39" t="s">
        <v>2625</v>
      </c>
      <c r="B2301" s="44" t="n">
        <v>46303</v>
      </c>
      <c r="C2301" s="39" t="s">
        <v>146</v>
      </c>
      <c r="D2301" s="39" t="s">
        <v>137</v>
      </c>
      <c r="E2301" s="39" t="n">
        <v>15</v>
      </c>
      <c r="F2301" s="39" t="str">
        <f aca="false">IF(COUNTIF(medicine_master!$A$2:$A$26,C2301)&gt;0,"Valid","Invalid")</f>
        <v>Valid</v>
      </c>
      <c r="G2301" s="39" t="str">
        <f aca="false">IFERROR(INDEX(medicine_master!$B$2:$B$26,MATCH($C2301,medicine_master!$A$2:$A$26,0)),"Not found")</f>
        <v>Diclofenac Gel</v>
      </c>
      <c r="H2301" s="39" t="str">
        <f aca="false">IFERROR(INDEX(medicine_master!$C$2:$C$26,MATCH($C2301,medicine_master!$A$2:$A$26,0)),"Not found")</f>
        <v>Pain Relief</v>
      </c>
      <c r="I2301" s="39" t="n">
        <f aca="false">YEAR(B2301)</f>
        <v>2026</v>
      </c>
      <c r="J2301" s="39" t="n">
        <f aca="false">MONTH(B2301)</f>
        <v>10</v>
      </c>
      <c r="K2301" s="39" t="str">
        <f aca="false">TEXT(B2301,"mmm")</f>
        <v>Oct</v>
      </c>
      <c r="L2301" s="45" t="n">
        <f aca="false">IFERROR(INDEX(medicine_master!$I$2:$I$26,MATCH($C2301,medicine_master!$A$2:$A$26,0)),0)</f>
        <v>55</v>
      </c>
      <c r="M2301" s="45" t="n">
        <f aca="false">IFERROR(INDEX(medicine_master!$G$2:$G$26,MATCH($C2301,medicine_master!$A$2:$A$26,0)),0)</f>
        <v>38</v>
      </c>
      <c r="N2301" s="45" t="n">
        <f aca="false">IF(D2301="Sale",E2301*L2301,0)</f>
        <v>825</v>
      </c>
      <c r="O2301" s="45" t="n">
        <f aca="false">IF(D2301="Sale",E2301*M2301,0)</f>
        <v>570</v>
      </c>
      <c r="P2301" s="45" t="n">
        <f aca="false">N2301-O2301</f>
        <v>255</v>
      </c>
      <c r="Q2301" s="45" t="n">
        <f aca="false">IF(D2301="Purchase",E2301*M2301,0)</f>
        <v>0</v>
      </c>
    </row>
    <row r="2302" customFormat="false" ht="15" hidden="false" customHeight="false" outlineLevel="0" collapsed="false">
      <c r="A2302" s="39" t="s">
        <v>2626</v>
      </c>
      <c r="B2302" s="44" t="n">
        <v>46271</v>
      </c>
      <c r="C2302" s="39" t="s">
        <v>144</v>
      </c>
      <c r="D2302" s="39" t="s">
        <v>137</v>
      </c>
      <c r="E2302" s="39" t="n">
        <v>10</v>
      </c>
      <c r="F2302" s="39" t="str">
        <f aca="false">IF(COUNTIF(medicine_master!$A$2:$A$26,C2302)&gt;0,"Valid","Invalid")</f>
        <v>Valid</v>
      </c>
      <c r="G2302" s="39" t="str">
        <f aca="false">IFERROR(INDEX(medicine_master!$B$2:$B$26,MATCH($C2302,medicine_master!$A$2:$A$26,0)),"Not found")</f>
        <v>Glimepiride 2mg</v>
      </c>
      <c r="H2302" s="39" t="str">
        <f aca="false">IFERROR(INDEX(medicine_master!$C$2:$C$26,MATCH($C2302,medicine_master!$A$2:$A$26,0)),"Not found")</f>
        <v>Diabetes</v>
      </c>
      <c r="I2302" s="39" t="n">
        <f aca="false">YEAR(B2302)</f>
        <v>2026</v>
      </c>
      <c r="J2302" s="39" t="n">
        <f aca="false">MONTH(B2302)</f>
        <v>9</v>
      </c>
      <c r="K2302" s="39" t="str">
        <f aca="false">TEXT(B2302,"mmm")</f>
        <v>Sep</v>
      </c>
      <c r="L2302" s="45" t="n">
        <f aca="false">IFERROR(INDEX(medicine_master!$I$2:$I$26,MATCH($C2302,medicine_master!$A$2:$A$26,0)),0)</f>
        <v>52</v>
      </c>
      <c r="M2302" s="45" t="n">
        <f aca="false">IFERROR(INDEX(medicine_master!$G$2:$G$26,MATCH($C2302,medicine_master!$A$2:$A$26,0)),0)</f>
        <v>38</v>
      </c>
      <c r="N2302" s="45" t="n">
        <f aca="false">IF(D2302="Sale",E2302*L2302,0)</f>
        <v>520</v>
      </c>
      <c r="O2302" s="45" t="n">
        <f aca="false">IF(D2302="Sale",E2302*M2302,0)</f>
        <v>380</v>
      </c>
      <c r="P2302" s="45" t="n">
        <f aca="false">N2302-O2302</f>
        <v>140</v>
      </c>
      <c r="Q2302" s="45" t="n">
        <f aca="false">IF(D2302="Purchase",E2302*M2302,0)</f>
        <v>0</v>
      </c>
    </row>
    <row r="2303" customFormat="false" ht="15" hidden="false" customHeight="false" outlineLevel="0" collapsed="false">
      <c r="A2303" s="39" t="s">
        <v>2627</v>
      </c>
      <c r="B2303" s="44" t="n">
        <v>46316</v>
      </c>
      <c r="C2303" s="39" t="s">
        <v>345</v>
      </c>
      <c r="D2303" s="39" t="s">
        <v>137</v>
      </c>
      <c r="E2303" s="39" t="n">
        <v>25</v>
      </c>
      <c r="F2303" s="39" t="str">
        <f aca="false">IF(COUNTIF(medicine_master!$A$2:$A$26,C2303)&gt;0,"Valid","Invalid")</f>
        <v>Valid</v>
      </c>
      <c r="G2303" s="39" t="str">
        <f aca="false">IFERROR(INDEX(medicine_master!$B$2:$B$26,MATCH($C2303,medicine_master!$A$2:$A$26,0)),"Not found")</f>
        <v>Paracetamol 500mg</v>
      </c>
      <c r="H2303" s="39" t="str">
        <f aca="false">IFERROR(INDEX(medicine_master!$C$2:$C$26,MATCH($C2303,medicine_master!$A$2:$A$26,0)),"Not found")</f>
        <v>Pain Relief</v>
      </c>
      <c r="I2303" s="39" t="n">
        <f aca="false">YEAR(B2303)</f>
        <v>2026</v>
      </c>
      <c r="J2303" s="39" t="n">
        <f aca="false">MONTH(B2303)</f>
        <v>10</v>
      </c>
      <c r="K2303" s="39" t="str">
        <f aca="false">TEXT(B2303,"mmm")</f>
        <v>Oct</v>
      </c>
      <c r="L2303" s="45" t="n">
        <f aca="false">IFERROR(INDEX(medicine_master!$I$2:$I$26,MATCH($C2303,medicine_master!$A$2:$A$26,0)),0)</f>
        <v>18</v>
      </c>
      <c r="M2303" s="45" t="n">
        <f aca="false">IFERROR(INDEX(medicine_master!$G$2:$G$26,MATCH($C2303,medicine_master!$A$2:$A$26,0)),0)</f>
        <v>12</v>
      </c>
      <c r="N2303" s="45" t="n">
        <f aca="false">IF(D2303="Sale",E2303*L2303,0)</f>
        <v>450</v>
      </c>
      <c r="O2303" s="45" t="n">
        <f aca="false">IF(D2303="Sale",E2303*M2303,0)</f>
        <v>300</v>
      </c>
      <c r="P2303" s="45" t="n">
        <f aca="false">N2303-O2303</f>
        <v>150</v>
      </c>
      <c r="Q2303" s="45" t="n">
        <f aca="false">IF(D2303="Purchase",E2303*M2303,0)</f>
        <v>0</v>
      </c>
    </row>
    <row r="2304" customFormat="false" ht="15" hidden="false" customHeight="false" outlineLevel="0" collapsed="false">
      <c r="A2304" s="39" t="s">
        <v>2628</v>
      </c>
      <c r="B2304" s="44" t="n">
        <v>46367</v>
      </c>
      <c r="C2304" s="39" t="s">
        <v>160</v>
      </c>
      <c r="D2304" s="39" t="s">
        <v>137</v>
      </c>
      <c r="E2304" s="39" t="n">
        <v>10</v>
      </c>
      <c r="F2304" s="39" t="str">
        <f aca="false">IF(COUNTIF(medicine_master!$A$2:$A$26,C2304)&gt;0,"Valid","Invalid")</f>
        <v>Valid</v>
      </c>
      <c r="G2304" s="39" t="str">
        <f aca="false">IFERROR(INDEX(medicine_master!$B$2:$B$26,MATCH($C2304,medicine_master!$A$2:$A$26,0)),"Not found")</f>
        <v>Calamine Lotion</v>
      </c>
      <c r="H2304" s="39" t="str">
        <f aca="false">IFERROR(INDEX(medicine_master!$C$2:$C$26,MATCH($C2304,medicine_master!$A$2:$A$26,0)),"Not found")</f>
        <v>Dermatology</v>
      </c>
      <c r="I2304" s="39" t="n">
        <f aca="false">YEAR(B2304)</f>
        <v>2026</v>
      </c>
      <c r="J2304" s="39" t="n">
        <f aca="false">MONTH(B2304)</f>
        <v>12</v>
      </c>
      <c r="K2304" s="39" t="str">
        <f aca="false">TEXT(B2304,"mmm")</f>
        <v>Dec</v>
      </c>
      <c r="L2304" s="45" t="n">
        <f aca="false">IFERROR(INDEX(medicine_master!$I$2:$I$26,MATCH($C2304,medicine_master!$A$2:$A$26,0)),0)</f>
        <v>60</v>
      </c>
      <c r="M2304" s="45" t="n">
        <f aca="false">IFERROR(INDEX(medicine_master!$G$2:$G$26,MATCH($C2304,medicine_master!$A$2:$A$26,0)),0)</f>
        <v>42</v>
      </c>
      <c r="N2304" s="45" t="n">
        <f aca="false">IF(D2304="Sale",E2304*L2304,0)</f>
        <v>600</v>
      </c>
      <c r="O2304" s="45" t="n">
        <f aca="false">IF(D2304="Sale",E2304*M2304,0)</f>
        <v>420</v>
      </c>
      <c r="P2304" s="45" t="n">
        <f aca="false">N2304-O2304</f>
        <v>180</v>
      </c>
      <c r="Q2304" s="45" t="n">
        <f aca="false">IF(D2304="Purchase",E2304*M2304,0)</f>
        <v>0</v>
      </c>
    </row>
    <row r="2305" customFormat="false" ht="15" hidden="false" customHeight="false" outlineLevel="0" collapsed="false">
      <c r="A2305" s="39" t="s">
        <v>2629</v>
      </c>
      <c r="B2305" s="44" t="n">
        <v>46037</v>
      </c>
      <c r="C2305" s="39" t="s">
        <v>177</v>
      </c>
      <c r="D2305" s="39" t="s">
        <v>138</v>
      </c>
      <c r="E2305" s="39" t="n">
        <v>20</v>
      </c>
      <c r="F2305" s="39" t="str">
        <f aca="false">IF(COUNTIF(medicine_master!$A$2:$A$26,C2305)&gt;0,"Valid","Invalid")</f>
        <v>Valid</v>
      </c>
      <c r="G2305" s="39" t="str">
        <f aca="false">IFERROR(INDEX(medicine_master!$B$2:$B$26,MATCH($C2305,medicine_master!$A$2:$A$26,0)),"Not found")</f>
        <v>Bandage Roll</v>
      </c>
      <c r="H2305" s="39" t="str">
        <f aca="false">IFERROR(INDEX(medicine_master!$C$2:$C$26,MATCH($C2305,medicine_master!$A$2:$A$26,0)),"Not found")</f>
        <v>First Aid</v>
      </c>
      <c r="I2305" s="39" t="n">
        <f aca="false">YEAR(B2305)</f>
        <v>2026</v>
      </c>
      <c r="J2305" s="39" t="n">
        <f aca="false">MONTH(B2305)</f>
        <v>1</v>
      </c>
      <c r="K2305" s="39" t="str">
        <f aca="false">TEXT(B2305,"mmm")</f>
        <v>Jan</v>
      </c>
      <c r="L2305" s="45" t="n">
        <f aca="false">IFERROR(INDEX(medicine_master!$I$2:$I$26,MATCH($C2305,medicine_master!$A$2:$A$26,0)),0)</f>
        <v>25</v>
      </c>
      <c r="M2305" s="45" t="n">
        <f aca="false">IFERROR(INDEX(medicine_master!$G$2:$G$26,MATCH($C2305,medicine_master!$A$2:$A$26,0)),0)</f>
        <v>15</v>
      </c>
      <c r="N2305" s="45" t="n">
        <f aca="false">IF(D2305="Sale",E2305*L2305,0)</f>
        <v>0</v>
      </c>
      <c r="O2305" s="45" t="n">
        <f aca="false">IF(D2305="Sale",E2305*M2305,0)</f>
        <v>0</v>
      </c>
      <c r="P2305" s="45" t="n">
        <f aca="false">N2305-O2305</f>
        <v>0</v>
      </c>
      <c r="Q2305" s="45" t="n">
        <f aca="false">IF(D2305="Purchase",E2305*M2305,0)</f>
        <v>300</v>
      </c>
    </row>
    <row r="2306" customFormat="false" ht="15" hidden="false" customHeight="false" outlineLevel="0" collapsed="false">
      <c r="A2306" s="39" t="s">
        <v>2630</v>
      </c>
      <c r="B2306" s="44" t="n">
        <v>46210</v>
      </c>
      <c r="C2306" s="39" t="s">
        <v>178</v>
      </c>
      <c r="D2306" s="39" t="s">
        <v>137</v>
      </c>
      <c r="E2306" s="39" t="n">
        <v>20</v>
      </c>
      <c r="F2306" s="39" t="str">
        <f aca="false">IF(COUNTIF(medicine_master!$A$2:$A$26,C2306)&gt;0,"Valid","Invalid")</f>
        <v>Valid</v>
      </c>
      <c r="G2306" s="39" t="str">
        <f aca="false">IFERROR(INDEX(medicine_master!$B$2:$B$26,MATCH($C2306,medicine_master!$A$2:$A$26,0)),"Not found")</f>
        <v>Aspirin 75mg</v>
      </c>
      <c r="H2306" s="39" t="str">
        <f aca="false">IFERROR(INDEX(medicine_master!$C$2:$C$26,MATCH($C2306,medicine_master!$A$2:$A$26,0)),"Not found")</f>
        <v>Cardiac</v>
      </c>
      <c r="I2306" s="39" t="n">
        <f aca="false">YEAR(B2306)</f>
        <v>2026</v>
      </c>
      <c r="J2306" s="39" t="n">
        <f aca="false">MONTH(B2306)</f>
        <v>7</v>
      </c>
      <c r="K2306" s="39" t="str">
        <f aca="false">TEXT(B2306,"mmm")</f>
        <v>Jul</v>
      </c>
      <c r="L2306" s="45" t="n">
        <f aca="false">IFERROR(INDEX(medicine_master!$I$2:$I$26,MATCH($C2306,medicine_master!$A$2:$A$26,0)),0)</f>
        <v>15</v>
      </c>
      <c r="M2306" s="45" t="n">
        <f aca="false">IFERROR(INDEX(medicine_master!$G$2:$G$26,MATCH($C2306,medicine_master!$A$2:$A$26,0)),0)</f>
        <v>10</v>
      </c>
      <c r="N2306" s="45" t="n">
        <f aca="false">IF(D2306="Sale",E2306*L2306,0)</f>
        <v>300</v>
      </c>
      <c r="O2306" s="45" t="n">
        <f aca="false">IF(D2306="Sale",E2306*M2306,0)</f>
        <v>200</v>
      </c>
      <c r="P2306" s="45" t="n">
        <f aca="false">N2306-O2306</f>
        <v>100</v>
      </c>
      <c r="Q2306" s="45" t="n">
        <f aca="false">IF(D2306="Purchase",E2306*M2306,0)</f>
        <v>0</v>
      </c>
    </row>
    <row r="2307" customFormat="false" ht="15" hidden="false" customHeight="false" outlineLevel="0" collapsed="false">
      <c r="A2307" s="39" t="s">
        <v>2631</v>
      </c>
      <c r="B2307" s="44" t="n">
        <v>46077</v>
      </c>
      <c r="C2307" s="39" t="s">
        <v>404</v>
      </c>
      <c r="D2307" s="39" t="s">
        <v>138</v>
      </c>
      <c r="E2307" s="39" t="n">
        <v>30</v>
      </c>
      <c r="F2307" s="39" t="str">
        <f aca="false">IF(COUNTIF(medicine_master!$A$2:$A$26,C2307)&gt;0,"Valid","Invalid")</f>
        <v>Valid</v>
      </c>
      <c r="G2307" s="39" t="str">
        <f aca="false">IFERROR(INDEX(medicine_master!$B$2:$B$26,MATCH($C2307,medicine_master!$A$2:$A$26,0)),"Not found")</f>
        <v>ORS Sachet</v>
      </c>
      <c r="H2307" s="39" t="str">
        <f aca="false">IFERROR(INDEX(medicine_master!$C$2:$C$26,MATCH($C2307,medicine_master!$A$2:$A$26,0)),"Not found")</f>
        <v>First Aid</v>
      </c>
      <c r="I2307" s="39" t="n">
        <f aca="false">YEAR(B2307)</f>
        <v>2026</v>
      </c>
      <c r="J2307" s="39" t="n">
        <f aca="false">MONTH(B2307)</f>
        <v>2</v>
      </c>
      <c r="K2307" s="39" t="str">
        <f aca="false">TEXT(B2307,"mmm")</f>
        <v>Feb</v>
      </c>
      <c r="L2307" s="45" t="n">
        <f aca="false">IFERROR(INDEX(medicine_master!$I$2:$I$26,MATCH($C2307,medicine_master!$A$2:$A$26,0)),0)</f>
        <v>10</v>
      </c>
      <c r="M2307" s="45" t="n">
        <f aca="false">IFERROR(INDEX(medicine_master!$G$2:$G$26,MATCH($C2307,medicine_master!$A$2:$A$26,0)),0)</f>
        <v>6</v>
      </c>
      <c r="N2307" s="45" t="n">
        <f aca="false">IF(D2307="Sale",E2307*L2307,0)</f>
        <v>0</v>
      </c>
      <c r="O2307" s="45" t="n">
        <f aca="false">IF(D2307="Sale",E2307*M2307,0)</f>
        <v>0</v>
      </c>
      <c r="P2307" s="45" t="n">
        <f aca="false">N2307-O2307</f>
        <v>0</v>
      </c>
      <c r="Q2307" s="45" t="n">
        <f aca="false">IF(D2307="Purchase",E2307*M2307,0)</f>
        <v>180</v>
      </c>
    </row>
    <row r="2308" customFormat="false" ht="15" hidden="false" customHeight="false" outlineLevel="0" collapsed="false">
      <c r="A2308" s="39" t="s">
        <v>2632</v>
      </c>
      <c r="B2308" s="44" t="n">
        <v>46340</v>
      </c>
      <c r="C2308" s="39" t="s">
        <v>321</v>
      </c>
      <c r="D2308" s="39" t="s">
        <v>137</v>
      </c>
      <c r="E2308" s="39" t="n">
        <v>15</v>
      </c>
      <c r="F2308" s="39" t="str">
        <f aca="false">IF(COUNTIF(medicine_master!$A$2:$A$26,C2308)&gt;0,"Valid","Invalid")</f>
        <v>Valid</v>
      </c>
      <c r="G2308" s="39" t="str">
        <f aca="false">IFERROR(INDEX(medicine_master!$B$2:$B$26,MATCH($C2308,medicine_master!$A$2:$A$26,0)),"Not found")</f>
        <v>Levocetirizine 5mg</v>
      </c>
      <c r="H2308" s="39" t="str">
        <f aca="false">IFERROR(INDEX(medicine_master!$C$2:$C$26,MATCH($C2308,medicine_master!$A$2:$A$26,0)),"Not found")</f>
        <v>Allergy</v>
      </c>
      <c r="I2308" s="39" t="n">
        <f aca="false">YEAR(B2308)</f>
        <v>2026</v>
      </c>
      <c r="J2308" s="39" t="n">
        <f aca="false">MONTH(B2308)</f>
        <v>11</v>
      </c>
      <c r="K2308" s="39" t="str">
        <f aca="false">TEXT(B2308,"mmm")</f>
        <v>Nov</v>
      </c>
      <c r="L2308" s="45" t="n">
        <f aca="false">IFERROR(INDEX(medicine_master!$I$2:$I$26,MATCH($C2308,medicine_master!$A$2:$A$26,0)),0)</f>
        <v>22</v>
      </c>
      <c r="M2308" s="45" t="n">
        <f aca="false">IFERROR(INDEX(medicine_master!$G$2:$G$26,MATCH($C2308,medicine_master!$A$2:$A$26,0)),0)</f>
        <v>14</v>
      </c>
      <c r="N2308" s="45" t="n">
        <f aca="false">IF(D2308="Sale",E2308*L2308,0)</f>
        <v>330</v>
      </c>
      <c r="O2308" s="45" t="n">
        <f aca="false">IF(D2308="Sale",E2308*M2308,0)</f>
        <v>210</v>
      </c>
      <c r="P2308" s="45" t="n">
        <f aca="false">N2308-O2308</f>
        <v>120</v>
      </c>
      <c r="Q2308" s="45" t="n">
        <f aca="false">IF(D2308="Purchase",E2308*M2308,0)</f>
        <v>0</v>
      </c>
    </row>
    <row r="2309" customFormat="false" ht="15" hidden="false" customHeight="false" outlineLevel="0" collapsed="false">
      <c r="A2309" s="39" t="s">
        <v>2633</v>
      </c>
      <c r="B2309" s="44" t="n">
        <v>46070</v>
      </c>
      <c r="C2309" s="39" t="s">
        <v>152</v>
      </c>
      <c r="D2309" s="39" t="s">
        <v>138</v>
      </c>
      <c r="E2309" s="39" t="n">
        <v>5</v>
      </c>
      <c r="F2309" s="39" t="str">
        <f aca="false">IF(COUNTIF(medicine_master!$A$2:$A$26,C2309)&gt;0,"Valid","Invalid")</f>
        <v>Valid</v>
      </c>
      <c r="G2309" s="39" t="str">
        <f aca="false">IFERROR(INDEX(medicine_master!$B$2:$B$26,MATCH($C2309,medicine_master!$A$2:$A$26,0)),"Not found")</f>
        <v>Amoxicillin 500mg</v>
      </c>
      <c r="H2309" s="39" t="str">
        <f aca="false">IFERROR(INDEX(medicine_master!$C$2:$C$26,MATCH($C2309,medicine_master!$A$2:$A$26,0)),"Not found")</f>
        <v>Antibiotic</v>
      </c>
      <c r="I2309" s="39" t="n">
        <f aca="false">YEAR(B2309)</f>
        <v>2026</v>
      </c>
      <c r="J2309" s="39" t="n">
        <f aca="false">MONTH(B2309)</f>
        <v>2</v>
      </c>
      <c r="K2309" s="39" t="str">
        <f aca="false">TEXT(B2309,"mmm")</f>
        <v>Feb</v>
      </c>
      <c r="L2309" s="45" t="n">
        <f aca="false">IFERROR(INDEX(medicine_master!$I$2:$I$26,MATCH($C2309,medicine_master!$A$2:$A$26,0)),0)</f>
        <v>40</v>
      </c>
      <c r="M2309" s="45" t="n">
        <f aca="false">IFERROR(INDEX(medicine_master!$G$2:$G$26,MATCH($C2309,medicine_master!$A$2:$A$26,0)),0)</f>
        <v>28</v>
      </c>
      <c r="N2309" s="45" t="n">
        <f aca="false">IF(D2309="Sale",E2309*L2309,0)</f>
        <v>0</v>
      </c>
      <c r="O2309" s="45" t="n">
        <f aca="false">IF(D2309="Sale",E2309*M2309,0)</f>
        <v>0</v>
      </c>
      <c r="P2309" s="45" t="n">
        <f aca="false">N2309-O2309</f>
        <v>0</v>
      </c>
      <c r="Q2309" s="45" t="n">
        <f aca="false">IF(D2309="Purchase",E2309*M2309,0)</f>
        <v>140</v>
      </c>
    </row>
    <row r="2310" customFormat="false" ht="15" hidden="false" customHeight="false" outlineLevel="0" collapsed="false">
      <c r="A2310" s="39" t="s">
        <v>2634</v>
      </c>
      <c r="B2310" s="44" t="n">
        <v>46123</v>
      </c>
      <c r="C2310" s="39" t="s">
        <v>180</v>
      </c>
      <c r="D2310" s="39" t="s">
        <v>137</v>
      </c>
      <c r="E2310" s="39" t="n">
        <v>20</v>
      </c>
      <c r="F2310" s="39" t="str">
        <f aca="false">IF(COUNTIF(medicine_master!$A$2:$A$26,C2310)&gt;0,"Valid","Invalid")</f>
        <v>Valid</v>
      </c>
      <c r="G2310" s="39" t="str">
        <f aca="false">IFERROR(INDEX(medicine_master!$B$2:$B$26,MATCH($C2310,medicine_master!$A$2:$A$26,0)),"Not found")</f>
        <v>Vitamin C 500mg</v>
      </c>
      <c r="H2310" s="39" t="str">
        <f aca="false">IFERROR(INDEX(medicine_master!$C$2:$C$26,MATCH($C2310,medicine_master!$A$2:$A$26,0)),"Not found")</f>
        <v>Vitamin</v>
      </c>
      <c r="I2310" s="39" t="n">
        <f aca="false">YEAR(B2310)</f>
        <v>2026</v>
      </c>
      <c r="J2310" s="39" t="n">
        <f aca="false">MONTH(B2310)</f>
        <v>4</v>
      </c>
      <c r="K2310" s="39" t="str">
        <f aca="false">TEXT(B2310,"mmm")</f>
        <v>Apr</v>
      </c>
      <c r="L2310" s="45" t="n">
        <f aca="false">IFERROR(INDEX(medicine_master!$I$2:$I$26,MATCH($C2310,medicine_master!$A$2:$A$26,0)),0)</f>
        <v>22</v>
      </c>
      <c r="M2310" s="45" t="n">
        <f aca="false">IFERROR(INDEX(medicine_master!$G$2:$G$26,MATCH($C2310,medicine_master!$A$2:$A$26,0)),0)</f>
        <v>14</v>
      </c>
      <c r="N2310" s="45" t="n">
        <f aca="false">IF(D2310="Sale",E2310*L2310,0)</f>
        <v>440</v>
      </c>
      <c r="O2310" s="45" t="n">
        <f aca="false">IF(D2310="Sale",E2310*M2310,0)</f>
        <v>280</v>
      </c>
      <c r="P2310" s="45" t="n">
        <f aca="false">N2310-O2310</f>
        <v>160</v>
      </c>
      <c r="Q2310" s="45" t="n">
        <f aca="false">IF(D2310="Purchase",E2310*M2310,0)</f>
        <v>0</v>
      </c>
    </row>
    <row r="2311" customFormat="false" ht="15" hidden="false" customHeight="false" outlineLevel="0" collapsed="false">
      <c r="A2311" s="39" t="s">
        <v>2635</v>
      </c>
      <c r="B2311" s="44" t="n">
        <v>46160</v>
      </c>
      <c r="C2311" s="39" t="s">
        <v>179</v>
      </c>
      <c r="D2311" s="39" t="s">
        <v>137</v>
      </c>
      <c r="E2311" s="39" t="n">
        <v>15</v>
      </c>
      <c r="F2311" s="39" t="str">
        <f aca="false">IF(COUNTIF(medicine_master!$A$2:$A$26,C2311)&gt;0,"Valid","Invalid")</f>
        <v>Valid</v>
      </c>
      <c r="G2311" s="39" t="str">
        <f aca="false">IFERROR(INDEX(medicine_master!$B$2:$B$26,MATCH($C2311,medicine_master!$A$2:$A$26,0)),"Not found")</f>
        <v>Ibuprofen 400mg</v>
      </c>
      <c r="H2311" s="39" t="str">
        <f aca="false">IFERROR(INDEX(medicine_master!$C$2:$C$26,MATCH($C2311,medicine_master!$A$2:$A$26,0)),"Not found")</f>
        <v>Pain Relief</v>
      </c>
      <c r="I2311" s="39" t="n">
        <f aca="false">YEAR(B2311)</f>
        <v>2026</v>
      </c>
      <c r="J2311" s="39" t="n">
        <f aca="false">MONTH(B2311)</f>
        <v>5</v>
      </c>
      <c r="K2311" s="39" t="str">
        <f aca="false">TEXT(B2311,"mmm")</f>
        <v>May</v>
      </c>
      <c r="L2311" s="45" t="n">
        <f aca="false">IFERROR(INDEX(medicine_master!$I$2:$I$26,MATCH($C2311,medicine_master!$A$2:$A$26,0)),0)</f>
        <v>30</v>
      </c>
      <c r="M2311" s="45" t="n">
        <f aca="false">IFERROR(INDEX(medicine_master!$G$2:$G$26,MATCH($C2311,medicine_master!$A$2:$A$26,0)),0)</f>
        <v>22</v>
      </c>
      <c r="N2311" s="45" t="n">
        <f aca="false">IF(D2311="Sale",E2311*L2311,0)</f>
        <v>450</v>
      </c>
      <c r="O2311" s="45" t="n">
        <f aca="false">IF(D2311="Sale",E2311*M2311,0)</f>
        <v>330</v>
      </c>
      <c r="P2311" s="45" t="n">
        <f aca="false">N2311-O2311</f>
        <v>120</v>
      </c>
      <c r="Q2311" s="45" t="n">
        <f aca="false">IF(D2311="Purchase",E2311*M2311,0)</f>
        <v>0</v>
      </c>
    </row>
    <row r="2312" customFormat="false" ht="15" hidden="false" customHeight="false" outlineLevel="0" collapsed="false">
      <c r="A2312" s="39" t="s">
        <v>2636</v>
      </c>
      <c r="B2312" s="44" t="n">
        <v>46194</v>
      </c>
      <c r="C2312" s="39" t="s">
        <v>159</v>
      </c>
      <c r="D2312" s="39" t="s">
        <v>137</v>
      </c>
      <c r="E2312" s="39" t="n">
        <v>20</v>
      </c>
      <c r="F2312" s="39" t="str">
        <f aca="false">IF(COUNTIF(medicine_master!$A$2:$A$26,C2312)&gt;0,"Valid","Invalid")</f>
        <v>Valid</v>
      </c>
      <c r="G2312" s="39" t="str">
        <f aca="false">IFERROR(INDEX(medicine_master!$B$2:$B$26,MATCH($C2312,medicine_master!$A$2:$A$26,0)),"Not found")</f>
        <v>Antiseptic Liquid 100ml</v>
      </c>
      <c r="H2312" s="39" t="str">
        <f aca="false">IFERROR(INDEX(medicine_master!$C$2:$C$26,MATCH($C2312,medicine_master!$A$2:$A$26,0)),"Not found")</f>
        <v>First Aid</v>
      </c>
      <c r="I2312" s="39" t="n">
        <f aca="false">YEAR(B2312)</f>
        <v>2026</v>
      </c>
      <c r="J2312" s="39" t="n">
        <f aca="false">MONTH(B2312)</f>
        <v>6</v>
      </c>
      <c r="K2312" s="39" t="str">
        <f aca="false">TEXT(B2312,"mmm")</f>
        <v>Jun</v>
      </c>
      <c r="L2312" s="45" t="n">
        <f aca="false">IFERROR(INDEX(medicine_master!$I$2:$I$26,MATCH($C2312,medicine_master!$A$2:$A$26,0)),0)</f>
        <v>65</v>
      </c>
      <c r="M2312" s="45" t="n">
        <f aca="false">IFERROR(INDEX(medicine_master!$G$2:$G$26,MATCH($C2312,medicine_master!$A$2:$A$26,0)),0)</f>
        <v>48</v>
      </c>
      <c r="N2312" s="45" t="n">
        <f aca="false">IF(D2312="Sale",E2312*L2312,0)</f>
        <v>1300</v>
      </c>
      <c r="O2312" s="45" t="n">
        <f aca="false">IF(D2312="Sale",E2312*M2312,0)</f>
        <v>960</v>
      </c>
      <c r="P2312" s="45" t="n">
        <f aca="false">N2312-O2312</f>
        <v>340</v>
      </c>
      <c r="Q2312" s="45" t="n">
        <f aca="false">IF(D2312="Purchase",E2312*M2312,0)</f>
        <v>0</v>
      </c>
    </row>
    <row r="2313" customFormat="false" ht="15" hidden="false" customHeight="false" outlineLevel="0" collapsed="false">
      <c r="A2313" s="39" t="s">
        <v>2637</v>
      </c>
      <c r="B2313" s="44" t="n">
        <v>46233</v>
      </c>
      <c r="C2313" s="39" t="s">
        <v>153</v>
      </c>
      <c r="D2313" s="39" t="s">
        <v>137</v>
      </c>
      <c r="E2313" s="39" t="n">
        <v>5</v>
      </c>
      <c r="F2313" s="39" t="str">
        <f aca="false">IF(COUNTIF(medicine_master!$A$2:$A$26,C2313)&gt;0,"Valid","Invalid")</f>
        <v>Valid</v>
      </c>
      <c r="G2313" s="39" t="str">
        <f aca="false">IFERROR(INDEX(medicine_master!$B$2:$B$26,MATCH($C2313,medicine_master!$A$2:$A$26,0)),"Not found")</f>
        <v>Atorvastatin 10mg</v>
      </c>
      <c r="H2313" s="39" t="str">
        <f aca="false">IFERROR(INDEX(medicine_master!$C$2:$C$26,MATCH($C2313,medicine_master!$A$2:$A$26,0)),"Not found")</f>
        <v>Cardiac</v>
      </c>
      <c r="I2313" s="39" t="n">
        <f aca="false">YEAR(B2313)</f>
        <v>2026</v>
      </c>
      <c r="J2313" s="39" t="n">
        <f aca="false">MONTH(B2313)</f>
        <v>7</v>
      </c>
      <c r="K2313" s="39" t="str">
        <f aca="false">TEXT(B2313,"mmm")</f>
        <v>Jul</v>
      </c>
      <c r="L2313" s="45" t="n">
        <f aca="false">IFERROR(INDEX(medicine_master!$I$2:$I$26,MATCH($C2313,medicine_master!$A$2:$A$26,0)),0)</f>
        <v>28</v>
      </c>
      <c r="M2313" s="45" t="n">
        <f aca="false">IFERROR(INDEX(medicine_master!$G$2:$G$26,MATCH($C2313,medicine_master!$A$2:$A$26,0)),0)</f>
        <v>19</v>
      </c>
      <c r="N2313" s="45" t="n">
        <f aca="false">IF(D2313="Sale",E2313*L2313,0)</f>
        <v>140</v>
      </c>
      <c r="O2313" s="45" t="n">
        <f aca="false">IF(D2313="Sale",E2313*M2313,0)</f>
        <v>95</v>
      </c>
      <c r="P2313" s="45" t="n">
        <f aca="false">N2313-O2313</f>
        <v>45</v>
      </c>
      <c r="Q2313" s="45" t="n">
        <f aca="false">IF(D2313="Purchase",E2313*M2313,0)</f>
        <v>0</v>
      </c>
    </row>
    <row r="2314" customFormat="false" ht="15" hidden="false" customHeight="false" outlineLevel="0" collapsed="false">
      <c r="A2314" s="39" t="s">
        <v>2638</v>
      </c>
      <c r="B2314" s="44" t="n">
        <v>46279</v>
      </c>
      <c r="C2314" s="39" t="s">
        <v>404</v>
      </c>
      <c r="D2314" s="39" t="s">
        <v>138</v>
      </c>
      <c r="E2314" s="39" t="n">
        <v>50</v>
      </c>
      <c r="F2314" s="39" t="str">
        <f aca="false">IF(COUNTIF(medicine_master!$A$2:$A$26,C2314)&gt;0,"Valid","Invalid")</f>
        <v>Valid</v>
      </c>
      <c r="G2314" s="39" t="str">
        <f aca="false">IFERROR(INDEX(medicine_master!$B$2:$B$26,MATCH($C2314,medicine_master!$A$2:$A$26,0)),"Not found")</f>
        <v>ORS Sachet</v>
      </c>
      <c r="H2314" s="39" t="str">
        <f aca="false">IFERROR(INDEX(medicine_master!$C$2:$C$26,MATCH($C2314,medicine_master!$A$2:$A$26,0)),"Not found")</f>
        <v>First Aid</v>
      </c>
      <c r="I2314" s="39" t="n">
        <f aca="false">YEAR(B2314)</f>
        <v>2026</v>
      </c>
      <c r="J2314" s="39" t="n">
        <f aca="false">MONTH(B2314)</f>
        <v>9</v>
      </c>
      <c r="K2314" s="39" t="str">
        <f aca="false">TEXT(B2314,"mmm")</f>
        <v>Sep</v>
      </c>
      <c r="L2314" s="45" t="n">
        <f aca="false">IFERROR(INDEX(medicine_master!$I$2:$I$26,MATCH($C2314,medicine_master!$A$2:$A$26,0)),0)</f>
        <v>10</v>
      </c>
      <c r="M2314" s="45" t="n">
        <f aca="false">IFERROR(INDEX(medicine_master!$G$2:$G$26,MATCH($C2314,medicine_master!$A$2:$A$26,0)),0)</f>
        <v>6</v>
      </c>
      <c r="N2314" s="45" t="n">
        <f aca="false">IF(D2314="Sale",E2314*L2314,0)</f>
        <v>0</v>
      </c>
      <c r="O2314" s="45" t="n">
        <f aca="false">IF(D2314="Sale",E2314*M2314,0)</f>
        <v>0</v>
      </c>
      <c r="P2314" s="45" t="n">
        <f aca="false">N2314-O2314</f>
        <v>0</v>
      </c>
      <c r="Q2314" s="45" t="n">
        <f aca="false">IF(D2314="Purchase",E2314*M2314,0)</f>
        <v>300</v>
      </c>
    </row>
    <row r="2315" customFormat="false" ht="15" hidden="false" customHeight="false" outlineLevel="0" collapsed="false">
      <c r="A2315" s="39" t="s">
        <v>2639</v>
      </c>
      <c r="B2315" s="44" t="n">
        <v>46256</v>
      </c>
      <c r="C2315" s="39" t="s">
        <v>151</v>
      </c>
      <c r="D2315" s="39" t="s">
        <v>137</v>
      </c>
      <c r="E2315" s="39" t="n">
        <v>15</v>
      </c>
      <c r="F2315" s="39" t="str">
        <f aca="false">IF(COUNTIF(medicine_master!$A$2:$A$26,C2315)&gt;0,"Valid","Invalid")</f>
        <v>Valid</v>
      </c>
      <c r="G2315" s="39" t="str">
        <f aca="false">IFERROR(INDEX(medicine_master!$B$2:$B$26,MATCH($C2315,medicine_master!$A$2:$A$26,0)),"Not found")</f>
        <v>Cetirizine 10mg</v>
      </c>
      <c r="H2315" s="39" t="str">
        <f aca="false">IFERROR(INDEX(medicine_master!$C$2:$C$26,MATCH($C2315,medicine_master!$A$2:$A$26,0)),"Not found")</f>
        <v>Allergy</v>
      </c>
      <c r="I2315" s="39" t="n">
        <f aca="false">YEAR(B2315)</f>
        <v>2026</v>
      </c>
      <c r="J2315" s="39" t="n">
        <f aca="false">MONTH(B2315)</f>
        <v>8</v>
      </c>
      <c r="K2315" s="39" t="str">
        <f aca="false">TEXT(B2315,"mmm")</f>
        <v>Aug</v>
      </c>
      <c r="L2315" s="45" t="n">
        <f aca="false">IFERROR(INDEX(medicine_master!$I$2:$I$26,MATCH($C2315,medicine_master!$A$2:$A$26,0)),0)</f>
        <v>13</v>
      </c>
      <c r="M2315" s="45" t="n">
        <f aca="false">IFERROR(INDEX(medicine_master!$G$2:$G$26,MATCH($C2315,medicine_master!$A$2:$A$26,0)),0)</f>
        <v>8</v>
      </c>
      <c r="N2315" s="45" t="n">
        <f aca="false">IF(D2315="Sale",E2315*L2315,0)</f>
        <v>195</v>
      </c>
      <c r="O2315" s="45" t="n">
        <f aca="false">IF(D2315="Sale",E2315*M2315,0)</f>
        <v>120</v>
      </c>
      <c r="P2315" s="45" t="n">
        <f aca="false">N2315-O2315</f>
        <v>75</v>
      </c>
      <c r="Q2315" s="45" t="n">
        <f aca="false">IF(D2315="Purchase",E2315*M2315,0)</f>
        <v>0</v>
      </c>
    </row>
    <row r="2316" customFormat="false" ht="15" hidden="false" customHeight="false" outlineLevel="0" collapsed="false">
      <c r="A2316" s="39" t="s">
        <v>2640</v>
      </c>
      <c r="B2316" s="44" t="n">
        <v>46306</v>
      </c>
      <c r="C2316" s="39" t="s">
        <v>158</v>
      </c>
      <c r="D2316" s="39" t="s">
        <v>137</v>
      </c>
      <c r="E2316" s="39" t="n">
        <v>25</v>
      </c>
      <c r="F2316" s="39" t="str">
        <f aca="false">IF(COUNTIF(medicine_master!$A$2:$A$26,C2316)&gt;0,"Valid","Invalid")</f>
        <v>Valid</v>
      </c>
      <c r="G2316" s="39" t="str">
        <f aca="false">IFERROR(INDEX(medicine_master!$B$2:$B$26,MATCH($C2316,medicine_master!$A$2:$A$26,0)),"Not found")</f>
        <v>Cough Syrup 100ml</v>
      </c>
      <c r="H2316" s="39" t="str">
        <f aca="false">IFERROR(INDEX(medicine_master!$C$2:$C$26,MATCH($C2316,medicine_master!$A$2:$A$26,0)),"Not found")</f>
        <v>Cold &amp; Cough</v>
      </c>
      <c r="I2316" s="39" t="n">
        <f aca="false">YEAR(B2316)</f>
        <v>2026</v>
      </c>
      <c r="J2316" s="39" t="n">
        <f aca="false">MONTH(B2316)</f>
        <v>10</v>
      </c>
      <c r="K2316" s="39" t="str">
        <f aca="false">TEXT(B2316,"mmm")</f>
        <v>Oct</v>
      </c>
      <c r="L2316" s="45" t="n">
        <f aca="false">IFERROR(INDEX(medicine_master!$I$2:$I$26,MATCH($C2316,medicine_master!$A$2:$A$26,0)),0)</f>
        <v>72</v>
      </c>
      <c r="M2316" s="45" t="n">
        <f aca="false">IFERROR(INDEX(medicine_master!$G$2:$G$26,MATCH($C2316,medicine_master!$A$2:$A$26,0)),0)</f>
        <v>52</v>
      </c>
      <c r="N2316" s="45" t="n">
        <f aca="false">IF(D2316="Sale",E2316*L2316,0)</f>
        <v>1800</v>
      </c>
      <c r="O2316" s="45" t="n">
        <f aca="false">IF(D2316="Sale",E2316*M2316,0)</f>
        <v>1300</v>
      </c>
      <c r="P2316" s="45" t="n">
        <f aca="false">N2316-O2316</f>
        <v>500</v>
      </c>
      <c r="Q2316" s="45" t="n">
        <f aca="false">IF(D2316="Purchase",E2316*M2316,0)</f>
        <v>0</v>
      </c>
    </row>
    <row r="2317" customFormat="false" ht="15" hidden="false" customHeight="false" outlineLevel="0" collapsed="false">
      <c r="A2317" s="39" t="s">
        <v>2641</v>
      </c>
      <c r="B2317" s="44" t="n">
        <v>46276</v>
      </c>
      <c r="C2317" s="39" t="s">
        <v>345</v>
      </c>
      <c r="D2317" s="39" t="s">
        <v>138</v>
      </c>
      <c r="E2317" s="39" t="n">
        <v>10</v>
      </c>
      <c r="F2317" s="39" t="str">
        <f aca="false">IF(COUNTIF(medicine_master!$A$2:$A$26,C2317)&gt;0,"Valid","Invalid")</f>
        <v>Valid</v>
      </c>
      <c r="G2317" s="39" t="str">
        <f aca="false">IFERROR(INDEX(medicine_master!$B$2:$B$26,MATCH($C2317,medicine_master!$A$2:$A$26,0)),"Not found")</f>
        <v>Paracetamol 500mg</v>
      </c>
      <c r="H2317" s="39" t="str">
        <f aca="false">IFERROR(INDEX(medicine_master!$C$2:$C$26,MATCH($C2317,medicine_master!$A$2:$A$26,0)),"Not found")</f>
        <v>Pain Relief</v>
      </c>
      <c r="I2317" s="39" t="n">
        <f aca="false">YEAR(B2317)</f>
        <v>2026</v>
      </c>
      <c r="J2317" s="39" t="n">
        <f aca="false">MONTH(B2317)</f>
        <v>9</v>
      </c>
      <c r="K2317" s="39" t="str">
        <f aca="false">TEXT(B2317,"mmm")</f>
        <v>Sep</v>
      </c>
      <c r="L2317" s="45" t="n">
        <f aca="false">IFERROR(INDEX(medicine_master!$I$2:$I$26,MATCH($C2317,medicine_master!$A$2:$A$26,0)),0)</f>
        <v>18</v>
      </c>
      <c r="M2317" s="45" t="n">
        <f aca="false">IFERROR(INDEX(medicine_master!$G$2:$G$26,MATCH($C2317,medicine_master!$A$2:$A$26,0)),0)</f>
        <v>12</v>
      </c>
      <c r="N2317" s="45" t="n">
        <f aca="false">IF(D2317="Sale",E2317*L2317,0)</f>
        <v>0</v>
      </c>
      <c r="O2317" s="45" t="n">
        <f aca="false">IF(D2317="Sale",E2317*M2317,0)</f>
        <v>0</v>
      </c>
      <c r="P2317" s="45" t="n">
        <f aca="false">N2317-O2317</f>
        <v>0</v>
      </c>
      <c r="Q2317" s="45" t="n">
        <f aca="false">IF(D2317="Purchase",E2317*M2317,0)</f>
        <v>120</v>
      </c>
    </row>
    <row r="2318" customFormat="false" ht="15" hidden="false" customHeight="false" outlineLevel="0" collapsed="false">
      <c r="A2318" s="39" t="s">
        <v>2642</v>
      </c>
      <c r="B2318" s="44" t="n">
        <v>46256</v>
      </c>
      <c r="C2318" s="39" t="s">
        <v>167</v>
      </c>
      <c r="D2318" s="39" t="s">
        <v>138</v>
      </c>
      <c r="E2318" s="39" t="n">
        <v>20</v>
      </c>
      <c r="F2318" s="39" t="str">
        <f aca="false">IF(COUNTIF(medicine_master!$A$2:$A$26,C2318)&gt;0,"Valid","Invalid")</f>
        <v>Valid</v>
      </c>
      <c r="G2318" s="39" t="str">
        <f aca="false">IFERROR(INDEX(medicine_master!$B$2:$B$26,MATCH($C2318,medicine_master!$A$2:$A$26,0)),"Not found")</f>
        <v>Amlodipine 5mg</v>
      </c>
      <c r="H2318" s="39" t="str">
        <f aca="false">IFERROR(INDEX(medicine_master!$C$2:$C$26,MATCH($C2318,medicine_master!$A$2:$A$26,0)),"Not found")</f>
        <v>Cardiac</v>
      </c>
      <c r="I2318" s="39" t="n">
        <f aca="false">YEAR(B2318)</f>
        <v>2026</v>
      </c>
      <c r="J2318" s="39" t="n">
        <f aca="false">MONTH(B2318)</f>
        <v>8</v>
      </c>
      <c r="K2318" s="39" t="str">
        <f aca="false">TEXT(B2318,"mmm")</f>
        <v>Aug</v>
      </c>
      <c r="L2318" s="45" t="n">
        <f aca="false">IFERROR(INDEX(medicine_master!$I$2:$I$26,MATCH($C2318,medicine_master!$A$2:$A$26,0)),0)</f>
        <v>19</v>
      </c>
      <c r="M2318" s="45" t="n">
        <f aca="false">IFERROR(INDEX(medicine_master!$G$2:$G$26,MATCH($C2318,medicine_master!$A$2:$A$26,0)),0)</f>
        <v>13</v>
      </c>
      <c r="N2318" s="45" t="n">
        <f aca="false">IF(D2318="Sale",E2318*L2318,0)</f>
        <v>0</v>
      </c>
      <c r="O2318" s="45" t="n">
        <f aca="false">IF(D2318="Sale",E2318*M2318,0)</f>
        <v>0</v>
      </c>
      <c r="P2318" s="45" t="n">
        <f aca="false">N2318-O2318</f>
        <v>0</v>
      </c>
      <c r="Q2318" s="45" t="n">
        <f aca="false">IF(D2318="Purchase",E2318*M2318,0)</f>
        <v>260</v>
      </c>
    </row>
    <row r="2319" customFormat="false" ht="15" hidden="false" customHeight="false" outlineLevel="0" collapsed="false">
      <c r="A2319" s="39" t="s">
        <v>2643</v>
      </c>
      <c r="B2319" s="44" t="n">
        <v>46181</v>
      </c>
      <c r="C2319" s="39" t="s">
        <v>160</v>
      </c>
      <c r="D2319" s="39" t="s">
        <v>138</v>
      </c>
      <c r="E2319" s="39" t="n">
        <v>5</v>
      </c>
      <c r="F2319" s="39" t="str">
        <f aca="false">IF(COUNTIF(medicine_master!$A$2:$A$26,C2319)&gt;0,"Valid","Invalid")</f>
        <v>Valid</v>
      </c>
      <c r="G2319" s="39" t="str">
        <f aca="false">IFERROR(INDEX(medicine_master!$B$2:$B$26,MATCH($C2319,medicine_master!$A$2:$A$26,0)),"Not found")</f>
        <v>Calamine Lotion</v>
      </c>
      <c r="H2319" s="39" t="str">
        <f aca="false">IFERROR(INDEX(medicine_master!$C$2:$C$26,MATCH($C2319,medicine_master!$A$2:$A$26,0)),"Not found")</f>
        <v>Dermatology</v>
      </c>
      <c r="I2319" s="39" t="n">
        <f aca="false">YEAR(B2319)</f>
        <v>2026</v>
      </c>
      <c r="J2319" s="39" t="n">
        <f aca="false">MONTH(B2319)</f>
        <v>6</v>
      </c>
      <c r="K2319" s="39" t="str">
        <f aca="false">TEXT(B2319,"mmm")</f>
        <v>Jun</v>
      </c>
      <c r="L2319" s="45" t="n">
        <f aca="false">IFERROR(INDEX(medicine_master!$I$2:$I$26,MATCH($C2319,medicine_master!$A$2:$A$26,0)),0)</f>
        <v>60</v>
      </c>
      <c r="M2319" s="45" t="n">
        <f aca="false">IFERROR(INDEX(medicine_master!$G$2:$G$26,MATCH($C2319,medicine_master!$A$2:$A$26,0)),0)</f>
        <v>42</v>
      </c>
      <c r="N2319" s="45" t="n">
        <f aca="false">IF(D2319="Sale",E2319*L2319,0)</f>
        <v>0</v>
      </c>
      <c r="O2319" s="45" t="n">
        <f aca="false">IF(D2319="Sale",E2319*M2319,0)</f>
        <v>0</v>
      </c>
      <c r="P2319" s="45" t="n">
        <f aca="false">N2319-O2319</f>
        <v>0</v>
      </c>
      <c r="Q2319" s="45" t="n">
        <f aca="false">IF(D2319="Purchase",E2319*M2319,0)</f>
        <v>210</v>
      </c>
    </row>
    <row r="2320" customFormat="false" ht="15" hidden="false" customHeight="false" outlineLevel="0" collapsed="false">
      <c r="A2320" s="39" t="s">
        <v>2644</v>
      </c>
      <c r="B2320" s="44" t="n">
        <v>46253</v>
      </c>
      <c r="C2320" s="39" t="s">
        <v>145</v>
      </c>
      <c r="D2320" s="39" t="s">
        <v>137</v>
      </c>
      <c r="E2320" s="39" t="n">
        <v>20</v>
      </c>
      <c r="F2320" s="39" t="str">
        <f aca="false">IF(COUNTIF(medicine_master!$A$2:$A$26,C2320)&gt;0,"Valid","Invalid")</f>
        <v>Valid</v>
      </c>
      <c r="G2320" s="39" t="str">
        <f aca="false">IFERROR(INDEX(medicine_master!$B$2:$B$26,MATCH($C2320,medicine_master!$A$2:$A$26,0)),"Not found")</f>
        <v>Clotrimazole Cream</v>
      </c>
      <c r="H2320" s="39" t="str">
        <f aca="false">IFERROR(INDEX(medicine_master!$C$2:$C$26,MATCH($C2320,medicine_master!$A$2:$A$26,0)),"Not found")</f>
        <v>Dermatology</v>
      </c>
      <c r="I2320" s="39" t="n">
        <f aca="false">YEAR(B2320)</f>
        <v>2026</v>
      </c>
      <c r="J2320" s="39" t="n">
        <f aca="false">MONTH(B2320)</f>
        <v>8</v>
      </c>
      <c r="K2320" s="39" t="str">
        <f aca="false">TEXT(B2320,"mmm")</f>
        <v>Aug</v>
      </c>
      <c r="L2320" s="45" t="n">
        <f aca="false">IFERROR(INDEX(medicine_master!$I$2:$I$26,MATCH($C2320,medicine_master!$A$2:$A$26,0)),0)</f>
        <v>48</v>
      </c>
      <c r="M2320" s="45" t="n">
        <f aca="false">IFERROR(INDEX(medicine_master!$G$2:$G$26,MATCH($C2320,medicine_master!$A$2:$A$26,0)),0)</f>
        <v>32</v>
      </c>
      <c r="N2320" s="45" t="n">
        <f aca="false">IF(D2320="Sale",E2320*L2320,0)</f>
        <v>960</v>
      </c>
      <c r="O2320" s="45" t="n">
        <f aca="false">IF(D2320="Sale",E2320*M2320,0)</f>
        <v>640</v>
      </c>
      <c r="P2320" s="45" t="n">
        <f aca="false">N2320-O2320</f>
        <v>320</v>
      </c>
      <c r="Q2320" s="45" t="n">
        <f aca="false">IF(D2320="Purchase",E2320*M2320,0)</f>
        <v>0</v>
      </c>
    </row>
    <row r="2321" customFormat="false" ht="15" hidden="false" customHeight="false" outlineLevel="0" collapsed="false">
      <c r="A2321" s="39" t="s">
        <v>2645</v>
      </c>
      <c r="B2321" s="44" t="n">
        <v>46239</v>
      </c>
      <c r="C2321" s="39" t="s">
        <v>147</v>
      </c>
      <c r="D2321" s="39" t="s">
        <v>138</v>
      </c>
      <c r="E2321" s="39" t="n">
        <v>25</v>
      </c>
      <c r="F2321" s="39" t="str">
        <f aca="false">IF(COUNTIF(medicine_master!$A$2:$A$26,C2321)&gt;0,"Valid","Invalid")</f>
        <v>Valid</v>
      </c>
      <c r="G2321" s="39" t="str">
        <f aca="false">IFERROR(INDEX(medicine_master!$B$2:$B$26,MATCH($C2321,medicine_master!$A$2:$A$26,0)),"Not found")</f>
        <v>Insulin Injection</v>
      </c>
      <c r="H2321" s="39" t="str">
        <f aca="false">IFERROR(INDEX(medicine_master!$C$2:$C$26,MATCH($C2321,medicine_master!$A$2:$A$26,0)),"Not found")</f>
        <v>Diabetes</v>
      </c>
      <c r="I2321" s="39" t="n">
        <f aca="false">YEAR(B2321)</f>
        <v>2026</v>
      </c>
      <c r="J2321" s="39" t="n">
        <f aca="false">MONTH(B2321)</f>
        <v>8</v>
      </c>
      <c r="K2321" s="39" t="str">
        <f aca="false">TEXT(B2321,"mmm")</f>
        <v>Aug</v>
      </c>
      <c r="L2321" s="45" t="n">
        <f aca="false">IFERROR(INDEX(medicine_master!$I$2:$I$26,MATCH($C2321,medicine_master!$A$2:$A$26,0)),0)</f>
        <v>225</v>
      </c>
      <c r="M2321" s="45" t="n">
        <f aca="false">IFERROR(INDEX(medicine_master!$G$2:$G$26,MATCH($C2321,medicine_master!$A$2:$A$26,0)),0)</f>
        <v>165</v>
      </c>
      <c r="N2321" s="45" t="n">
        <f aca="false">IF(D2321="Sale",E2321*L2321,0)</f>
        <v>0</v>
      </c>
      <c r="O2321" s="45" t="n">
        <f aca="false">IF(D2321="Sale",E2321*M2321,0)</f>
        <v>0</v>
      </c>
      <c r="P2321" s="45" t="n">
        <f aca="false">N2321-O2321</f>
        <v>0</v>
      </c>
      <c r="Q2321" s="45" t="n">
        <f aca="false">IF(D2321="Purchase",E2321*M2321,0)</f>
        <v>4125</v>
      </c>
    </row>
    <row r="2322" customFormat="false" ht="15" hidden="false" customHeight="false" outlineLevel="0" collapsed="false">
      <c r="A2322" s="39" t="s">
        <v>2646</v>
      </c>
      <c r="B2322" s="44" t="n">
        <v>46375</v>
      </c>
      <c r="C2322" s="39" t="s">
        <v>180</v>
      </c>
      <c r="D2322" s="39" t="s">
        <v>137</v>
      </c>
      <c r="E2322" s="39" t="n">
        <v>25</v>
      </c>
      <c r="F2322" s="39" t="str">
        <f aca="false">IF(COUNTIF(medicine_master!$A$2:$A$26,C2322)&gt;0,"Valid","Invalid")</f>
        <v>Valid</v>
      </c>
      <c r="G2322" s="39" t="str">
        <f aca="false">IFERROR(INDEX(medicine_master!$B$2:$B$26,MATCH($C2322,medicine_master!$A$2:$A$26,0)),"Not found")</f>
        <v>Vitamin C 500mg</v>
      </c>
      <c r="H2322" s="39" t="str">
        <f aca="false">IFERROR(INDEX(medicine_master!$C$2:$C$26,MATCH($C2322,medicine_master!$A$2:$A$26,0)),"Not found")</f>
        <v>Vitamin</v>
      </c>
      <c r="I2322" s="39" t="n">
        <f aca="false">YEAR(B2322)</f>
        <v>2026</v>
      </c>
      <c r="J2322" s="39" t="n">
        <f aca="false">MONTH(B2322)</f>
        <v>12</v>
      </c>
      <c r="K2322" s="39" t="str">
        <f aca="false">TEXT(B2322,"mmm")</f>
        <v>Dec</v>
      </c>
      <c r="L2322" s="45" t="n">
        <f aca="false">IFERROR(INDEX(medicine_master!$I$2:$I$26,MATCH($C2322,medicine_master!$A$2:$A$26,0)),0)</f>
        <v>22</v>
      </c>
      <c r="M2322" s="45" t="n">
        <f aca="false">IFERROR(INDEX(medicine_master!$G$2:$G$26,MATCH($C2322,medicine_master!$A$2:$A$26,0)),0)</f>
        <v>14</v>
      </c>
      <c r="N2322" s="45" t="n">
        <f aca="false">IF(D2322="Sale",E2322*L2322,0)</f>
        <v>550</v>
      </c>
      <c r="O2322" s="45" t="n">
        <f aca="false">IF(D2322="Sale",E2322*M2322,0)</f>
        <v>350</v>
      </c>
      <c r="P2322" s="45" t="n">
        <f aca="false">N2322-O2322</f>
        <v>200</v>
      </c>
      <c r="Q2322" s="45" t="n">
        <f aca="false">IF(D2322="Purchase",E2322*M2322,0)</f>
        <v>0</v>
      </c>
    </row>
    <row r="2323" customFormat="false" ht="15" hidden="false" customHeight="false" outlineLevel="0" collapsed="false">
      <c r="A2323" s="39" t="s">
        <v>2647</v>
      </c>
      <c r="B2323" s="44" t="n">
        <v>46040</v>
      </c>
      <c r="C2323" s="39" t="s">
        <v>145</v>
      </c>
      <c r="D2323" s="39" t="s">
        <v>137</v>
      </c>
      <c r="E2323" s="39" t="n">
        <v>30</v>
      </c>
      <c r="F2323" s="39" t="str">
        <f aca="false">IF(COUNTIF(medicine_master!$A$2:$A$26,C2323)&gt;0,"Valid","Invalid")</f>
        <v>Valid</v>
      </c>
      <c r="G2323" s="39" t="str">
        <f aca="false">IFERROR(INDEX(medicine_master!$B$2:$B$26,MATCH($C2323,medicine_master!$A$2:$A$26,0)),"Not found")</f>
        <v>Clotrimazole Cream</v>
      </c>
      <c r="H2323" s="39" t="str">
        <f aca="false">IFERROR(INDEX(medicine_master!$C$2:$C$26,MATCH($C2323,medicine_master!$A$2:$A$26,0)),"Not found")</f>
        <v>Dermatology</v>
      </c>
      <c r="I2323" s="39" t="n">
        <f aca="false">YEAR(B2323)</f>
        <v>2026</v>
      </c>
      <c r="J2323" s="39" t="n">
        <f aca="false">MONTH(B2323)</f>
        <v>1</v>
      </c>
      <c r="K2323" s="39" t="str">
        <f aca="false">TEXT(B2323,"mmm")</f>
        <v>Jan</v>
      </c>
      <c r="L2323" s="45" t="n">
        <f aca="false">IFERROR(INDEX(medicine_master!$I$2:$I$26,MATCH($C2323,medicine_master!$A$2:$A$26,0)),0)</f>
        <v>48</v>
      </c>
      <c r="M2323" s="45" t="n">
        <f aca="false">IFERROR(INDEX(medicine_master!$G$2:$G$26,MATCH($C2323,medicine_master!$A$2:$A$26,0)),0)</f>
        <v>32</v>
      </c>
      <c r="N2323" s="45" t="n">
        <f aca="false">IF(D2323="Sale",E2323*L2323,0)</f>
        <v>1440</v>
      </c>
      <c r="O2323" s="45" t="n">
        <f aca="false">IF(D2323="Sale",E2323*M2323,0)</f>
        <v>960</v>
      </c>
      <c r="P2323" s="45" t="n">
        <f aca="false">N2323-O2323</f>
        <v>480</v>
      </c>
      <c r="Q2323" s="45" t="n">
        <f aca="false">IF(D2323="Purchase",E2323*M2323,0)</f>
        <v>0</v>
      </c>
    </row>
    <row r="2324" customFormat="false" ht="15" hidden="false" customHeight="false" outlineLevel="0" collapsed="false">
      <c r="A2324" s="39" t="s">
        <v>2648</v>
      </c>
      <c r="B2324" s="44" t="n">
        <v>46076</v>
      </c>
      <c r="C2324" s="39" t="s">
        <v>390</v>
      </c>
      <c r="D2324" s="39" t="s">
        <v>137</v>
      </c>
      <c r="E2324" s="39" t="n">
        <v>40</v>
      </c>
      <c r="F2324" s="39" t="str">
        <f aca="false">IF(COUNTIF(medicine_master!$A$2:$A$26,C2324)&gt;0,"Valid","Invalid")</f>
        <v>Valid</v>
      </c>
      <c r="G2324" s="39" t="str">
        <f aca="false">IFERROR(INDEX(medicine_master!$B$2:$B$26,MATCH($C2324,medicine_master!$A$2:$A$26,0)),"Not found")</f>
        <v>Montelukast 10mg</v>
      </c>
      <c r="H2324" s="39" t="str">
        <f aca="false">IFERROR(INDEX(medicine_master!$C$2:$C$26,MATCH($C2324,medicine_master!$A$2:$A$26,0)),"Not found")</f>
        <v>Allergy</v>
      </c>
      <c r="I2324" s="39" t="n">
        <f aca="false">YEAR(B2324)</f>
        <v>2026</v>
      </c>
      <c r="J2324" s="39" t="n">
        <f aca="false">MONTH(B2324)</f>
        <v>2</v>
      </c>
      <c r="K2324" s="39" t="str">
        <f aca="false">TEXT(B2324,"mmm")</f>
        <v>Feb</v>
      </c>
      <c r="L2324" s="45" t="n">
        <f aca="false">IFERROR(INDEX(medicine_master!$I$2:$I$26,MATCH($C2324,medicine_master!$A$2:$A$26,0)),0)</f>
        <v>39</v>
      </c>
      <c r="M2324" s="45" t="n">
        <f aca="false">IFERROR(INDEX(medicine_master!$G$2:$G$26,MATCH($C2324,medicine_master!$A$2:$A$26,0)),0)</f>
        <v>27</v>
      </c>
      <c r="N2324" s="45" t="n">
        <f aca="false">IF(D2324="Sale",E2324*L2324,0)</f>
        <v>1560</v>
      </c>
      <c r="O2324" s="45" t="n">
        <f aca="false">IF(D2324="Sale",E2324*M2324,0)</f>
        <v>1080</v>
      </c>
      <c r="P2324" s="45" t="n">
        <f aca="false">N2324-O2324</f>
        <v>480</v>
      </c>
      <c r="Q2324" s="45" t="n">
        <f aca="false">IF(D2324="Purchase",E2324*M2324,0)</f>
        <v>0</v>
      </c>
    </row>
    <row r="2325" customFormat="false" ht="15" hidden="false" customHeight="false" outlineLevel="0" collapsed="false">
      <c r="A2325" s="39" t="s">
        <v>2649</v>
      </c>
      <c r="B2325" s="44" t="n">
        <v>46289</v>
      </c>
      <c r="C2325" s="39" t="s">
        <v>144</v>
      </c>
      <c r="D2325" s="39" t="s">
        <v>137</v>
      </c>
      <c r="E2325" s="39" t="n">
        <v>10</v>
      </c>
      <c r="F2325" s="39" t="str">
        <f aca="false">IF(COUNTIF(medicine_master!$A$2:$A$26,C2325)&gt;0,"Valid","Invalid")</f>
        <v>Valid</v>
      </c>
      <c r="G2325" s="39" t="str">
        <f aca="false">IFERROR(INDEX(medicine_master!$B$2:$B$26,MATCH($C2325,medicine_master!$A$2:$A$26,0)),"Not found")</f>
        <v>Glimepiride 2mg</v>
      </c>
      <c r="H2325" s="39" t="str">
        <f aca="false">IFERROR(INDEX(medicine_master!$C$2:$C$26,MATCH($C2325,medicine_master!$A$2:$A$26,0)),"Not found")</f>
        <v>Diabetes</v>
      </c>
      <c r="I2325" s="39" t="n">
        <f aca="false">YEAR(B2325)</f>
        <v>2026</v>
      </c>
      <c r="J2325" s="39" t="n">
        <f aca="false">MONTH(B2325)</f>
        <v>9</v>
      </c>
      <c r="K2325" s="39" t="str">
        <f aca="false">TEXT(B2325,"mmm")</f>
        <v>Sep</v>
      </c>
      <c r="L2325" s="45" t="n">
        <f aca="false">IFERROR(INDEX(medicine_master!$I$2:$I$26,MATCH($C2325,medicine_master!$A$2:$A$26,0)),0)</f>
        <v>52</v>
      </c>
      <c r="M2325" s="45" t="n">
        <f aca="false">IFERROR(INDEX(medicine_master!$G$2:$G$26,MATCH($C2325,medicine_master!$A$2:$A$26,0)),0)</f>
        <v>38</v>
      </c>
      <c r="N2325" s="45" t="n">
        <f aca="false">IF(D2325="Sale",E2325*L2325,0)</f>
        <v>520</v>
      </c>
      <c r="O2325" s="45" t="n">
        <f aca="false">IF(D2325="Sale",E2325*M2325,0)</f>
        <v>380</v>
      </c>
      <c r="P2325" s="45" t="n">
        <f aca="false">N2325-O2325</f>
        <v>140</v>
      </c>
      <c r="Q2325" s="45" t="n">
        <f aca="false">IF(D2325="Purchase",E2325*M2325,0)</f>
        <v>0</v>
      </c>
    </row>
    <row r="2326" customFormat="false" ht="15" hidden="false" customHeight="false" outlineLevel="0" collapsed="false">
      <c r="A2326" s="39" t="s">
        <v>2650</v>
      </c>
      <c r="B2326" s="44" t="n">
        <v>46182</v>
      </c>
      <c r="C2326" s="39" t="s">
        <v>146</v>
      </c>
      <c r="D2326" s="39" t="s">
        <v>137</v>
      </c>
      <c r="E2326" s="39" t="n">
        <v>15</v>
      </c>
      <c r="F2326" s="39" t="str">
        <f aca="false">IF(COUNTIF(medicine_master!$A$2:$A$26,C2326)&gt;0,"Valid","Invalid")</f>
        <v>Valid</v>
      </c>
      <c r="G2326" s="39" t="str">
        <f aca="false">IFERROR(INDEX(medicine_master!$B$2:$B$26,MATCH($C2326,medicine_master!$A$2:$A$26,0)),"Not found")</f>
        <v>Diclofenac Gel</v>
      </c>
      <c r="H2326" s="39" t="str">
        <f aca="false">IFERROR(INDEX(medicine_master!$C$2:$C$26,MATCH($C2326,medicine_master!$A$2:$A$26,0)),"Not found")</f>
        <v>Pain Relief</v>
      </c>
      <c r="I2326" s="39" t="n">
        <f aca="false">YEAR(B2326)</f>
        <v>2026</v>
      </c>
      <c r="J2326" s="39" t="n">
        <f aca="false">MONTH(B2326)</f>
        <v>6</v>
      </c>
      <c r="K2326" s="39" t="str">
        <f aca="false">TEXT(B2326,"mmm")</f>
        <v>Jun</v>
      </c>
      <c r="L2326" s="45" t="n">
        <f aca="false">IFERROR(INDEX(medicine_master!$I$2:$I$26,MATCH($C2326,medicine_master!$A$2:$A$26,0)),0)</f>
        <v>55</v>
      </c>
      <c r="M2326" s="45" t="n">
        <f aca="false">IFERROR(INDEX(medicine_master!$G$2:$G$26,MATCH($C2326,medicine_master!$A$2:$A$26,0)),0)</f>
        <v>38</v>
      </c>
      <c r="N2326" s="45" t="n">
        <f aca="false">IF(D2326="Sale",E2326*L2326,0)</f>
        <v>825</v>
      </c>
      <c r="O2326" s="45" t="n">
        <f aca="false">IF(D2326="Sale",E2326*M2326,0)</f>
        <v>570</v>
      </c>
      <c r="P2326" s="45" t="n">
        <f aca="false">N2326-O2326</f>
        <v>255</v>
      </c>
      <c r="Q2326" s="45" t="n">
        <f aca="false">IF(D2326="Purchase",E2326*M2326,0)</f>
        <v>0</v>
      </c>
    </row>
    <row r="2327" customFormat="false" ht="15" hidden="false" customHeight="false" outlineLevel="0" collapsed="false">
      <c r="A2327" s="39" t="s">
        <v>2651</v>
      </c>
      <c r="B2327" s="44" t="n">
        <v>46188</v>
      </c>
      <c r="C2327" s="39" t="s">
        <v>390</v>
      </c>
      <c r="D2327" s="39" t="s">
        <v>138</v>
      </c>
      <c r="E2327" s="39" t="n">
        <v>20</v>
      </c>
      <c r="F2327" s="39" t="str">
        <f aca="false">IF(COUNTIF(medicine_master!$A$2:$A$26,C2327)&gt;0,"Valid","Invalid")</f>
        <v>Valid</v>
      </c>
      <c r="G2327" s="39" t="str">
        <f aca="false">IFERROR(INDEX(medicine_master!$B$2:$B$26,MATCH($C2327,medicine_master!$A$2:$A$26,0)),"Not found")</f>
        <v>Montelukast 10mg</v>
      </c>
      <c r="H2327" s="39" t="str">
        <f aca="false">IFERROR(INDEX(medicine_master!$C$2:$C$26,MATCH($C2327,medicine_master!$A$2:$A$26,0)),"Not found")</f>
        <v>Allergy</v>
      </c>
      <c r="I2327" s="39" t="n">
        <f aca="false">YEAR(B2327)</f>
        <v>2026</v>
      </c>
      <c r="J2327" s="39" t="n">
        <f aca="false">MONTH(B2327)</f>
        <v>6</v>
      </c>
      <c r="K2327" s="39" t="str">
        <f aca="false">TEXT(B2327,"mmm")</f>
        <v>Jun</v>
      </c>
      <c r="L2327" s="45" t="n">
        <f aca="false">IFERROR(INDEX(medicine_master!$I$2:$I$26,MATCH($C2327,medicine_master!$A$2:$A$26,0)),0)</f>
        <v>39</v>
      </c>
      <c r="M2327" s="45" t="n">
        <f aca="false">IFERROR(INDEX(medicine_master!$G$2:$G$26,MATCH($C2327,medicine_master!$A$2:$A$26,0)),0)</f>
        <v>27</v>
      </c>
      <c r="N2327" s="45" t="n">
        <f aca="false">IF(D2327="Sale",E2327*L2327,0)</f>
        <v>0</v>
      </c>
      <c r="O2327" s="45" t="n">
        <f aca="false">IF(D2327="Sale",E2327*M2327,0)</f>
        <v>0</v>
      </c>
      <c r="P2327" s="45" t="n">
        <f aca="false">N2327-O2327</f>
        <v>0</v>
      </c>
      <c r="Q2327" s="45" t="n">
        <f aca="false">IF(D2327="Purchase",E2327*M2327,0)</f>
        <v>540</v>
      </c>
    </row>
    <row r="2328" customFormat="false" ht="15" hidden="false" customHeight="false" outlineLevel="0" collapsed="false">
      <c r="A2328" s="39" t="s">
        <v>2652</v>
      </c>
      <c r="B2328" s="44" t="n">
        <v>46251</v>
      </c>
      <c r="C2328" s="39" t="s">
        <v>321</v>
      </c>
      <c r="D2328" s="39" t="s">
        <v>137</v>
      </c>
      <c r="E2328" s="39" t="n">
        <v>20</v>
      </c>
      <c r="F2328" s="39" t="str">
        <f aca="false">IF(COUNTIF(medicine_master!$A$2:$A$26,C2328)&gt;0,"Valid","Invalid")</f>
        <v>Valid</v>
      </c>
      <c r="G2328" s="39" t="str">
        <f aca="false">IFERROR(INDEX(medicine_master!$B$2:$B$26,MATCH($C2328,medicine_master!$A$2:$A$26,0)),"Not found")</f>
        <v>Levocetirizine 5mg</v>
      </c>
      <c r="H2328" s="39" t="str">
        <f aca="false">IFERROR(INDEX(medicine_master!$C$2:$C$26,MATCH($C2328,medicine_master!$A$2:$A$26,0)),"Not found")</f>
        <v>Allergy</v>
      </c>
      <c r="I2328" s="39" t="n">
        <f aca="false">YEAR(B2328)</f>
        <v>2026</v>
      </c>
      <c r="J2328" s="39" t="n">
        <f aca="false">MONTH(B2328)</f>
        <v>8</v>
      </c>
      <c r="K2328" s="39" t="str">
        <f aca="false">TEXT(B2328,"mmm")</f>
        <v>Aug</v>
      </c>
      <c r="L2328" s="45" t="n">
        <f aca="false">IFERROR(INDEX(medicine_master!$I$2:$I$26,MATCH($C2328,medicine_master!$A$2:$A$26,0)),0)</f>
        <v>22</v>
      </c>
      <c r="M2328" s="45" t="n">
        <f aca="false">IFERROR(INDEX(medicine_master!$G$2:$G$26,MATCH($C2328,medicine_master!$A$2:$A$26,0)),0)</f>
        <v>14</v>
      </c>
      <c r="N2328" s="45" t="n">
        <f aca="false">IF(D2328="Sale",E2328*L2328,0)</f>
        <v>440</v>
      </c>
      <c r="O2328" s="45" t="n">
        <f aca="false">IF(D2328="Sale",E2328*M2328,0)</f>
        <v>280</v>
      </c>
      <c r="P2328" s="45" t="n">
        <f aca="false">N2328-O2328</f>
        <v>160</v>
      </c>
      <c r="Q2328" s="45" t="n">
        <f aca="false">IF(D2328="Purchase",E2328*M2328,0)</f>
        <v>0</v>
      </c>
    </row>
    <row r="2329" customFormat="false" ht="15" hidden="false" customHeight="false" outlineLevel="0" collapsed="false">
      <c r="A2329" s="39" t="s">
        <v>2653</v>
      </c>
      <c r="B2329" s="44" t="n">
        <v>46228</v>
      </c>
      <c r="C2329" s="39" t="s">
        <v>326</v>
      </c>
      <c r="D2329" s="39" t="s">
        <v>137</v>
      </c>
      <c r="E2329" s="39" t="n">
        <v>20</v>
      </c>
      <c r="F2329" s="39" t="str">
        <f aca="false">IF(COUNTIF(medicine_master!$A$2:$A$26,C2329)&gt;0,"Valid","Invalid")</f>
        <v>Valid</v>
      </c>
      <c r="G2329" s="39" t="str">
        <f aca="false">IFERROR(INDEX(medicine_master!$B$2:$B$26,MATCH($C2329,medicine_master!$A$2:$A$26,0)),"Not found")</f>
        <v>Omeprazole 20mg</v>
      </c>
      <c r="H2329" s="39" t="str">
        <f aca="false">IFERROR(INDEX(medicine_master!$C$2:$C$26,MATCH($C2329,medicine_master!$A$2:$A$26,0)),"Not found")</f>
        <v>Gastric</v>
      </c>
      <c r="I2329" s="39" t="n">
        <f aca="false">YEAR(B2329)</f>
        <v>2026</v>
      </c>
      <c r="J2329" s="39" t="n">
        <f aca="false">MONTH(B2329)</f>
        <v>7</v>
      </c>
      <c r="K2329" s="39" t="str">
        <f aca="false">TEXT(B2329,"mmm")</f>
        <v>Jul</v>
      </c>
      <c r="L2329" s="45" t="n">
        <f aca="false">IFERROR(INDEX(medicine_master!$I$2:$I$26,MATCH($C2329,medicine_master!$A$2:$A$26,0)),0)</f>
        <v>26</v>
      </c>
      <c r="M2329" s="45" t="n">
        <f aca="false">IFERROR(INDEX(medicine_master!$G$2:$G$26,MATCH($C2329,medicine_master!$A$2:$A$26,0)),0)</f>
        <v>18</v>
      </c>
      <c r="N2329" s="45" t="n">
        <f aca="false">IF(D2329="Sale",E2329*L2329,0)</f>
        <v>520</v>
      </c>
      <c r="O2329" s="45" t="n">
        <f aca="false">IF(D2329="Sale",E2329*M2329,0)</f>
        <v>360</v>
      </c>
      <c r="P2329" s="45" t="n">
        <f aca="false">N2329-O2329</f>
        <v>160</v>
      </c>
      <c r="Q2329" s="45" t="n">
        <f aca="false">IF(D2329="Purchase",E2329*M2329,0)</f>
        <v>0</v>
      </c>
    </row>
    <row r="2330" customFormat="false" ht="15" hidden="false" customHeight="false" outlineLevel="0" collapsed="false">
      <c r="A2330" s="39" t="s">
        <v>2654</v>
      </c>
      <c r="B2330" s="44" t="n">
        <v>46185</v>
      </c>
      <c r="C2330" s="39" t="s">
        <v>495</v>
      </c>
      <c r="D2330" s="39" t="s">
        <v>137</v>
      </c>
      <c r="E2330" s="39" t="n">
        <v>30</v>
      </c>
      <c r="F2330" s="39" t="str">
        <f aca="false">IF(COUNTIF(medicine_master!$A$2:$A$26,C2330)&gt;0,"Valid","Invalid")</f>
        <v>Valid</v>
      </c>
      <c r="G2330" s="39" t="str">
        <f aca="false">IFERROR(INDEX(medicine_master!$B$2:$B$26,MATCH($C2330,medicine_master!$A$2:$A$26,0)),"Not found")</f>
        <v>Metformin 500mg</v>
      </c>
      <c r="H2330" s="39" t="str">
        <f aca="false">IFERROR(INDEX(medicine_master!$C$2:$C$26,MATCH($C2330,medicine_master!$A$2:$A$26,0)),"Not found")</f>
        <v>Diabetes</v>
      </c>
      <c r="I2330" s="39" t="n">
        <f aca="false">YEAR(B2330)</f>
        <v>2026</v>
      </c>
      <c r="J2330" s="39" t="n">
        <f aca="false">MONTH(B2330)</f>
        <v>6</v>
      </c>
      <c r="K2330" s="39" t="str">
        <f aca="false">TEXT(B2330,"mmm")</f>
        <v>Jun</v>
      </c>
      <c r="L2330" s="45" t="n">
        <f aca="false">IFERROR(INDEX(medicine_master!$I$2:$I$26,MATCH($C2330,medicine_master!$A$2:$A$26,0)),0)</f>
        <v>24</v>
      </c>
      <c r="M2330" s="45" t="n">
        <f aca="false">IFERROR(INDEX(medicine_master!$G$2:$G$26,MATCH($C2330,medicine_master!$A$2:$A$26,0)),0)</f>
        <v>16</v>
      </c>
      <c r="N2330" s="45" t="n">
        <f aca="false">IF(D2330="Sale",E2330*L2330,0)</f>
        <v>720</v>
      </c>
      <c r="O2330" s="45" t="n">
        <f aca="false">IF(D2330="Sale",E2330*M2330,0)</f>
        <v>480</v>
      </c>
      <c r="P2330" s="45" t="n">
        <f aca="false">N2330-O2330</f>
        <v>240</v>
      </c>
      <c r="Q2330" s="45" t="n">
        <f aca="false">IF(D2330="Purchase",E2330*M2330,0)</f>
        <v>0</v>
      </c>
    </row>
    <row r="2331" customFormat="false" ht="15" hidden="false" customHeight="false" outlineLevel="0" collapsed="false">
      <c r="A2331" s="39" t="s">
        <v>2655</v>
      </c>
      <c r="B2331" s="44" t="n">
        <v>46278</v>
      </c>
      <c r="C2331" s="39" t="s">
        <v>404</v>
      </c>
      <c r="D2331" s="39" t="s">
        <v>137</v>
      </c>
      <c r="E2331" s="39" t="n">
        <v>5</v>
      </c>
      <c r="F2331" s="39" t="str">
        <f aca="false">IF(COUNTIF(medicine_master!$A$2:$A$26,C2331)&gt;0,"Valid","Invalid")</f>
        <v>Valid</v>
      </c>
      <c r="G2331" s="39" t="str">
        <f aca="false">IFERROR(INDEX(medicine_master!$B$2:$B$26,MATCH($C2331,medicine_master!$A$2:$A$26,0)),"Not found")</f>
        <v>ORS Sachet</v>
      </c>
      <c r="H2331" s="39" t="str">
        <f aca="false">IFERROR(INDEX(medicine_master!$C$2:$C$26,MATCH($C2331,medicine_master!$A$2:$A$26,0)),"Not found")</f>
        <v>First Aid</v>
      </c>
      <c r="I2331" s="39" t="n">
        <f aca="false">YEAR(B2331)</f>
        <v>2026</v>
      </c>
      <c r="J2331" s="39" t="n">
        <f aca="false">MONTH(B2331)</f>
        <v>9</v>
      </c>
      <c r="K2331" s="39" t="str">
        <f aca="false">TEXT(B2331,"mmm")</f>
        <v>Sep</v>
      </c>
      <c r="L2331" s="45" t="n">
        <f aca="false">IFERROR(INDEX(medicine_master!$I$2:$I$26,MATCH($C2331,medicine_master!$A$2:$A$26,0)),0)</f>
        <v>10</v>
      </c>
      <c r="M2331" s="45" t="n">
        <f aca="false">IFERROR(INDEX(medicine_master!$G$2:$G$26,MATCH($C2331,medicine_master!$A$2:$A$26,0)),0)</f>
        <v>6</v>
      </c>
      <c r="N2331" s="45" t="n">
        <f aca="false">IF(D2331="Sale",E2331*L2331,0)</f>
        <v>50</v>
      </c>
      <c r="O2331" s="45" t="n">
        <f aca="false">IF(D2331="Sale",E2331*M2331,0)</f>
        <v>30</v>
      </c>
      <c r="P2331" s="45" t="n">
        <f aca="false">N2331-O2331</f>
        <v>20</v>
      </c>
      <c r="Q2331" s="45" t="n">
        <f aca="false">IF(D2331="Purchase",E2331*M2331,0)</f>
        <v>0</v>
      </c>
    </row>
    <row r="2332" customFormat="false" ht="15" hidden="false" customHeight="false" outlineLevel="0" collapsed="false">
      <c r="A2332" s="39" t="s">
        <v>2656</v>
      </c>
      <c r="B2332" s="44" t="n">
        <v>46323</v>
      </c>
      <c r="C2332" s="39" t="s">
        <v>149</v>
      </c>
      <c r="D2332" s="39" t="s">
        <v>138</v>
      </c>
      <c r="E2332" s="39" t="n">
        <v>25</v>
      </c>
      <c r="F2332" s="39" t="str">
        <f aca="false">IF(COUNTIF(medicine_master!$A$2:$A$26,C2332)&gt;0,"Valid","Invalid")</f>
        <v>Valid</v>
      </c>
      <c r="G2332" s="39" t="str">
        <f aca="false">IFERROR(INDEX(medicine_master!$B$2:$B$26,MATCH($C2332,medicine_master!$A$2:$A$26,0)),"Not found")</f>
        <v>Azithromycin 500mg</v>
      </c>
      <c r="H2332" s="39" t="str">
        <f aca="false">IFERROR(INDEX(medicine_master!$C$2:$C$26,MATCH($C2332,medicine_master!$A$2:$A$26,0)),"Not found")</f>
        <v>Antibiotic</v>
      </c>
      <c r="I2332" s="39" t="n">
        <f aca="false">YEAR(B2332)</f>
        <v>2026</v>
      </c>
      <c r="J2332" s="39" t="n">
        <f aca="false">MONTH(B2332)</f>
        <v>10</v>
      </c>
      <c r="K2332" s="39" t="str">
        <f aca="false">TEXT(B2332,"mmm")</f>
        <v>Oct</v>
      </c>
      <c r="L2332" s="45" t="n">
        <f aca="false">IFERROR(INDEX(medicine_master!$I$2:$I$26,MATCH($C2332,medicine_master!$A$2:$A$26,0)),0)</f>
        <v>50</v>
      </c>
      <c r="M2332" s="45" t="n">
        <f aca="false">IFERROR(INDEX(medicine_master!$G$2:$G$26,MATCH($C2332,medicine_master!$A$2:$A$26,0)),0)</f>
        <v>35</v>
      </c>
      <c r="N2332" s="45" t="n">
        <f aca="false">IF(D2332="Sale",E2332*L2332,0)</f>
        <v>0</v>
      </c>
      <c r="O2332" s="45" t="n">
        <f aca="false">IF(D2332="Sale",E2332*M2332,0)</f>
        <v>0</v>
      </c>
      <c r="P2332" s="45" t="n">
        <f aca="false">N2332-O2332</f>
        <v>0</v>
      </c>
      <c r="Q2332" s="45" t="n">
        <f aca="false">IF(D2332="Purchase",E2332*M2332,0)</f>
        <v>875</v>
      </c>
    </row>
    <row r="2333" customFormat="false" ht="15" hidden="false" customHeight="false" outlineLevel="0" collapsed="false">
      <c r="A2333" s="39" t="s">
        <v>2657</v>
      </c>
      <c r="B2333" s="44" t="n">
        <v>46293</v>
      </c>
      <c r="C2333" s="39" t="s">
        <v>157</v>
      </c>
      <c r="D2333" s="39" t="s">
        <v>137</v>
      </c>
      <c r="E2333" s="39" t="n">
        <v>10</v>
      </c>
      <c r="F2333" s="39" t="str">
        <f aca="false">IF(COUNTIF(medicine_master!$A$2:$A$26,C2333)&gt;0,"Valid","Invalid")</f>
        <v>Valid</v>
      </c>
      <c r="G2333" s="39" t="str">
        <f aca="false">IFERROR(INDEX(medicine_master!$B$2:$B$26,MATCH($C2333,medicine_master!$A$2:$A$26,0)),"Not found")</f>
        <v>Multivitamin Tablets</v>
      </c>
      <c r="H2333" s="39" t="str">
        <f aca="false">IFERROR(INDEX(medicine_master!$C$2:$C$26,MATCH($C2333,medicine_master!$A$2:$A$26,0)),"Not found")</f>
        <v>Vitamin</v>
      </c>
      <c r="I2333" s="39" t="n">
        <f aca="false">YEAR(B2333)</f>
        <v>2026</v>
      </c>
      <c r="J2333" s="39" t="n">
        <f aca="false">MONTH(B2333)</f>
        <v>9</v>
      </c>
      <c r="K2333" s="39" t="str">
        <f aca="false">TEXT(B2333,"mmm")</f>
        <v>Sep</v>
      </c>
      <c r="L2333" s="45" t="n">
        <f aca="false">IFERROR(INDEX(medicine_master!$I$2:$I$26,MATCH($C2333,medicine_master!$A$2:$A$26,0)),0)</f>
        <v>105</v>
      </c>
      <c r="M2333" s="45" t="n">
        <f aca="false">IFERROR(INDEX(medicine_master!$G$2:$G$26,MATCH($C2333,medicine_master!$A$2:$A$26,0)),0)</f>
        <v>72</v>
      </c>
      <c r="N2333" s="45" t="n">
        <f aca="false">IF(D2333="Sale",E2333*L2333,0)</f>
        <v>1050</v>
      </c>
      <c r="O2333" s="45" t="n">
        <f aca="false">IF(D2333="Sale",E2333*M2333,0)</f>
        <v>720</v>
      </c>
      <c r="P2333" s="45" t="n">
        <f aca="false">N2333-O2333</f>
        <v>330</v>
      </c>
      <c r="Q2333" s="45" t="n">
        <f aca="false">IF(D2333="Purchase",E2333*M2333,0)</f>
        <v>0</v>
      </c>
    </row>
    <row r="2334" customFormat="false" ht="15" hidden="false" customHeight="false" outlineLevel="0" collapsed="false">
      <c r="A2334" s="39" t="s">
        <v>2658</v>
      </c>
      <c r="B2334" s="44" t="n">
        <v>46256</v>
      </c>
      <c r="C2334" s="39" t="s">
        <v>177</v>
      </c>
      <c r="D2334" s="39" t="s">
        <v>137</v>
      </c>
      <c r="E2334" s="39" t="n">
        <v>25</v>
      </c>
      <c r="F2334" s="39" t="str">
        <f aca="false">IF(COUNTIF(medicine_master!$A$2:$A$26,C2334)&gt;0,"Valid","Invalid")</f>
        <v>Valid</v>
      </c>
      <c r="G2334" s="39" t="str">
        <f aca="false">IFERROR(INDEX(medicine_master!$B$2:$B$26,MATCH($C2334,medicine_master!$A$2:$A$26,0)),"Not found")</f>
        <v>Bandage Roll</v>
      </c>
      <c r="H2334" s="39" t="str">
        <f aca="false">IFERROR(INDEX(medicine_master!$C$2:$C$26,MATCH($C2334,medicine_master!$A$2:$A$26,0)),"Not found")</f>
        <v>First Aid</v>
      </c>
      <c r="I2334" s="39" t="n">
        <f aca="false">YEAR(B2334)</f>
        <v>2026</v>
      </c>
      <c r="J2334" s="39" t="n">
        <f aca="false">MONTH(B2334)</f>
        <v>8</v>
      </c>
      <c r="K2334" s="39" t="str">
        <f aca="false">TEXT(B2334,"mmm")</f>
        <v>Aug</v>
      </c>
      <c r="L2334" s="45" t="n">
        <f aca="false">IFERROR(INDEX(medicine_master!$I$2:$I$26,MATCH($C2334,medicine_master!$A$2:$A$26,0)),0)</f>
        <v>25</v>
      </c>
      <c r="M2334" s="45" t="n">
        <f aca="false">IFERROR(INDEX(medicine_master!$G$2:$G$26,MATCH($C2334,medicine_master!$A$2:$A$26,0)),0)</f>
        <v>15</v>
      </c>
      <c r="N2334" s="45" t="n">
        <f aca="false">IF(D2334="Sale",E2334*L2334,0)</f>
        <v>625</v>
      </c>
      <c r="O2334" s="45" t="n">
        <f aca="false">IF(D2334="Sale",E2334*M2334,0)</f>
        <v>375</v>
      </c>
      <c r="P2334" s="45" t="n">
        <f aca="false">N2334-O2334</f>
        <v>250</v>
      </c>
      <c r="Q2334" s="45" t="n">
        <f aca="false">IF(D2334="Purchase",E2334*M2334,0)</f>
        <v>0</v>
      </c>
    </row>
    <row r="2335" customFormat="false" ht="15" hidden="false" customHeight="false" outlineLevel="0" collapsed="false">
      <c r="A2335" s="39" t="s">
        <v>2659</v>
      </c>
      <c r="B2335" s="44" t="n">
        <v>46129</v>
      </c>
      <c r="C2335" s="39" t="s">
        <v>148</v>
      </c>
      <c r="D2335" s="39" t="s">
        <v>138</v>
      </c>
      <c r="E2335" s="39" t="n">
        <v>10</v>
      </c>
      <c r="F2335" s="39" t="str">
        <f aca="false">IF(COUNTIF(medicine_master!$A$2:$A$26,C2335)&gt;0,"Valid","Invalid")</f>
        <v>Valid</v>
      </c>
      <c r="G2335" s="39" t="str">
        <f aca="false">IFERROR(INDEX(medicine_master!$B$2:$B$26,MATCH($C2335,medicine_master!$A$2:$A$26,0)),"Not found")</f>
        <v>Dextromethorphan Syrup</v>
      </c>
      <c r="H2335" s="39" t="str">
        <f aca="false">IFERROR(INDEX(medicine_master!$C$2:$C$26,MATCH($C2335,medicine_master!$A$2:$A$26,0)),"Not found")</f>
        <v>Cold &amp; Cough</v>
      </c>
      <c r="I2335" s="39" t="n">
        <f aca="false">YEAR(B2335)</f>
        <v>2026</v>
      </c>
      <c r="J2335" s="39" t="n">
        <f aca="false">MONTH(B2335)</f>
        <v>4</v>
      </c>
      <c r="K2335" s="39" t="str">
        <f aca="false">TEXT(B2335,"mmm")</f>
        <v>Apr</v>
      </c>
      <c r="L2335" s="45" t="n">
        <f aca="false">IFERROR(INDEX(medicine_master!$I$2:$I$26,MATCH($C2335,medicine_master!$A$2:$A$26,0)),0)</f>
        <v>80</v>
      </c>
      <c r="M2335" s="45" t="n">
        <f aca="false">IFERROR(INDEX(medicine_master!$G$2:$G$26,MATCH($C2335,medicine_master!$A$2:$A$26,0)),0)</f>
        <v>58</v>
      </c>
      <c r="N2335" s="45" t="n">
        <f aca="false">IF(D2335="Sale",E2335*L2335,0)</f>
        <v>0</v>
      </c>
      <c r="O2335" s="45" t="n">
        <f aca="false">IF(D2335="Sale",E2335*M2335,0)</f>
        <v>0</v>
      </c>
      <c r="P2335" s="45" t="n">
        <f aca="false">N2335-O2335</f>
        <v>0</v>
      </c>
      <c r="Q2335" s="45" t="n">
        <f aca="false">IF(D2335="Purchase",E2335*M2335,0)</f>
        <v>580</v>
      </c>
    </row>
    <row r="2336" customFormat="false" ht="15" hidden="false" customHeight="false" outlineLevel="0" collapsed="false">
      <c r="A2336" s="39" t="s">
        <v>2660</v>
      </c>
      <c r="B2336" s="44" t="n">
        <v>46206</v>
      </c>
      <c r="C2336" s="39" t="s">
        <v>144</v>
      </c>
      <c r="D2336" s="39" t="s">
        <v>137</v>
      </c>
      <c r="E2336" s="39" t="n">
        <v>20</v>
      </c>
      <c r="F2336" s="39" t="str">
        <f aca="false">IF(COUNTIF(medicine_master!$A$2:$A$26,C2336)&gt;0,"Valid","Invalid")</f>
        <v>Valid</v>
      </c>
      <c r="G2336" s="39" t="str">
        <f aca="false">IFERROR(INDEX(medicine_master!$B$2:$B$26,MATCH($C2336,medicine_master!$A$2:$A$26,0)),"Not found")</f>
        <v>Glimepiride 2mg</v>
      </c>
      <c r="H2336" s="39" t="str">
        <f aca="false">IFERROR(INDEX(medicine_master!$C$2:$C$26,MATCH($C2336,medicine_master!$A$2:$A$26,0)),"Not found")</f>
        <v>Diabetes</v>
      </c>
      <c r="I2336" s="39" t="n">
        <f aca="false">YEAR(B2336)</f>
        <v>2026</v>
      </c>
      <c r="J2336" s="39" t="n">
        <f aca="false">MONTH(B2336)</f>
        <v>7</v>
      </c>
      <c r="K2336" s="39" t="str">
        <f aca="false">TEXT(B2336,"mmm")</f>
        <v>Jul</v>
      </c>
      <c r="L2336" s="45" t="n">
        <f aca="false">IFERROR(INDEX(medicine_master!$I$2:$I$26,MATCH($C2336,medicine_master!$A$2:$A$26,0)),0)</f>
        <v>52</v>
      </c>
      <c r="M2336" s="45" t="n">
        <f aca="false">IFERROR(INDEX(medicine_master!$G$2:$G$26,MATCH($C2336,medicine_master!$A$2:$A$26,0)),0)</f>
        <v>38</v>
      </c>
      <c r="N2336" s="45" t="n">
        <f aca="false">IF(D2336="Sale",E2336*L2336,0)</f>
        <v>1040</v>
      </c>
      <c r="O2336" s="45" t="n">
        <f aca="false">IF(D2336="Sale",E2336*M2336,0)</f>
        <v>760</v>
      </c>
      <c r="P2336" s="45" t="n">
        <f aca="false">N2336-O2336</f>
        <v>280</v>
      </c>
      <c r="Q2336" s="45" t="n">
        <f aca="false">IF(D2336="Purchase",E2336*M2336,0)</f>
        <v>0</v>
      </c>
    </row>
    <row r="2337" customFormat="false" ht="15" hidden="false" customHeight="false" outlineLevel="0" collapsed="false">
      <c r="A2337" s="39" t="s">
        <v>2661</v>
      </c>
      <c r="B2337" s="44" t="n">
        <v>46386</v>
      </c>
      <c r="C2337" s="39" t="s">
        <v>150</v>
      </c>
      <c r="D2337" s="39" t="s">
        <v>137</v>
      </c>
      <c r="E2337" s="39" t="n">
        <v>50</v>
      </c>
      <c r="F2337" s="39" t="str">
        <f aca="false">IF(COUNTIF(medicine_master!$A$2:$A$26,C2337)&gt;0,"Valid","Invalid")</f>
        <v>Valid</v>
      </c>
      <c r="G2337" s="39" t="str">
        <f aca="false">IFERROR(INDEX(medicine_master!$B$2:$B$26,MATCH($C2337,medicine_master!$A$2:$A$26,0)),"Not found")</f>
        <v>Pantoprazole 40mg</v>
      </c>
      <c r="H2337" s="39" t="str">
        <f aca="false">IFERROR(INDEX(medicine_master!$C$2:$C$26,MATCH($C2337,medicine_master!$A$2:$A$26,0)),"Not found")</f>
        <v>Gastric</v>
      </c>
      <c r="I2337" s="39" t="n">
        <f aca="false">YEAR(B2337)</f>
        <v>2026</v>
      </c>
      <c r="J2337" s="39" t="n">
        <f aca="false">MONTH(B2337)</f>
        <v>12</v>
      </c>
      <c r="K2337" s="39" t="str">
        <f aca="false">TEXT(B2337,"mmm")</f>
        <v>Dec</v>
      </c>
      <c r="L2337" s="45" t="n">
        <f aca="false">IFERROR(INDEX(medicine_master!$I$2:$I$26,MATCH($C2337,medicine_master!$A$2:$A$26,0)),0)</f>
        <v>35</v>
      </c>
      <c r="M2337" s="45" t="n">
        <f aca="false">IFERROR(INDEX(medicine_master!$G$2:$G$26,MATCH($C2337,medicine_master!$A$2:$A$26,0)),0)</f>
        <v>24</v>
      </c>
      <c r="N2337" s="45" t="n">
        <f aca="false">IF(D2337="Sale",E2337*L2337,0)</f>
        <v>1750</v>
      </c>
      <c r="O2337" s="45" t="n">
        <f aca="false">IF(D2337="Sale",E2337*M2337,0)</f>
        <v>1200</v>
      </c>
      <c r="P2337" s="45" t="n">
        <f aca="false">N2337-O2337</f>
        <v>550</v>
      </c>
      <c r="Q2337" s="45" t="n">
        <f aca="false">IF(D2337="Purchase",E2337*M2337,0)</f>
        <v>0</v>
      </c>
    </row>
    <row r="2338" customFormat="false" ht="15" hidden="false" customHeight="false" outlineLevel="0" collapsed="false">
      <c r="A2338" s="39" t="s">
        <v>2662</v>
      </c>
      <c r="B2338" s="44" t="n">
        <v>46157</v>
      </c>
      <c r="C2338" s="39" t="s">
        <v>160</v>
      </c>
      <c r="D2338" s="39" t="s">
        <v>137</v>
      </c>
      <c r="E2338" s="39" t="n">
        <v>5</v>
      </c>
      <c r="F2338" s="39" t="str">
        <f aca="false">IF(COUNTIF(medicine_master!$A$2:$A$26,C2338)&gt;0,"Valid","Invalid")</f>
        <v>Valid</v>
      </c>
      <c r="G2338" s="39" t="str">
        <f aca="false">IFERROR(INDEX(medicine_master!$B$2:$B$26,MATCH($C2338,medicine_master!$A$2:$A$26,0)),"Not found")</f>
        <v>Calamine Lotion</v>
      </c>
      <c r="H2338" s="39" t="str">
        <f aca="false">IFERROR(INDEX(medicine_master!$C$2:$C$26,MATCH($C2338,medicine_master!$A$2:$A$26,0)),"Not found")</f>
        <v>Dermatology</v>
      </c>
      <c r="I2338" s="39" t="n">
        <f aca="false">YEAR(B2338)</f>
        <v>2026</v>
      </c>
      <c r="J2338" s="39" t="n">
        <f aca="false">MONTH(B2338)</f>
        <v>5</v>
      </c>
      <c r="K2338" s="39" t="str">
        <f aca="false">TEXT(B2338,"mmm")</f>
        <v>May</v>
      </c>
      <c r="L2338" s="45" t="n">
        <f aca="false">IFERROR(INDEX(medicine_master!$I$2:$I$26,MATCH($C2338,medicine_master!$A$2:$A$26,0)),0)</f>
        <v>60</v>
      </c>
      <c r="M2338" s="45" t="n">
        <f aca="false">IFERROR(INDEX(medicine_master!$G$2:$G$26,MATCH($C2338,medicine_master!$A$2:$A$26,0)),0)</f>
        <v>42</v>
      </c>
      <c r="N2338" s="45" t="n">
        <f aca="false">IF(D2338="Sale",E2338*L2338,0)</f>
        <v>300</v>
      </c>
      <c r="O2338" s="45" t="n">
        <f aca="false">IF(D2338="Sale",E2338*M2338,0)</f>
        <v>210</v>
      </c>
      <c r="P2338" s="45" t="n">
        <f aca="false">N2338-O2338</f>
        <v>90</v>
      </c>
      <c r="Q2338" s="45" t="n">
        <f aca="false">IF(D2338="Purchase",E2338*M2338,0)</f>
        <v>0</v>
      </c>
    </row>
    <row r="2339" customFormat="false" ht="15" hidden="false" customHeight="false" outlineLevel="0" collapsed="false">
      <c r="A2339" s="39" t="s">
        <v>2663</v>
      </c>
      <c r="B2339" s="44" t="n">
        <v>46063</v>
      </c>
      <c r="C2339" s="39" t="s">
        <v>157</v>
      </c>
      <c r="D2339" s="39" t="s">
        <v>137</v>
      </c>
      <c r="E2339" s="39" t="n">
        <v>20</v>
      </c>
      <c r="F2339" s="39" t="str">
        <f aca="false">IF(COUNTIF(medicine_master!$A$2:$A$26,C2339)&gt;0,"Valid","Invalid")</f>
        <v>Valid</v>
      </c>
      <c r="G2339" s="39" t="str">
        <f aca="false">IFERROR(INDEX(medicine_master!$B$2:$B$26,MATCH($C2339,medicine_master!$A$2:$A$26,0)),"Not found")</f>
        <v>Multivitamin Tablets</v>
      </c>
      <c r="H2339" s="39" t="str">
        <f aca="false">IFERROR(INDEX(medicine_master!$C$2:$C$26,MATCH($C2339,medicine_master!$A$2:$A$26,0)),"Not found")</f>
        <v>Vitamin</v>
      </c>
      <c r="I2339" s="39" t="n">
        <f aca="false">YEAR(B2339)</f>
        <v>2026</v>
      </c>
      <c r="J2339" s="39" t="n">
        <f aca="false">MONTH(B2339)</f>
        <v>2</v>
      </c>
      <c r="K2339" s="39" t="str">
        <f aca="false">TEXT(B2339,"mmm")</f>
        <v>Feb</v>
      </c>
      <c r="L2339" s="45" t="n">
        <f aca="false">IFERROR(INDEX(medicine_master!$I$2:$I$26,MATCH($C2339,medicine_master!$A$2:$A$26,0)),0)</f>
        <v>105</v>
      </c>
      <c r="M2339" s="45" t="n">
        <f aca="false">IFERROR(INDEX(medicine_master!$G$2:$G$26,MATCH($C2339,medicine_master!$A$2:$A$26,0)),0)</f>
        <v>72</v>
      </c>
      <c r="N2339" s="45" t="n">
        <f aca="false">IF(D2339="Sale",E2339*L2339,0)</f>
        <v>2100</v>
      </c>
      <c r="O2339" s="45" t="n">
        <f aca="false">IF(D2339="Sale",E2339*M2339,0)</f>
        <v>1440</v>
      </c>
      <c r="P2339" s="45" t="n">
        <f aca="false">N2339-O2339</f>
        <v>660</v>
      </c>
      <c r="Q2339" s="45" t="n">
        <f aca="false">IF(D2339="Purchase",E2339*M2339,0)</f>
        <v>0</v>
      </c>
    </row>
    <row r="2340" customFormat="false" ht="15" hidden="false" customHeight="false" outlineLevel="0" collapsed="false">
      <c r="A2340" s="39" t="s">
        <v>2664</v>
      </c>
      <c r="B2340" s="44" t="n">
        <v>46132</v>
      </c>
      <c r="C2340" s="39" t="s">
        <v>160</v>
      </c>
      <c r="D2340" s="39" t="s">
        <v>137</v>
      </c>
      <c r="E2340" s="39" t="n">
        <v>15</v>
      </c>
      <c r="F2340" s="39" t="str">
        <f aca="false">IF(COUNTIF(medicine_master!$A$2:$A$26,C2340)&gt;0,"Valid","Invalid")</f>
        <v>Valid</v>
      </c>
      <c r="G2340" s="39" t="str">
        <f aca="false">IFERROR(INDEX(medicine_master!$B$2:$B$26,MATCH($C2340,medicine_master!$A$2:$A$26,0)),"Not found")</f>
        <v>Calamine Lotion</v>
      </c>
      <c r="H2340" s="39" t="str">
        <f aca="false">IFERROR(INDEX(medicine_master!$C$2:$C$26,MATCH($C2340,medicine_master!$A$2:$A$26,0)),"Not found")</f>
        <v>Dermatology</v>
      </c>
      <c r="I2340" s="39" t="n">
        <f aca="false">YEAR(B2340)</f>
        <v>2026</v>
      </c>
      <c r="J2340" s="39" t="n">
        <f aca="false">MONTH(B2340)</f>
        <v>4</v>
      </c>
      <c r="K2340" s="39" t="str">
        <f aca="false">TEXT(B2340,"mmm")</f>
        <v>Apr</v>
      </c>
      <c r="L2340" s="45" t="n">
        <f aca="false">IFERROR(INDEX(medicine_master!$I$2:$I$26,MATCH($C2340,medicine_master!$A$2:$A$26,0)),0)</f>
        <v>60</v>
      </c>
      <c r="M2340" s="45" t="n">
        <f aca="false">IFERROR(INDEX(medicine_master!$G$2:$G$26,MATCH($C2340,medicine_master!$A$2:$A$26,0)),0)</f>
        <v>42</v>
      </c>
      <c r="N2340" s="45" t="n">
        <f aca="false">IF(D2340="Sale",E2340*L2340,0)</f>
        <v>900</v>
      </c>
      <c r="O2340" s="45" t="n">
        <f aca="false">IF(D2340="Sale",E2340*M2340,0)</f>
        <v>630</v>
      </c>
      <c r="P2340" s="45" t="n">
        <f aca="false">N2340-O2340</f>
        <v>270</v>
      </c>
      <c r="Q2340" s="45" t="n">
        <f aca="false">IF(D2340="Purchase",E2340*M2340,0)</f>
        <v>0</v>
      </c>
    </row>
    <row r="2341" customFormat="false" ht="15" hidden="false" customHeight="false" outlineLevel="0" collapsed="false">
      <c r="A2341" s="39" t="s">
        <v>2665</v>
      </c>
      <c r="B2341" s="44" t="n">
        <v>46266</v>
      </c>
      <c r="C2341" s="39" t="s">
        <v>158</v>
      </c>
      <c r="D2341" s="39" t="s">
        <v>138</v>
      </c>
      <c r="E2341" s="39" t="n">
        <v>20</v>
      </c>
      <c r="F2341" s="39" t="str">
        <f aca="false">IF(COUNTIF(medicine_master!$A$2:$A$26,C2341)&gt;0,"Valid","Invalid")</f>
        <v>Valid</v>
      </c>
      <c r="G2341" s="39" t="str">
        <f aca="false">IFERROR(INDEX(medicine_master!$B$2:$B$26,MATCH($C2341,medicine_master!$A$2:$A$26,0)),"Not found")</f>
        <v>Cough Syrup 100ml</v>
      </c>
      <c r="H2341" s="39" t="str">
        <f aca="false">IFERROR(INDEX(medicine_master!$C$2:$C$26,MATCH($C2341,medicine_master!$A$2:$A$26,0)),"Not found")</f>
        <v>Cold &amp; Cough</v>
      </c>
      <c r="I2341" s="39" t="n">
        <f aca="false">YEAR(B2341)</f>
        <v>2026</v>
      </c>
      <c r="J2341" s="39" t="n">
        <f aca="false">MONTH(B2341)</f>
        <v>9</v>
      </c>
      <c r="K2341" s="39" t="str">
        <f aca="false">TEXT(B2341,"mmm")</f>
        <v>Sep</v>
      </c>
      <c r="L2341" s="45" t="n">
        <f aca="false">IFERROR(INDEX(medicine_master!$I$2:$I$26,MATCH($C2341,medicine_master!$A$2:$A$26,0)),0)</f>
        <v>72</v>
      </c>
      <c r="M2341" s="45" t="n">
        <f aca="false">IFERROR(INDEX(medicine_master!$G$2:$G$26,MATCH($C2341,medicine_master!$A$2:$A$26,0)),0)</f>
        <v>52</v>
      </c>
      <c r="N2341" s="45" t="n">
        <f aca="false">IF(D2341="Sale",E2341*L2341,0)</f>
        <v>0</v>
      </c>
      <c r="O2341" s="45" t="n">
        <f aca="false">IF(D2341="Sale",E2341*M2341,0)</f>
        <v>0</v>
      </c>
      <c r="P2341" s="45" t="n">
        <f aca="false">N2341-O2341</f>
        <v>0</v>
      </c>
      <c r="Q2341" s="45" t="n">
        <f aca="false">IF(D2341="Purchase",E2341*M2341,0)</f>
        <v>1040</v>
      </c>
    </row>
    <row r="2342" customFormat="false" ht="15" hidden="false" customHeight="false" outlineLevel="0" collapsed="false">
      <c r="A2342" s="39" t="s">
        <v>2666</v>
      </c>
      <c r="B2342" s="44" t="n">
        <v>46039</v>
      </c>
      <c r="C2342" s="39" t="s">
        <v>147</v>
      </c>
      <c r="D2342" s="39" t="s">
        <v>137</v>
      </c>
      <c r="E2342" s="39" t="n">
        <v>10</v>
      </c>
      <c r="F2342" s="39" t="str">
        <f aca="false">IF(COUNTIF(medicine_master!$A$2:$A$26,C2342)&gt;0,"Valid","Invalid")</f>
        <v>Valid</v>
      </c>
      <c r="G2342" s="39" t="str">
        <f aca="false">IFERROR(INDEX(medicine_master!$B$2:$B$26,MATCH($C2342,medicine_master!$A$2:$A$26,0)),"Not found")</f>
        <v>Insulin Injection</v>
      </c>
      <c r="H2342" s="39" t="str">
        <f aca="false">IFERROR(INDEX(medicine_master!$C$2:$C$26,MATCH($C2342,medicine_master!$A$2:$A$26,0)),"Not found")</f>
        <v>Diabetes</v>
      </c>
      <c r="I2342" s="39" t="n">
        <f aca="false">YEAR(B2342)</f>
        <v>2026</v>
      </c>
      <c r="J2342" s="39" t="n">
        <f aca="false">MONTH(B2342)</f>
        <v>1</v>
      </c>
      <c r="K2342" s="39" t="str">
        <f aca="false">TEXT(B2342,"mmm")</f>
        <v>Jan</v>
      </c>
      <c r="L2342" s="45" t="n">
        <f aca="false">IFERROR(INDEX(medicine_master!$I$2:$I$26,MATCH($C2342,medicine_master!$A$2:$A$26,0)),0)</f>
        <v>225</v>
      </c>
      <c r="M2342" s="45" t="n">
        <f aca="false">IFERROR(INDEX(medicine_master!$G$2:$G$26,MATCH($C2342,medicine_master!$A$2:$A$26,0)),0)</f>
        <v>165</v>
      </c>
      <c r="N2342" s="45" t="n">
        <f aca="false">IF(D2342="Sale",E2342*L2342,0)</f>
        <v>2250</v>
      </c>
      <c r="O2342" s="45" t="n">
        <f aca="false">IF(D2342="Sale",E2342*M2342,0)</f>
        <v>1650</v>
      </c>
      <c r="P2342" s="45" t="n">
        <f aca="false">N2342-O2342</f>
        <v>600</v>
      </c>
      <c r="Q2342" s="45" t="n">
        <f aca="false">IF(D2342="Purchase",E2342*M2342,0)</f>
        <v>0</v>
      </c>
    </row>
    <row r="2343" customFormat="false" ht="15" hidden="false" customHeight="false" outlineLevel="0" collapsed="false">
      <c r="A2343" s="39" t="s">
        <v>2667</v>
      </c>
      <c r="B2343" s="44" t="n">
        <v>46229</v>
      </c>
      <c r="C2343" s="39" t="s">
        <v>495</v>
      </c>
      <c r="D2343" s="39" t="s">
        <v>137</v>
      </c>
      <c r="E2343" s="39" t="n">
        <v>20</v>
      </c>
      <c r="F2343" s="39" t="str">
        <f aca="false">IF(COUNTIF(medicine_master!$A$2:$A$26,C2343)&gt;0,"Valid","Invalid")</f>
        <v>Valid</v>
      </c>
      <c r="G2343" s="39" t="str">
        <f aca="false">IFERROR(INDEX(medicine_master!$B$2:$B$26,MATCH($C2343,medicine_master!$A$2:$A$26,0)),"Not found")</f>
        <v>Metformin 500mg</v>
      </c>
      <c r="H2343" s="39" t="str">
        <f aca="false">IFERROR(INDEX(medicine_master!$C$2:$C$26,MATCH($C2343,medicine_master!$A$2:$A$26,0)),"Not found")</f>
        <v>Diabetes</v>
      </c>
      <c r="I2343" s="39" t="n">
        <f aca="false">YEAR(B2343)</f>
        <v>2026</v>
      </c>
      <c r="J2343" s="39" t="n">
        <f aca="false">MONTH(B2343)</f>
        <v>7</v>
      </c>
      <c r="K2343" s="39" t="str">
        <f aca="false">TEXT(B2343,"mmm")</f>
        <v>Jul</v>
      </c>
      <c r="L2343" s="45" t="n">
        <f aca="false">IFERROR(INDEX(medicine_master!$I$2:$I$26,MATCH($C2343,medicine_master!$A$2:$A$26,0)),0)</f>
        <v>24</v>
      </c>
      <c r="M2343" s="45" t="n">
        <f aca="false">IFERROR(INDEX(medicine_master!$G$2:$G$26,MATCH($C2343,medicine_master!$A$2:$A$26,0)),0)</f>
        <v>16</v>
      </c>
      <c r="N2343" s="45" t="n">
        <f aca="false">IF(D2343="Sale",E2343*L2343,0)</f>
        <v>480</v>
      </c>
      <c r="O2343" s="45" t="n">
        <f aca="false">IF(D2343="Sale",E2343*M2343,0)</f>
        <v>320</v>
      </c>
      <c r="P2343" s="45" t="n">
        <f aca="false">N2343-O2343</f>
        <v>160</v>
      </c>
      <c r="Q2343" s="45" t="n">
        <f aca="false">IF(D2343="Purchase",E2343*M2343,0)</f>
        <v>0</v>
      </c>
    </row>
    <row r="2344" customFormat="false" ht="15" hidden="false" customHeight="false" outlineLevel="0" collapsed="false">
      <c r="A2344" s="39" t="s">
        <v>2668</v>
      </c>
      <c r="B2344" s="44" t="n">
        <v>46340</v>
      </c>
      <c r="C2344" s="39" t="s">
        <v>177</v>
      </c>
      <c r="D2344" s="39" t="s">
        <v>137</v>
      </c>
      <c r="E2344" s="39" t="n">
        <v>15</v>
      </c>
      <c r="F2344" s="39" t="str">
        <f aca="false">IF(COUNTIF(medicine_master!$A$2:$A$26,C2344)&gt;0,"Valid","Invalid")</f>
        <v>Valid</v>
      </c>
      <c r="G2344" s="39" t="str">
        <f aca="false">IFERROR(INDEX(medicine_master!$B$2:$B$26,MATCH($C2344,medicine_master!$A$2:$A$26,0)),"Not found")</f>
        <v>Bandage Roll</v>
      </c>
      <c r="H2344" s="39" t="str">
        <f aca="false">IFERROR(INDEX(medicine_master!$C$2:$C$26,MATCH($C2344,medicine_master!$A$2:$A$26,0)),"Not found")</f>
        <v>First Aid</v>
      </c>
      <c r="I2344" s="39" t="n">
        <f aca="false">YEAR(B2344)</f>
        <v>2026</v>
      </c>
      <c r="J2344" s="39" t="n">
        <f aca="false">MONTH(B2344)</f>
        <v>11</v>
      </c>
      <c r="K2344" s="39" t="str">
        <f aca="false">TEXT(B2344,"mmm")</f>
        <v>Nov</v>
      </c>
      <c r="L2344" s="45" t="n">
        <f aca="false">IFERROR(INDEX(medicine_master!$I$2:$I$26,MATCH($C2344,medicine_master!$A$2:$A$26,0)),0)</f>
        <v>25</v>
      </c>
      <c r="M2344" s="45" t="n">
        <f aca="false">IFERROR(INDEX(medicine_master!$G$2:$G$26,MATCH($C2344,medicine_master!$A$2:$A$26,0)),0)</f>
        <v>15</v>
      </c>
      <c r="N2344" s="45" t="n">
        <f aca="false">IF(D2344="Sale",E2344*L2344,0)</f>
        <v>375</v>
      </c>
      <c r="O2344" s="45" t="n">
        <f aca="false">IF(D2344="Sale",E2344*M2344,0)</f>
        <v>225</v>
      </c>
      <c r="P2344" s="45" t="n">
        <f aca="false">N2344-O2344</f>
        <v>150</v>
      </c>
      <c r="Q2344" s="45" t="n">
        <f aca="false">IF(D2344="Purchase",E2344*M2344,0)</f>
        <v>0</v>
      </c>
    </row>
    <row r="2345" customFormat="false" ht="15" hidden="false" customHeight="false" outlineLevel="0" collapsed="false">
      <c r="A2345" s="39" t="s">
        <v>2669</v>
      </c>
      <c r="B2345" s="44" t="n">
        <v>46185</v>
      </c>
      <c r="C2345" s="39" t="s">
        <v>146</v>
      </c>
      <c r="D2345" s="39" t="s">
        <v>137</v>
      </c>
      <c r="E2345" s="39" t="n">
        <v>20</v>
      </c>
      <c r="F2345" s="39" t="str">
        <f aca="false">IF(COUNTIF(medicine_master!$A$2:$A$26,C2345)&gt;0,"Valid","Invalid")</f>
        <v>Valid</v>
      </c>
      <c r="G2345" s="39" t="str">
        <f aca="false">IFERROR(INDEX(medicine_master!$B$2:$B$26,MATCH($C2345,medicine_master!$A$2:$A$26,0)),"Not found")</f>
        <v>Diclofenac Gel</v>
      </c>
      <c r="H2345" s="39" t="str">
        <f aca="false">IFERROR(INDEX(medicine_master!$C$2:$C$26,MATCH($C2345,medicine_master!$A$2:$A$26,0)),"Not found")</f>
        <v>Pain Relief</v>
      </c>
      <c r="I2345" s="39" t="n">
        <f aca="false">YEAR(B2345)</f>
        <v>2026</v>
      </c>
      <c r="J2345" s="39" t="n">
        <f aca="false">MONTH(B2345)</f>
        <v>6</v>
      </c>
      <c r="K2345" s="39" t="str">
        <f aca="false">TEXT(B2345,"mmm")</f>
        <v>Jun</v>
      </c>
      <c r="L2345" s="45" t="n">
        <f aca="false">IFERROR(INDEX(medicine_master!$I$2:$I$26,MATCH($C2345,medicine_master!$A$2:$A$26,0)),0)</f>
        <v>55</v>
      </c>
      <c r="M2345" s="45" t="n">
        <f aca="false">IFERROR(INDEX(medicine_master!$G$2:$G$26,MATCH($C2345,medicine_master!$A$2:$A$26,0)),0)</f>
        <v>38</v>
      </c>
      <c r="N2345" s="45" t="n">
        <f aca="false">IF(D2345="Sale",E2345*L2345,0)</f>
        <v>1100</v>
      </c>
      <c r="O2345" s="45" t="n">
        <f aca="false">IF(D2345="Sale",E2345*M2345,0)</f>
        <v>760</v>
      </c>
      <c r="P2345" s="45" t="n">
        <f aca="false">N2345-O2345</f>
        <v>340</v>
      </c>
      <c r="Q2345" s="45" t="n">
        <f aca="false">IF(D2345="Purchase",E2345*M2345,0)</f>
        <v>0</v>
      </c>
    </row>
    <row r="2346" customFormat="false" ht="15" hidden="false" customHeight="false" outlineLevel="0" collapsed="false">
      <c r="A2346" s="39" t="s">
        <v>2670</v>
      </c>
      <c r="B2346" s="44" t="n">
        <v>46381</v>
      </c>
      <c r="C2346" s="39" t="s">
        <v>158</v>
      </c>
      <c r="D2346" s="39" t="s">
        <v>137</v>
      </c>
      <c r="E2346" s="39" t="n">
        <v>15</v>
      </c>
      <c r="F2346" s="39" t="str">
        <f aca="false">IF(COUNTIF(medicine_master!$A$2:$A$26,C2346)&gt;0,"Valid","Invalid")</f>
        <v>Valid</v>
      </c>
      <c r="G2346" s="39" t="str">
        <f aca="false">IFERROR(INDEX(medicine_master!$B$2:$B$26,MATCH($C2346,medicine_master!$A$2:$A$26,0)),"Not found")</f>
        <v>Cough Syrup 100ml</v>
      </c>
      <c r="H2346" s="39" t="str">
        <f aca="false">IFERROR(INDEX(medicine_master!$C$2:$C$26,MATCH($C2346,medicine_master!$A$2:$A$26,0)),"Not found")</f>
        <v>Cold &amp; Cough</v>
      </c>
      <c r="I2346" s="39" t="n">
        <f aca="false">YEAR(B2346)</f>
        <v>2026</v>
      </c>
      <c r="J2346" s="39" t="n">
        <f aca="false">MONTH(B2346)</f>
        <v>12</v>
      </c>
      <c r="K2346" s="39" t="str">
        <f aca="false">TEXT(B2346,"mmm")</f>
        <v>Dec</v>
      </c>
      <c r="L2346" s="45" t="n">
        <f aca="false">IFERROR(INDEX(medicine_master!$I$2:$I$26,MATCH($C2346,medicine_master!$A$2:$A$26,0)),0)</f>
        <v>72</v>
      </c>
      <c r="M2346" s="45" t="n">
        <f aca="false">IFERROR(INDEX(medicine_master!$G$2:$G$26,MATCH($C2346,medicine_master!$A$2:$A$26,0)),0)</f>
        <v>52</v>
      </c>
      <c r="N2346" s="45" t="n">
        <f aca="false">IF(D2346="Sale",E2346*L2346,0)</f>
        <v>1080</v>
      </c>
      <c r="O2346" s="45" t="n">
        <f aca="false">IF(D2346="Sale",E2346*M2346,0)</f>
        <v>780</v>
      </c>
      <c r="P2346" s="45" t="n">
        <f aca="false">N2346-O2346</f>
        <v>300</v>
      </c>
      <c r="Q2346" s="45" t="n">
        <f aca="false">IF(D2346="Purchase",E2346*M2346,0)</f>
        <v>0</v>
      </c>
    </row>
    <row r="2347" customFormat="false" ht="15" hidden="false" customHeight="false" outlineLevel="0" collapsed="false">
      <c r="A2347" s="39" t="s">
        <v>2671</v>
      </c>
      <c r="B2347" s="44" t="n">
        <v>46330</v>
      </c>
      <c r="C2347" s="39" t="s">
        <v>151</v>
      </c>
      <c r="D2347" s="39" t="s">
        <v>137</v>
      </c>
      <c r="E2347" s="39" t="n">
        <v>15</v>
      </c>
      <c r="F2347" s="39" t="str">
        <f aca="false">IF(COUNTIF(medicine_master!$A$2:$A$26,C2347)&gt;0,"Valid","Invalid")</f>
        <v>Valid</v>
      </c>
      <c r="G2347" s="39" t="str">
        <f aca="false">IFERROR(INDEX(medicine_master!$B$2:$B$26,MATCH($C2347,medicine_master!$A$2:$A$26,0)),"Not found")</f>
        <v>Cetirizine 10mg</v>
      </c>
      <c r="H2347" s="39" t="str">
        <f aca="false">IFERROR(INDEX(medicine_master!$C$2:$C$26,MATCH($C2347,medicine_master!$A$2:$A$26,0)),"Not found")</f>
        <v>Allergy</v>
      </c>
      <c r="I2347" s="39" t="n">
        <f aca="false">YEAR(B2347)</f>
        <v>2026</v>
      </c>
      <c r="J2347" s="39" t="n">
        <f aca="false">MONTH(B2347)</f>
        <v>11</v>
      </c>
      <c r="K2347" s="39" t="str">
        <f aca="false">TEXT(B2347,"mmm")</f>
        <v>Nov</v>
      </c>
      <c r="L2347" s="45" t="n">
        <f aca="false">IFERROR(INDEX(medicine_master!$I$2:$I$26,MATCH($C2347,medicine_master!$A$2:$A$26,0)),0)</f>
        <v>13</v>
      </c>
      <c r="M2347" s="45" t="n">
        <f aca="false">IFERROR(INDEX(medicine_master!$G$2:$G$26,MATCH($C2347,medicine_master!$A$2:$A$26,0)),0)</f>
        <v>8</v>
      </c>
      <c r="N2347" s="45" t="n">
        <f aca="false">IF(D2347="Sale",E2347*L2347,0)</f>
        <v>195</v>
      </c>
      <c r="O2347" s="45" t="n">
        <f aca="false">IF(D2347="Sale",E2347*M2347,0)</f>
        <v>120</v>
      </c>
      <c r="P2347" s="45" t="n">
        <f aca="false">N2347-O2347</f>
        <v>75</v>
      </c>
      <c r="Q2347" s="45" t="n">
        <f aca="false">IF(D2347="Purchase",E2347*M2347,0)</f>
        <v>0</v>
      </c>
    </row>
    <row r="2348" customFormat="false" ht="15" hidden="false" customHeight="false" outlineLevel="0" collapsed="false">
      <c r="A2348" s="39" t="s">
        <v>2672</v>
      </c>
      <c r="B2348" s="44" t="n">
        <v>46077</v>
      </c>
      <c r="C2348" s="39" t="s">
        <v>148</v>
      </c>
      <c r="D2348" s="39" t="s">
        <v>137</v>
      </c>
      <c r="E2348" s="39" t="n">
        <v>5</v>
      </c>
      <c r="F2348" s="39" t="str">
        <f aca="false">IF(COUNTIF(medicine_master!$A$2:$A$26,C2348)&gt;0,"Valid","Invalid")</f>
        <v>Valid</v>
      </c>
      <c r="G2348" s="39" t="str">
        <f aca="false">IFERROR(INDEX(medicine_master!$B$2:$B$26,MATCH($C2348,medicine_master!$A$2:$A$26,0)),"Not found")</f>
        <v>Dextromethorphan Syrup</v>
      </c>
      <c r="H2348" s="39" t="str">
        <f aca="false">IFERROR(INDEX(medicine_master!$C$2:$C$26,MATCH($C2348,medicine_master!$A$2:$A$26,0)),"Not found")</f>
        <v>Cold &amp; Cough</v>
      </c>
      <c r="I2348" s="39" t="n">
        <f aca="false">YEAR(B2348)</f>
        <v>2026</v>
      </c>
      <c r="J2348" s="39" t="n">
        <f aca="false">MONTH(B2348)</f>
        <v>2</v>
      </c>
      <c r="K2348" s="39" t="str">
        <f aca="false">TEXT(B2348,"mmm")</f>
        <v>Feb</v>
      </c>
      <c r="L2348" s="45" t="n">
        <f aca="false">IFERROR(INDEX(medicine_master!$I$2:$I$26,MATCH($C2348,medicine_master!$A$2:$A$26,0)),0)</f>
        <v>80</v>
      </c>
      <c r="M2348" s="45" t="n">
        <f aca="false">IFERROR(INDEX(medicine_master!$G$2:$G$26,MATCH($C2348,medicine_master!$A$2:$A$26,0)),0)</f>
        <v>58</v>
      </c>
      <c r="N2348" s="45" t="n">
        <f aca="false">IF(D2348="Sale",E2348*L2348,0)</f>
        <v>400</v>
      </c>
      <c r="O2348" s="45" t="n">
        <f aca="false">IF(D2348="Sale",E2348*M2348,0)</f>
        <v>290</v>
      </c>
      <c r="P2348" s="45" t="n">
        <f aca="false">N2348-O2348</f>
        <v>110</v>
      </c>
      <c r="Q2348" s="45" t="n">
        <f aca="false">IF(D2348="Purchase",E2348*M2348,0)</f>
        <v>0</v>
      </c>
    </row>
    <row r="2349" customFormat="false" ht="15" hidden="false" customHeight="false" outlineLevel="0" collapsed="false">
      <c r="A2349" s="39" t="s">
        <v>2673</v>
      </c>
      <c r="B2349" s="44" t="n">
        <v>46265</v>
      </c>
      <c r="C2349" s="39" t="s">
        <v>147</v>
      </c>
      <c r="D2349" s="39" t="s">
        <v>138</v>
      </c>
      <c r="E2349" s="39" t="n">
        <v>30</v>
      </c>
      <c r="F2349" s="39" t="str">
        <f aca="false">IF(COUNTIF(medicine_master!$A$2:$A$26,C2349)&gt;0,"Valid","Invalid")</f>
        <v>Valid</v>
      </c>
      <c r="G2349" s="39" t="str">
        <f aca="false">IFERROR(INDEX(medicine_master!$B$2:$B$26,MATCH($C2349,medicine_master!$A$2:$A$26,0)),"Not found")</f>
        <v>Insulin Injection</v>
      </c>
      <c r="H2349" s="39" t="str">
        <f aca="false">IFERROR(INDEX(medicine_master!$C$2:$C$26,MATCH($C2349,medicine_master!$A$2:$A$26,0)),"Not found")</f>
        <v>Diabetes</v>
      </c>
      <c r="I2349" s="39" t="n">
        <f aca="false">YEAR(B2349)</f>
        <v>2026</v>
      </c>
      <c r="J2349" s="39" t="n">
        <f aca="false">MONTH(B2349)</f>
        <v>8</v>
      </c>
      <c r="K2349" s="39" t="str">
        <f aca="false">TEXT(B2349,"mmm")</f>
        <v>Aug</v>
      </c>
      <c r="L2349" s="45" t="n">
        <f aca="false">IFERROR(INDEX(medicine_master!$I$2:$I$26,MATCH($C2349,medicine_master!$A$2:$A$26,0)),0)</f>
        <v>225</v>
      </c>
      <c r="M2349" s="45" t="n">
        <f aca="false">IFERROR(INDEX(medicine_master!$G$2:$G$26,MATCH($C2349,medicine_master!$A$2:$A$26,0)),0)</f>
        <v>165</v>
      </c>
      <c r="N2349" s="45" t="n">
        <f aca="false">IF(D2349="Sale",E2349*L2349,0)</f>
        <v>0</v>
      </c>
      <c r="O2349" s="45" t="n">
        <f aca="false">IF(D2349="Sale",E2349*M2349,0)</f>
        <v>0</v>
      </c>
      <c r="P2349" s="45" t="n">
        <f aca="false">N2349-O2349</f>
        <v>0</v>
      </c>
      <c r="Q2349" s="45" t="n">
        <f aca="false">IF(D2349="Purchase",E2349*M2349,0)</f>
        <v>4950</v>
      </c>
    </row>
    <row r="2350" customFormat="false" ht="15" hidden="false" customHeight="false" outlineLevel="0" collapsed="false">
      <c r="A2350" s="39" t="s">
        <v>2674</v>
      </c>
      <c r="B2350" s="44" t="n">
        <v>46114</v>
      </c>
      <c r="C2350" s="39" t="s">
        <v>159</v>
      </c>
      <c r="D2350" s="39" t="s">
        <v>137</v>
      </c>
      <c r="E2350" s="39" t="n">
        <v>25</v>
      </c>
      <c r="F2350" s="39" t="str">
        <f aca="false">IF(COUNTIF(medicine_master!$A$2:$A$26,C2350)&gt;0,"Valid","Invalid")</f>
        <v>Valid</v>
      </c>
      <c r="G2350" s="39" t="str">
        <f aca="false">IFERROR(INDEX(medicine_master!$B$2:$B$26,MATCH($C2350,medicine_master!$A$2:$A$26,0)),"Not found")</f>
        <v>Antiseptic Liquid 100ml</v>
      </c>
      <c r="H2350" s="39" t="str">
        <f aca="false">IFERROR(INDEX(medicine_master!$C$2:$C$26,MATCH($C2350,medicine_master!$A$2:$A$26,0)),"Not found")</f>
        <v>First Aid</v>
      </c>
      <c r="I2350" s="39" t="n">
        <f aca="false">YEAR(B2350)</f>
        <v>2026</v>
      </c>
      <c r="J2350" s="39" t="n">
        <f aca="false">MONTH(B2350)</f>
        <v>4</v>
      </c>
      <c r="K2350" s="39" t="str">
        <f aca="false">TEXT(B2350,"mmm")</f>
        <v>Apr</v>
      </c>
      <c r="L2350" s="45" t="n">
        <f aca="false">IFERROR(INDEX(medicine_master!$I$2:$I$26,MATCH($C2350,medicine_master!$A$2:$A$26,0)),0)</f>
        <v>65</v>
      </c>
      <c r="M2350" s="45" t="n">
        <f aca="false">IFERROR(INDEX(medicine_master!$G$2:$G$26,MATCH($C2350,medicine_master!$A$2:$A$26,0)),0)</f>
        <v>48</v>
      </c>
      <c r="N2350" s="45" t="n">
        <f aca="false">IF(D2350="Sale",E2350*L2350,0)</f>
        <v>1625</v>
      </c>
      <c r="O2350" s="45" t="n">
        <f aca="false">IF(D2350="Sale",E2350*M2350,0)</f>
        <v>1200</v>
      </c>
      <c r="P2350" s="45" t="n">
        <f aca="false">N2350-O2350</f>
        <v>425</v>
      </c>
      <c r="Q2350" s="45" t="n">
        <f aca="false">IF(D2350="Purchase",E2350*M2350,0)</f>
        <v>0</v>
      </c>
    </row>
    <row r="2351" customFormat="false" ht="15" hidden="false" customHeight="false" outlineLevel="0" collapsed="false">
      <c r="A2351" s="39" t="s">
        <v>2675</v>
      </c>
      <c r="B2351" s="44" t="n">
        <v>46161</v>
      </c>
      <c r="C2351" s="39" t="s">
        <v>151</v>
      </c>
      <c r="D2351" s="39" t="s">
        <v>137</v>
      </c>
      <c r="E2351" s="39" t="n">
        <v>25</v>
      </c>
      <c r="F2351" s="39" t="str">
        <f aca="false">IF(COUNTIF(medicine_master!$A$2:$A$26,C2351)&gt;0,"Valid","Invalid")</f>
        <v>Valid</v>
      </c>
      <c r="G2351" s="39" t="str">
        <f aca="false">IFERROR(INDEX(medicine_master!$B$2:$B$26,MATCH($C2351,medicine_master!$A$2:$A$26,0)),"Not found")</f>
        <v>Cetirizine 10mg</v>
      </c>
      <c r="H2351" s="39" t="str">
        <f aca="false">IFERROR(INDEX(medicine_master!$C$2:$C$26,MATCH($C2351,medicine_master!$A$2:$A$26,0)),"Not found")</f>
        <v>Allergy</v>
      </c>
      <c r="I2351" s="39" t="n">
        <f aca="false">YEAR(B2351)</f>
        <v>2026</v>
      </c>
      <c r="J2351" s="39" t="n">
        <f aca="false">MONTH(B2351)</f>
        <v>5</v>
      </c>
      <c r="K2351" s="39" t="str">
        <f aca="false">TEXT(B2351,"mmm")</f>
        <v>May</v>
      </c>
      <c r="L2351" s="45" t="n">
        <f aca="false">IFERROR(INDEX(medicine_master!$I$2:$I$26,MATCH($C2351,medicine_master!$A$2:$A$26,0)),0)</f>
        <v>13</v>
      </c>
      <c r="M2351" s="45" t="n">
        <f aca="false">IFERROR(INDEX(medicine_master!$G$2:$G$26,MATCH($C2351,medicine_master!$A$2:$A$26,0)),0)</f>
        <v>8</v>
      </c>
      <c r="N2351" s="45" t="n">
        <f aca="false">IF(D2351="Sale",E2351*L2351,0)</f>
        <v>325</v>
      </c>
      <c r="O2351" s="45" t="n">
        <f aca="false">IF(D2351="Sale",E2351*M2351,0)</f>
        <v>200</v>
      </c>
      <c r="P2351" s="45" t="n">
        <f aca="false">N2351-O2351</f>
        <v>125</v>
      </c>
      <c r="Q2351" s="45" t="n">
        <f aca="false">IF(D2351="Purchase",E2351*M2351,0)</f>
        <v>0</v>
      </c>
    </row>
    <row r="2352" customFormat="false" ht="15" hidden="false" customHeight="false" outlineLevel="0" collapsed="false">
      <c r="A2352" s="39" t="s">
        <v>2676</v>
      </c>
      <c r="B2352" s="44" t="n">
        <v>46071</v>
      </c>
      <c r="C2352" s="39" t="s">
        <v>326</v>
      </c>
      <c r="D2352" s="39" t="s">
        <v>137</v>
      </c>
      <c r="E2352" s="39" t="n">
        <v>10</v>
      </c>
      <c r="F2352" s="39" t="str">
        <f aca="false">IF(COUNTIF(medicine_master!$A$2:$A$26,C2352)&gt;0,"Valid","Invalid")</f>
        <v>Valid</v>
      </c>
      <c r="G2352" s="39" t="str">
        <f aca="false">IFERROR(INDEX(medicine_master!$B$2:$B$26,MATCH($C2352,medicine_master!$A$2:$A$26,0)),"Not found")</f>
        <v>Omeprazole 20mg</v>
      </c>
      <c r="H2352" s="39" t="str">
        <f aca="false">IFERROR(INDEX(medicine_master!$C$2:$C$26,MATCH($C2352,medicine_master!$A$2:$A$26,0)),"Not found")</f>
        <v>Gastric</v>
      </c>
      <c r="I2352" s="39" t="n">
        <f aca="false">YEAR(B2352)</f>
        <v>2026</v>
      </c>
      <c r="J2352" s="39" t="n">
        <f aca="false">MONTH(B2352)</f>
        <v>2</v>
      </c>
      <c r="K2352" s="39" t="str">
        <f aca="false">TEXT(B2352,"mmm")</f>
        <v>Feb</v>
      </c>
      <c r="L2352" s="45" t="n">
        <f aca="false">IFERROR(INDEX(medicine_master!$I$2:$I$26,MATCH($C2352,medicine_master!$A$2:$A$26,0)),0)</f>
        <v>26</v>
      </c>
      <c r="M2352" s="45" t="n">
        <f aca="false">IFERROR(INDEX(medicine_master!$G$2:$G$26,MATCH($C2352,medicine_master!$A$2:$A$26,0)),0)</f>
        <v>18</v>
      </c>
      <c r="N2352" s="45" t="n">
        <f aca="false">IF(D2352="Sale",E2352*L2352,0)</f>
        <v>260</v>
      </c>
      <c r="O2352" s="45" t="n">
        <f aca="false">IF(D2352="Sale",E2352*M2352,0)</f>
        <v>180</v>
      </c>
      <c r="P2352" s="45" t="n">
        <f aca="false">N2352-O2352</f>
        <v>80</v>
      </c>
      <c r="Q2352" s="45" t="n">
        <f aca="false">IF(D2352="Purchase",E2352*M2352,0)</f>
        <v>0</v>
      </c>
    </row>
    <row r="2353" customFormat="false" ht="15" hidden="false" customHeight="false" outlineLevel="0" collapsed="false">
      <c r="A2353" s="39" t="s">
        <v>2677</v>
      </c>
      <c r="B2353" s="44" t="n">
        <v>46257</v>
      </c>
      <c r="C2353" s="39" t="s">
        <v>146</v>
      </c>
      <c r="D2353" s="39" t="s">
        <v>138</v>
      </c>
      <c r="E2353" s="39" t="n">
        <v>20</v>
      </c>
      <c r="F2353" s="39" t="str">
        <f aca="false">IF(COUNTIF(medicine_master!$A$2:$A$26,C2353)&gt;0,"Valid","Invalid")</f>
        <v>Valid</v>
      </c>
      <c r="G2353" s="39" t="str">
        <f aca="false">IFERROR(INDEX(medicine_master!$B$2:$B$26,MATCH($C2353,medicine_master!$A$2:$A$26,0)),"Not found")</f>
        <v>Diclofenac Gel</v>
      </c>
      <c r="H2353" s="39" t="str">
        <f aca="false">IFERROR(INDEX(medicine_master!$C$2:$C$26,MATCH($C2353,medicine_master!$A$2:$A$26,0)),"Not found")</f>
        <v>Pain Relief</v>
      </c>
      <c r="I2353" s="39" t="n">
        <f aca="false">YEAR(B2353)</f>
        <v>2026</v>
      </c>
      <c r="J2353" s="39" t="n">
        <f aca="false">MONTH(B2353)</f>
        <v>8</v>
      </c>
      <c r="K2353" s="39" t="str">
        <f aca="false">TEXT(B2353,"mmm")</f>
        <v>Aug</v>
      </c>
      <c r="L2353" s="45" t="n">
        <f aca="false">IFERROR(INDEX(medicine_master!$I$2:$I$26,MATCH($C2353,medicine_master!$A$2:$A$26,0)),0)</f>
        <v>55</v>
      </c>
      <c r="M2353" s="45" t="n">
        <f aca="false">IFERROR(INDEX(medicine_master!$G$2:$G$26,MATCH($C2353,medicine_master!$A$2:$A$26,0)),0)</f>
        <v>38</v>
      </c>
      <c r="N2353" s="45" t="n">
        <f aca="false">IF(D2353="Sale",E2353*L2353,0)</f>
        <v>0</v>
      </c>
      <c r="O2353" s="45" t="n">
        <f aca="false">IF(D2353="Sale",E2353*M2353,0)</f>
        <v>0</v>
      </c>
      <c r="P2353" s="45" t="n">
        <f aca="false">N2353-O2353</f>
        <v>0</v>
      </c>
      <c r="Q2353" s="45" t="n">
        <f aca="false">IF(D2353="Purchase",E2353*M2353,0)</f>
        <v>760</v>
      </c>
    </row>
    <row r="2354" customFormat="false" ht="15" hidden="false" customHeight="false" outlineLevel="0" collapsed="false">
      <c r="A2354" s="39" t="s">
        <v>2678</v>
      </c>
      <c r="B2354" s="44" t="n">
        <v>46373</v>
      </c>
      <c r="C2354" s="39" t="s">
        <v>321</v>
      </c>
      <c r="D2354" s="39" t="s">
        <v>138</v>
      </c>
      <c r="E2354" s="39" t="n">
        <v>50</v>
      </c>
      <c r="F2354" s="39" t="str">
        <f aca="false">IF(COUNTIF(medicine_master!$A$2:$A$26,C2354)&gt;0,"Valid","Invalid")</f>
        <v>Valid</v>
      </c>
      <c r="G2354" s="39" t="str">
        <f aca="false">IFERROR(INDEX(medicine_master!$B$2:$B$26,MATCH($C2354,medicine_master!$A$2:$A$26,0)),"Not found")</f>
        <v>Levocetirizine 5mg</v>
      </c>
      <c r="H2354" s="39" t="str">
        <f aca="false">IFERROR(INDEX(medicine_master!$C$2:$C$26,MATCH($C2354,medicine_master!$A$2:$A$26,0)),"Not found")</f>
        <v>Allergy</v>
      </c>
      <c r="I2354" s="39" t="n">
        <f aca="false">YEAR(B2354)</f>
        <v>2026</v>
      </c>
      <c r="J2354" s="39" t="n">
        <f aca="false">MONTH(B2354)</f>
        <v>12</v>
      </c>
      <c r="K2354" s="39" t="str">
        <f aca="false">TEXT(B2354,"mmm")</f>
        <v>Dec</v>
      </c>
      <c r="L2354" s="45" t="n">
        <f aca="false">IFERROR(INDEX(medicine_master!$I$2:$I$26,MATCH($C2354,medicine_master!$A$2:$A$26,0)),0)</f>
        <v>22</v>
      </c>
      <c r="M2354" s="45" t="n">
        <f aca="false">IFERROR(INDEX(medicine_master!$G$2:$G$26,MATCH($C2354,medicine_master!$A$2:$A$26,0)),0)</f>
        <v>14</v>
      </c>
      <c r="N2354" s="45" t="n">
        <f aca="false">IF(D2354="Sale",E2354*L2354,0)</f>
        <v>0</v>
      </c>
      <c r="O2354" s="45" t="n">
        <f aca="false">IF(D2354="Sale",E2354*M2354,0)</f>
        <v>0</v>
      </c>
      <c r="P2354" s="45" t="n">
        <f aca="false">N2354-O2354</f>
        <v>0</v>
      </c>
      <c r="Q2354" s="45" t="n">
        <f aca="false">IF(D2354="Purchase",E2354*M2354,0)</f>
        <v>700</v>
      </c>
    </row>
    <row r="2355" customFormat="false" ht="15" hidden="false" customHeight="false" outlineLevel="0" collapsed="false">
      <c r="A2355" s="39" t="s">
        <v>2679</v>
      </c>
      <c r="B2355" s="44" t="n">
        <v>46058</v>
      </c>
      <c r="C2355" s="39" t="s">
        <v>151</v>
      </c>
      <c r="D2355" s="39" t="s">
        <v>137</v>
      </c>
      <c r="E2355" s="39" t="n">
        <v>40</v>
      </c>
      <c r="F2355" s="39" t="str">
        <f aca="false">IF(COUNTIF(medicine_master!$A$2:$A$26,C2355)&gt;0,"Valid","Invalid")</f>
        <v>Valid</v>
      </c>
      <c r="G2355" s="39" t="str">
        <f aca="false">IFERROR(INDEX(medicine_master!$B$2:$B$26,MATCH($C2355,medicine_master!$A$2:$A$26,0)),"Not found")</f>
        <v>Cetirizine 10mg</v>
      </c>
      <c r="H2355" s="39" t="str">
        <f aca="false">IFERROR(INDEX(medicine_master!$C$2:$C$26,MATCH($C2355,medicine_master!$A$2:$A$26,0)),"Not found")</f>
        <v>Allergy</v>
      </c>
      <c r="I2355" s="39" t="n">
        <f aca="false">YEAR(B2355)</f>
        <v>2026</v>
      </c>
      <c r="J2355" s="39" t="n">
        <f aca="false">MONTH(B2355)</f>
        <v>2</v>
      </c>
      <c r="K2355" s="39" t="str">
        <f aca="false">TEXT(B2355,"mmm")</f>
        <v>Feb</v>
      </c>
      <c r="L2355" s="45" t="n">
        <f aca="false">IFERROR(INDEX(medicine_master!$I$2:$I$26,MATCH($C2355,medicine_master!$A$2:$A$26,0)),0)</f>
        <v>13</v>
      </c>
      <c r="M2355" s="45" t="n">
        <f aca="false">IFERROR(INDEX(medicine_master!$G$2:$G$26,MATCH($C2355,medicine_master!$A$2:$A$26,0)),0)</f>
        <v>8</v>
      </c>
      <c r="N2355" s="45" t="n">
        <f aca="false">IF(D2355="Sale",E2355*L2355,0)</f>
        <v>520</v>
      </c>
      <c r="O2355" s="45" t="n">
        <f aca="false">IF(D2355="Sale",E2355*M2355,0)</f>
        <v>320</v>
      </c>
      <c r="P2355" s="45" t="n">
        <f aca="false">N2355-O2355</f>
        <v>200</v>
      </c>
      <c r="Q2355" s="45" t="n">
        <f aca="false">IF(D2355="Purchase",E2355*M2355,0)</f>
        <v>0</v>
      </c>
    </row>
    <row r="2356" customFormat="false" ht="15" hidden="false" customHeight="false" outlineLevel="0" collapsed="false">
      <c r="A2356" s="39" t="s">
        <v>2680</v>
      </c>
      <c r="B2356" s="44" t="n">
        <v>46133</v>
      </c>
      <c r="C2356" s="39" t="s">
        <v>157</v>
      </c>
      <c r="D2356" s="39" t="s">
        <v>138</v>
      </c>
      <c r="E2356" s="39" t="n">
        <v>30</v>
      </c>
      <c r="F2356" s="39" t="str">
        <f aca="false">IF(COUNTIF(medicine_master!$A$2:$A$26,C2356)&gt;0,"Valid","Invalid")</f>
        <v>Valid</v>
      </c>
      <c r="G2356" s="39" t="str">
        <f aca="false">IFERROR(INDEX(medicine_master!$B$2:$B$26,MATCH($C2356,medicine_master!$A$2:$A$26,0)),"Not found")</f>
        <v>Multivitamin Tablets</v>
      </c>
      <c r="H2356" s="39" t="str">
        <f aca="false">IFERROR(INDEX(medicine_master!$C$2:$C$26,MATCH($C2356,medicine_master!$A$2:$A$26,0)),"Not found")</f>
        <v>Vitamin</v>
      </c>
      <c r="I2356" s="39" t="n">
        <f aca="false">YEAR(B2356)</f>
        <v>2026</v>
      </c>
      <c r="J2356" s="39" t="n">
        <f aca="false">MONTH(B2356)</f>
        <v>4</v>
      </c>
      <c r="K2356" s="39" t="str">
        <f aca="false">TEXT(B2356,"mmm")</f>
        <v>Apr</v>
      </c>
      <c r="L2356" s="45" t="n">
        <f aca="false">IFERROR(INDEX(medicine_master!$I$2:$I$26,MATCH($C2356,medicine_master!$A$2:$A$26,0)),0)</f>
        <v>105</v>
      </c>
      <c r="M2356" s="45" t="n">
        <f aca="false">IFERROR(INDEX(medicine_master!$G$2:$G$26,MATCH($C2356,medicine_master!$A$2:$A$26,0)),0)</f>
        <v>72</v>
      </c>
      <c r="N2356" s="45" t="n">
        <f aca="false">IF(D2356="Sale",E2356*L2356,0)</f>
        <v>0</v>
      </c>
      <c r="O2356" s="45" t="n">
        <f aca="false">IF(D2356="Sale",E2356*M2356,0)</f>
        <v>0</v>
      </c>
      <c r="P2356" s="45" t="n">
        <f aca="false">N2356-O2356</f>
        <v>0</v>
      </c>
      <c r="Q2356" s="45" t="n">
        <f aca="false">IF(D2356="Purchase",E2356*M2356,0)</f>
        <v>2160</v>
      </c>
    </row>
    <row r="2357" customFormat="false" ht="15" hidden="false" customHeight="false" outlineLevel="0" collapsed="false">
      <c r="A2357" s="39" t="s">
        <v>2681</v>
      </c>
      <c r="B2357" s="44" t="n">
        <v>46219</v>
      </c>
      <c r="C2357" s="39" t="s">
        <v>148</v>
      </c>
      <c r="D2357" s="39" t="s">
        <v>137</v>
      </c>
      <c r="E2357" s="39" t="n">
        <v>15</v>
      </c>
      <c r="F2357" s="39" t="str">
        <f aca="false">IF(COUNTIF(medicine_master!$A$2:$A$26,C2357)&gt;0,"Valid","Invalid")</f>
        <v>Valid</v>
      </c>
      <c r="G2357" s="39" t="str">
        <f aca="false">IFERROR(INDEX(medicine_master!$B$2:$B$26,MATCH($C2357,medicine_master!$A$2:$A$26,0)),"Not found")</f>
        <v>Dextromethorphan Syrup</v>
      </c>
      <c r="H2357" s="39" t="str">
        <f aca="false">IFERROR(INDEX(medicine_master!$C$2:$C$26,MATCH($C2357,medicine_master!$A$2:$A$26,0)),"Not found")</f>
        <v>Cold &amp; Cough</v>
      </c>
      <c r="I2357" s="39" t="n">
        <f aca="false">YEAR(B2357)</f>
        <v>2026</v>
      </c>
      <c r="J2357" s="39" t="n">
        <f aca="false">MONTH(B2357)</f>
        <v>7</v>
      </c>
      <c r="K2357" s="39" t="str">
        <f aca="false">TEXT(B2357,"mmm")</f>
        <v>Jul</v>
      </c>
      <c r="L2357" s="45" t="n">
        <f aca="false">IFERROR(INDEX(medicine_master!$I$2:$I$26,MATCH($C2357,medicine_master!$A$2:$A$26,0)),0)</f>
        <v>80</v>
      </c>
      <c r="M2357" s="45" t="n">
        <f aca="false">IFERROR(INDEX(medicine_master!$G$2:$G$26,MATCH($C2357,medicine_master!$A$2:$A$26,0)),0)</f>
        <v>58</v>
      </c>
      <c r="N2357" s="45" t="n">
        <f aca="false">IF(D2357="Sale",E2357*L2357,0)</f>
        <v>1200</v>
      </c>
      <c r="O2357" s="45" t="n">
        <f aca="false">IF(D2357="Sale",E2357*M2357,0)</f>
        <v>870</v>
      </c>
      <c r="P2357" s="45" t="n">
        <f aca="false">N2357-O2357</f>
        <v>330</v>
      </c>
      <c r="Q2357" s="45" t="n">
        <f aca="false">IF(D2357="Purchase",E2357*M2357,0)</f>
        <v>0</v>
      </c>
    </row>
    <row r="2358" customFormat="false" ht="15" hidden="false" customHeight="false" outlineLevel="0" collapsed="false">
      <c r="A2358" s="39" t="s">
        <v>2682</v>
      </c>
      <c r="B2358" s="44" t="n">
        <v>46183</v>
      </c>
      <c r="C2358" s="39" t="s">
        <v>148</v>
      </c>
      <c r="D2358" s="39" t="s">
        <v>138</v>
      </c>
      <c r="E2358" s="39" t="n">
        <v>15</v>
      </c>
      <c r="F2358" s="39" t="str">
        <f aca="false">IF(COUNTIF(medicine_master!$A$2:$A$26,C2358)&gt;0,"Valid","Invalid")</f>
        <v>Valid</v>
      </c>
      <c r="G2358" s="39" t="str">
        <f aca="false">IFERROR(INDEX(medicine_master!$B$2:$B$26,MATCH($C2358,medicine_master!$A$2:$A$26,0)),"Not found")</f>
        <v>Dextromethorphan Syrup</v>
      </c>
      <c r="H2358" s="39" t="str">
        <f aca="false">IFERROR(INDEX(medicine_master!$C$2:$C$26,MATCH($C2358,medicine_master!$A$2:$A$26,0)),"Not found")</f>
        <v>Cold &amp; Cough</v>
      </c>
      <c r="I2358" s="39" t="n">
        <f aca="false">YEAR(B2358)</f>
        <v>2026</v>
      </c>
      <c r="J2358" s="39" t="n">
        <f aca="false">MONTH(B2358)</f>
        <v>6</v>
      </c>
      <c r="K2358" s="39" t="str">
        <f aca="false">TEXT(B2358,"mmm")</f>
        <v>Jun</v>
      </c>
      <c r="L2358" s="45" t="n">
        <f aca="false">IFERROR(INDEX(medicine_master!$I$2:$I$26,MATCH($C2358,medicine_master!$A$2:$A$26,0)),0)</f>
        <v>80</v>
      </c>
      <c r="M2358" s="45" t="n">
        <f aca="false">IFERROR(INDEX(medicine_master!$G$2:$G$26,MATCH($C2358,medicine_master!$A$2:$A$26,0)),0)</f>
        <v>58</v>
      </c>
      <c r="N2358" s="45" t="n">
        <f aca="false">IF(D2358="Sale",E2358*L2358,0)</f>
        <v>0</v>
      </c>
      <c r="O2358" s="45" t="n">
        <f aca="false">IF(D2358="Sale",E2358*M2358,0)</f>
        <v>0</v>
      </c>
      <c r="P2358" s="45" t="n">
        <f aca="false">N2358-O2358</f>
        <v>0</v>
      </c>
      <c r="Q2358" s="45" t="n">
        <f aca="false">IF(D2358="Purchase",E2358*M2358,0)</f>
        <v>870</v>
      </c>
    </row>
    <row r="2359" customFormat="false" ht="15" hidden="false" customHeight="false" outlineLevel="0" collapsed="false">
      <c r="A2359" s="39" t="s">
        <v>2683</v>
      </c>
      <c r="B2359" s="44" t="n">
        <v>46229</v>
      </c>
      <c r="C2359" s="39" t="s">
        <v>177</v>
      </c>
      <c r="D2359" s="39" t="s">
        <v>138</v>
      </c>
      <c r="E2359" s="39" t="n">
        <v>25</v>
      </c>
      <c r="F2359" s="39" t="str">
        <f aca="false">IF(COUNTIF(medicine_master!$A$2:$A$26,C2359)&gt;0,"Valid","Invalid")</f>
        <v>Valid</v>
      </c>
      <c r="G2359" s="39" t="str">
        <f aca="false">IFERROR(INDEX(medicine_master!$B$2:$B$26,MATCH($C2359,medicine_master!$A$2:$A$26,0)),"Not found")</f>
        <v>Bandage Roll</v>
      </c>
      <c r="H2359" s="39" t="str">
        <f aca="false">IFERROR(INDEX(medicine_master!$C$2:$C$26,MATCH($C2359,medicine_master!$A$2:$A$26,0)),"Not found")</f>
        <v>First Aid</v>
      </c>
      <c r="I2359" s="39" t="n">
        <f aca="false">YEAR(B2359)</f>
        <v>2026</v>
      </c>
      <c r="J2359" s="39" t="n">
        <f aca="false">MONTH(B2359)</f>
        <v>7</v>
      </c>
      <c r="K2359" s="39" t="str">
        <f aca="false">TEXT(B2359,"mmm")</f>
        <v>Jul</v>
      </c>
      <c r="L2359" s="45" t="n">
        <f aca="false">IFERROR(INDEX(medicine_master!$I$2:$I$26,MATCH($C2359,medicine_master!$A$2:$A$26,0)),0)</f>
        <v>25</v>
      </c>
      <c r="M2359" s="45" t="n">
        <f aca="false">IFERROR(INDEX(medicine_master!$G$2:$G$26,MATCH($C2359,medicine_master!$A$2:$A$26,0)),0)</f>
        <v>15</v>
      </c>
      <c r="N2359" s="45" t="n">
        <f aca="false">IF(D2359="Sale",E2359*L2359,0)</f>
        <v>0</v>
      </c>
      <c r="O2359" s="45" t="n">
        <f aca="false">IF(D2359="Sale",E2359*M2359,0)</f>
        <v>0</v>
      </c>
      <c r="P2359" s="45" t="n">
        <f aca="false">N2359-O2359</f>
        <v>0</v>
      </c>
      <c r="Q2359" s="45" t="n">
        <f aca="false">IF(D2359="Purchase",E2359*M2359,0)</f>
        <v>375</v>
      </c>
    </row>
    <row r="2360" customFormat="false" ht="15" hidden="false" customHeight="false" outlineLevel="0" collapsed="false">
      <c r="A2360" s="39" t="s">
        <v>2684</v>
      </c>
      <c r="B2360" s="44" t="n">
        <v>46204</v>
      </c>
      <c r="C2360" s="39" t="s">
        <v>326</v>
      </c>
      <c r="D2360" s="39" t="s">
        <v>138</v>
      </c>
      <c r="E2360" s="39" t="n">
        <v>10</v>
      </c>
      <c r="F2360" s="39" t="str">
        <f aca="false">IF(COUNTIF(medicine_master!$A$2:$A$26,C2360)&gt;0,"Valid","Invalid")</f>
        <v>Valid</v>
      </c>
      <c r="G2360" s="39" t="str">
        <f aca="false">IFERROR(INDEX(medicine_master!$B$2:$B$26,MATCH($C2360,medicine_master!$A$2:$A$26,0)),"Not found")</f>
        <v>Omeprazole 20mg</v>
      </c>
      <c r="H2360" s="39" t="str">
        <f aca="false">IFERROR(INDEX(medicine_master!$C$2:$C$26,MATCH($C2360,medicine_master!$A$2:$A$26,0)),"Not found")</f>
        <v>Gastric</v>
      </c>
      <c r="I2360" s="39" t="n">
        <f aca="false">YEAR(B2360)</f>
        <v>2026</v>
      </c>
      <c r="J2360" s="39" t="n">
        <f aca="false">MONTH(B2360)</f>
        <v>7</v>
      </c>
      <c r="K2360" s="39" t="str">
        <f aca="false">TEXT(B2360,"mmm")</f>
        <v>Jul</v>
      </c>
      <c r="L2360" s="45" t="n">
        <f aca="false">IFERROR(INDEX(medicine_master!$I$2:$I$26,MATCH($C2360,medicine_master!$A$2:$A$26,0)),0)</f>
        <v>26</v>
      </c>
      <c r="M2360" s="45" t="n">
        <f aca="false">IFERROR(INDEX(medicine_master!$G$2:$G$26,MATCH($C2360,medicine_master!$A$2:$A$26,0)),0)</f>
        <v>18</v>
      </c>
      <c r="N2360" s="45" t="n">
        <f aca="false">IF(D2360="Sale",E2360*L2360,0)</f>
        <v>0</v>
      </c>
      <c r="O2360" s="45" t="n">
        <f aca="false">IF(D2360="Sale",E2360*M2360,0)</f>
        <v>0</v>
      </c>
      <c r="P2360" s="45" t="n">
        <f aca="false">N2360-O2360</f>
        <v>0</v>
      </c>
      <c r="Q2360" s="45" t="n">
        <f aca="false">IF(D2360="Purchase",E2360*M2360,0)</f>
        <v>180</v>
      </c>
    </row>
    <row r="2361" customFormat="false" ht="15" hidden="false" customHeight="false" outlineLevel="0" collapsed="false">
      <c r="A2361" s="39" t="s">
        <v>2685</v>
      </c>
      <c r="B2361" s="44" t="n">
        <v>46258</v>
      </c>
      <c r="C2361" s="39" t="s">
        <v>167</v>
      </c>
      <c r="D2361" s="39" t="s">
        <v>137</v>
      </c>
      <c r="E2361" s="39" t="n">
        <v>30</v>
      </c>
      <c r="F2361" s="39" t="str">
        <f aca="false">IF(COUNTIF(medicine_master!$A$2:$A$26,C2361)&gt;0,"Valid","Invalid")</f>
        <v>Valid</v>
      </c>
      <c r="G2361" s="39" t="str">
        <f aca="false">IFERROR(INDEX(medicine_master!$B$2:$B$26,MATCH($C2361,medicine_master!$A$2:$A$26,0)),"Not found")</f>
        <v>Amlodipine 5mg</v>
      </c>
      <c r="H2361" s="39" t="str">
        <f aca="false">IFERROR(INDEX(medicine_master!$C$2:$C$26,MATCH($C2361,medicine_master!$A$2:$A$26,0)),"Not found")</f>
        <v>Cardiac</v>
      </c>
      <c r="I2361" s="39" t="n">
        <f aca="false">YEAR(B2361)</f>
        <v>2026</v>
      </c>
      <c r="J2361" s="39" t="n">
        <f aca="false">MONTH(B2361)</f>
        <v>8</v>
      </c>
      <c r="K2361" s="39" t="str">
        <f aca="false">TEXT(B2361,"mmm")</f>
        <v>Aug</v>
      </c>
      <c r="L2361" s="45" t="n">
        <f aca="false">IFERROR(INDEX(medicine_master!$I$2:$I$26,MATCH($C2361,medicine_master!$A$2:$A$26,0)),0)</f>
        <v>19</v>
      </c>
      <c r="M2361" s="45" t="n">
        <f aca="false">IFERROR(INDEX(medicine_master!$G$2:$G$26,MATCH($C2361,medicine_master!$A$2:$A$26,0)),0)</f>
        <v>13</v>
      </c>
      <c r="N2361" s="45" t="n">
        <f aca="false">IF(D2361="Sale",E2361*L2361,0)</f>
        <v>570</v>
      </c>
      <c r="O2361" s="45" t="n">
        <f aca="false">IF(D2361="Sale",E2361*M2361,0)</f>
        <v>390</v>
      </c>
      <c r="P2361" s="45" t="n">
        <f aca="false">N2361-O2361</f>
        <v>180</v>
      </c>
      <c r="Q2361" s="45" t="n">
        <f aca="false">IF(D2361="Purchase",E2361*M2361,0)</f>
        <v>0</v>
      </c>
    </row>
    <row r="2362" customFormat="false" ht="15" hidden="false" customHeight="false" outlineLevel="0" collapsed="false">
      <c r="A2362" s="39" t="s">
        <v>2686</v>
      </c>
      <c r="B2362" s="44" t="n">
        <v>46333</v>
      </c>
      <c r="C2362" s="39" t="s">
        <v>404</v>
      </c>
      <c r="D2362" s="39" t="s">
        <v>138</v>
      </c>
      <c r="E2362" s="39" t="n">
        <v>50</v>
      </c>
      <c r="F2362" s="39" t="str">
        <f aca="false">IF(COUNTIF(medicine_master!$A$2:$A$26,C2362)&gt;0,"Valid","Invalid")</f>
        <v>Valid</v>
      </c>
      <c r="G2362" s="39" t="str">
        <f aca="false">IFERROR(INDEX(medicine_master!$B$2:$B$26,MATCH($C2362,medicine_master!$A$2:$A$26,0)),"Not found")</f>
        <v>ORS Sachet</v>
      </c>
      <c r="H2362" s="39" t="str">
        <f aca="false">IFERROR(INDEX(medicine_master!$C$2:$C$26,MATCH($C2362,medicine_master!$A$2:$A$26,0)),"Not found")</f>
        <v>First Aid</v>
      </c>
      <c r="I2362" s="39" t="n">
        <f aca="false">YEAR(B2362)</f>
        <v>2026</v>
      </c>
      <c r="J2362" s="39" t="n">
        <f aca="false">MONTH(B2362)</f>
        <v>11</v>
      </c>
      <c r="K2362" s="39" t="str">
        <f aca="false">TEXT(B2362,"mmm")</f>
        <v>Nov</v>
      </c>
      <c r="L2362" s="45" t="n">
        <f aca="false">IFERROR(INDEX(medicine_master!$I$2:$I$26,MATCH($C2362,medicine_master!$A$2:$A$26,0)),0)</f>
        <v>10</v>
      </c>
      <c r="M2362" s="45" t="n">
        <f aca="false">IFERROR(INDEX(medicine_master!$G$2:$G$26,MATCH($C2362,medicine_master!$A$2:$A$26,0)),0)</f>
        <v>6</v>
      </c>
      <c r="N2362" s="45" t="n">
        <f aca="false">IF(D2362="Sale",E2362*L2362,0)</f>
        <v>0</v>
      </c>
      <c r="O2362" s="45" t="n">
        <f aca="false">IF(D2362="Sale",E2362*M2362,0)</f>
        <v>0</v>
      </c>
      <c r="P2362" s="45" t="n">
        <f aca="false">N2362-O2362</f>
        <v>0</v>
      </c>
      <c r="Q2362" s="45" t="n">
        <f aca="false">IF(D2362="Purchase",E2362*M2362,0)</f>
        <v>300</v>
      </c>
    </row>
    <row r="2363" customFormat="false" ht="15" hidden="false" customHeight="false" outlineLevel="0" collapsed="false">
      <c r="A2363" s="39" t="s">
        <v>2687</v>
      </c>
      <c r="B2363" s="44" t="n">
        <v>46176</v>
      </c>
      <c r="C2363" s="39" t="s">
        <v>159</v>
      </c>
      <c r="D2363" s="39" t="s">
        <v>137</v>
      </c>
      <c r="E2363" s="39" t="n">
        <v>30</v>
      </c>
      <c r="F2363" s="39" t="str">
        <f aca="false">IF(COUNTIF(medicine_master!$A$2:$A$26,C2363)&gt;0,"Valid","Invalid")</f>
        <v>Valid</v>
      </c>
      <c r="G2363" s="39" t="str">
        <f aca="false">IFERROR(INDEX(medicine_master!$B$2:$B$26,MATCH($C2363,medicine_master!$A$2:$A$26,0)),"Not found")</f>
        <v>Antiseptic Liquid 100ml</v>
      </c>
      <c r="H2363" s="39" t="str">
        <f aca="false">IFERROR(INDEX(medicine_master!$C$2:$C$26,MATCH($C2363,medicine_master!$A$2:$A$26,0)),"Not found")</f>
        <v>First Aid</v>
      </c>
      <c r="I2363" s="39" t="n">
        <f aca="false">YEAR(B2363)</f>
        <v>2026</v>
      </c>
      <c r="J2363" s="39" t="n">
        <f aca="false">MONTH(B2363)</f>
        <v>6</v>
      </c>
      <c r="K2363" s="39" t="str">
        <f aca="false">TEXT(B2363,"mmm")</f>
        <v>Jun</v>
      </c>
      <c r="L2363" s="45" t="n">
        <f aca="false">IFERROR(INDEX(medicine_master!$I$2:$I$26,MATCH($C2363,medicine_master!$A$2:$A$26,0)),0)</f>
        <v>65</v>
      </c>
      <c r="M2363" s="45" t="n">
        <f aca="false">IFERROR(INDEX(medicine_master!$G$2:$G$26,MATCH($C2363,medicine_master!$A$2:$A$26,0)),0)</f>
        <v>48</v>
      </c>
      <c r="N2363" s="45" t="n">
        <f aca="false">IF(D2363="Sale",E2363*L2363,0)</f>
        <v>1950</v>
      </c>
      <c r="O2363" s="45" t="n">
        <f aca="false">IF(D2363="Sale",E2363*M2363,0)</f>
        <v>1440</v>
      </c>
      <c r="P2363" s="45" t="n">
        <f aca="false">N2363-O2363</f>
        <v>510</v>
      </c>
      <c r="Q2363" s="45" t="n">
        <f aca="false">IF(D2363="Purchase",E2363*M2363,0)</f>
        <v>0</v>
      </c>
    </row>
    <row r="2364" customFormat="false" ht="15" hidden="false" customHeight="false" outlineLevel="0" collapsed="false">
      <c r="A2364" s="39" t="s">
        <v>2688</v>
      </c>
      <c r="B2364" s="44" t="n">
        <v>46380</v>
      </c>
      <c r="C2364" s="39" t="s">
        <v>177</v>
      </c>
      <c r="D2364" s="39" t="s">
        <v>137</v>
      </c>
      <c r="E2364" s="39" t="n">
        <v>30</v>
      </c>
      <c r="F2364" s="39" t="str">
        <f aca="false">IF(COUNTIF(medicine_master!$A$2:$A$26,C2364)&gt;0,"Valid","Invalid")</f>
        <v>Valid</v>
      </c>
      <c r="G2364" s="39" t="str">
        <f aca="false">IFERROR(INDEX(medicine_master!$B$2:$B$26,MATCH($C2364,medicine_master!$A$2:$A$26,0)),"Not found")</f>
        <v>Bandage Roll</v>
      </c>
      <c r="H2364" s="39" t="str">
        <f aca="false">IFERROR(INDEX(medicine_master!$C$2:$C$26,MATCH($C2364,medicine_master!$A$2:$A$26,0)),"Not found")</f>
        <v>First Aid</v>
      </c>
      <c r="I2364" s="39" t="n">
        <f aca="false">YEAR(B2364)</f>
        <v>2026</v>
      </c>
      <c r="J2364" s="39" t="n">
        <f aca="false">MONTH(B2364)</f>
        <v>12</v>
      </c>
      <c r="K2364" s="39" t="str">
        <f aca="false">TEXT(B2364,"mmm")</f>
        <v>Dec</v>
      </c>
      <c r="L2364" s="45" t="n">
        <f aca="false">IFERROR(INDEX(medicine_master!$I$2:$I$26,MATCH($C2364,medicine_master!$A$2:$A$26,0)),0)</f>
        <v>25</v>
      </c>
      <c r="M2364" s="45" t="n">
        <f aca="false">IFERROR(INDEX(medicine_master!$G$2:$G$26,MATCH($C2364,medicine_master!$A$2:$A$26,0)),0)</f>
        <v>15</v>
      </c>
      <c r="N2364" s="45" t="n">
        <f aca="false">IF(D2364="Sale",E2364*L2364,0)</f>
        <v>750</v>
      </c>
      <c r="O2364" s="45" t="n">
        <f aca="false">IF(D2364="Sale",E2364*M2364,0)</f>
        <v>450</v>
      </c>
      <c r="P2364" s="45" t="n">
        <f aca="false">N2364-O2364</f>
        <v>300</v>
      </c>
      <c r="Q2364" s="45" t="n">
        <f aca="false">IF(D2364="Purchase",E2364*M2364,0)</f>
        <v>0</v>
      </c>
    </row>
    <row r="2365" customFormat="false" ht="15" hidden="false" customHeight="false" outlineLevel="0" collapsed="false">
      <c r="A2365" s="39" t="s">
        <v>2689</v>
      </c>
      <c r="B2365" s="44" t="n">
        <v>46193</v>
      </c>
      <c r="C2365" s="39" t="s">
        <v>180</v>
      </c>
      <c r="D2365" s="39" t="s">
        <v>137</v>
      </c>
      <c r="E2365" s="39" t="n">
        <v>15</v>
      </c>
      <c r="F2365" s="39" t="str">
        <f aca="false">IF(COUNTIF(medicine_master!$A$2:$A$26,C2365)&gt;0,"Valid","Invalid")</f>
        <v>Valid</v>
      </c>
      <c r="G2365" s="39" t="str">
        <f aca="false">IFERROR(INDEX(medicine_master!$B$2:$B$26,MATCH($C2365,medicine_master!$A$2:$A$26,0)),"Not found")</f>
        <v>Vitamin C 500mg</v>
      </c>
      <c r="H2365" s="39" t="str">
        <f aca="false">IFERROR(INDEX(medicine_master!$C$2:$C$26,MATCH($C2365,medicine_master!$A$2:$A$26,0)),"Not found")</f>
        <v>Vitamin</v>
      </c>
      <c r="I2365" s="39" t="n">
        <f aca="false">YEAR(B2365)</f>
        <v>2026</v>
      </c>
      <c r="J2365" s="39" t="n">
        <f aca="false">MONTH(B2365)</f>
        <v>6</v>
      </c>
      <c r="K2365" s="39" t="str">
        <f aca="false">TEXT(B2365,"mmm")</f>
        <v>Jun</v>
      </c>
      <c r="L2365" s="45" t="n">
        <f aca="false">IFERROR(INDEX(medicine_master!$I$2:$I$26,MATCH($C2365,medicine_master!$A$2:$A$26,0)),0)</f>
        <v>22</v>
      </c>
      <c r="M2365" s="45" t="n">
        <f aca="false">IFERROR(INDEX(medicine_master!$G$2:$G$26,MATCH($C2365,medicine_master!$A$2:$A$26,0)),0)</f>
        <v>14</v>
      </c>
      <c r="N2365" s="45" t="n">
        <f aca="false">IF(D2365="Sale",E2365*L2365,0)</f>
        <v>330</v>
      </c>
      <c r="O2365" s="45" t="n">
        <f aca="false">IF(D2365="Sale",E2365*M2365,0)</f>
        <v>210</v>
      </c>
      <c r="P2365" s="45" t="n">
        <f aca="false">N2365-O2365</f>
        <v>120</v>
      </c>
      <c r="Q2365" s="45" t="n">
        <f aca="false">IF(D2365="Purchase",E2365*M2365,0)</f>
        <v>0</v>
      </c>
    </row>
    <row r="2366" customFormat="false" ht="15" hidden="false" customHeight="false" outlineLevel="0" collapsed="false">
      <c r="A2366" s="39" t="s">
        <v>2690</v>
      </c>
      <c r="B2366" s="44" t="n">
        <v>46346</v>
      </c>
      <c r="C2366" s="39" t="s">
        <v>144</v>
      </c>
      <c r="D2366" s="39" t="s">
        <v>138</v>
      </c>
      <c r="E2366" s="39" t="n">
        <v>15</v>
      </c>
      <c r="F2366" s="39" t="str">
        <f aca="false">IF(COUNTIF(medicine_master!$A$2:$A$26,C2366)&gt;0,"Valid","Invalid")</f>
        <v>Valid</v>
      </c>
      <c r="G2366" s="39" t="str">
        <f aca="false">IFERROR(INDEX(medicine_master!$B$2:$B$26,MATCH($C2366,medicine_master!$A$2:$A$26,0)),"Not found")</f>
        <v>Glimepiride 2mg</v>
      </c>
      <c r="H2366" s="39" t="str">
        <f aca="false">IFERROR(INDEX(medicine_master!$C$2:$C$26,MATCH($C2366,medicine_master!$A$2:$A$26,0)),"Not found")</f>
        <v>Diabetes</v>
      </c>
      <c r="I2366" s="39" t="n">
        <f aca="false">YEAR(B2366)</f>
        <v>2026</v>
      </c>
      <c r="J2366" s="39" t="n">
        <f aca="false">MONTH(B2366)</f>
        <v>11</v>
      </c>
      <c r="K2366" s="39" t="str">
        <f aca="false">TEXT(B2366,"mmm")</f>
        <v>Nov</v>
      </c>
      <c r="L2366" s="45" t="n">
        <f aca="false">IFERROR(INDEX(medicine_master!$I$2:$I$26,MATCH($C2366,medicine_master!$A$2:$A$26,0)),0)</f>
        <v>52</v>
      </c>
      <c r="M2366" s="45" t="n">
        <f aca="false">IFERROR(INDEX(medicine_master!$G$2:$G$26,MATCH($C2366,medicine_master!$A$2:$A$26,0)),0)</f>
        <v>38</v>
      </c>
      <c r="N2366" s="45" t="n">
        <f aca="false">IF(D2366="Sale",E2366*L2366,0)</f>
        <v>0</v>
      </c>
      <c r="O2366" s="45" t="n">
        <f aca="false">IF(D2366="Sale",E2366*M2366,0)</f>
        <v>0</v>
      </c>
      <c r="P2366" s="45" t="n">
        <f aca="false">N2366-O2366</f>
        <v>0</v>
      </c>
      <c r="Q2366" s="45" t="n">
        <f aca="false">IF(D2366="Purchase",E2366*M2366,0)</f>
        <v>570</v>
      </c>
    </row>
    <row r="2367" customFormat="false" ht="15" hidden="false" customHeight="false" outlineLevel="0" collapsed="false">
      <c r="A2367" s="39" t="s">
        <v>2691</v>
      </c>
      <c r="B2367" s="44" t="n">
        <v>46180</v>
      </c>
      <c r="C2367" s="39" t="s">
        <v>404</v>
      </c>
      <c r="D2367" s="39" t="s">
        <v>137</v>
      </c>
      <c r="E2367" s="39" t="n">
        <v>50</v>
      </c>
      <c r="F2367" s="39" t="str">
        <f aca="false">IF(COUNTIF(medicine_master!$A$2:$A$26,C2367)&gt;0,"Valid","Invalid")</f>
        <v>Valid</v>
      </c>
      <c r="G2367" s="39" t="str">
        <f aca="false">IFERROR(INDEX(medicine_master!$B$2:$B$26,MATCH($C2367,medicine_master!$A$2:$A$26,0)),"Not found")</f>
        <v>ORS Sachet</v>
      </c>
      <c r="H2367" s="39" t="str">
        <f aca="false">IFERROR(INDEX(medicine_master!$C$2:$C$26,MATCH($C2367,medicine_master!$A$2:$A$26,0)),"Not found")</f>
        <v>First Aid</v>
      </c>
      <c r="I2367" s="39" t="n">
        <f aca="false">YEAR(B2367)</f>
        <v>2026</v>
      </c>
      <c r="J2367" s="39" t="n">
        <f aca="false">MONTH(B2367)</f>
        <v>6</v>
      </c>
      <c r="K2367" s="39" t="str">
        <f aca="false">TEXT(B2367,"mmm")</f>
        <v>Jun</v>
      </c>
      <c r="L2367" s="45" t="n">
        <f aca="false">IFERROR(INDEX(medicine_master!$I$2:$I$26,MATCH($C2367,medicine_master!$A$2:$A$26,0)),0)</f>
        <v>10</v>
      </c>
      <c r="M2367" s="45" t="n">
        <f aca="false">IFERROR(INDEX(medicine_master!$G$2:$G$26,MATCH($C2367,medicine_master!$A$2:$A$26,0)),0)</f>
        <v>6</v>
      </c>
      <c r="N2367" s="45" t="n">
        <f aca="false">IF(D2367="Sale",E2367*L2367,0)</f>
        <v>500</v>
      </c>
      <c r="O2367" s="45" t="n">
        <f aca="false">IF(D2367="Sale",E2367*M2367,0)</f>
        <v>300</v>
      </c>
      <c r="P2367" s="45" t="n">
        <f aca="false">N2367-O2367</f>
        <v>200</v>
      </c>
      <c r="Q2367" s="45" t="n">
        <f aca="false">IF(D2367="Purchase",E2367*M2367,0)</f>
        <v>0</v>
      </c>
    </row>
    <row r="2368" customFormat="false" ht="15" hidden="false" customHeight="false" outlineLevel="0" collapsed="false">
      <c r="A2368" s="39" t="s">
        <v>2692</v>
      </c>
      <c r="B2368" s="44" t="n">
        <v>46137</v>
      </c>
      <c r="C2368" s="39" t="s">
        <v>390</v>
      </c>
      <c r="D2368" s="39" t="s">
        <v>138</v>
      </c>
      <c r="E2368" s="39" t="n">
        <v>40</v>
      </c>
      <c r="F2368" s="39" t="str">
        <f aca="false">IF(COUNTIF(medicine_master!$A$2:$A$26,C2368)&gt;0,"Valid","Invalid")</f>
        <v>Valid</v>
      </c>
      <c r="G2368" s="39" t="str">
        <f aca="false">IFERROR(INDEX(medicine_master!$B$2:$B$26,MATCH($C2368,medicine_master!$A$2:$A$26,0)),"Not found")</f>
        <v>Montelukast 10mg</v>
      </c>
      <c r="H2368" s="39" t="str">
        <f aca="false">IFERROR(INDEX(medicine_master!$C$2:$C$26,MATCH($C2368,medicine_master!$A$2:$A$26,0)),"Not found")</f>
        <v>Allergy</v>
      </c>
      <c r="I2368" s="39" t="n">
        <f aca="false">YEAR(B2368)</f>
        <v>2026</v>
      </c>
      <c r="J2368" s="39" t="n">
        <f aca="false">MONTH(B2368)</f>
        <v>4</v>
      </c>
      <c r="K2368" s="39" t="str">
        <f aca="false">TEXT(B2368,"mmm")</f>
        <v>Apr</v>
      </c>
      <c r="L2368" s="45" t="n">
        <f aca="false">IFERROR(INDEX(medicine_master!$I$2:$I$26,MATCH($C2368,medicine_master!$A$2:$A$26,0)),0)</f>
        <v>39</v>
      </c>
      <c r="M2368" s="45" t="n">
        <f aca="false">IFERROR(INDEX(medicine_master!$G$2:$G$26,MATCH($C2368,medicine_master!$A$2:$A$26,0)),0)</f>
        <v>27</v>
      </c>
      <c r="N2368" s="45" t="n">
        <f aca="false">IF(D2368="Sale",E2368*L2368,0)</f>
        <v>0</v>
      </c>
      <c r="O2368" s="45" t="n">
        <f aca="false">IF(D2368="Sale",E2368*M2368,0)</f>
        <v>0</v>
      </c>
      <c r="P2368" s="45" t="n">
        <f aca="false">N2368-O2368</f>
        <v>0</v>
      </c>
      <c r="Q2368" s="45" t="n">
        <f aca="false">IF(D2368="Purchase",E2368*M2368,0)</f>
        <v>1080</v>
      </c>
    </row>
    <row r="2369" customFormat="false" ht="15" hidden="false" customHeight="false" outlineLevel="0" collapsed="false">
      <c r="A2369" s="39" t="s">
        <v>2693</v>
      </c>
      <c r="B2369" s="44" t="n">
        <v>46321</v>
      </c>
      <c r="C2369" s="39" t="s">
        <v>180</v>
      </c>
      <c r="D2369" s="39" t="s">
        <v>138</v>
      </c>
      <c r="E2369" s="39" t="n">
        <v>40</v>
      </c>
      <c r="F2369" s="39" t="str">
        <f aca="false">IF(COUNTIF(medicine_master!$A$2:$A$26,C2369)&gt;0,"Valid","Invalid")</f>
        <v>Valid</v>
      </c>
      <c r="G2369" s="39" t="str">
        <f aca="false">IFERROR(INDEX(medicine_master!$B$2:$B$26,MATCH($C2369,medicine_master!$A$2:$A$26,0)),"Not found")</f>
        <v>Vitamin C 500mg</v>
      </c>
      <c r="H2369" s="39" t="str">
        <f aca="false">IFERROR(INDEX(medicine_master!$C$2:$C$26,MATCH($C2369,medicine_master!$A$2:$A$26,0)),"Not found")</f>
        <v>Vitamin</v>
      </c>
      <c r="I2369" s="39" t="n">
        <f aca="false">YEAR(B2369)</f>
        <v>2026</v>
      </c>
      <c r="J2369" s="39" t="n">
        <f aca="false">MONTH(B2369)</f>
        <v>10</v>
      </c>
      <c r="K2369" s="39" t="str">
        <f aca="false">TEXT(B2369,"mmm")</f>
        <v>Oct</v>
      </c>
      <c r="L2369" s="45" t="n">
        <f aca="false">IFERROR(INDEX(medicine_master!$I$2:$I$26,MATCH($C2369,medicine_master!$A$2:$A$26,0)),0)</f>
        <v>22</v>
      </c>
      <c r="M2369" s="45" t="n">
        <f aca="false">IFERROR(INDEX(medicine_master!$G$2:$G$26,MATCH($C2369,medicine_master!$A$2:$A$26,0)),0)</f>
        <v>14</v>
      </c>
      <c r="N2369" s="45" t="n">
        <f aca="false">IF(D2369="Sale",E2369*L2369,0)</f>
        <v>0</v>
      </c>
      <c r="O2369" s="45" t="n">
        <f aca="false">IF(D2369="Sale",E2369*M2369,0)</f>
        <v>0</v>
      </c>
      <c r="P2369" s="45" t="n">
        <f aca="false">N2369-O2369</f>
        <v>0</v>
      </c>
      <c r="Q2369" s="45" t="n">
        <f aca="false">IF(D2369="Purchase",E2369*M2369,0)</f>
        <v>560</v>
      </c>
    </row>
    <row r="2370" customFormat="false" ht="15" hidden="false" customHeight="false" outlineLevel="0" collapsed="false">
      <c r="A2370" s="39" t="s">
        <v>2694</v>
      </c>
      <c r="B2370" s="44" t="n">
        <v>46319</v>
      </c>
      <c r="C2370" s="39" t="s">
        <v>150</v>
      </c>
      <c r="D2370" s="39" t="s">
        <v>138</v>
      </c>
      <c r="E2370" s="39" t="n">
        <v>30</v>
      </c>
      <c r="F2370" s="39" t="str">
        <f aca="false">IF(COUNTIF(medicine_master!$A$2:$A$26,C2370)&gt;0,"Valid","Invalid")</f>
        <v>Valid</v>
      </c>
      <c r="G2370" s="39" t="str">
        <f aca="false">IFERROR(INDEX(medicine_master!$B$2:$B$26,MATCH($C2370,medicine_master!$A$2:$A$26,0)),"Not found")</f>
        <v>Pantoprazole 40mg</v>
      </c>
      <c r="H2370" s="39" t="str">
        <f aca="false">IFERROR(INDEX(medicine_master!$C$2:$C$26,MATCH($C2370,medicine_master!$A$2:$A$26,0)),"Not found")</f>
        <v>Gastric</v>
      </c>
      <c r="I2370" s="39" t="n">
        <f aca="false">YEAR(B2370)</f>
        <v>2026</v>
      </c>
      <c r="J2370" s="39" t="n">
        <f aca="false">MONTH(B2370)</f>
        <v>10</v>
      </c>
      <c r="K2370" s="39" t="str">
        <f aca="false">TEXT(B2370,"mmm")</f>
        <v>Oct</v>
      </c>
      <c r="L2370" s="45" t="n">
        <f aca="false">IFERROR(INDEX(medicine_master!$I$2:$I$26,MATCH($C2370,medicine_master!$A$2:$A$26,0)),0)</f>
        <v>35</v>
      </c>
      <c r="M2370" s="45" t="n">
        <f aca="false">IFERROR(INDEX(medicine_master!$G$2:$G$26,MATCH($C2370,medicine_master!$A$2:$A$26,0)),0)</f>
        <v>24</v>
      </c>
      <c r="N2370" s="45" t="n">
        <f aca="false">IF(D2370="Sale",E2370*L2370,0)</f>
        <v>0</v>
      </c>
      <c r="O2370" s="45" t="n">
        <f aca="false">IF(D2370="Sale",E2370*M2370,0)</f>
        <v>0</v>
      </c>
      <c r="P2370" s="45" t="n">
        <f aca="false">N2370-O2370</f>
        <v>0</v>
      </c>
      <c r="Q2370" s="45" t="n">
        <f aca="false">IF(D2370="Purchase",E2370*M2370,0)</f>
        <v>720</v>
      </c>
    </row>
    <row r="2371" customFormat="false" ht="15" hidden="false" customHeight="false" outlineLevel="0" collapsed="false">
      <c r="A2371" s="39" t="s">
        <v>2695</v>
      </c>
      <c r="B2371" s="44" t="n">
        <v>46219</v>
      </c>
      <c r="C2371" s="39" t="s">
        <v>151</v>
      </c>
      <c r="D2371" s="39" t="s">
        <v>137</v>
      </c>
      <c r="E2371" s="39" t="n">
        <v>15</v>
      </c>
      <c r="F2371" s="39" t="str">
        <f aca="false">IF(COUNTIF(medicine_master!$A$2:$A$26,C2371)&gt;0,"Valid","Invalid")</f>
        <v>Valid</v>
      </c>
      <c r="G2371" s="39" t="str">
        <f aca="false">IFERROR(INDEX(medicine_master!$B$2:$B$26,MATCH($C2371,medicine_master!$A$2:$A$26,0)),"Not found")</f>
        <v>Cetirizine 10mg</v>
      </c>
      <c r="H2371" s="39" t="str">
        <f aca="false">IFERROR(INDEX(medicine_master!$C$2:$C$26,MATCH($C2371,medicine_master!$A$2:$A$26,0)),"Not found")</f>
        <v>Allergy</v>
      </c>
      <c r="I2371" s="39" t="n">
        <f aca="false">YEAR(B2371)</f>
        <v>2026</v>
      </c>
      <c r="J2371" s="39" t="n">
        <f aca="false">MONTH(B2371)</f>
        <v>7</v>
      </c>
      <c r="K2371" s="39" t="str">
        <f aca="false">TEXT(B2371,"mmm")</f>
        <v>Jul</v>
      </c>
      <c r="L2371" s="45" t="n">
        <f aca="false">IFERROR(INDEX(medicine_master!$I$2:$I$26,MATCH($C2371,medicine_master!$A$2:$A$26,0)),0)</f>
        <v>13</v>
      </c>
      <c r="M2371" s="45" t="n">
        <f aca="false">IFERROR(INDEX(medicine_master!$G$2:$G$26,MATCH($C2371,medicine_master!$A$2:$A$26,0)),0)</f>
        <v>8</v>
      </c>
      <c r="N2371" s="45" t="n">
        <f aca="false">IF(D2371="Sale",E2371*L2371,0)</f>
        <v>195</v>
      </c>
      <c r="O2371" s="45" t="n">
        <f aca="false">IF(D2371="Sale",E2371*M2371,0)</f>
        <v>120</v>
      </c>
      <c r="P2371" s="45" t="n">
        <f aca="false">N2371-O2371</f>
        <v>75</v>
      </c>
      <c r="Q2371" s="45" t="n">
        <f aca="false">IF(D2371="Purchase",E2371*M2371,0)</f>
        <v>0</v>
      </c>
    </row>
    <row r="2372" customFormat="false" ht="15" hidden="false" customHeight="false" outlineLevel="0" collapsed="false">
      <c r="A2372" s="39" t="s">
        <v>2696</v>
      </c>
      <c r="B2372" s="44" t="n">
        <v>46342</v>
      </c>
      <c r="C2372" s="39" t="s">
        <v>150</v>
      </c>
      <c r="D2372" s="39" t="s">
        <v>138</v>
      </c>
      <c r="E2372" s="39" t="n">
        <v>30</v>
      </c>
      <c r="F2372" s="39" t="str">
        <f aca="false">IF(COUNTIF(medicine_master!$A$2:$A$26,C2372)&gt;0,"Valid","Invalid")</f>
        <v>Valid</v>
      </c>
      <c r="G2372" s="39" t="str">
        <f aca="false">IFERROR(INDEX(medicine_master!$B$2:$B$26,MATCH($C2372,medicine_master!$A$2:$A$26,0)),"Not found")</f>
        <v>Pantoprazole 40mg</v>
      </c>
      <c r="H2372" s="39" t="str">
        <f aca="false">IFERROR(INDEX(medicine_master!$C$2:$C$26,MATCH($C2372,medicine_master!$A$2:$A$26,0)),"Not found")</f>
        <v>Gastric</v>
      </c>
      <c r="I2372" s="39" t="n">
        <f aca="false">YEAR(B2372)</f>
        <v>2026</v>
      </c>
      <c r="J2372" s="39" t="n">
        <f aca="false">MONTH(B2372)</f>
        <v>11</v>
      </c>
      <c r="K2372" s="39" t="str">
        <f aca="false">TEXT(B2372,"mmm")</f>
        <v>Nov</v>
      </c>
      <c r="L2372" s="45" t="n">
        <f aca="false">IFERROR(INDEX(medicine_master!$I$2:$I$26,MATCH($C2372,medicine_master!$A$2:$A$26,0)),0)</f>
        <v>35</v>
      </c>
      <c r="M2372" s="45" t="n">
        <f aca="false">IFERROR(INDEX(medicine_master!$G$2:$G$26,MATCH($C2372,medicine_master!$A$2:$A$26,0)),0)</f>
        <v>24</v>
      </c>
      <c r="N2372" s="45" t="n">
        <f aca="false">IF(D2372="Sale",E2372*L2372,0)</f>
        <v>0</v>
      </c>
      <c r="O2372" s="45" t="n">
        <f aca="false">IF(D2372="Sale",E2372*M2372,0)</f>
        <v>0</v>
      </c>
      <c r="P2372" s="45" t="n">
        <f aca="false">N2372-O2372</f>
        <v>0</v>
      </c>
      <c r="Q2372" s="45" t="n">
        <f aca="false">IF(D2372="Purchase",E2372*M2372,0)</f>
        <v>720</v>
      </c>
    </row>
    <row r="2373" customFormat="false" ht="15" hidden="false" customHeight="false" outlineLevel="0" collapsed="false">
      <c r="A2373" s="39" t="s">
        <v>2697</v>
      </c>
      <c r="B2373" s="44" t="n">
        <v>46083</v>
      </c>
      <c r="C2373" s="39" t="s">
        <v>321</v>
      </c>
      <c r="D2373" s="39" t="s">
        <v>137</v>
      </c>
      <c r="E2373" s="39" t="n">
        <v>10</v>
      </c>
      <c r="F2373" s="39" t="str">
        <f aca="false">IF(COUNTIF(medicine_master!$A$2:$A$26,C2373)&gt;0,"Valid","Invalid")</f>
        <v>Valid</v>
      </c>
      <c r="G2373" s="39" t="str">
        <f aca="false">IFERROR(INDEX(medicine_master!$B$2:$B$26,MATCH($C2373,medicine_master!$A$2:$A$26,0)),"Not found")</f>
        <v>Levocetirizine 5mg</v>
      </c>
      <c r="H2373" s="39" t="str">
        <f aca="false">IFERROR(INDEX(medicine_master!$C$2:$C$26,MATCH($C2373,medicine_master!$A$2:$A$26,0)),"Not found")</f>
        <v>Allergy</v>
      </c>
      <c r="I2373" s="39" t="n">
        <f aca="false">YEAR(B2373)</f>
        <v>2026</v>
      </c>
      <c r="J2373" s="39" t="n">
        <f aca="false">MONTH(B2373)</f>
        <v>3</v>
      </c>
      <c r="K2373" s="39" t="str">
        <f aca="false">TEXT(B2373,"mmm")</f>
        <v>Mar</v>
      </c>
      <c r="L2373" s="45" t="n">
        <f aca="false">IFERROR(INDEX(medicine_master!$I$2:$I$26,MATCH($C2373,medicine_master!$A$2:$A$26,0)),0)</f>
        <v>22</v>
      </c>
      <c r="M2373" s="45" t="n">
        <f aca="false">IFERROR(INDEX(medicine_master!$G$2:$G$26,MATCH($C2373,medicine_master!$A$2:$A$26,0)),0)</f>
        <v>14</v>
      </c>
      <c r="N2373" s="45" t="n">
        <f aca="false">IF(D2373="Sale",E2373*L2373,0)</f>
        <v>220</v>
      </c>
      <c r="O2373" s="45" t="n">
        <f aca="false">IF(D2373="Sale",E2373*M2373,0)</f>
        <v>140</v>
      </c>
      <c r="P2373" s="45" t="n">
        <f aca="false">N2373-O2373</f>
        <v>80</v>
      </c>
      <c r="Q2373" s="45" t="n">
        <f aca="false">IF(D2373="Purchase",E2373*M2373,0)</f>
        <v>0</v>
      </c>
    </row>
    <row r="2374" customFormat="false" ht="15" hidden="false" customHeight="false" outlineLevel="0" collapsed="false">
      <c r="A2374" s="39" t="s">
        <v>2698</v>
      </c>
      <c r="B2374" s="44" t="n">
        <v>46171</v>
      </c>
      <c r="C2374" s="39" t="s">
        <v>144</v>
      </c>
      <c r="D2374" s="39" t="s">
        <v>137</v>
      </c>
      <c r="E2374" s="39" t="n">
        <v>25</v>
      </c>
      <c r="F2374" s="39" t="str">
        <f aca="false">IF(COUNTIF(medicine_master!$A$2:$A$26,C2374)&gt;0,"Valid","Invalid")</f>
        <v>Valid</v>
      </c>
      <c r="G2374" s="39" t="str">
        <f aca="false">IFERROR(INDEX(medicine_master!$B$2:$B$26,MATCH($C2374,medicine_master!$A$2:$A$26,0)),"Not found")</f>
        <v>Glimepiride 2mg</v>
      </c>
      <c r="H2374" s="39" t="str">
        <f aca="false">IFERROR(INDEX(medicine_master!$C$2:$C$26,MATCH($C2374,medicine_master!$A$2:$A$26,0)),"Not found")</f>
        <v>Diabetes</v>
      </c>
      <c r="I2374" s="39" t="n">
        <f aca="false">YEAR(B2374)</f>
        <v>2026</v>
      </c>
      <c r="J2374" s="39" t="n">
        <f aca="false">MONTH(B2374)</f>
        <v>5</v>
      </c>
      <c r="K2374" s="39" t="str">
        <f aca="false">TEXT(B2374,"mmm")</f>
        <v>May</v>
      </c>
      <c r="L2374" s="45" t="n">
        <f aca="false">IFERROR(INDEX(medicine_master!$I$2:$I$26,MATCH($C2374,medicine_master!$A$2:$A$26,0)),0)</f>
        <v>52</v>
      </c>
      <c r="M2374" s="45" t="n">
        <f aca="false">IFERROR(INDEX(medicine_master!$G$2:$G$26,MATCH($C2374,medicine_master!$A$2:$A$26,0)),0)</f>
        <v>38</v>
      </c>
      <c r="N2374" s="45" t="n">
        <f aca="false">IF(D2374="Sale",E2374*L2374,0)</f>
        <v>1300</v>
      </c>
      <c r="O2374" s="45" t="n">
        <f aca="false">IF(D2374="Sale",E2374*M2374,0)</f>
        <v>950</v>
      </c>
      <c r="P2374" s="45" t="n">
        <f aca="false">N2374-O2374</f>
        <v>350</v>
      </c>
      <c r="Q2374" s="45" t="n">
        <f aca="false">IF(D2374="Purchase",E2374*M2374,0)</f>
        <v>0</v>
      </c>
    </row>
    <row r="2375" customFormat="false" ht="15" hidden="false" customHeight="false" outlineLevel="0" collapsed="false">
      <c r="A2375" s="39" t="s">
        <v>2699</v>
      </c>
      <c r="B2375" s="44" t="n">
        <v>46216</v>
      </c>
      <c r="C2375" s="39" t="s">
        <v>179</v>
      </c>
      <c r="D2375" s="39" t="s">
        <v>137</v>
      </c>
      <c r="E2375" s="39" t="n">
        <v>15</v>
      </c>
      <c r="F2375" s="39" t="str">
        <f aca="false">IF(COUNTIF(medicine_master!$A$2:$A$26,C2375)&gt;0,"Valid","Invalid")</f>
        <v>Valid</v>
      </c>
      <c r="G2375" s="39" t="str">
        <f aca="false">IFERROR(INDEX(medicine_master!$B$2:$B$26,MATCH($C2375,medicine_master!$A$2:$A$26,0)),"Not found")</f>
        <v>Ibuprofen 400mg</v>
      </c>
      <c r="H2375" s="39" t="str">
        <f aca="false">IFERROR(INDEX(medicine_master!$C$2:$C$26,MATCH($C2375,medicine_master!$A$2:$A$26,0)),"Not found")</f>
        <v>Pain Relief</v>
      </c>
      <c r="I2375" s="39" t="n">
        <f aca="false">YEAR(B2375)</f>
        <v>2026</v>
      </c>
      <c r="J2375" s="39" t="n">
        <f aca="false">MONTH(B2375)</f>
        <v>7</v>
      </c>
      <c r="K2375" s="39" t="str">
        <f aca="false">TEXT(B2375,"mmm")</f>
        <v>Jul</v>
      </c>
      <c r="L2375" s="45" t="n">
        <f aca="false">IFERROR(INDEX(medicine_master!$I$2:$I$26,MATCH($C2375,medicine_master!$A$2:$A$26,0)),0)</f>
        <v>30</v>
      </c>
      <c r="M2375" s="45" t="n">
        <f aca="false">IFERROR(INDEX(medicine_master!$G$2:$G$26,MATCH($C2375,medicine_master!$A$2:$A$26,0)),0)</f>
        <v>22</v>
      </c>
      <c r="N2375" s="45" t="n">
        <f aca="false">IF(D2375="Sale",E2375*L2375,0)</f>
        <v>450</v>
      </c>
      <c r="O2375" s="45" t="n">
        <f aca="false">IF(D2375="Sale",E2375*M2375,0)</f>
        <v>330</v>
      </c>
      <c r="P2375" s="45" t="n">
        <f aca="false">N2375-O2375</f>
        <v>120</v>
      </c>
      <c r="Q2375" s="45" t="n">
        <f aca="false">IF(D2375="Purchase",E2375*M2375,0)</f>
        <v>0</v>
      </c>
    </row>
    <row r="2376" customFormat="false" ht="15" hidden="false" customHeight="false" outlineLevel="0" collapsed="false">
      <c r="A2376" s="39" t="s">
        <v>2700</v>
      </c>
      <c r="B2376" s="44" t="n">
        <v>46365</v>
      </c>
      <c r="C2376" s="39" t="s">
        <v>178</v>
      </c>
      <c r="D2376" s="39" t="s">
        <v>137</v>
      </c>
      <c r="E2376" s="39" t="n">
        <v>30</v>
      </c>
      <c r="F2376" s="39" t="str">
        <f aca="false">IF(COUNTIF(medicine_master!$A$2:$A$26,C2376)&gt;0,"Valid","Invalid")</f>
        <v>Valid</v>
      </c>
      <c r="G2376" s="39" t="str">
        <f aca="false">IFERROR(INDEX(medicine_master!$B$2:$B$26,MATCH($C2376,medicine_master!$A$2:$A$26,0)),"Not found")</f>
        <v>Aspirin 75mg</v>
      </c>
      <c r="H2376" s="39" t="str">
        <f aca="false">IFERROR(INDEX(medicine_master!$C$2:$C$26,MATCH($C2376,medicine_master!$A$2:$A$26,0)),"Not found")</f>
        <v>Cardiac</v>
      </c>
      <c r="I2376" s="39" t="n">
        <f aca="false">YEAR(B2376)</f>
        <v>2026</v>
      </c>
      <c r="J2376" s="39" t="n">
        <f aca="false">MONTH(B2376)</f>
        <v>12</v>
      </c>
      <c r="K2376" s="39" t="str">
        <f aca="false">TEXT(B2376,"mmm")</f>
        <v>Dec</v>
      </c>
      <c r="L2376" s="45" t="n">
        <f aca="false">IFERROR(INDEX(medicine_master!$I$2:$I$26,MATCH($C2376,medicine_master!$A$2:$A$26,0)),0)</f>
        <v>15</v>
      </c>
      <c r="M2376" s="45" t="n">
        <f aca="false">IFERROR(INDEX(medicine_master!$G$2:$G$26,MATCH($C2376,medicine_master!$A$2:$A$26,0)),0)</f>
        <v>10</v>
      </c>
      <c r="N2376" s="45" t="n">
        <f aca="false">IF(D2376="Sale",E2376*L2376,0)</f>
        <v>450</v>
      </c>
      <c r="O2376" s="45" t="n">
        <f aca="false">IF(D2376="Sale",E2376*M2376,0)</f>
        <v>300</v>
      </c>
      <c r="P2376" s="45" t="n">
        <f aca="false">N2376-O2376</f>
        <v>150</v>
      </c>
      <c r="Q2376" s="45" t="n">
        <f aca="false">IF(D2376="Purchase",E2376*M2376,0)</f>
        <v>0</v>
      </c>
    </row>
    <row r="2377" customFormat="false" ht="15" hidden="false" customHeight="false" outlineLevel="0" collapsed="false">
      <c r="A2377" s="39" t="s">
        <v>2701</v>
      </c>
      <c r="B2377" s="44" t="n">
        <v>46384</v>
      </c>
      <c r="C2377" s="39" t="s">
        <v>495</v>
      </c>
      <c r="D2377" s="39" t="s">
        <v>138</v>
      </c>
      <c r="E2377" s="39" t="n">
        <v>40</v>
      </c>
      <c r="F2377" s="39" t="str">
        <f aca="false">IF(COUNTIF(medicine_master!$A$2:$A$26,C2377)&gt;0,"Valid","Invalid")</f>
        <v>Valid</v>
      </c>
      <c r="G2377" s="39" t="str">
        <f aca="false">IFERROR(INDEX(medicine_master!$B$2:$B$26,MATCH($C2377,medicine_master!$A$2:$A$26,0)),"Not found")</f>
        <v>Metformin 500mg</v>
      </c>
      <c r="H2377" s="39" t="str">
        <f aca="false">IFERROR(INDEX(medicine_master!$C$2:$C$26,MATCH($C2377,medicine_master!$A$2:$A$26,0)),"Not found")</f>
        <v>Diabetes</v>
      </c>
      <c r="I2377" s="39" t="n">
        <f aca="false">YEAR(B2377)</f>
        <v>2026</v>
      </c>
      <c r="J2377" s="39" t="n">
        <f aca="false">MONTH(B2377)</f>
        <v>12</v>
      </c>
      <c r="K2377" s="39" t="str">
        <f aca="false">TEXT(B2377,"mmm")</f>
        <v>Dec</v>
      </c>
      <c r="L2377" s="45" t="n">
        <f aca="false">IFERROR(INDEX(medicine_master!$I$2:$I$26,MATCH($C2377,medicine_master!$A$2:$A$26,0)),0)</f>
        <v>24</v>
      </c>
      <c r="M2377" s="45" t="n">
        <f aca="false">IFERROR(INDEX(medicine_master!$G$2:$G$26,MATCH($C2377,medicine_master!$A$2:$A$26,0)),0)</f>
        <v>16</v>
      </c>
      <c r="N2377" s="45" t="n">
        <f aca="false">IF(D2377="Sale",E2377*L2377,0)</f>
        <v>0</v>
      </c>
      <c r="O2377" s="45" t="n">
        <f aca="false">IF(D2377="Sale",E2377*M2377,0)</f>
        <v>0</v>
      </c>
      <c r="P2377" s="45" t="n">
        <f aca="false">N2377-O2377</f>
        <v>0</v>
      </c>
      <c r="Q2377" s="45" t="n">
        <f aca="false">IF(D2377="Purchase",E2377*M2377,0)</f>
        <v>640</v>
      </c>
    </row>
    <row r="2378" customFormat="false" ht="15" hidden="false" customHeight="false" outlineLevel="0" collapsed="false">
      <c r="A2378" s="39" t="s">
        <v>2702</v>
      </c>
      <c r="B2378" s="44" t="n">
        <v>46271</v>
      </c>
      <c r="C2378" s="39" t="s">
        <v>148</v>
      </c>
      <c r="D2378" s="39" t="s">
        <v>138</v>
      </c>
      <c r="E2378" s="39" t="n">
        <v>30</v>
      </c>
      <c r="F2378" s="39" t="str">
        <f aca="false">IF(COUNTIF(medicine_master!$A$2:$A$26,C2378)&gt;0,"Valid","Invalid")</f>
        <v>Valid</v>
      </c>
      <c r="G2378" s="39" t="str">
        <f aca="false">IFERROR(INDEX(medicine_master!$B$2:$B$26,MATCH($C2378,medicine_master!$A$2:$A$26,0)),"Not found")</f>
        <v>Dextromethorphan Syrup</v>
      </c>
      <c r="H2378" s="39" t="str">
        <f aca="false">IFERROR(INDEX(medicine_master!$C$2:$C$26,MATCH($C2378,medicine_master!$A$2:$A$26,0)),"Not found")</f>
        <v>Cold &amp; Cough</v>
      </c>
      <c r="I2378" s="39" t="n">
        <f aca="false">YEAR(B2378)</f>
        <v>2026</v>
      </c>
      <c r="J2378" s="39" t="n">
        <f aca="false">MONTH(B2378)</f>
        <v>9</v>
      </c>
      <c r="K2378" s="39" t="str">
        <f aca="false">TEXT(B2378,"mmm")</f>
        <v>Sep</v>
      </c>
      <c r="L2378" s="45" t="n">
        <f aca="false">IFERROR(INDEX(medicine_master!$I$2:$I$26,MATCH($C2378,medicine_master!$A$2:$A$26,0)),0)</f>
        <v>80</v>
      </c>
      <c r="M2378" s="45" t="n">
        <f aca="false">IFERROR(INDEX(medicine_master!$G$2:$G$26,MATCH($C2378,medicine_master!$A$2:$A$26,0)),0)</f>
        <v>58</v>
      </c>
      <c r="N2378" s="45" t="n">
        <f aca="false">IF(D2378="Sale",E2378*L2378,0)</f>
        <v>0</v>
      </c>
      <c r="O2378" s="45" t="n">
        <f aca="false">IF(D2378="Sale",E2378*M2378,0)</f>
        <v>0</v>
      </c>
      <c r="P2378" s="45" t="n">
        <f aca="false">N2378-O2378</f>
        <v>0</v>
      </c>
      <c r="Q2378" s="45" t="n">
        <f aca="false">IF(D2378="Purchase",E2378*M2378,0)</f>
        <v>1740</v>
      </c>
    </row>
    <row r="2379" customFormat="false" ht="15" hidden="false" customHeight="false" outlineLevel="0" collapsed="false">
      <c r="A2379" s="39" t="s">
        <v>2703</v>
      </c>
      <c r="B2379" s="44" t="n">
        <v>46024</v>
      </c>
      <c r="C2379" s="39" t="s">
        <v>147</v>
      </c>
      <c r="D2379" s="39" t="s">
        <v>137</v>
      </c>
      <c r="E2379" s="39" t="n">
        <v>5</v>
      </c>
      <c r="F2379" s="39" t="str">
        <f aca="false">IF(COUNTIF(medicine_master!$A$2:$A$26,C2379)&gt;0,"Valid","Invalid")</f>
        <v>Valid</v>
      </c>
      <c r="G2379" s="39" t="str">
        <f aca="false">IFERROR(INDEX(medicine_master!$B$2:$B$26,MATCH($C2379,medicine_master!$A$2:$A$26,0)),"Not found")</f>
        <v>Insulin Injection</v>
      </c>
      <c r="H2379" s="39" t="str">
        <f aca="false">IFERROR(INDEX(medicine_master!$C$2:$C$26,MATCH($C2379,medicine_master!$A$2:$A$26,0)),"Not found")</f>
        <v>Diabetes</v>
      </c>
      <c r="I2379" s="39" t="n">
        <f aca="false">YEAR(B2379)</f>
        <v>2026</v>
      </c>
      <c r="J2379" s="39" t="n">
        <f aca="false">MONTH(B2379)</f>
        <v>1</v>
      </c>
      <c r="K2379" s="39" t="str">
        <f aca="false">TEXT(B2379,"mmm")</f>
        <v>Jan</v>
      </c>
      <c r="L2379" s="45" t="n">
        <f aca="false">IFERROR(INDEX(medicine_master!$I$2:$I$26,MATCH($C2379,medicine_master!$A$2:$A$26,0)),0)</f>
        <v>225</v>
      </c>
      <c r="M2379" s="45" t="n">
        <f aca="false">IFERROR(INDEX(medicine_master!$G$2:$G$26,MATCH($C2379,medicine_master!$A$2:$A$26,0)),0)</f>
        <v>165</v>
      </c>
      <c r="N2379" s="45" t="n">
        <f aca="false">IF(D2379="Sale",E2379*L2379,0)</f>
        <v>1125</v>
      </c>
      <c r="O2379" s="45" t="n">
        <f aca="false">IF(D2379="Sale",E2379*M2379,0)</f>
        <v>825</v>
      </c>
      <c r="P2379" s="45" t="n">
        <f aca="false">N2379-O2379</f>
        <v>300</v>
      </c>
      <c r="Q2379" s="45" t="n">
        <f aca="false">IF(D2379="Purchase",E2379*M2379,0)</f>
        <v>0</v>
      </c>
    </row>
    <row r="2380" customFormat="false" ht="15" hidden="false" customHeight="false" outlineLevel="0" collapsed="false">
      <c r="A2380" s="39" t="s">
        <v>2704</v>
      </c>
      <c r="B2380" s="44" t="n">
        <v>46100</v>
      </c>
      <c r="C2380" s="39" t="s">
        <v>149</v>
      </c>
      <c r="D2380" s="39" t="s">
        <v>137</v>
      </c>
      <c r="E2380" s="39" t="n">
        <v>20</v>
      </c>
      <c r="F2380" s="39" t="str">
        <f aca="false">IF(COUNTIF(medicine_master!$A$2:$A$26,C2380)&gt;0,"Valid","Invalid")</f>
        <v>Valid</v>
      </c>
      <c r="G2380" s="39" t="str">
        <f aca="false">IFERROR(INDEX(medicine_master!$B$2:$B$26,MATCH($C2380,medicine_master!$A$2:$A$26,0)),"Not found")</f>
        <v>Azithromycin 500mg</v>
      </c>
      <c r="H2380" s="39" t="str">
        <f aca="false">IFERROR(INDEX(medicine_master!$C$2:$C$26,MATCH($C2380,medicine_master!$A$2:$A$26,0)),"Not found")</f>
        <v>Antibiotic</v>
      </c>
      <c r="I2380" s="39" t="n">
        <f aca="false">YEAR(B2380)</f>
        <v>2026</v>
      </c>
      <c r="J2380" s="39" t="n">
        <f aca="false">MONTH(B2380)</f>
        <v>3</v>
      </c>
      <c r="K2380" s="39" t="str">
        <f aca="false">TEXT(B2380,"mmm")</f>
        <v>Mar</v>
      </c>
      <c r="L2380" s="45" t="n">
        <f aca="false">IFERROR(INDEX(medicine_master!$I$2:$I$26,MATCH($C2380,medicine_master!$A$2:$A$26,0)),0)</f>
        <v>50</v>
      </c>
      <c r="M2380" s="45" t="n">
        <f aca="false">IFERROR(INDEX(medicine_master!$G$2:$G$26,MATCH($C2380,medicine_master!$A$2:$A$26,0)),0)</f>
        <v>35</v>
      </c>
      <c r="N2380" s="45" t="n">
        <f aca="false">IF(D2380="Sale",E2380*L2380,0)</f>
        <v>1000</v>
      </c>
      <c r="O2380" s="45" t="n">
        <f aca="false">IF(D2380="Sale",E2380*M2380,0)</f>
        <v>700</v>
      </c>
      <c r="P2380" s="45" t="n">
        <f aca="false">N2380-O2380</f>
        <v>300</v>
      </c>
      <c r="Q2380" s="45" t="n">
        <f aca="false">IF(D2380="Purchase",E2380*M2380,0)</f>
        <v>0</v>
      </c>
    </row>
    <row r="2381" customFormat="false" ht="15" hidden="false" customHeight="false" outlineLevel="0" collapsed="false">
      <c r="A2381" s="39" t="s">
        <v>2705</v>
      </c>
      <c r="B2381" s="44" t="n">
        <v>46258</v>
      </c>
      <c r="C2381" s="39" t="s">
        <v>321</v>
      </c>
      <c r="D2381" s="39" t="s">
        <v>137</v>
      </c>
      <c r="E2381" s="39" t="n">
        <v>15</v>
      </c>
      <c r="F2381" s="39" t="str">
        <f aca="false">IF(COUNTIF(medicine_master!$A$2:$A$26,C2381)&gt;0,"Valid","Invalid")</f>
        <v>Valid</v>
      </c>
      <c r="G2381" s="39" t="str">
        <f aca="false">IFERROR(INDEX(medicine_master!$B$2:$B$26,MATCH($C2381,medicine_master!$A$2:$A$26,0)),"Not found")</f>
        <v>Levocetirizine 5mg</v>
      </c>
      <c r="H2381" s="39" t="str">
        <f aca="false">IFERROR(INDEX(medicine_master!$C$2:$C$26,MATCH($C2381,medicine_master!$A$2:$A$26,0)),"Not found")</f>
        <v>Allergy</v>
      </c>
      <c r="I2381" s="39" t="n">
        <f aca="false">YEAR(B2381)</f>
        <v>2026</v>
      </c>
      <c r="J2381" s="39" t="n">
        <f aca="false">MONTH(B2381)</f>
        <v>8</v>
      </c>
      <c r="K2381" s="39" t="str">
        <f aca="false">TEXT(B2381,"mmm")</f>
        <v>Aug</v>
      </c>
      <c r="L2381" s="45" t="n">
        <f aca="false">IFERROR(INDEX(medicine_master!$I$2:$I$26,MATCH($C2381,medicine_master!$A$2:$A$26,0)),0)</f>
        <v>22</v>
      </c>
      <c r="M2381" s="45" t="n">
        <f aca="false">IFERROR(INDEX(medicine_master!$G$2:$G$26,MATCH($C2381,medicine_master!$A$2:$A$26,0)),0)</f>
        <v>14</v>
      </c>
      <c r="N2381" s="45" t="n">
        <f aca="false">IF(D2381="Sale",E2381*L2381,0)</f>
        <v>330</v>
      </c>
      <c r="O2381" s="45" t="n">
        <f aca="false">IF(D2381="Sale",E2381*M2381,0)</f>
        <v>210</v>
      </c>
      <c r="P2381" s="45" t="n">
        <f aca="false">N2381-O2381</f>
        <v>120</v>
      </c>
      <c r="Q2381" s="45" t="n">
        <f aca="false">IF(D2381="Purchase",E2381*M2381,0)</f>
        <v>0</v>
      </c>
    </row>
    <row r="2382" customFormat="false" ht="15" hidden="false" customHeight="false" outlineLevel="0" collapsed="false">
      <c r="A2382" s="39" t="s">
        <v>2706</v>
      </c>
      <c r="B2382" s="44" t="n">
        <v>46053</v>
      </c>
      <c r="C2382" s="39" t="s">
        <v>321</v>
      </c>
      <c r="D2382" s="39" t="s">
        <v>137</v>
      </c>
      <c r="E2382" s="39" t="n">
        <v>40</v>
      </c>
      <c r="F2382" s="39" t="str">
        <f aca="false">IF(COUNTIF(medicine_master!$A$2:$A$26,C2382)&gt;0,"Valid","Invalid")</f>
        <v>Valid</v>
      </c>
      <c r="G2382" s="39" t="str">
        <f aca="false">IFERROR(INDEX(medicine_master!$B$2:$B$26,MATCH($C2382,medicine_master!$A$2:$A$26,0)),"Not found")</f>
        <v>Levocetirizine 5mg</v>
      </c>
      <c r="H2382" s="39" t="str">
        <f aca="false">IFERROR(INDEX(medicine_master!$C$2:$C$26,MATCH($C2382,medicine_master!$A$2:$A$26,0)),"Not found")</f>
        <v>Allergy</v>
      </c>
      <c r="I2382" s="39" t="n">
        <f aca="false">YEAR(B2382)</f>
        <v>2026</v>
      </c>
      <c r="J2382" s="39" t="n">
        <f aca="false">MONTH(B2382)</f>
        <v>1</v>
      </c>
      <c r="K2382" s="39" t="str">
        <f aca="false">TEXT(B2382,"mmm")</f>
        <v>Jan</v>
      </c>
      <c r="L2382" s="45" t="n">
        <f aca="false">IFERROR(INDEX(medicine_master!$I$2:$I$26,MATCH($C2382,medicine_master!$A$2:$A$26,0)),0)</f>
        <v>22</v>
      </c>
      <c r="M2382" s="45" t="n">
        <f aca="false">IFERROR(INDEX(medicine_master!$G$2:$G$26,MATCH($C2382,medicine_master!$A$2:$A$26,0)),0)</f>
        <v>14</v>
      </c>
      <c r="N2382" s="45" t="n">
        <f aca="false">IF(D2382="Sale",E2382*L2382,0)</f>
        <v>880</v>
      </c>
      <c r="O2382" s="45" t="n">
        <f aca="false">IF(D2382="Sale",E2382*M2382,0)</f>
        <v>560</v>
      </c>
      <c r="P2382" s="45" t="n">
        <f aca="false">N2382-O2382</f>
        <v>320</v>
      </c>
      <c r="Q2382" s="45" t="n">
        <f aca="false">IF(D2382="Purchase",E2382*M2382,0)</f>
        <v>0</v>
      </c>
    </row>
    <row r="2383" customFormat="false" ht="15" hidden="false" customHeight="false" outlineLevel="0" collapsed="false">
      <c r="A2383" s="39" t="s">
        <v>2707</v>
      </c>
      <c r="B2383" s="44" t="n">
        <v>46224</v>
      </c>
      <c r="C2383" s="39" t="s">
        <v>148</v>
      </c>
      <c r="D2383" s="39" t="s">
        <v>137</v>
      </c>
      <c r="E2383" s="39" t="n">
        <v>30</v>
      </c>
      <c r="F2383" s="39" t="str">
        <f aca="false">IF(COUNTIF(medicine_master!$A$2:$A$26,C2383)&gt;0,"Valid","Invalid")</f>
        <v>Valid</v>
      </c>
      <c r="G2383" s="39" t="str">
        <f aca="false">IFERROR(INDEX(medicine_master!$B$2:$B$26,MATCH($C2383,medicine_master!$A$2:$A$26,0)),"Not found")</f>
        <v>Dextromethorphan Syrup</v>
      </c>
      <c r="H2383" s="39" t="str">
        <f aca="false">IFERROR(INDEX(medicine_master!$C$2:$C$26,MATCH($C2383,medicine_master!$A$2:$A$26,0)),"Not found")</f>
        <v>Cold &amp; Cough</v>
      </c>
      <c r="I2383" s="39" t="n">
        <f aca="false">YEAR(B2383)</f>
        <v>2026</v>
      </c>
      <c r="J2383" s="39" t="n">
        <f aca="false">MONTH(B2383)</f>
        <v>7</v>
      </c>
      <c r="K2383" s="39" t="str">
        <f aca="false">TEXT(B2383,"mmm")</f>
        <v>Jul</v>
      </c>
      <c r="L2383" s="45" t="n">
        <f aca="false">IFERROR(INDEX(medicine_master!$I$2:$I$26,MATCH($C2383,medicine_master!$A$2:$A$26,0)),0)</f>
        <v>80</v>
      </c>
      <c r="M2383" s="45" t="n">
        <f aca="false">IFERROR(INDEX(medicine_master!$G$2:$G$26,MATCH($C2383,medicine_master!$A$2:$A$26,0)),0)</f>
        <v>58</v>
      </c>
      <c r="N2383" s="45" t="n">
        <f aca="false">IF(D2383="Sale",E2383*L2383,0)</f>
        <v>2400</v>
      </c>
      <c r="O2383" s="45" t="n">
        <f aca="false">IF(D2383="Sale",E2383*M2383,0)</f>
        <v>1740</v>
      </c>
      <c r="P2383" s="45" t="n">
        <f aca="false">N2383-O2383</f>
        <v>660</v>
      </c>
      <c r="Q2383" s="45" t="n">
        <f aca="false">IF(D2383="Purchase",E2383*M2383,0)</f>
        <v>0</v>
      </c>
    </row>
    <row r="2384" customFormat="false" ht="15" hidden="false" customHeight="false" outlineLevel="0" collapsed="false">
      <c r="A2384" s="39" t="s">
        <v>2708</v>
      </c>
      <c r="B2384" s="44" t="n">
        <v>46051</v>
      </c>
      <c r="C2384" s="39" t="s">
        <v>326</v>
      </c>
      <c r="D2384" s="39" t="s">
        <v>138</v>
      </c>
      <c r="E2384" s="39" t="n">
        <v>20</v>
      </c>
      <c r="F2384" s="39" t="str">
        <f aca="false">IF(COUNTIF(medicine_master!$A$2:$A$26,C2384)&gt;0,"Valid","Invalid")</f>
        <v>Valid</v>
      </c>
      <c r="G2384" s="39" t="str">
        <f aca="false">IFERROR(INDEX(medicine_master!$B$2:$B$26,MATCH($C2384,medicine_master!$A$2:$A$26,0)),"Not found")</f>
        <v>Omeprazole 20mg</v>
      </c>
      <c r="H2384" s="39" t="str">
        <f aca="false">IFERROR(INDEX(medicine_master!$C$2:$C$26,MATCH($C2384,medicine_master!$A$2:$A$26,0)),"Not found")</f>
        <v>Gastric</v>
      </c>
      <c r="I2384" s="39" t="n">
        <f aca="false">YEAR(B2384)</f>
        <v>2026</v>
      </c>
      <c r="J2384" s="39" t="n">
        <f aca="false">MONTH(B2384)</f>
        <v>1</v>
      </c>
      <c r="K2384" s="39" t="str">
        <f aca="false">TEXT(B2384,"mmm")</f>
        <v>Jan</v>
      </c>
      <c r="L2384" s="45" t="n">
        <f aca="false">IFERROR(INDEX(medicine_master!$I$2:$I$26,MATCH($C2384,medicine_master!$A$2:$A$26,0)),0)</f>
        <v>26</v>
      </c>
      <c r="M2384" s="45" t="n">
        <f aca="false">IFERROR(INDEX(medicine_master!$G$2:$G$26,MATCH($C2384,medicine_master!$A$2:$A$26,0)),0)</f>
        <v>18</v>
      </c>
      <c r="N2384" s="45" t="n">
        <f aca="false">IF(D2384="Sale",E2384*L2384,0)</f>
        <v>0</v>
      </c>
      <c r="O2384" s="45" t="n">
        <f aca="false">IF(D2384="Sale",E2384*M2384,0)</f>
        <v>0</v>
      </c>
      <c r="P2384" s="45" t="n">
        <f aca="false">N2384-O2384</f>
        <v>0</v>
      </c>
      <c r="Q2384" s="45" t="n">
        <f aca="false">IF(D2384="Purchase",E2384*M2384,0)</f>
        <v>360</v>
      </c>
    </row>
    <row r="2385" customFormat="false" ht="15" hidden="false" customHeight="false" outlineLevel="0" collapsed="false">
      <c r="A2385" s="39" t="s">
        <v>2709</v>
      </c>
      <c r="B2385" s="44" t="n">
        <v>46379</v>
      </c>
      <c r="C2385" s="39" t="s">
        <v>146</v>
      </c>
      <c r="D2385" s="39" t="s">
        <v>138</v>
      </c>
      <c r="E2385" s="39" t="n">
        <v>20</v>
      </c>
      <c r="F2385" s="39" t="str">
        <f aca="false">IF(COUNTIF(medicine_master!$A$2:$A$26,C2385)&gt;0,"Valid","Invalid")</f>
        <v>Valid</v>
      </c>
      <c r="G2385" s="39" t="str">
        <f aca="false">IFERROR(INDEX(medicine_master!$B$2:$B$26,MATCH($C2385,medicine_master!$A$2:$A$26,0)),"Not found")</f>
        <v>Diclofenac Gel</v>
      </c>
      <c r="H2385" s="39" t="str">
        <f aca="false">IFERROR(INDEX(medicine_master!$C$2:$C$26,MATCH($C2385,medicine_master!$A$2:$A$26,0)),"Not found")</f>
        <v>Pain Relief</v>
      </c>
      <c r="I2385" s="39" t="n">
        <f aca="false">YEAR(B2385)</f>
        <v>2026</v>
      </c>
      <c r="J2385" s="39" t="n">
        <f aca="false">MONTH(B2385)</f>
        <v>12</v>
      </c>
      <c r="K2385" s="39" t="str">
        <f aca="false">TEXT(B2385,"mmm")</f>
        <v>Dec</v>
      </c>
      <c r="L2385" s="45" t="n">
        <f aca="false">IFERROR(INDEX(medicine_master!$I$2:$I$26,MATCH($C2385,medicine_master!$A$2:$A$26,0)),0)</f>
        <v>55</v>
      </c>
      <c r="M2385" s="45" t="n">
        <f aca="false">IFERROR(INDEX(medicine_master!$G$2:$G$26,MATCH($C2385,medicine_master!$A$2:$A$26,0)),0)</f>
        <v>38</v>
      </c>
      <c r="N2385" s="45" t="n">
        <f aca="false">IF(D2385="Sale",E2385*L2385,0)</f>
        <v>0</v>
      </c>
      <c r="O2385" s="45" t="n">
        <f aca="false">IF(D2385="Sale",E2385*M2385,0)</f>
        <v>0</v>
      </c>
      <c r="P2385" s="45" t="n">
        <f aca="false">N2385-O2385</f>
        <v>0</v>
      </c>
      <c r="Q2385" s="45" t="n">
        <f aca="false">IF(D2385="Purchase",E2385*M2385,0)</f>
        <v>760</v>
      </c>
    </row>
    <row r="2386" customFormat="false" ht="15" hidden="false" customHeight="false" outlineLevel="0" collapsed="false">
      <c r="A2386" s="39" t="s">
        <v>2710</v>
      </c>
      <c r="B2386" s="44" t="n">
        <v>46348</v>
      </c>
      <c r="C2386" s="39" t="s">
        <v>495</v>
      </c>
      <c r="D2386" s="39" t="s">
        <v>138</v>
      </c>
      <c r="E2386" s="39" t="n">
        <v>25</v>
      </c>
      <c r="F2386" s="39" t="str">
        <f aca="false">IF(COUNTIF(medicine_master!$A$2:$A$26,C2386)&gt;0,"Valid","Invalid")</f>
        <v>Valid</v>
      </c>
      <c r="G2386" s="39" t="str">
        <f aca="false">IFERROR(INDEX(medicine_master!$B$2:$B$26,MATCH($C2386,medicine_master!$A$2:$A$26,0)),"Not found")</f>
        <v>Metformin 500mg</v>
      </c>
      <c r="H2386" s="39" t="str">
        <f aca="false">IFERROR(INDEX(medicine_master!$C$2:$C$26,MATCH($C2386,medicine_master!$A$2:$A$26,0)),"Not found")</f>
        <v>Diabetes</v>
      </c>
      <c r="I2386" s="39" t="n">
        <f aca="false">YEAR(B2386)</f>
        <v>2026</v>
      </c>
      <c r="J2386" s="39" t="n">
        <f aca="false">MONTH(B2386)</f>
        <v>11</v>
      </c>
      <c r="K2386" s="39" t="str">
        <f aca="false">TEXT(B2386,"mmm")</f>
        <v>Nov</v>
      </c>
      <c r="L2386" s="45" t="n">
        <f aca="false">IFERROR(INDEX(medicine_master!$I$2:$I$26,MATCH($C2386,medicine_master!$A$2:$A$26,0)),0)</f>
        <v>24</v>
      </c>
      <c r="M2386" s="45" t="n">
        <f aca="false">IFERROR(INDEX(medicine_master!$G$2:$G$26,MATCH($C2386,medicine_master!$A$2:$A$26,0)),0)</f>
        <v>16</v>
      </c>
      <c r="N2386" s="45" t="n">
        <f aca="false">IF(D2386="Sale",E2386*L2386,0)</f>
        <v>0</v>
      </c>
      <c r="O2386" s="45" t="n">
        <f aca="false">IF(D2386="Sale",E2386*M2386,0)</f>
        <v>0</v>
      </c>
      <c r="P2386" s="45" t="n">
        <f aca="false">N2386-O2386</f>
        <v>0</v>
      </c>
      <c r="Q2386" s="45" t="n">
        <f aca="false">IF(D2386="Purchase",E2386*M2386,0)</f>
        <v>400</v>
      </c>
    </row>
    <row r="2387" customFormat="false" ht="15" hidden="false" customHeight="false" outlineLevel="0" collapsed="false">
      <c r="A2387" s="39" t="s">
        <v>2711</v>
      </c>
      <c r="B2387" s="44" t="n">
        <v>46271</v>
      </c>
      <c r="C2387" s="39" t="s">
        <v>178</v>
      </c>
      <c r="D2387" s="39" t="s">
        <v>137</v>
      </c>
      <c r="E2387" s="39" t="n">
        <v>10</v>
      </c>
      <c r="F2387" s="39" t="str">
        <f aca="false">IF(COUNTIF(medicine_master!$A$2:$A$26,C2387)&gt;0,"Valid","Invalid")</f>
        <v>Valid</v>
      </c>
      <c r="G2387" s="39" t="str">
        <f aca="false">IFERROR(INDEX(medicine_master!$B$2:$B$26,MATCH($C2387,medicine_master!$A$2:$A$26,0)),"Not found")</f>
        <v>Aspirin 75mg</v>
      </c>
      <c r="H2387" s="39" t="str">
        <f aca="false">IFERROR(INDEX(medicine_master!$C$2:$C$26,MATCH($C2387,medicine_master!$A$2:$A$26,0)),"Not found")</f>
        <v>Cardiac</v>
      </c>
      <c r="I2387" s="39" t="n">
        <f aca="false">YEAR(B2387)</f>
        <v>2026</v>
      </c>
      <c r="J2387" s="39" t="n">
        <f aca="false">MONTH(B2387)</f>
        <v>9</v>
      </c>
      <c r="K2387" s="39" t="str">
        <f aca="false">TEXT(B2387,"mmm")</f>
        <v>Sep</v>
      </c>
      <c r="L2387" s="45" t="n">
        <f aca="false">IFERROR(INDEX(medicine_master!$I$2:$I$26,MATCH($C2387,medicine_master!$A$2:$A$26,0)),0)</f>
        <v>15</v>
      </c>
      <c r="M2387" s="45" t="n">
        <f aca="false">IFERROR(INDEX(medicine_master!$G$2:$G$26,MATCH($C2387,medicine_master!$A$2:$A$26,0)),0)</f>
        <v>10</v>
      </c>
      <c r="N2387" s="45" t="n">
        <f aca="false">IF(D2387="Sale",E2387*L2387,0)</f>
        <v>150</v>
      </c>
      <c r="O2387" s="45" t="n">
        <f aca="false">IF(D2387="Sale",E2387*M2387,0)</f>
        <v>100</v>
      </c>
      <c r="P2387" s="45" t="n">
        <f aca="false">N2387-O2387</f>
        <v>50</v>
      </c>
      <c r="Q2387" s="45" t="n">
        <f aca="false">IF(D2387="Purchase",E2387*M2387,0)</f>
        <v>0</v>
      </c>
    </row>
    <row r="2388" customFormat="false" ht="15" hidden="false" customHeight="false" outlineLevel="0" collapsed="false">
      <c r="A2388" s="39" t="s">
        <v>2712</v>
      </c>
      <c r="B2388" s="44" t="n">
        <v>46104</v>
      </c>
      <c r="C2388" s="39" t="s">
        <v>147</v>
      </c>
      <c r="D2388" s="39" t="s">
        <v>137</v>
      </c>
      <c r="E2388" s="39" t="n">
        <v>15</v>
      </c>
      <c r="F2388" s="39" t="str">
        <f aca="false">IF(COUNTIF(medicine_master!$A$2:$A$26,C2388)&gt;0,"Valid","Invalid")</f>
        <v>Valid</v>
      </c>
      <c r="G2388" s="39" t="str">
        <f aca="false">IFERROR(INDEX(medicine_master!$B$2:$B$26,MATCH($C2388,medicine_master!$A$2:$A$26,0)),"Not found")</f>
        <v>Insulin Injection</v>
      </c>
      <c r="H2388" s="39" t="str">
        <f aca="false">IFERROR(INDEX(medicine_master!$C$2:$C$26,MATCH($C2388,medicine_master!$A$2:$A$26,0)),"Not found")</f>
        <v>Diabetes</v>
      </c>
      <c r="I2388" s="39" t="n">
        <f aca="false">YEAR(B2388)</f>
        <v>2026</v>
      </c>
      <c r="J2388" s="39" t="n">
        <f aca="false">MONTH(B2388)</f>
        <v>3</v>
      </c>
      <c r="K2388" s="39" t="str">
        <f aca="false">TEXT(B2388,"mmm")</f>
        <v>Mar</v>
      </c>
      <c r="L2388" s="45" t="n">
        <f aca="false">IFERROR(INDEX(medicine_master!$I$2:$I$26,MATCH($C2388,medicine_master!$A$2:$A$26,0)),0)</f>
        <v>225</v>
      </c>
      <c r="M2388" s="45" t="n">
        <f aca="false">IFERROR(INDEX(medicine_master!$G$2:$G$26,MATCH($C2388,medicine_master!$A$2:$A$26,0)),0)</f>
        <v>165</v>
      </c>
      <c r="N2388" s="45" t="n">
        <f aca="false">IF(D2388="Sale",E2388*L2388,0)</f>
        <v>3375</v>
      </c>
      <c r="O2388" s="45" t="n">
        <f aca="false">IF(D2388="Sale",E2388*M2388,0)</f>
        <v>2475</v>
      </c>
      <c r="P2388" s="45" t="n">
        <f aca="false">N2388-O2388</f>
        <v>900</v>
      </c>
      <c r="Q2388" s="45" t="n">
        <f aca="false">IF(D2388="Purchase",E2388*M2388,0)</f>
        <v>0</v>
      </c>
    </row>
    <row r="2389" customFormat="false" ht="15" hidden="false" customHeight="false" outlineLevel="0" collapsed="false">
      <c r="A2389" s="39" t="s">
        <v>2713</v>
      </c>
      <c r="B2389" s="44" t="n">
        <v>46034</v>
      </c>
      <c r="C2389" s="39" t="s">
        <v>180</v>
      </c>
      <c r="D2389" s="39" t="s">
        <v>137</v>
      </c>
      <c r="E2389" s="39" t="n">
        <v>15</v>
      </c>
      <c r="F2389" s="39" t="str">
        <f aca="false">IF(COUNTIF(medicine_master!$A$2:$A$26,C2389)&gt;0,"Valid","Invalid")</f>
        <v>Valid</v>
      </c>
      <c r="G2389" s="39" t="str">
        <f aca="false">IFERROR(INDEX(medicine_master!$B$2:$B$26,MATCH($C2389,medicine_master!$A$2:$A$26,0)),"Not found")</f>
        <v>Vitamin C 500mg</v>
      </c>
      <c r="H2389" s="39" t="str">
        <f aca="false">IFERROR(INDEX(medicine_master!$C$2:$C$26,MATCH($C2389,medicine_master!$A$2:$A$26,0)),"Not found")</f>
        <v>Vitamin</v>
      </c>
      <c r="I2389" s="39" t="n">
        <f aca="false">YEAR(B2389)</f>
        <v>2026</v>
      </c>
      <c r="J2389" s="39" t="n">
        <f aca="false">MONTH(B2389)</f>
        <v>1</v>
      </c>
      <c r="K2389" s="39" t="str">
        <f aca="false">TEXT(B2389,"mmm")</f>
        <v>Jan</v>
      </c>
      <c r="L2389" s="45" t="n">
        <f aca="false">IFERROR(INDEX(medicine_master!$I$2:$I$26,MATCH($C2389,medicine_master!$A$2:$A$26,0)),0)</f>
        <v>22</v>
      </c>
      <c r="M2389" s="45" t="n">
        <f aca="false">IFERROR(INDEX(medicine_master!$G$2:$G$26,MATCH($C2389,medicine_master!$A$2:$A$26,0)),0)</f>
        <v>14</v>
      </c>
      <c r="N2389" s="45" t="n">
        <f aca="false">IF(D2389="Sale",E2389*L2389,0)</f>
        <v>330</v>
      </c>
      <c r="O2389" s="45" t="n">
        <f aca="false">IF(D2389="Sale",E2389*M2389,0)</f>
        <v>210</v>
      </c>
      <c r="P2389" s="45" t="n">
        <f aca="false">N2389-O2389</f>
        <v>120</v>
      </c>
      <c r="Q2389" s="45" t="n">
        <f aca="false">IF(D2389="Purchase",E2389*M2389,0)</f>
        <v>0</v>
      </c>
    </row>
    <row r="2390" customFormat="false" ht="15" hidden="false" customHeight="false" outlineLevel="0" collapsed="false">
      <c r="A2390" s="39" t="s">
        <v>2714</v>
      </c>
      <c r="B2390" s="44" t="n">
        <v>46136</v>
      </c>
      <c r="C2390" s="39" t="s">
        <v>159</v>
      </c>
      <c r="D2390" s="39" t="s">
        <v>138</v>
      </c>
      <c r="E2390" s="39" t="n">
        <v>30</v>
      </c>
      <c r="F2390" s="39" t="str">
        <f aca="false">IF(COUNTIF(medicine_master!$A$2:$A$26,C2390)&gt;0,"Valid","Invalid")</f>
        <v>Valid</v>
      </c>
      <c r="G2390" s="39" t="str">
        <f aca="false">IFERROR(INDEX(medicine_master!$B$2:$B$26,MATCH($C2390,medicine_master!$A$2:$A$26,0)),"Not found")</f>
        <v>Antiseptic Liquid 100ml</v>
      </c>
      <c r="H2390" s="39" t="str">
        <f aca="false">IFERROR(INDEX(medicine_master!$C$2:$C$26,MATCH($C2390,medicine_master!$A$2:$A$26,0)),"Not found")</f>
        <v>First Aid</v>
      </c>
      <c r="I2390" s="39" t="n">
        <f aca="false">YEAR(B2390)</f>
        <v>2026</v>
      </c>
      <c r="J2390" s="39" t="n">
        <f aca="false">MONTH(B2390)</f>
        <v>4</v>
      </c>
      <c r="K2390" s="39" t="str">
        <f aca="false">TEXT(B2390,"mmm")</f>
        <v>Apr</v>
      </c>
      <c r="L2390" s="45" t="n">
        <f aca="false">IFERROR(INDEX(medicine_master!$I$2:$I$26,MATCH($C2390,medicine_master!$A$2:$A$26,0)),0)</f>
        <v>65</v>
      </c>
      <c r="M2390" s="45" t="n">
        <f aca="false">IFERROR(INDEX(medicine_master!$G$2:$G$26,MATCH($C2390,medicine_master!$A$2:$A$26,0)),0)</f>
        <v>48</v>
      </c>
      <c r="N2390" s="45" t="n">
        <f aca="false">IF(D2390="Sale",E2390*L2390,0)</f>
        <v>0</v>
      </c>
      <c r="O2390" s="45" t="n">
        <f aca="false">IF(D2390="Sale",E2390*M2390,0)</f>
        <v>0</v>
      </c>
      <c r="P2390" s="45" t="n">
        <f aca="false">N2390-O2390</f>
        <v>0</v>
      </c>
      <c r="Q2390" s="45" t="n">
        <f aca="false">IF(D2390="Purchase",E2390*M2390,0)</f>
        <v>1440</v>
      </c>
    </row>
    <row r="2391" customFormat="false" ht="15" hidden="false" customHeight="false" outlineLevel="0" collapsed="false">
      <c r="A2391" s="39" t="s">
        <v>2715</v>
      </c>
      <c r="B2391" s="44" t="n">
        <v>46251</v>
      </c>
      <c r="C2391" s="39" t="s">
        <v>159</v>
      </c>
      <c r="D2391" s="39" t="s">
        <v>138</v>
      </c>
      <c r="E2391" s="39" t="n">
        <v>20</v>
      </c>
      <c r="F2391" s="39" t="str">
        <f aca="false">IF(COUNTIF(medicine_master!$A$2:$A$26,C2391)&gt;0,"Valid","Invalid")</f>
        <v>Valid</v>
      </c>
      <c r="G2391" s="39" t="str">
        <f aca="false">IFERROR(INDEX(medicine_master!$B$2:$B$26,MATCH($C2391,medicine_master!$A$2:$A$26,0)),"Not found")</f>
        <v>Antiseptic Liquid 100ml</v>
      </c>
      <c r="H2391" s="39" t="str">
        <f aca="false">IFERROR(INDEX(medicine_master!$C$2:$C$26,MATCH($C2391,medicine_master!$A$2:$A$26,0)),"Not found")</f>
        <v>First Aid</v>
      </c>
      <c r="I2391" s="39" t="n">
        <f aca="false">YEAR(B2391)</f>
        <v>2026</v>
      </c>
      <c r="J2391" s="39" t="n">
        <f aca="false">MONTH(B2391)</f>
        <v>8</v>
      </c>
      <c r="K2391" s="39" t="str">
        <f aca="false">TEXT(B2391,"mmm")</f>
        <v>Aug</v>
      </c>
      <c r="L2391" s="45" t="n">
        <f aca="false">IFERROR(INDEX(medicine_master!$I$2:$I$26,MATCH($C2391,medicine_master!$A$2:$A$26,0)),0)</f>
        <v>65</v>
      </c>
      <c r="M2391" s="45" t="n">
        <f aca="false">IFERROR(INDEX(medicine_master!$G$2:$G$26,MATCH($C2391,medicine_master!$A$2:$A$26,0)),0)</f>
        <v>48</v>
      </c>
      <c r="N2391" s="45" t="n">
        <f aca="false">IF(D2391="Sale",E2391*L2391,0)</f>
        <v>0</v>
      </c>
      <c r="O2391" s="45" t="n">
        <f aca="false">IF(D2391="Sale",E2391*M2391,0)</f>
        <v>0</v>
      </c>
      <c r="P2391" s="45" t="n">
        <f aca="false">N2391-O2391</f>
        <v>0</v>
      </c>
      <c r="Q2391" s="45" t="n">
        <f aca="false">IF(D2391="Purchase",E2391*M2391,0)</f>
        <v>960</v>
      </c>
    </row>
    <row r="2392" customFormat="false" ht="15" hidden="false" customHeight="false" outlineLevel="0" collapsed="false">
      <c r="A2392" s="39" t="s">
        <v>2716</v>
      </c>
      <c r="B2392" s="44" t="n">
        <v>46098</v>
      </c>
      <c r="C2392" s="39" t="s">
        <v>321</v>
      </c>
      <c r="D2392" s="39" t="s">
        <v>138</v>
      </c>
      <c r="E2392" s="39" t="n">
        <v>10</v>
      </c>
      <c r="F2392" s="39" t="str">
        <f aca="false">IF(COUNTIF(medicine_master!$A$2:$A$26,C2392)&gt;0,"Valid","Invalid")</f>
        <v>Valid</v>
      </c>
      <c r="G2392" s="39" t="str">
        <f aca="false">IFERROR(INDEX(medicine_master!$B$2:$B$26,MATCH($C2392,medicine_master!$A$2:$A$26,0)),"Not found")</f>
        <v>Levocetirizine 5mg</v>
      </c>
      <c r="H2392" s="39" t="str">
        <f aca="false">IFERROR(INDEX(medicine_master!$C$2:$C$26,MATCH($C2392,medicine_master!$A$2:$A$26,0)),"Not found")</f>
        <v>Allergy</v>
      </c>
      <c r="I2392" s="39" t="n">
        <f aca="false">YEAR(B2392)</f>
        <v>2026</v>
      </c>
      <c r="J2392" s="39" t="n">
        <f aca="false">MONTH(B2392)</f>
        <v>3</v>
      </c>
      <c r="K2392" s="39" t="str">
        <f aca="false">TEXT(B2392,"mmm")</f>
        <v>Mar</v>
      </c>
      <c r="L2392" s="45" t="n">
        <f aca="false">IFERROR(INDEX(medicine_master!$I$2:$I$26,MATCH($C2392,medicine_master!$A$2:$A$26,0)),0)</f>
        <v>22</v>
      </c>
      <c r="M2392" s="45" t="n">
        <f aca="false">IFERROR(INDEX(medicine_master!$G$2:$G$26,MATCH($C2392,medicine_master!$A$2:$A$26,0)),0)</f>
        <v>14</v>
      </c>
      <c r="N2392" s="45" t="n">
        <f aca="false">IF(D2392="Sale",E2392*L2392,0)</f>
        <v>0</v>
      </c>
      <c r="O2392" s="45" t="n">
        <f aca="false">IF(D2392="Sale",E2392*M2392,0)</f>
        <v>0</v>
      </c>
      <c r="P2392" s="45" t="n">
        <f aca="false">N2392-O2392</f>
        <v>0</v>
      </c>
      <c r="Q2392" s="45" t="n">
        <f aca="false">IF(D2392="Purchase",E2392*M2392,0)</f>
        <v>140</v>
      </c>
    </row>
    <row r="2393" customFormat="false" ht="15" hidden="false" customHeight="false" outlineLevel="0" collapsed="false">
      <c r="A2393" s="39" t="s">
        <v>2717</v>
      </c>
      <c r="B2393" s="44" t="n">
        <v>46054</v>
      </c>
      <c r="C2393" s="39" t="s">
        <v>144</v>
      </c>
      <c r="D2393" s="39" t="s">
        <v>137</v>
      </c>
      <c r="E2393" s="39" t="n">
        <v>30</v>
      </c>
      <c r="F2393" s="39" t="str">
        <f aca="false">IF(COUNTIF(medicine_master!$A$2:$A$26,C2393)&gt;0,"Valid","Invalid")</f>
        <v>Valid</v>
      </c>
      <c r="G2393" s="39" t="str">
        <f aca="false">IFERROR(INDEX(medicine_master!$B$2:$B$26,MATCH($C2393,medicine_master!$A$2:$A$26,0)),"Not found")</f>
        <v>Glimepiride 2mg</v>
      </c>
      <c r="H2393" s="39" t="str">
        <f aca="false">IFERROR(INDEX(medicine_master!$C$2:$C$26,MATCH($C2393,medicine_master!$A$2:$A$26,0)),"Not found")</f>
        <v>Diabetes</v>
      </c>
      <c r="I2393" s="39" t="n">
        <f aca="false">YEAR(B2393)</f>
        <v>2026</v>
      </c>
      <c r="J2393" s="39" t="n">
        <f aca="false">MONTH(B2393)</f>
        <v>2</v>
      </c>
      <c r="K2393" s="39" t="str">
        <f aca="false">TEXT(B2393,"mmm")</f>
        <v>Feb</v>
      </c>
      <c r="L2393" s="45" t="n">
        <f aca="false">IFERROR(INDEX(medicine_master!$I$2:$I$26,MATCH($C2393,medicine_master!$A$2:$A$26,0)),0)</f>
        <v>52</v>
      </c>
      <c r="M2393" s="45" t="n">
        <f aca="false">IFERROR(INDEX(medicine_master!$G$2:$G$26,MATCH($C2393,medicine_master!$A$2:$A$26,0)),0)</f>
        <v>38</v>
      </c>
      <c r="N2393" s="45" t="n">
        <f aca="false">IF(D2393="Sale",E2393*L2393,0)</f>
        <v>1560</v>
      </c>
      <c r="O2393" s="45" t="n">
        <f aca="false">IF(D2393="Sale",E2393*M2393,0)</f>
        <v>1140</v>
      </c>
      <c r="P2393" s="45" t="n">
        <f aca="false">N2393-O2393</f>
        <v>420</v>
      </c>
      <c r="Q2393" s="45" t="n">
        <f aca="false">IF(D2393="Purchase",E2393*M2393,0)</f>
        <v>0</v>
      </c>
    </row>
    <row r="2394" customFormat="false" ht="15" hidden="false" customHeight="false" outlineLevel="0" collapsed="false">
      <c r="A2394" s="39" t="s">
        <v>2718</v>
      </c>
      <c r="B2394" s="44" t="n">
        <v>46348</v>
      </c>
      <c r="C2394" s="39" t="s">
        <v>157</v>
      </c>
      <c r="D2394" s="39" t="s">
        <v>138</v>
      </c>
      <c r="E2394" s="39" t="n">
        <v>20</v>
      </c>
      <c r="F2394" s="39" t="str">
        <f aca="false">IF(COUNTIF(medicine_master!$A$2:$A$26,C2394)&gt;0,"Valid","Invalid")</f>
        <v>Valid</v>
      </c>
      <c r="G2394" s="39" t="str">
        <f aca="false">IFERROR(INDEX(medicine_master!$B$2:$B$26,MATCH($C2394,medicine_master!$A$2:$A$26,0)),"Not found")</f>
        <v>Multivitamin Tablets</v>
      </c>
      <c r="H2394" s="39" t="str">
        <f aca="false">IFERROR(INDEX(medicine_master!$C$2:$C$26,MATCH($C2394,medicine_master!$A$2:$A$26,0)),"Not found")</f>
        <v>Vitamin</v>
      </c>
      <c r="I2394" s="39" t="n">
        <f aca="false">YEAR(B2394)</f>
        <v>2026</v>
      </c>
      <c r="J2394" s="39" t="n">
        <f aca="false">MONTH(B2394)</f>
        <v>11</v>
      </c>
      <c r="K2394" s="39" t="str">
        <f aca="false">TEXT(B2394,"mmm")</f>
        <v>Nov</v>
      </c>
      <c r="L2394" s="45" t="n">
        <f aca="false">IFERROR(INDEX(medicine_master!$I$2:$I$26,MATCH($C2394,medicine_master!$A$2:$A$26,0)),0)</f>
        <v>105</v>
      </c>
      <c r="M2394" s="45" t="n">
        <f aca="false">IFERROR(INDEX(medicine_master!$G$2:$G$26,MATCH($C2394,medicine_master!$A$2:$A$26,0)),0)</f>
        <v>72</v>
      </c>
      <c r="N2394" s="45" t="n">
        <f aca="false">IF(D2394="Sale",E2394*L2394,0)</f>
        <v>0</v>
      </c>
      <c r="O2394" s="45" t="n">
        <f aca="false">IF(D2394="Sale",E2394*M2394,0)</f>
        <v>0</v>
      </c>
      <c r="P2394" s="45" t="n">
        <f aca="false">N2394-O2394</f>
        <v>0</v>
      </c>
      <c r="Q2394" s="45" t="n">
        <f aca="false">IF(D2394="Purchase",E2394*M2394,0)</f>
        <v>1440</v>
      </c>
    </row>
    <row r="2395" customFormat="false" ht="15" hidden="false" customHeight="false" outlineLevel="0" collapsed="false">
      <c r="A2395" s="39" t="s">
        <v>2719</v>
      </c>
      <c r="B2395" s="44" t="n">
        <v>46317</v>
      </c>
      <c r="C2395" s="39" t="s">
        <v>148</v>
      </c>
      <c r="D2395" s="39" t="s">
        <v>138</v>
      </c>
      <c r="E2395" s="39" t="n">
        <v>20</v>
      </c>
      <c r="F2395" s="39" t="str">
        <f aca="false">IF(COUNTIF(medicine_master!$A$2:$A$26,C2395)&gt;0,"Valid","Invalid")</f>
        <v>Valid</v>
      </c>
      <c r="G2395" s="39" t="str">
        <f aca="false">IFERROR(INDEX(medicine_master!$B$2:$B$26,MATCH($C2395,medicine_master!$A$2:$A$26,0)),"Not found")</f>
        <v>Dextromethorphan Syrup</v>
      </c>
      <c r="H2395" s="39" t="str">
        <f aca="false">IFERROR(INDEX(medicine_master!$C$2:$C$26,MATCH($C2395,medicine_master!$A$2:$A$26,0)),"Not found")</f>
        <v>Cold &amp; Cough</v>
      </c>
      <c r="I2395" s="39" t="n">
        <f aca="false">YEAR(B2395)</f>
        <v>2026</v>
      </c>
      <c r="J2395" s="39" t="n">
        <f aca="false">MONTH(B2395)</f>
        <v>10</v>
      </c>
      <c r="K2395" s="39" t="str">
        <f aca="false">TEXT(B2395,"mmm")</f>
        <v>Oct</v>
      </c>
      <c r="L2395" s="45" t="n">
        <f aca="false">IFERROR(INDEX(medicine_master!$I$2:$I$26,MATCH($C2395,medicine_master!$A$2:$A$26,0)),0)</f>
        <v>80</v>
      </c>
      <c r="M2395" s="45" t="n">
        <f aca="false">IFERROR(INDEX(medicine_master!$G$2:$G$26,MATCH($C2395,medicine_master!$A$2:$A$26,0)),0)</f>
        <v>58</v>
      </c>
      <c r="N2395" s="45" t="n">
        <f aca="false">IF(D2395="Sale",E2395*L2395,0)</f>
        <v>0</v>
      </c>
      <c r="O2395" s="45" t="n">
        <f aca="false">IF(D2395="Sale",E2395*M2395,0)</f>
        <v>0</v>
      </c>
      <c r="P2395" s="45" t="n">
        <f aca="false">N2395-O2395</f>
        <v>0</v>
      </c>
      <c r="Q2395" s="45" t="n">
        <f aca="false">IF(D2395="Purchase",E2395*M2395,0)</f>
        <v>1160</v>
      </c>
    </row>
    <row r="2396" customFormat="false" ht="15" hidden="false" customHeight="false" outlineLevel="0" collapsed="false">
      <c r="A2396" s="39" t="s">
        <v>2720</v>
      </c>
      <c r="B2396" s="44" t="n">
        <v>46197</v>
      </c>
      <c r="C2396" s="39" t="s">
        <v>390</v>
      </c>
      <c r="D2396" s="39" t="s">
        <v>137</v>
      </c>
      <c r="E2396" s="39" t="n">
        <v>5</v>
      </c>
      <c r="F2396" s="39" t="str">
        <f aca="false">IF(COUNTIF(medicine_master!$A$2:$A$26,C2396)&gt;0,"Valid","Invalid")</f>
        <v>Valid</v>
      </c>
      <c r="G2396" s="39" t="str">
        <f aca="false">IFERROR(INDEX(medicine_master!$B$2:$B$26,MATCH($C2396,medicine_master!$A$2:$A$26,0)),"Not found")</f>
        <v>Montelukast 10mg</v>
      </c>
      <c r="H2396" s="39" t="str">
        <f aca="false">IFERROR(INDEX(medicine_master!$C$2:$C$26,MATCH($C2396,medicine_master!$A$2:$A$26,0)),"Not found")</f>
        <v>Allergy</v>
      </c>
      <c r="I2396" s="39" t="n">
        <f aca="false">YEAR(B2396)</f>
        <v>2026</v>
      </c>
      <c r="J2396" s="39" t="n">
        <f aca="false">MONTH(B2396)</f>
        <v>6</v>
      </c>
      <c r="K2396" s="39" t="str">
        <f aca="false">TEXT(B2396,"mmm")</f>
        <v>Jun</v>
      </c>
      <c r="L2396" s="45" t="n">
        <f aca="false">IFERROR(INDEX(medicine_master!$I$2:$I$26,MATCH($C2396,medicine_master!$A$2:$A$26,0)),0)</f>
        <v>39</v>
      </c>
      <c r="M2396" s="45" t="n">
        <f aca="false">IFERROR(INDEX(medicine_master!$G$2:$G$26,MATCH($C2396,medicine_master!$A$2:$A$26,0)),0)</f>
        <v>27</v>
      </c>
      <c r="N2396" s="45" t="n">
        <f aca="false">IF(D2396="Sale",E2396*L2396,0)</f>
        <v>195</v>
      </c>
      <c r="O2396" s="45" t="n">
        <f aca="false">IF(D2396="Sale",E2396*M2396,0)</f>
        <v>135</v>
      </c>
      <c r="P2396" s="45" t="n">
        <f aca="false">N2396-O2396</f>
        <v>60</v>
      </c>
      <c r="Q2396" s="45" t="n">
        <f aca="false">IF(D2396="Purchase",E2396*M2396,0)</f>
        <v>0</v>
      </c>
    </row>
    <row r="2397" customFormat="false" ht="15" hidden="false" customHeight="false" outlineLevel="0" collapsed="false">
      <c r="A2397" s="39" t="s">
        <v>2721</v>
      </c>
      <c r="B2397" s="44" t="n">
        <v>46285</v>
      </c>
      <c r="C2397" s="39" t="s">
        <v>145</v>
      </c>
      <c r="D2397" s="39" t="s">
        <v>137</v>
      </c>
      <c r="E2397" s="39" t="n">
        <v>15</v>
      </c>
      <c r="F2397" s="39" t="str">
        <f aca="false">IF(COUNTIF(medicine_master!$A$2:$A$26,C2397)&gt;0,"Valid","Invalid")</f>
        <v>Valid</v>
      </c>
      <c r="G2397" s="39" t="str">
        <f aca="false">IFERROR(INDEX(medicine_master!$B$2:$B$26,MATCH($C2397,medicine_master!$A$2:$A$26,0)),"Not found")</f>
        <v>Clotrimazole Cream</v>
      </c>
      <c r="H2397" s="39" t="str">
        <f aca="false">IFERROR(INDEX(medicine_master!$C$2:$C$26,MATCH($C2397,medicine_master!$A$2:$A$26,0)),"Not found")</f>
        <v>Dermatology</v>
      </c>
      <c r="I2397" s="39" t="n">
        <f aca="false">YEAR(B2397)</f>
        <v>2026</v>
      </c>
      <c r="J2397" s="39" t="n">
        <f aca="false">MONTH(B2397)</f>
        <v>9</v>
      </c>
      <c r="K2397" s="39" t="str">
        <f aca="false">TEXT(B2397,"mmm")</f>
        <v>Sep</v>
      </c>
      <c r="L2397" s="45" t="n">
        <f aca="false">IFERROR(INDEX(medicine_master!$I$2:$I$26,MATCH($C2397,medicine_master!$A$2:$A$26,0)),0)</f>
        <v>48</v>
      </c>
      <c r="M2397" s="45" t="n">
        <f aca="false">IFERROR(INDEX(medicine_master!$G$2:$G$26,MATCH($C2397,medicine_master!$A$2:$A$26,0)),0)</f>
        <v>32</v>
      </c>
      <c r="N2397" s="45" t="n">
        <f aca="false">IF(D2397="Sale",E2397*L2397,0)</f>
        <v>720</v>
      </c>
      <c r="O2397" s="45" t="n">
        <f aca="false">IF(D2397="Sale",E2397*M2397,0)</f>
        <v>480</v>
      </c>
      <c r="P2397" s="45" t="n">
        <f aca="false">N2397-O2397</f>
        <v>240</v>
      </c>
      <c r="Q2397" s="45" t="n">
        <f aca="false">IF(D2397="Purchase",E2397*M2397,0)</f>
        <v>0</v>
      </c>
    </row>
    <row r="2398" customFormat="false" ht="15" hidden="false" customHeight="false" outlineLevel="0" collapsed="false">
      <c r="A2398" s="39" t="s">
        <v>2722</v>
      </c>
      <c r="B2398" s="44" t="n">
        <v>46365</v>
      </c>
      <c r="C2398" s="39" t="s">
        <v>179</v>
      </c>
      <c r="D2398" s="39" t="s">
        <v>138</v>
      </c>
      <c r="E2398" s="39" t="n">
        <v>30</v>
      </c>
      <c r="F2398" s="39" t="str">
        <f aca="false">IF(COUNTIF(medicine_master!$A$2:$A$26,C2398)&gt;0,"Valid","Invalid")</f>
        <v>Valid</v>
      </c>
      <c r="G2398" s="39" t="str">
        <f aca="false">IFERROR(INDEX(medicine_master!$B$2:$B$26,MATCH($C2398,medicine_master!$A$2:$A$26,0)),"Not found")</f>
        <v>Ibuprofen 400mg</v>
      </c>
      <c r="H2398" s="39" t="str">
        <f aca="false">IFERROR(INDEX(medicine_master!$C$2:$C$26,MATCH($C2398,medicine_master!$A$2:$A$26,0)),"Not found")</f>
        <v>Pain Relief</v>
      </c>
      <c r="I2398" s="39" t="n">
        <f aca="false">YEAR(B2398)</f>
        <v>2026</v>
      </c>
      <c r="J2398" s="39" t="n">
        <f aca="false">MONTH(B2398)</f>
        <v>12</v>
      </c>
      <c r="K2398" s="39" t="str">
        <f aca="false">TEXT(B2398,"mmm")</f>
        <v>Dec</v>
      </c>
      <c r="L2398" s="45" t="n">
        <f aca="false">IFERROR(INDEX(medicine_master!$I$2:$I$26,MATCH($C2398,medicine_master!$A$2:$A$26,0)),0)</f>
        <v>30</v>
      </c>
      <c r="M2398" s="45" t="n">
        <f aca="false">IFERROR(INDEX(medicine_master!$G$2:$G$26,MATCH($C2398,medicine_master!$A$2:$A$26,0)),0)</f>
        <v>22</v>
      </c>
      <c r="N2398" s="45" t="n">
        <f aca="false">IF(D2398="Sale",E2398*L2398,0)</f>
        <v>0</v>
      </c>
      <c r="O2398" s="45" t="n">
        <f aca="false">IF(D2398="Sale",E2398*M2398,0)</f>
        <v>0</v>
      </c>
      <c r="P2398" s="45" t="n">
        <f aca="false">N2398-O2398</f>
        <v>0</v>
      </c>
      <c r="Q2398" s="45" t="n">
        <f aca="false">IF(D2398="Purchase",E2398*M2398,0)</f>
        <v>660</v>
      </c>
    </row>
    <row r="2399" customFormat="false" ht="15" hidden="false" customHeight="false" outlineLevel="0" collapsed="false">
      <c r="A2399" s="39" t="s">
        <v>2723</v>
      </c>
      <c r="B2399" s="44" t="n">
        <v>46088</v>
      </c>
      <c r="C2399" s="39" t="s">
        <v>148</v>
      </c>
      <c r="D2399" s="39" t="s">
        <v>138</v>
      </c>
      <c r="E2399" s="39" t="n">
        <v>25</v>
      </c>
      <c r="F2399" s="39" t="str">
        <f aca="false">IF(COUNTIF(medicine_master!$A$2:$A$26,C2399)&gt;0,"Valid","Invalid")</f>
        <v>Valid</v>
      </c>
      <c r="G2399" s="39" t="str">
        <f aca="false">IFERROR(INDEX(medicine_master!$B$2:$B$26,MATCH($C2399,medicine_master!$A$2:$A$26,0)),"Not found")</f>
        <v>Dextromethorphan Syrup</v>
      </c>
      <c r="H2399" s="39" t="str">
        <f aca="false">IFERROR(INDEX(medicine_master!$C$2:$C$26,MATCH($C2399,medicine_master!$A$2:$A$26,0)),"Not found")</f>
        <v>Cold &amp; Cough</v>
      </c>
      <c r="I2399" s="39" t="n">
        <f aca="false">YEAR(B2399)</f>
        <v>2026</v>
      </c>
      <c r="J2399" s="39" t="n">
        <f aca="false">MONTH(B2399)</f>
        <v>3</v>
      </c>
      <c r="K2399" s="39" t="str">
        <f aca="false">TEXT(B2399,"mmm")</f>
        <v>Mar</v>
      </c>
      <c r="L2399" s="45" t="n">
        <f aca="false">IFERROR(INDEX(medicine_master!$I$2:$I$26,MATCH($C2399,medicine_master!$A$2:$A$26,0)),0)</f>
        <v>80</v>
      </c>
      <c r="M2399" s="45" t="n">
        <f aca="false">IFERROR(INDEX(medicine_master!$G$2:$G$26,MATCH($C2399,medicine_master!$A$2:$A$26,0)),0)</f>
        <v>58</v>
      </c>
      <c r="N2399" s="45" t="n">
        <f aca="false">IF(D2399="Sale",E2399*L2399,0)</f>
        <v>0</v>
      </c>
      <c r="O2399" s="45" t="n">
        <f aca="false">IF(D2399="Sale",E2399*M2399,0)</f>
        <v>0</v>
      </c>
      <c r="P2399" s="45" t="n">
        <f aca="false">N2399-O2399</f>
        <v>0</v>
      </c>
      <c r="Q2399" s="45" t="n">
        <f aca="false">IF(D2399="Purchase",E2399*M2399,0)</f>
        <v>1450</v>
      </c>
    </row>
    <row r="2400" customFormat="false" ht="15" hidden="false" customHeight="false" outlineLevel="0" collapsed="false">
      <c r="A2400" s="39" t="s">
        <v>2724</v>
      </c>
      <c r="B2400" s="44" t="n">
        <v>46357</v>
      </c>
      <c r="C2400" s="39" t="s">
        <v>150</v>
      </c>
      <c r="D2400" s="39" t="s">
        <v>138</v>
      </c>
      <c r="E2400" s="39" t="n">
        <v>20</v>
      </c>
      <c r="F2400" s="39" t="str">
        <f aca="false">IF(COUNTIF(medicine_master!$A$2:$A$26,C2400)&gt;0,"Valid","Invalid")</f>
        <v>Valid</v>
      </c>
      <c r="G2400" s="39" t="str">
        <f aca="false">IFERROR(INDEX(medicine_master!$B$2:$B$26,MATCH($C2400,medicine_master!$A$2:$A$26,0)),"Not found")</f>
        <v>Pantoprazole 40mg</v>
      </c>
      <c r="H2400" s="39" t="str">
        <f aca="false">IFERROR(INDEX(medicine_master!$C$2:$C$26,MATCH($C2400,medicine_master!$A$2:$A$26,0)),"Not found")</f>
        <v>Gastric</v>
      </c>
      <c r="I2400" s="39" t="n">
        <f aca="false">YEAR(B2400)</f>
        <v>2026</v>
      </c>
      <c r="J2400" s="39" t="n">
        <f aca="false">MONTH(B2400)</f>
        <v>12</v>
      </c>
      <c r="K2400" s="39" t="str">
        <f aca="false">TEXT(B2400,"mmm")</f>
        <v>Dec</v>
      </c>
      <c r="L2400" s="45" t="n">
        <f aca="false">IFERROR(INDEX(medicine_master!$I$2:$I$26,MATCH($C2400,medicine_master!$A$2:$A$26,0)),0)</f>
        <v>35</v>
      </c>
      <c r="M2400" s="45" t="n">
        <f aca="false">IFERROR(INDEX(medicine_master!$G$2:$G$26,MATCH($C2400,medicine_master!$A$2:$A$26,0)),0)</f>
        <v>24</v>
      </c>
      <c r="N2400" s="45" t="n">
        <f aca="false">IF(D2400="Sale",E2400*L2400,0)</f>
        <v>0</v>
      </c>
      <c r="O2400" s="45" t="n">
        <f aca="false">IF(D2400="Sale",E2400*M2400,0)</f>
        <v>0</v>
      </c>
      <c r="P2400" s="45" t="n">
        <f aca="false">N2400-O2400</f>
        <v>0</v>
      </c>
      <c r="Q2400" s="45" t="n">
        <f aca="false">IF(D2400="Purchase",E2400*M2400,0)</f>
        <v>480</v>
      </c>
    </row>
    <row r="2401" customFormat="false" ht="15" hidden="false" customHeight="false" outlineLevel="0" collapsed="false">
      <c r="A2401" s="39" t="s">
        <v>2725</v>
      </c>
      <c r="B2401" s="44" t="n">
        <v>46237</v>
      </c>
      <c r="C2401" s="39" t="s">
        <v>145</v>
      </c>
      <c r="D2401" s="39" t="s">
        <v>137</v>
      </c>
      <c r="E2401" s="39" t="n">
        <v>30</v>
      </c>
      <c r="F2401" s="39" t="str">
        <f aca="false">IF(COUNTIF(medicine_master!$A$2:$A$26,C2401)&gt;0,"Valid","Invalid")</f>
        <v>Valid</v>
      </c>
      <c r="G2401" s="39" t="str">
        <f aca="false">IFERROR(INDEX(medicine_master!$B$2:$B$26,MATCH($C2401,medicine_master!$A$2:$A$26,0)),"Not found")</f>
        <v>Clotrimazole Cream</v>
      </c>
      <c r="H2401" s="39" t="str">
        <f aca="false">IFERROR(INDEX(medicine_master!$C$2:$C$26,MATCH($C2401,medicine_master!$A$2:$A$26,0)),"Not found")</f>
        <v>Dermatology</v>
      </c>
      <c r="I2401" s="39" t="n">
        <f aca="false">YEAR(B2401)</f>
        <v>2026</v>
      </c>
      <c r="J2401" s="39" t="n">
        <f aca="false">MONTH(B2401)</f>
        <v>8</v>
      </c>
      <c r="K2401" s="39" t="str">
        <f aca="false">TEXT(B2401,"mmm")</f>
        <v>Aug</v>
      </c>
      <c r="L2401" s="45" t="n">
        <f aca="false">IFERROR(INDEX(medicine_master!$I$2:$I$26,MATCH($C2401,medicine_master!$A$2:$A$26,0)),0)</f>
        <v>48</v>
      </c>
      <c r="M2401" s="45" t="n">
        <f aca="false">IFERROR(INDEX(medicine_master!$G$2:$G$26,MATCH($C2401,medicine_master!$A$2:$A$26,0)),0)</f>
        <v>32</v>
      </c>
      <c r="N2401" s="45" t="n">
        <f aca="false">IF(D2401="Sale",E2401*L2401,0)</f>
        <v>1440</v>
      </c>
      <c r="O2401" s="45" t="n">
        <f aca="false">IF(D2401="Sale",E2401*M2401,0)</f>
        <v>960</v>
      </c>
      <c r="P2401" s="45" t="n">
        <f aca="false">N2401-O2401</f>
        <v>480</v>
      </c>
      <c r="Q2401" s="45" t="n">
        <f aca="false">IF(D2401="Purchase",E2401*M2401,0)</f>
        <v>0</v>
      </c>
    </row>
    <row r="2402" customFormat="false" ht="15" hidden="false" customHeight="false" outlineLevel="0" collapsed="false">
      <c r="A2402" s="39" t="s">
        <v>2726</v>
      </c>
      <c r="B2402" s="44" t="n">
        <v>46314</v>
      </c>
      <c r="C2402" s="39" t="s">
        <v>177</v>
      </c>
      <c r="D2402" s="39" t="s">
        <v>137</v>
      </c>
      <c r="E2402" s="39" t="n">
        <v>20</v>
      </c>
      <c r="F2402" s="39" t="str">
        <f aca="false">IF(COUNTIF(medicine_master!$A$2:$A$26,C2402)&gt;0,"Valid","Invalid")</f>
        <v>Valid</v>
      </c>
      <c r="G2402" s="39" t="str">
        <f aca="false">IFERROR(INDEX(medicine_master!$B$2:$B$26,MATCH($C2402,medicine_master!$A$2:$A$26,0)),"Not found")</f>
        <v>Bandage Roll</v>
      </c>
      <c r="H2402" s="39" t="str">
        <f aca="false">IFERROR(INDEX(medicine_master!$C$2:$C$26,MATCH($C2402,medicine_master!$A$2:$A$26,0)),"Not found")</f>
        <v>First Aid</v>
      </c>
      <c r="I2402" s="39" t="n">
        <f aca="false">YEAR(B2402)</f>
        <v>2026</v>
      </c>
      <c r="J2402" s="39" t="n">
        <f aca="false">MONTH(B2402)</f>
        <v>10</v>
      </c>
      <c r="K2402" s="39" t="str">
        <f aca="false">TEXT(B2402,"mmm")</f>
        <v>Oct</v>
      </c>
      <c r="L2402" s="45" t="n">
        <f aca="false">IFERROR(INDEX(medicine_master!$I$2:$I$26,MATCH($C2402,medicine_master!$A$2:$A$26,0)),0)</f>
        <v>25</v>
      </c>
      <c r="M2402" s="45" t="n">
        <f aca="false">IFERROR(INDEX(medicine_master!$G$2:$G$26,MATCH($C2402,medicine_master!$A$2:$A$26,0)),0)</f>
        <v>15</v>
      </c>
      <c r="N2402" s="45" t="n">
        <f aca="false">IF(D2402="Sale",E2402*L2402,0)</f>
        <v>500</v>
      </c>
      <c r="O2402" s="45" t="n">
        <f aca="false">IF(D2402="Sale",E2402*M2402,0)</f>
        <v>300</v>
      </c>
      <c r="P2402" s="45" t="n">
        <f aca="false">N2402-O2402</f>
        <v>200</v>
      </c>
      <c r="Q2402" s="45" t="n">
        <f aca="false">IF(D2402="Purchase",E2402*M2402,0)</f>
        <v>0</v>
      </c>
    </row>
    <row r="2403" customFormat="false" ht="15" hidden="false" customHeight="false" outlineLevel="0" collapsed="false">
      <c r="A2403" s="39" t="s">
        <v>2727</v>
      </c>
      <c r="B2403" s="44" t="n">
        <v>46348</v>
      </c>
      <c r="C2403" s="39" t="s">
        <v>150</v>
      </c>
      <c r="D2403" s="39" t="s">
        <v>138</v>
      </c>
      <c r="E2403" s="39" t="n">
        <v>15</v>
      </c>
      <c r="F2403" s="39" t="str">
        <f aca="false">IF(COUNTIF(medicine_master!$A$2:$A$26,C2403)&gt;0,"Valid","Invalid")</f>
        <v>Valid</v>
      </c>
      <c r="G2403" s="39" t="str">
        <f aca="false">IFERROR(INDEX(medicine_master!$B$2:$B$26,MATCH($C2403,medicine_master!$A$2:$A$26,0)),"Not found")</f>
        <v>Pantoprazole 40mg</v>
      </c>
      <c r="H2403" s="39" t="str">
        <f aca="false">IFERROR(INDEX(medicine_master!$C$2:$C$26,MATCH($C2403,medicine_master!$A$2:$A$26,0)),"Not found")</f>
        <v>Gastric</v>
      </c>
      <c r="I2403" s="39" t="n">
        <f aca="false">YEAR(B2403)</f>
        <v>2026</v>
      </c>
      <c r="J2403" s="39" t="n">
        <f aca="false">MONTH(B2403)</f>
        <v>11</v>
      </c>
      <c r="K2403" s="39" t="str">
        <f aca="false">TEXT(B2403,"mmm")</f>
        <v>Nov</v>
      </c>
      <c r="L2403" s="45" t="n">
        <f aca="false">IFERROR(INDEX(medicine_master!$I$2:$I$26,MATCH($C2403,medicine_master!$A$2:$A$26,0)),0)</f>
        <v>35</v>
      </c>
      <c r="M2403" s="45" t="n">
        <f aca="false">IFERROR(INDEX(medicine_master!$G$2:$G$26,MATCH($C2403,medicine_master!$A$2:$A$26,0)),0)</f>
        <v>24</v>
      </c>
      <c r="N2403" s="45" t="n">
        <f aca="false">IF(D2403="Sale",E2403*L2403,0)</f>
        <v>0</v>
      </c>
      <c r="O2403" s="45" t="n">
        <f aca="false">IF(D2403="Sale",E2403*M2403,0)</f>
        <v>0</v>
      </c>
      <c r="P2403" s="45" t="n">
        <f aca="false">N2403-O2403</f>
        <v>0</v>
      </c>
      <c r="Q2403" s="45" t="n">
        <f aca="false">IF(D2403="Purchase",E2403*M2403,0)</f>
        <v>360</v>
      </c>
    </row>
    <row r="2404" customFormat="false" ht="15" hidden="false" customHeight="false" outlineLevel="0" collapsed="false">
      <c r="A2404" s="39" t="s">
        <v>2728</v>
      </c>
      <c r="B2404" s="44" t="n">
        <v>46099</v>
      </c>
      <c r="C2404" s="39" t="s">
        <v>177</v>
      </c>
      <c r="D2404" s="39" t="s">
        <v>138</v>
      </c>
      <c r="E2404" s="39" t="n">
        <v>25</v>
      </c>
      <c r="F2404" s="39" t="str">
        <f aca="false">IF(COUNTIF(medicine_master!$A$2:$A$26,C2404)&gt;0,"Valid","Invalid")</f>
        <v>Valid</v>
      </c>
      <c r="G2404" s="39" t="str">
        <f aca="false">IFERROR(INDEX(medicine_master!$B$2:$B$26,MATCH($C2404,medicine_master!$A$2:$A$26,0)),"Not found")</f>
        <v>Bandage Roll</v>
      </c>
      <c r="H2404" s="39" t="str">
        <f aca="false">IFERROR(INDEX(medicine_master!$C$2:$C$26,MATCH($C2404,medicine_master!$A$2:$A$26,0)),"Not found")</f>
        <v>First Aid</v>
      </c>
      <c r="I2404" s="39" t="n">
        <f aca="false">YEAR(B2404)</f>
        <v>2026</v>
      </c>
      <c r="J2404" s="39" t="n">
        <f aca="false">MONTH(B2404)</f>
        <v>3</v>
      </c>
      <c r="K2404" s="39" t="str">
        <f aca="false">TEXT(B2404,"mmm")</f>
        <v>Mar</v>
      </c>
      <c r="L2404" s="45" t="n">
        <f aca="false">IFERROR(INDEX(medicine_master!$I$2:$I$26,MATCH($C2404,medicine_master!$A$2:$A$26,0)),0)</f>
        <v>25</v>
      </c>
      <c r="M2404" s="45" t="n">
        <f aca="false">IFERROR(INDEX(medicine_master!$G$2:$G$26,MATCH($C2404,medicine_master!$A$2:$A$26,0)),0)</f>
        <v>15</v>
      </c>
      <c r="N2404" s="45" t="n">
        <f aca="false">IF(D2404="Sale",E2404*L2404,0)</f>
        <v>0</v>
      </c>
      <c r="O2404" s="45" t="n">
        <f aca="false">IF(D2404="Sale",E2404*M2404,0)</f>
        <v>0</v>
      </c>
      <c r="P2404" s="45" t="n">
        <f aca="false">N2404-O2404</f>
        <v>0</v>
      </c>
      <c r="Q2404" s="45" t="n">
        <f aca="false">IF(D2404="Purchase",E2404*M2404,0)</f>
        <v>375</v>
      </c>
    </row>
    <row r="2405" customFormat="false" ht="15" hidden="false" customHeight="false" outlineLevel="0" collapsed="false">
      <c r="A2405" s="39" t="s">
        <v>2729</v>
      </c>
      <c r="B2405" s="44" t="n">
        <v>46353</v>
      </c>
      <c r="C2405" s="39" t="s">
        <v>147</v>
      </c>
      <c r="D2405" s="39" t="s">
        <v>137</v>
      </c>
      <c r="E2405" s="39" t="n">
        <v>10</v>
      </c>
      <c r="F2405" s="39" t="str">
        <f aca="false">IF(COUNTIF(medicine_master!$A$2:$A$26,C2405)&gt;0,"Valid","Invalid")</f>
        <v>Valid</v>
      </c>
      <c r="G2405" s="39" t="str">
        <f aca="false">IFERROR(INDEX(medicine_master!$B$2:$B$26,MATCH($C2405,medicine_master!$A$2:$A$26,0)),"Not found")</f>
        <v>Insulin Injection</v>
      </c>
      <c r="H2405" s="39" t="str">
        <f aca="false">IFERROR(INDEX(medicine_master!$C$2:$C$26,MATCH($C2405,medicine_master!$A$2:$A$26,0)),"Not found")</f>
        <v>Diabetes</v>
      </c>
      <c r="I2405" s="39" t="n">
        <f aca="false">YEAR(B2405)</f>
        <v>2026</v>
      </c>
      <c r="J2405" s="39" t="n">
        <f aca="false">MONTH(B2405)</f>
        <v>11</v>
      </c>
      <c r="K2405" s="39" t="str">
        <f aca="false">TEXT(B2405,"mmm")</f>
        <v>Nov</v>
      </c>
      <c r="L2405" s="45" t="n">
        <f aca="false">IFERROR(INDEX(medicine_master!$I$2:$I$26,MATCH($C2405,medicine_master!$A$2:$A$26,0)),0)</f>
        <v>225</v>
      </c>
      <c r="M2405" s="45" t="n">
        <f aca="false">IFERROR(INDEX(medicine_master!$G$2:$G$26,MATCH($C2405,medicine_master!$A$2:$A$26,0)),0)</f>
        <v>165</v>
      </c>
      <c r="N2405" s="45" t="n">
        <f aca="false">IF(D2405="Sale",E2405*L2405,0)</f>
        <v>2250</v>
      </c>
      <c r="O2405" s="45" t="n">
        <f aca="false">IF(D2405="Sale",E2405*M2405,0)</f>
        <v>1650</v>
      </c>
      <c r="P2405" s="45" t="n">
        <f aca="false">N2405-O2405</f>
        <v>600</v>
      </c>
      <c r="Q2405" s="45" t="n">
        <f aca="false">IF(D2405="Purchase",E2405*M2405,0)</f>
        <v>0</v>
      </c>
    </row>
    <row r="2406" customFormat="false" ht="15" hidden="false" customHeight="false" outlineLevel="0" collapsed="false">
      <c r="A2406" s="39" t="s">
        <v>2730</v>
      </c>
      <c r="B2406" s="44" t="n">
        <v>46147</v>
      </c>
      <c r="C2406" s="39" t="s">
        <v>345</v>
      </c>
      <c r="D2406" s="39" t="s">
        <v>138</v>
      </c>
      <c r="E2406" s="39" t="n">
        <v>30</v>
      </c>
      <c r="F2406" s="39" t="str">
        <f aca="false">IF(COUNTIF(medicine_master!$A$2:$A$26,C2406)&gt;0,"Valid","Invalid")</f>
        <v>Valid</v>
      </c>
      <c r="G2406" s="39" t="str">
        <f aca="false">IFERROR(INDEX(medicine_master!$B$2:$B$26,MATCH($C2406,medicine_master!$A$2:$A$26,0)),"Not found")</f>
        <v>Paracetamol 500mg</v>
      </c>
      <c r="H2406" s="39" t="str">
        <f aca="false">IFERROR(INDEX(medicine_master!$C$2:$C$26,MATCH($C2406,medicine_master!$A$2:$A$26,0)),"Not found")</f>
        <v>Pain Relief</v>
      </c>
      <c r="I2406" s="39" t="n">
        <f aca="false">YEAR(B2406)</f>
        <v>2026</v>
      </c>
      <c r="J2406" s="39" t="n">
        <f aca="false">MONTH(B2406)</f>
        <v>5</v>
      </c>
      <c r="K2406" s="39" t="str">
        <f aca="false">TEXT(B2406,"mmm")</f>
        <v>May</v>
      </c>
      <c r="L2406" s="45" t="n">
        <f aca="false">IFERROR(INDEX(medicine_master!$I$2:$I$26,MATCH($C2406,medicine_master!$A$2:$A$26,0)),0)</f>
        <v>18</v>
      </c>
      <c r="M2406" s="45" t="n">
        <f aca="false">IFERROR(INDEX(medicine_master!$G$2:$G$26,MATCH($C2406,medicine_master!$A$2:$A$26,0)),0)</f>
        <v>12</v>
      </c>
      <c r="N2406" s="45" t="n">
        <f aca="false">IF(D2406="Sale",E2406*L2406,0)</f>
        <v>0</v>
      </c>
      <c r="O2406" s="45" t="n">
        <f aca="false">IF(D2406="Sale",E2406*M2406,0)</f>
        <v>0</v>
      </c>
      <c r="P2406" s="45" t="n">
        <f aca="false">N2406-O2406</f>
        <v>0</v>
      </c>
      <c r="Q2406" s="45" t="n">
        <f aca="false">IF(D2406="Purchase",E2406*M2406,0)</f>
        <v>360</v>
      </c>
    </row>
    <row r="2407" customFormat="false" ht="15" hidden="false" customHeight="false" outlineLevel="0" collapsed="false">
      <c r="A2407" s="39" t="s">
        <v>2731</v>
      </c>
      <c r="B2407" s="44" t="n">
        <v>46354</v>
      </c>
      <c r="C2407" s="39" t="s">
        <v>153</v>
      </c>
      <c r="D2407" s="39" t="s">
        <v>137</v>
      </c>
      <c r="E2407" s="39" t="n">
        <v>50</v>
      </c>
      <c r="F2407" s="39" t="str">
        <f aca="false">IF(COUNTIF(medicine_master!$A$2:$A$26,C2407)&gt;0,"Valid","Invalid")</f>
        <v>Valid</v>
      </c>
      <c r="G2407" s="39" t="str">
        <f aca="false">IFERROR(INDEX(medicine_master!$B$2:$B$26,MATCH($C2407,medicine_master!$A$2:$A$26,0)),"Not found")</f>
        <v>Atorvastatin 10mg</v>
      </c>
      <c r="H2407" s="39" t="str">
        <f aca="false">IFERROR(INDEX(medicine_master!$C$2:$C$26,MATCH($C2407,medicine_master!$A$2:$A$26,0)),"Not found")</f>
        <v>Cardiac</v>
      </c>
      <c r="I2407" s="39" t="n">
        <f aca="false">YEAR(B2407)</f>
        <v>2026</v>
      </c>
      <c r="J2407" s="39" t="n">
        <f aca="false">MONTH(B2407)</f>
        <v>11</v>
      </c>
      <c r="K2407" s="39" t="str">
        <f aca="false">TEXT(B2407,"mmm")</f>
        <v>Nov</v>
      </c>
      <c r="L2407" s="45" t="n">
        <f aca="false">IFERROR(INDEX(medicine_master!$I$2:$I$26,MATCH($C2407,medicine_master!$A$2:$A$26,0)),0)</f>
        <v>28</v>
      </c>
      <c r="M2407" s="45" t="n">
        <f aca="false">IFERROR(INDEX(medicine_master!$G$2:$G$26,MATCH($C2407,medicine_master!$A$2:$A$26,0)),0)</f>
        <v>19</v>
      </c>
      <c r="N2407" s="45" t="n">
        <f aca="false">IF(D2407="Sale",E2407*L2407,0)</f>
        <v>1400</v>
      </c>
      <c r="O2407" s="45" t="n">
        <f aca="false">IF(D2407="Sale",E2407*M2407,0)</f>
        <v>950</v>
      </c>
      <c r="P2407" s="45" t="n">
        <f aca="false">N2407-O2407</f>
        <v>450</v>
      </c>
      <c r="Q2407" s="45" t="n">
        <f aca="false">IF(D2407="Purchase",E2407*M2407,0)</f>
        <v>0</v>
      </c>
    </row>
    <row r="2408" customFormat="false" ht="15" hidden="false" customHeight="false" outlineLevel="0" collapsed="false">
      <c r="A2408" s="39" t="s">
        <v>2732</v>
      </c>
      <c r="B2408" s="44" t="n">
        <v>46178</v>
      </c>
      <c r="C2408" s="39" t="s">
        <v>180</v>
      </c>
      <c r="D2408" s="39" t="s">
        <v>137</v>
      </c>
      <c r="E2408" s="39" t="n">
        <v>20</v>
      </c>
      <c r="F2408" s="39" t="str">
        <f aca="false">IF(COUNTIF(medicine_master!$A$2:$A$26,C2408)&gt;0,"Valid","Invalid")</f>
        <v>Valid</v>
      </c>
      <c r="G2408" s="39" t="str">
        <f aca="false">IFERROR(INDEX(medicine_master!$B$2:$B$26,MATCH($C2408,medicine_master!$A$2:$A$26,0)),"Not found")</f>
        <v>Vitamin C 500mg</v>
      </c>
      <c r="H2408" s="39" t="str">
        <f aca="false">IFERROR(INDEX(medicine_master!$C$2:$C$26,MATCH($C2408,medicine_master!$A$2:$A$26,0)),"Not found")</f>
        <v>Vitamin</v>
      </c>
      <c r="I2408" s="39" t="n">
        <f aca="false">YEAR(B2408)</f>
        <v>2026</v>
      </c>
      <c r="J2408" s="39" t="n">
        <f aca="false">MONTH(B2408)</f>
        <v>6</v>
      </c>
      <c r="K2408" s="39" t="str">
        <f aca="false">TEXT(B2408,"mmm")</f>
        <v>Jun</v>
      </c>
      <c r="L2408" s="45" t="n">
        <f aca="false">IFERROR(INDEX(medicine_master!$I$2:$I$26,MATCH($C2408,medicine_master!$A$2:$A$26,0)),0)</f>
        <v>22</v>
      </c>
      <c r="M2408" s="45" t="n">
        <f aca="false">IFERROR(INDEX(medicine_master!$G$2:$G$26,MATCH($C2408,medicine_master!$A$2:$A$26,0)),0)</f>
        <v>14</v>
      </c>
      <c r="N2408" s="45" t="n">
        <f aca="false">IF(D2408="Sale",E2408*L2408,0)</f>
        <v>440</v>
      </c>
      <c r="O2408" s="45" t="n">
        <f aca="false">IF(D2408="Sale",E2408*M2408,0)</f>
        <v>280</v>
      </c>
      <c r="P2408" s="45" t="n">
        <f aca="false">N2408-O2408</f>
        <v>160</v>
      </c>
      <c r="Q2408" s="45" t="n">
        <f aca="false">IF(D2408="Purchase",E2408*M2408,0)</f>
        <v>0</v>
      </c>
    </row>
    <row r="2409" customFormat="false" ht="15" hidden="false" customHeight="false" outlineLevel="0" collapsed="false">
      <c r="A2409" s="39" t="s">
        <v>2733</v>
      </c>
      <c r="B2409" s="44" t="n">
        <v>46250</v>
      </c>
      <c r="C2409" s="39" t="s">
        <v>179</v>
      </c>
      <c r="D2409" s="39" t="s">
        <v>137</v>
      </c>
      <c r="E2409" s="39" t="n">
        <v>25</v>
      </c>
      <c r="F2409" s="39" t="str">
        <f aca="false">IF(COUNTIF(medicine_master!$A$2:$A$26,C2409)&gt;0,"Valid","Invalid")</f>
        <v>Valid</v>
      </c>
      <c r="G2409" s="39" t="str">
        <f aca="false">IFERROR(INDEX(medicine_master!$B$2:$B$26,MATCH($C2409,medicine_master!$A$2:$A$26,0)),"Not found")</f>
        <v>Ibuprofen 400mg</v>
      </c>
      <c r="H2409" s="39" t="str">
        <f aca="false">IFERROR(INDEX(medicine_master!$C$2:$C$26,MATCH($C2409,medicine_master!$A$2:$A$26,0)),"Not found")</f>
        <v>Pain Relief</v>
      </c>
      <c r="I2409" s="39" t="n">
        <f aca="false">YEAR(B2409)</f>
        <v>2026</v>
      </c>
      <c r="J2409" s="39" t="n">
        <f aca="false">MONTH(B2409)</f>
        <v>8</v>
      </c>
      <c r="K2409" s="39" t="str">
        <f aca="false">TEXT(B2409,"mmm")</f>
        <v>Aug</v>
      </c>
      <c r="L2409" s="45" t="n">
        <f aca="false">IFERROR(INDEX(medicine_master!$I$2:$I$26,MATCH($C2409,medicine_master!$A$2:$A$26,0)),0)</f>
        <v>30</v>
      </c>
      <c r="M2409" s="45" t="n">
        <f aca="false">IFERROR(INDEX(medicine_master!$G$2:$G$26,MATCH($C2409,medicine_master!$A$2:$A$26,0)),0)</f>
        <v>22</v>
      </c>
      <c r="N2409" s="45" t="n">
        <f aca="false">IF(D2409="Sale",E2409*L2409,0)</f>
        <v>750</v>
      </c>
      <c r="O2409" s="45" t="n">
        <f aca="false">IF(D2409="Sale",E2409*M2409,0)</f>
        <v>550</v>
      </c>
      <c r="P2409" s="45" t="n">
        <f aca="false">N2409-O2409</f>
        <v>200</v>
      </c>
      <c r="Q2409" s="45" t="n">
        <f aca="false">IF(D2409="Purchase",E2409*M2409,0)</f>
        <v>0</v>
      </c>
    </row>
    <row r="2410" customFormat="false" ht="15" hidden="false" customHeight="false" outlineLevel="0" collapsed="false">
      <c r="A2410" s="39" t="s">
        <v>2734</v>
      </c>
      <c r="B2410" s="44" t="n">
        <v>46038</v>
      </c>
      <c r="C2410" s="39" t="s">
        <v>321</v>
      </c>
      <c r="D2410" s="39" t="s">
        <v>137</v>
      </c>
      <c r="E2410" s="39" t="n">
        <v>25</v>
      </c>
      <c r="F2410" s="39" t="str">
        <f aca="false">IF(COUNTIF(medicine_master!$A$2:$A$26,C2410)&gt;0,"Valid","Invalid")</f>
        <v>Valid</v>
      </c>
      <c r="G2410" s="39" t="str">
        <f aca="false">IFERROR(INDEX(medicine_master!$B$2:$B$26,MATCH($C2410,medicine_master!$A$2:$A$26,0)),"Not found")</f>
        <v>Levocetirizine 5mg</v>
      </c>
      <c r="H2410" s="39" t="str">
        <f aca="false">IFERROR(INDEX(medicine_master!$C$2:$C$26,MATCH($C2410,medicine_master!$A$2:$A$26,0)),"Not found")</f>
        <v>Allergy</v>
      </c>
      <c r="I2410" s="39" t="n">
        <f aca="false">YEAR(B2410)</f>
        <v>2026</v>
      </c>
      <c r="J2410" s="39" t="n">
        <f aca="false">MONTH(B2410)</f>
        <v>1</v>
      </c>
      <c r="K2410" s="39" t="str">
        <f aca="false">TEXT(B2410,"mmm")</f>
        <v>Jan</v>
      </c>
      <c r="L2410" s="45" t="n">
        <f aca="false">IFERROR(INDEX(medicine_master!$I$2:$I$26,MATCH($C2410,medicine_master!$A$2:$A$26,0)),0)</f>
        <v>22</v>
      </c>
      <c r="M2410" s="45" t="n">
        <f aca="false">IFERROR(INDEX(medicine_master!$G$2:$G$26,MATCH($C2410,medicine_master!$A$2:$A$26,0)),0)</f>
        <v>14</v>
      </c>
      <c r="N2410" s="45" t="n">
        <f aca="false">IF(D2410="Sale",E2410*L2410,0)</f>
        <v>550</v>
      </c>
      <c r="O2410" s="45" t="n">
        <f aca="false">IF(D2410="Sale",E2410*M2410,0)</f>
        <v>350</v>
      </c>
      <c r="P2410" s="45" t="n">
        <f aca="false">N2410-O2410</f>
        <v>200</v>
      </c>
      <c r="Q2410" s="45" t="n">
        <f aca="false">IF(D2410="Purchase",E2410*M2410,0)</f>
        <v>0</v>
      </c>
    </row>
    <row r="2411" customFormat="false" ht="15" hidden="false" customHeight="false" outlineLevel="0" collapsed="false">
      <c r="A2411" s="39" t="s">
        <v>2735</v>
      </c>
      <c r="B2411" s="44" t="n">
        <v>46300</v>
      </c>
      <c r="C2411" s="39" t="s">
        <v>149</v>
      </c>
      <c r="D2411" s="39" t="s">
        <v>138</v>
      </c>
      <c r="E2411" s="39" t="n">
        <v>30</v>
      </c>
      <c r="F2411" s="39" t="str">
        <f aca="false">IF(COUNTIF(medicine_master!$A$2:$A$26,C2411)&gt;0,"Valid","Invalid")</f>
        <v>Valid</v>
      </c>
      <c r="G2411" s="39" t="str">
        <f aca="false">IFERROR(INDEX(medicine_master!$B$2:$B$26,MATCH($C2411,medicine_master!$A$2:$A$26,0)),"Not found")</f>
        <v>Azithromycin 500mg</v>
      </c>
      <c r="H2411" s="39" t="str">
        <f aca="false">IFERROR(INDEX(medicine_master!$C$2:$C$26,MATCH($C2411,medicine_master!$A$2:$A$26,0)),"Not found")</f>
        <v>Antibiotic</v>
      </c>
      <c r="I2411" s="39" t="n">
        <f aca="false">YEAR(B2411)</f>
        <v>2026</v>
      </c>
      <c r="J2411" s="39" t="n">
        <f aca="false">MONTH(B2411)</f>
        <v>10</v>
      </c>
      <c r="K2411" s="39" t="str">
        <f aca="false">TEXT(B2411,"mmm")</f>
        <v>Oct</v>
      </c>
      <c r="L2411" s="45" t="n">
        <f aca="false">IFERROR(INDEX(medicine_master!$I$2:$I$26,MATCH($C2411,medicine_master!$A$2:$A$26,0)),0)</f>
        <v>50</v>
      </c>
      <c r="M2411" s="45" t="n">
        <f aca="false">IFERROR(INDEX(medicine_master!$G$2:$G$26,MATCH($C2411,medicine_master!$A$2:$A$26,0)),0)</f>
        <v>35</v>
      </c>
      <c r="N2411" s="45" t="n">
        <f aca="false">IF(D2411="Sale",E2411*L2411,0)</f>
        <v>0</v>
      </c>
      <c r="O2411" s="45" t="n">
        <f aca="false">IF(D2411="Sale",E2411*M2411,0)</f>
        <v>0</v>
      </c>
      <c r="P2411" s="45" t="n">
        <f aca="false">N2411-O2411</f>
        <v>0</v>
      </c>
      <c r="Q2411" s="45" t="n">
        <f aca="false">IF(D2411="Purchase",E2411*M2411,0)</f>
        <v>1050</v>
      </c>
    </row>
    <row r="2412" customFormat="false" ht="15" hidden="false" customHeight="false" outlineLevel="0" collapsed="false">
      <c r="A2412" s="39" t="s">
        <v>2736</v>
      </c>
      <c r="B2412" s="44" t="n">
        <v>46332</v>
      </c>
      <c r="C2412" s="39" t="s">
        <v>178</v>
      </c>
      <c r="D2412" s="39" t="s">
        <v>137</v>
      </c>
      <c r="E2412" s="39" t="n">
        <v>50</v>
      </c>
      <c r="F2412" s="39" t="str">
        <f aca="false">IF(COUNTIF(medicine_master!$A$2:$A$26,C2412)&gt;0,"Valid","Invalid")</f>
        <v>Valid</v>
      </c>
      <c r="G2412" s="39" t="str">
        <f aca="false">IFERROR(INDEX(medicine_master!$B$2:$B$26,MATCH($C2412,medicine_master!$A$2:$A$26,0)),"Not found")</f>
        <v>Aspirin 75mg</v>
      </c>
      <c r="H2412" s="39" t="str">
        <f aca="false">IFERROR(INDEX(medicine_master!$C$2:$C$26,MATCH($C2412,medicine_master!$A$2:$A$26,0)),"Not found")</f>
        <v>Cardiac</v>
      </c>
      <c r="I2412" s="39" t="n">
        <f aca="false">YEAR(B2412)</f>
        <v>2026</v>
      </c>
      <c r="J2412" s="39" t="n">
        <f aca="false">MONTH(B2412)</f>
        <v>11</v>
      </c>
      <c r="K2412" s="39" t="str">
        <f aca="false">TEXT(B2412,"mmm")</f>
        <v>Nov</v>
      </c>
      <c r="L2412" s="45" t="n">
        <f aca="false">IFERROR(INDEX(medicine_master!$I$2:$I$26,MATCH($C2412,medicine_master!$A$2:$A$26,0)),0)</f>
        <v>15</v>
      </c>
      <c r="M2412" s="45" t="n">
        <f aca="false">IFERROR(INDEX(medicine_master!$G$2:$G$26,MATCH($C2412,medicine_master!$A$2:$A$26,0)),0)</f>
        <v>10</v>
      </c>
      <c r="N2412" s="45" t="n">
        <f aca="false">IF(D2412="Sale",E2412*L2412,0)</f>
        <v>750</v>
      </c>
      <c r="O2412" s="45" t="n">
        <f aca="false">IF(D2412="Sale",E2412*M2412,0)</f>
        <v>500</v>
      </c>
      <c r="P2412" s="45" t="n">
        <f aca="false">N2412-O2412</f>
        <v>250</v>
      </c>
      <c r="Q2412" s="45" t="n">
        <f aca="false">IF(D2412="Purchase",E2412*M2412,0)</f>
        <v>0</v>
      </c>
    </row>
    <row r="2413" customFormat="false" ht="15" hidden="false" customHeight="false" outlineLevel="0" collapsed="false">
      <c r="A2413" s="39" t="s">
        <v>2737</v>
      </c>
      <c r="B2413" s="44" t="n">
        <v>46107</v>
      </c>
      <c r="C2413" s="39" t="s">
        <v>495</v>
      </c>
      <c r="D2413" s="39" t="s">
        <v>137</v>
      </c>
      <c r="E2413" s="39" t="n">
        <v>5</v>
      </c>
      <c r="F2413" s="39" t="str">
        <f aca="false">IF(COUNTIF(medicine_master!$A$2:$A$26,C2413)&gt;0,"Valid","Invalid")</f>
        <v>Valid</v>
      </c>
      <c r="G2413" s="39" t="str">
        <f aca="false">IFERROR(INDEX(medicine_master!$B$2:$B$26,MATCH($C2413,medicine_master!$A$2:$A$26,0)),"Not found")</f>
        <v>Metformin 500mg</v>
      </c>
      <c r="H2413" s="39" t="str">
        <f aca="false">IFERROR(INDEX(medicine_master!$C$2:$C$26,MATCH($C2413,medicine_master!$A$2:$A$26,0)),"Not found")</f>
        <v>Diabetes</v>
      </c>
      <c r="I2413" s="39" t="n">
        <f aca="false">YEAR(B2413)</f>
        <v>2026</v>
      </c>
      <c r="J2413" s="39" t="n">
        <f aca="false">MONTH(B2413)</f>
        <v>3</v>
      </c>
      <c r="K2413" s="39" t="str">
        <f aca="false">TEXT(B2413,"mmm")</f>
        <v>Mar</v>
      </c>
      <c r="L2413" s="45" t="n">
        <f aca="false">IFERROR(INDEX(medicine_master!$I$2:$I$26,MATCH($C2413,medicine_master!$A$2:$A$26,0)),0)</f>
        <v>24</v>
      </c>
      <c r="M2413" s="45" t="n">
        <f aca="false">IFERROR(INDEX(medicine_master!$G$2:$G$26,MATCH($C2413,medicine_master!$A$2:$A$26,0)),0)</f>
        <v>16</v>
      </c>
      <c r="N2413" s="45" t="n">
        <f aca="false">IF(D2413="Sale",E2413*L2413,0)</f>
        <v>120</v>
      </c>
      <c r="O2413" s="45" t="n">
        <f aca="false">IF(D2413="Sale",E2413*M2413,0)</f>
        <v>80</v>
      </c>
      <c r="P2413" s="45" t="n">
        <f aca="false">N2413-O2413</f>
        <v>40</v>
      </c>
      <c r="Q2413" s="45" t="n">
        <f aca="false">IF(D2413="Purchase",E2413*M2413,0)</f>
        <v>0</v>
      </c>
    </row>
    <row r="2414" customFormat="false" ht="15" hidden="false" customHeight="false" outlineLevel="0" collapsed="false">
      <c r="A2414" s="39" t="s">
        <v>2738</v>
      </c>
      <c r="B2414" s="44" t="n">
        <v>46145</v>
      </c>
      <c r="C2414" s="39" t="s">
        <v>178</v>
      </c>
      <c r="D2414" s="39" t="s">
        <v>137</v>
      </c>
      <c r="E2414" s="39" t="n">
        <v>15</v>
      </c>
      <c r="F2414" s="39" t="str">
        <f aca="false">IF(COUNTIF(medicine_master!$A$2:$A$26,C2414)&gt;0,"Valid","Invalid")</f>
        <v>Valid</v>
      </c>
      <c r="G2414" s="39" t="str">
        <f aca="false">IFERROR(INDEX(medicine_master!$B$2:$B$26,MATCH($C2414,medicine_master!$A$2:$A$26,0)),"Not found")</f>
        <v>Aspirin 75mg</v>
      </c>
      <c r="H2414" s="39" t="str">
        <f aca="false">IFERROR(INDEX(medicine_master!$C$2:$C$26,MATCH($C2414,medicine_master!$A$2:$A$26,0)),"Not found")</f>
        <v>Cardiac</v>
      </c>
      <c r="I2414" s="39" t="n">
        <f aca="false">YEAR(B2414)</f>
        <v>2026</v>
      </c>
      <c r="J2414" s="39" t="n">
        <f aca="false">MONTH(B2414)</f>
        <v>5</v>
      </c>
      <c r="K2414" s="39" t="str">
        <f aca="false">TEXT(B2414,"mmm")</f>
        <v>May</v>
      </c>
      <c r="L2414" s="45" t="n">
        <f aca="false">IFERROR(INDEX(medicine_master!$I$2:$I$26,MATCH($C2414,medicine_master!$A$2:$A$26,0)),0)</f>
        <v>15</v>
      </c>
      <c r="M2414" s="45" t="n">
        <f aca="false">IFERROR(INDEX(medicine_master!$G$2:$G$26,MATCH($C2414,medicine_master!$A$2:$A$26,0)),0)</f>
        <v>10</v>
      </c>
      <c r="N2414" s="45" t="n">
        <f aca="false">IF(D2414="Sale",E2414*L2414,0)</f>
        <v>225</v>
      </c>
      <c r="O2414" s="45" t="n">
        <f aca="false">IF(D2414="Sale",E2414*M2414,0)</f>
        <v>150</v>
      </c>
      <c r="P2414" s="45" t="n">
        <f aca="false">N2414-O2414</f>
        <v>75</v>
      </c>
      <c r="Q2414" s="45" t="n">
        <f aca="false">IF(D2414="Purchase",E2414*M2414,0)</f>
        <v>0</v>
      </c>
    </row>
    <row r="2415" customFormat="false" ht="15" hidden="false" customHeight="false" outlineLevel="0" collapsed="false">
      <c r="A2415" s="39" t="s">
        <v>2739</v>
      </c>
      <c r="B2415" s="44" t="n">
        <v>46226</v>
      </c>
      <c r="C2415" s="39" t="s">
        <v>179</v>
      </c>
      <c r="D2415" s="39" t="s">
        <v>137</v>
      </c>
      <c r="E2415" s="39" t="n">
        <v>20</v>
      </c>
      <c r="F2415" s="39" t="str">
        <f aca="false">IF(COUNTIF(medicine_master!$A$2:$A$26,C2415)&gt;0,"Valid","Invalid")</f>
        <v>Valid</v>
      </c>
      <c r="G2415" s="39" t="str">
        <f aca="false">IFERROR(INDEX(medicine_master!$B$2:$B$26,MATCH($C2415,medicine_master!$A$2:$A$26,0)),"Not found")</f>
        <v>Ibuprofen 400mg</v>
      </c>
      <c r="H2415" s="39" t="str">
        <f aca="false">IFERROR(INDEX(medicine_master!$C$2:$C$26,MATCH($C2415,medicine_master!$A$2:$A$26,0)),"Not found")</f>
        <v>Pain Relief</v>
      </c>
      <c r="I2415" s="39" t="n">
        <f aca="false">YEAR(B2415)</f>
        <v>2026</v>
      </c>
      <c r="J2415" s="39" t="n">
        <f aca="false">MONTH(B2415)</f>
        <v>7</v>
      </c>
      <c r="K2415" s="39" t="str">
        <f aca="false">TEXT(B2415,"mmm")</f>
        <v>Jul</v>
      </c>
      <c r="L2415" s="45" t="n">
        <f aca="false">IFERROR(INDEX(medicine_master!$I$2:$I$26,MATCH($C2415,medicine_master!$A$2:$A$26,0)),0)</f>
        <v>30</v>
      </c>
      <c r="M2415" s="45" t="n">
        <f aca="false">IFERROR(INDEX(medicine_master!$G$2:$G$26,MATCH($C2415,medicine_master!$A$2:$A$26,0)),0)</f>
        <v>22</v>
      </c>
      <c r="N2415" s="45" t="n">
        <f aca="false">IF(D2415="Sale",E2415*L2415,0)</f>
        <v>600</v>
      </c>
      <c r="O2415" s="45" t="n">
        <f aca="false">IF(D2415="Sale",E2415*M2415,0)</f>
        <v>440</v>
      </c>
      <c r="P2415" s="45" t="n">
        <f aca="false">N2415-O2415</f>
        <v>160</v>
      </c>
      <c r="Q2415" s="45" t="n">
        <f aca="false">IF(D2415="Purchase",E2415*M2415,0)</f>
        <v>0</v>
      </c>
    </row>
    <row r="2416" customFormat="false" ht="15" hidden="false" customHeight="false" outlineLevel="0" collapsed="false">
      <c r="A2416" s="39" t="s">
        <v>2740</v>
      </c>
      <c r="B2416" s="44" t="n">
        <v>46202</v>
      </c>
      <c r="C2416" s="39" t="s">
        <v>321</v>
      </c>
      <c r="D2416" s="39" t="s">
        <v>138</v>
      </c>
      <c r="E2416" s="39" t="n">
        <v>20</v>
      </c>
      <c r="F2416" s="39" t="str">
        <f aca="false">IF(COUNTIF(medicine_master!$A$2:$A$26,C2416)&gt;0,"Valid","Invalid")</f>
        <v>Valid</v>
      </c>
      <c r="G2416" s="39" t="str">
        <f aca="false">IFERROR(INDEX(medicine_master!$B$2:$B$26,MATCH($C2416,medicine_master!$A$2:$A$26,0)),"Not found")</f>
        <v>Levocetirizine 5mg</v>
      </c>
      <c r="H2416" s="39" t="str">
        <f aca="false">IFERROR(INDEX(medicine_master!$C$2:$C$26,MATCH($C2416,medicine_master!$A$2:$A$26,0)),"Not found")</f>
        <v>Allergy</v>
      </c>
      <c r="I2416" s="39" t="n">
        <f aca="false">YEAR(B2416)</f>
        <v>2026</v>
      </c>
      <c r="J2416" s="39" t="n">
        <f aca="false">MONTH(B2416)</f>
        <v>6</v>
      </c>
      <c r="K2416" s="39" t="str">
        <f aca="false">TEXT(B2416,"mmm")</f>
        <v>Jun</v>
      </c>
      <c r="L2416" s="45" t="n">
        <f aca="false">IFERROR(INDEX(medicine_master!$I$2:$I$26,MATCH($C2416,medicine_master!$A$2:$A$26,0)),0)</f>
        <v>22</v>
      </c>
      <c r="M2416" s="45" t="n">
        <f aca="false">IFERROR(INDEX(medicine_master!$G$2:$G$26,MATCH($C2416,medicine_master!$A$2:$A$26,0)),0)</f>
        <v>14</v>
      </c>
      <c r="N2416" s="45" t="n">
        <f aca="false">IF(D2416="Sale",E2416*L2416,0)</f>
        <v>0</v>
      </c>
      <c r="O2416" s="45" t="n">
        <f aca="false">IF(D2416="Sale",E2416*M2416,0)</f>
        <v>0</v>
      </c>
      <c r="P2416" s="45" t="n">
        <f aca="false">N2416-O2416</f>
        <v>0</v>
      </c>
      <c r="Q2416" s="45" t="n">
        <f aca="false">IF(D2416="Purchase",E2416*M2416,0)</f>
        <v>280</v>
      </c>
    </row>
    <row r="2417" customFormat="false" ht="15" hidden="false" customHeight="false" outlineLevel="0" collapsed="false">
      <c r="A2417" s="39" t="s">
        <v>2741</v>
      </c>
      <c r="B2417" s="44" t="n">
        <v>46287</v>
      </c>
      <c r="C2417" s="39" t="s">
        <v>321</v>
      </c>
      <c r="D2417" s="39" t="s">
        <v>137</v>
      </c>
      <c r="E2417" s="39" t="n">
        <v>40</v>
      </c>
      <c r="F2417" s="39" t="str">
        <f aca="false">IF(COUNTIF(medicine_master!$A$2:$A$26,C2417)&gt;0,"Valid","Invalid")</f>
        <v>Valid</v>
      </c>
      <c r="G2417" s="39" t="str">
        <f aca="false">IFERROR(INDEX(medicine_master!$B$2:$B$26,MATCH($C2417,medicine_master!$A$2:$A$26,0)),"Not found")</f>
        <v>Levocetirizine 5mg</v>
      </c>
      <c r="H2417" s="39" t="str">
        <f aca="false">IFERROR(INDEX(medicine_master!$C$2:$C$26,MATCH($C2417,medicine_master!$A$2:$A$26,0)),"Not found")</f>
        <v>Allergy</v>
      </c>
      <c r="I2417" s="39" t="n">
        <f aca="false">YEAR(B2417)</f>
        <v>2026</v>
      </c>
      <c r="J2417" s="39" t="n">
        <f aca="false">MONTH(B2417)</f>
        <v>9</v>
      </c>
      <c r="K2417" s="39" t="str">
        <f aca="false">TEXT(B2417,"mmm")</f>
        <v>Sep</v>
      </c>
      <c r="L2417" s="45" t="n">
        <f aca="false">IFERROR(INDEX(medicine_master!$I$2:$I$26,MATCH($C2417,medicine_master!$A$2:$A$26,0)),0)</f>
        <v>22</v>
      </c>
      <c r="M2417" s="45" t="n">
        <f aca="false">IFERROR(INDEX(medicine_master!$G$2:$G$26,MATCH($C2417,medicine_master!$A$2:$A$26,0)),0)</f>
        <v>14</v>
      </c>
      <c r="N2417" s="45" t="n">
        <f aca="false">IF(D2417="Sale",E2417*L2417,0)</f>
        <v>880</v>
      </c>
      <c r="O2417" s="45" t="n">
        <f aca="false">IF(D2417="Sale",E2417*M2417,0)</f>
        <v>560</v>
      </c>
      <c r="P2417" s="45" t="n">
        <f aca="false">N2417-O2417</f>
        <v>320</v>
      </c>
      <c r="Q2417" s="45" t="n">
        <f aca="false">IF(D2417="Purchase",E2417*M2417,0)</f>
        <v>0</v>
      </c>
    </row>
    <row r="2418" customFormat="false" ht="15" hidden="false" customHeight="false" outlineLevel="0" collapsed="false">
      <c r="A2418" s="39" t="s">
        <v>2742</v>
      </c>
      <c r="B2418" s="44" t="n">
        <v>46147</v>
      </c>
      <c r="C2418" s="39" t="s">
        <v>150</v>
      </c>
      <c r="D2418" s="39" t="s">
        <v>137</v>
      </c>
      <c r="E2418" s="39" t="n">
        <v>5</v>
      </c>
      <c r="F2418" s="39" t="str">
        <f aca="false">IF(COUNTIF(medicine_master!$A$2:$A$26,C2418)&gt;0,"Valid","Invalid")</f>
        <v>Valid</v>
      </c>
      <c r="G2418" s="39" t="str">
        <f aca="false">IFERROR(INDEX(medicine_master!$B$2:$B$26,MATCH($C2418,medicine_master!$A$2:$A$26,0)),"Not found")</f>
        <v>Pantoprazole 40mg</v>
      </c>
      <c r="H2418" s="39" t="str">
        <f aca="false">IFERROR(INDEX(medicine_master!$C$2:$C$26,MATCH($C2418,medicine_master!$A$2:$A$26,0)),"Not found")</f>
        <v>Gastric</v>
      </c>
      <c r="I2418" s="39" t="n">
        <f aca="false">YEAR(B2418)</f>
        <v>2026</v>
      </c>
      <c r="J2418" s="39" t="n">
        <f aca="false">MONTH(B2418)</f>
        <v>5</v>
      </c>
      <c r="K2418" s="39" t="str">
        <f aca="false">TEXT(B2418,"mmm")</f>
        <v>May</v>
      </c>
      <c r="L2418" s="45" t="n">
        <f aca="false">IFERROR(INDEX(medicine_master!$I$2:$I$26,MATCH($C2418,medicine_master!$A$2:$A$26,0)),0)</f>
        <v>35</v>
      </c>
      <c r="M2418" s="45" t="n">
        <f aca="false">IFERROR(INDEX(medicine_master!$G$2:$G$26,MATCH($C2418,medicine_master!$A$2:$A$26,0)),0)</f>
        <v>24</v>
      </c>
      <c r="N2418" s="45" t="n">
        <f aca="false">IF(D2418="Sale",E2418*L2418,0)</f>
        <v>175</v>
      </c>
      <c r="O2418" s="45" t="n">
        <f aca="false">IF(D2418="Sale",E2418*M2418,0)</f>
        <v>120</v>
      </c>
      <c r="P2418" s="45" t="n">
        <f aca="false">N2418-O2418</f>
        <v>55</v>
      </c>
      <c r="Q2418" s="45" t="n">
        <f aca="false">IF(D2418="Purchase",E2418*M2418,0)</f>
        <v>0</v>
      </c>
    </row>
    <row r="2419" customFormat="false" ht="15" hidden="false" customHeight="false" outlineLevel="0" collapsed="false">
      <c r="A2419" s="39" t="s">
        <v>2743</v>
      </c>
      <c r="B2419" s="44" t="n">
        <v>46340</v>
      </c>
      <c r="C2419" s="39" t="s">
        <v>145</v>
      </c>
      <c r="D2419" s="39" t="s">
        <v>137</v>
      </c>
      <c r="E2419" s="39" t="n">
        <v>10</v>
      </c>
      <c r="F2419" s="39" t="str">
        <f aca="false">IF(COUNTIF(medicine_master!$A$2:$A$26,C2419)&gt;0,"Valid","Invalid")</f>
        <v>Valid</v>
      </c>
      <c r="G2419" s="39" t="str">
        <f aca="false">IFERROR(INDEX(medicine_master!$B$2:$B$26,MATCH($C2419,medicine_master!$A$2:$A$26,0)),"Not found")</f>
        <v>Clotrimazole Cream</v>
      </c>
      <c r="H2419" s="39" t="str">
        <f aca="false">IFERROR(INDEX(medicine_master!$C$2:$C$26,MATCH($C2419,medicine_master!$A$2:$A$26,0)),"Not found")</f>
        <v>Dermatology</v>
      </c>
      <c r="I2419" s="39" t="n">
        <f aca="false">YEAR(B2419)</f>
        <v>2026</v>
      </c>
      <c r="J2419" s="39" t="n">
        <f aca="false">MONTH(B2419)</f>
        <v>11</v>
      </c>
      <c r="K2419" s="39" t="str">
        <f aca="false">TEXT(B2419,"mmm")</f>
        <v>Nov</v>
      </c>
      <c r="L2419" s="45" t="n">
        <f aca="false">IFERROR(INDEX(medicine_master!$I$2:$I$26,MATCH($C2419,medicine_master!$A$2:$A$26,0)),0)</f>
        <v>48</v>
      </c>
      <c r="M2419" s="45" t="n">
        <f aca="false">IFERROR(INDEX(medicine_master!$G$2:$G$26,MATCH($C2419,medicine_master!$A$2:$A$26,0)),0)</f>
        <v>32</v>
      </c>
      <c r="N2419" s="45" t="n">
        <f aca="false">IF(D2419="Sale",E2419*L2419,0)</f>
        <v>480</v>
      </c>
      <c r="O2419" s="45" t="n">
        <f aca="false">IF(D2419="Sale",E2419*M2419,0)</f>
        <v>320</v>
      </c>
      <c r="P2419" s="45" t="n">
        <f aca="false">N2419-O2419</f>
        <v>160</v>
      </c>
      <c r="Q2419" s="45" t="n">
        <f aca="false">IF(D2419="Purchase",E2419*M2419,0)</f>
        <v>0</v>
      </c>
    </row>
    <row r="2420" customFormat="false" ht="15" hidden="false" customHeight="false" outlineLevel="0" collapsed="false">
      <c r="A2420" s="39" t="s">
        <v>2744</v>
      </c>
      <c r="B2420" s="44" t="n">
        <v>46209</v>
      </c>
      <c r="C2420" s="39" t="s">
        <v>159</v>
      </c>
      <c r="D2420" s="39" t="s">
        <v>138</v>
      </c>
      <c r="E2420" s="39" t="n">
        <v>20</v>
      </c>
      <c r="F2420" s="39" t="str">
        <f aca="false">IF(COUNTIF(medicine_master!$A$2:$A$26,C2420)&gt;0,"Valid","Invalid")</f>
        <v>Valid</v>
      </c>
      <c r="G2420" s="39" t="str">
        <f aca="false">IFERROR(INDEX(medicine_master!$B$2:$B$26,MATCH($C2420,medicine_master!$A$2:$A$26,0)),"Not found")</f>
        <v>Antiseptic Liquid 100ml</v>
      </c>
      <c r="H2420" s="39" t="str">
        <f aca="false">IFERROR(INDEX(medicine_master!$C$2:$C$26,MATCH($C2420,medicine_master!$A$2:$A$26,0)),"Not found")</f>
        <v>First Aid</v>
      </c>
      <c r="I2420" s="39" t="n">
        <f aca="false">YEAR(B2420)</f>
        <v>2026</v>
      </c>
      <c r="J2420" s="39" t="n">
        <f aca="false">MONTH(B2420)</f>
        <v>7</v>
      </c>
      <c r="K2420" s="39" t="str">
        <f aca="false">TEXT(B2420,"mmm")</f>
        <v>Jul</v>
      </c>
      <c r="L2420" s="45" t="n">
        <f aca="false">IFERROR(INDEX(medicine_master!$I$2:$I$26,MATCH($C2420,medicine_master!$A$2:$A$26,0)),0)</f>
        <v>65</v>
      </c>
      <c r="M2420" s="45" t="n">
        <f aca="false">IFERROR(INDEX(medicine_master!$G$2:$G$26,MATCH($C2420,medicine_master!$A$2:$A$26,0)),0)</f>
        <v>48</v>
      </c>
      <c r="N2420" s="45" t="n">
        <f aca="false">IF(D2420="Sale",E2420*L2420,0)</f>
        <v>0</v>
      </c>
      <c r="O2420" s="45" t="n">
        <f aca="false">IF(D2420="Sale",E2420*M2420,0)</f>
        <v>0</v>
      </c>
      <c r="P2420" s="45" t="n">
        <f aca="false">N2420-O2420</f>
        <v>0</v>
      </c>
      <c r="Q2420" s="45" t="n">
        <f aca="false">IF(D2420="Purchase",E2420*M2420,0)</f>
        <v>960</v>
      </c>
    </row>
    <row r="2421" customFormat="false" ht="15" hidden="false" customHeight="false" outlineLevel="0" collapsed="false">
      <c r="A2421" s="39" t="s">
        <v>2745</v>
      </c>
      <c r="B2421" s="44" t="n">
        <v>46154</v>
      </c>
      <c r="C2421" s="39" t="s">
        <v>157</v>
      </c>
      <c r="D2421" s="39" t="s">
        <v>137</v>
      </c>
      <c r="E2421" s="39" t="n">
        <v>10</v>
      </c>
      <c r="F2421" s="39" t="str">
        <f aca="false">IF(COUNTIF(medicine_master!$A$2:$A$26,C2421)&gt;0,"Valid","Invalid")</f>
        <v>Valid</v>
      </c>
      <c r="G2421" s="39" t="str">
        <f aca="false">IFERROR(INDEX(medicine_master!$B$2:$B$26,MATCH($C2421,medicine_master!$A$2:$A$26,0)),"Not found")</f>
        <v>Multivitamin Tablets</v>
      </c>
      <c r="H2421" s="39" t="str">
        <f aca="false">IFERROR(INDEX(medicine_master!$C$2:$C$26,MATCH($C2421,medicine_master!$A$2:$A$26,0)),"Not found")</f>
        <v>Vitamin</v>
      </c>
      <c r="I2421" s="39" t="n">
        <f aca="false">YEAR(B2421)</f>
        <v>2026</v>
      </c>
      <c r="J2421" s="39" t="n">
        <f aca="false">MONTH(B2421)</f>
        <v>5</v>
      </c>
      <c r="K2421" s="39" t="str">
        <f aca="false">TEXT(B2421,"mmm")</f>
        <v>May</v>
      </c>
      <c r="L2421" s="45" t="n">
        <f aca="false">IFERROR(INDEX(medicine_master!$I$2:$I$26,MATCH($C2421,medicine_master!$A$2:$A$26,0)),0)</f>
        <v>105</v>
      </c>
      <c r="M2421" s="45" t="n">
        <f aca="false">IFERROR(INDEX(medicine_master!$G$2:$G$26,MATCH($C2421,medicine_master!$A$2:$A$26,0)),0)</f>
        <v>72</v>
      </c>
      <c r="N2421" s="45" t="n">
        <f aca="false">IF(D2421="Sale",E2421*L2421,0)</f>
        <v>1050</v>
      </c>
      <c r="O2421" s="45" t="n">
        <f aca="false">IF(D2421="Sale",E2421*M2421,0)</f>
        <v>720</v>
      </c>
      <c r="P2421" s="45" t="n">
        <f aca="false">N2421-O2421</f>
        <v>330</v>
      </c>
      <c r="Q2421" s="45" t="n">
        <f aca="false">IF(D2421="Purchase",E2421*M2421,0)</f>
        <v>0</v>
      </c>
    </row>
    <row r="2422" customFormat="false" ht="15" hidden="false" customHeight="false" outlineLevel="0" collapsed="false">
      <c r="A2422" s="39" t="s">
        <v>2746</v>
      </c>
      <c r="B2422" s="44" t="n">
        <v>46201</v>
      </c>
      <c r="C2422" s="39" t="s">
        <v>146</v>
      </c>
      <c r="D2422" s="39" t="s">
        <v>137</v>
      </c>
      <c r="E2422" s="39" t="n">
        <v>40</v>
      </c>
      <c r="F2422" s="39" t="str">
        <f aca="false">IF(COUNTIF(medicine_master!$A$2:$A$26,C2422)&gt;0,"Valid","Invalid")</f>
        <v>Valid</v>
      </c>
      <c r="G2422" s="39" t="str">
        <f aca="false">IFERROR(INDEX(medicine_master!$B$2:$B$26,MATCH($C2422,medicine_master!$A$2:$A$26,0)),"Not found")</f>
        <v>Diclofenac Gel</v>
      </c>
      <c r="H2422" s="39" t="str">
        <f aca="false">IFERROR(INDEX(medicine_master!$C$2:$C$26,MATCH($C2422,medicine_master!$A$2:$A$26,0)),"Not found")</f>
        <v>Pain Relief</v>
      </c>
      <c r="I2422" s="39" t="n">
        <f aca="false">YEAR(B2422)</f>
        <v>2026</v>
      </c>
      <c r="J2422" s="39" t="n">
        <f aca="false">MONTH(B2422)</f>
        <v>6</v>
      </c>
      <c r="K2422" s="39" t="str">
        <f aca="false">TEXT(B2422,"mmm")</f>
        <v>Jun</v>
      </c>
      <c r="L2422" s="45" t="n">
        <f aca="false">IFERROR(INDEX(medicine_master!$I$2:$I$26,MATCH($C2422,medicine_master!$A$2:$A$26,0)),0)</f>
        <v>55</v>
      </c>
      <c r="M2422" s="45" t="n">
        <f aca="false">IFERROR(INDEX(medicine_master!$G$2:$G$26,MATCH($C2422,medicine_master!$A$2:$A$26,0)),0)</f>
        <v>38</v>
      </c>
      <c r="N2422" s="45" t="n">
        <f aca="false">IF(D2422="Sale",E2422*L2422,0)</f>
        <v>2200</v>
      </c>
      <c r="O2422" s="45" t="n">
        <f aca="false">IF(D2422="Sale",E2422*M2422,0)</f>
        <v>1520</v>
      </c>
      <c r="P2422" s="45" t="n">
        <f aca="false">N2422-O2422</f>
        <v>680</v>
      </c>
      <c r="Q2422" s="45" t="n">
        <f aca="false">IF(D2422="Purchase",E2422*M2422,0)</f>
        <v>0</v>
      </c>
    </row>
    <row r="2423" customFormat="false" ht="15" hidden="false" customHeight="false" outlineLevel="0" collapsed="false">
      <c r="A2423" s="39" t="s">
        <v>2747</v>
      </c>
      <c r="B2423" s="44" t="n">
        <v>46092</v>
      </c>
      <c r="C2423" s="39" t="s">
        <v>495</v>
      </c>
      <c r="D2423" s="39" t="s">
        <v>137</v>
      </c>
      <c r="E2423" s="39" t="n">
        <v>25</v>
      </c>
      <c r="F2423" s="39" t="str">
        <f aca="false">IF(COUNTIF(medicine_master!$A$2:$A$26,C2423)&gt;0,"Valid","Invalid")</f>
        <v>Valid</v>
      </c>
      <c r="G2423" s="39" t="str">
        <f aca="false">IFERROR(INDEX(medicine_master!$B$2:$B$26,MATCH($C2423,medicine_master!$A$2:$A$26,0)),"Not found")</f>
        <v>Metformin 500mg</v>
      </c>
      <c r="H2423" s="39" t="str">
        <f aca="false">IFERROR(INDEX(medicine_master!$C$2:$C$26,MATCH($C2423,medicine_master!$A$2:$A$26,0)),"Not found")</f>
        <v>Diabetes</v>
      </c>
      <c r="I2423" s="39" t="n">
        <f aca="false">YEAR(B2423)</f>
        <v>2026</v>
      </c>
      <c r="J2423" s="39" t="n">
        <f aca="false">MONTH(B2423)</f>
        <v>3</v>
      </c>
      <c r="K2423" s="39" t="str">
        <f aca="false">TEXT(B2423,"mmm")</f>
        <v>Mar</v>
      </c>
      <c r="L2423" s="45" t="n">
        <f aca="false">IFERROR(INDEX(medicine_master!$I$2:$I$26,MATCH($C2423,medicine_master!$A$2:$A$26,0)),0)</f>
        <v>24</v>
      </c>
      <c r="M2423" s="45" t="n">
        <f aca="false">IFERROR(INDEX(medicine_master!$G$2:$G$26,MATCH($C2423,medicine_master!$A$2:$A$26,0)),0)</f>
        <v>16</v>
      </c>
      <c r="N2423" s="45" t="n">
        <f aca="false">IF(D2423="Sale",E2423*L2423,0)</f>
        <v>600</v>
      </c>
      <c r="O2423" s="45" t="n">
        <f aca="false">IF(D2423="Sale",E2423*M2423,0)</f>
        <v>400</v>
      </c>
      <c r="P2423" s="45" t="n">
        <f aca="false">N2423-O2423</f>
        <v>200</v>
      </c>
      <c r="Q2423" s="45" t="n">
        <f aca="false">IF(D2423="Purchase",E2423*M2423,0)</f>
        <v>0</v>
      </c>
    </row>
    <row r="2424" customFormat="false" ht="15" hidden="false" customHeight="false" outlineLevel="0" collapsed="false">
      <c r="A2424" s="39" t="s">
        <v>2748</v>
      </c>
      <c r="B2424" s="44" t="n">
        <v>46041</v>
      </c>
      <c r="C2424" s="39" t="s">
        <v>179</v>
      </c>
      <c r="D2424" s="39" t="s">
        <v>137</v>
      </c>
      <c r="E2424" s="39" t="n">
        <v>30</v>
      </c>
      <c r="F2424" s="39" t="str">
        <f aca="false">IF(COUNTIF(medicine_master!$A$2:$A$26,C2424)&gt;0,"Valid","Invalid")</f>
        <v>Valid</v>
      </c>
      <c r="G2424" s="39" t="str">
        <f aca="false">IFERROR(INDEX(medicine_master!$B$2:$B$26,MATCH($C2424,medicine_master!$A$2:$A$26,0)),"Not found")</f>
        <v>Ibuprofen 400mg</v>
      </c>
      <c r="H2424" s="39" t="str">
        <f aca="false">IFERROR(INDEX(medicine_master!$C$2:$C$26,MATCH($C2424,medicine_master!$A$2:$A$26,0)),"Not found")</f>
        <v>Pain Relief</v>
      </c>
      <c r="I2424" s="39" t="n">
        <f aca="false">YEAR(B2424)</f>
        <v>2026</v>
      </c>
      <c r="J2424" s="39" t="n">
        <f aca="false">MONTH(B2424)</f>
        <v>1</v>
      </c>
      <c r="K2424" s="39" t="str">
        <f aca="false">TEXT(B2424,"mmm")</f>
        <v>Jan</v>
      </c>
      <c r="L2424" s="45" t="n">
        <f aca="false">IFERROR(INDEX(medicine_master!$I$2:$I$26,MATCH($C2424,medicine_master!$A$2:$A$26,0)),0)</f>
        <v>30</v>
      </c>
      <c r="M2424" s="45" t="n">
        <f aca="false">IFERROR(INDEX(medicine_master!$G$2:$G$26,MATCH($C2424,medicine_master!$A$2:$A$26,0)),0)</f>
        <v>22</v>
      </c>
      <c r="N2424" s="45" t="n">
        <f aca="false">IF(D2424="Sale",E2424*L2424,0)</f>
        <v>900</v>
      </c>
      <c r="O2424" s="45" t="n">
        <f aca="false">IF(D2424="Sale",E2424*M2424,0)</f>
        <v>660</v>
      </c>
      <c r="P2424" s="45" t="n">
        <f aca="false">N2424-O2424</f>
        <v>240</v>
      </c>
      <c r="Q2424" s="45" t="n">
        <f aca="false">IF(D2424="Purchase",E2424*M2424,0)</f>
        <v>0</v>
      </c>
    </row>
    <row r="2425" customFormat="false" ht="15" hidden="false" customHeight="false" outlineLevel="0" collapsed="false">
      <c r="A2425" s="39" t="s">
        <v>2749</v>
      </c>
      <c r="B2425" s="44" t="n">
        <v>46103</v>
      </c>
      <c r="C2425" s="39" t="s">
        <v>159</v>
      </c>
      <c r="D2425" s="39" t="s">
        <v>138</v>
      </c>
      <c r="E2425" s="39" t="n">
        <v>5</v>
      </c>
      <c r="F2425" s="39" t="str">
        <f aca="false">IF(COUNTIF(medicine_master!$A$2:$A$26,C2425)&gt;0,"Valid","Invalid")</f>
        <v>Valid</v>
      </c>
      <c r="G2425" s="39" t="str">
        <f aca="false">IFERROR(INDEX(medicine_master!$B$2:$B$26,MATCH($C2425,medicine_master!$A$2:$A$26,0)),"Not found")</f>
        <v>Antiseptic Liquid 100ml</v>
      </c>
      <c r="H2425" s="39" t="str">
        <f aca="false">IFERROR(INDEX(medicine_master!$C$2:$C$26,MATCH($C2425,medicine_master!$A$2:$A$26,0)),"Not found")</f>
        <v>First Aid</v>
      </c>
      <c r="I2425" s="39" t="n">
        <f aca="false">YEAR(B2425)</f>
        <v>2026</v>
      </c>
      <c r="J2425" s="39" t="n">
        <f aca="false">MONTH(B2425)</f>
        <v>3</v>
      </c>
      <c r="K2425" s="39" t="str">
        <f aca="false">TEXT(B2425,"mmm")</f>
        <v>Mar</v>
      </c>
      <c r="L2425" s="45" t="n">
        <f aca="false">IFERROR(INDEX(medicine_master!$I$2:$I$26,MATCH($C2425,medicine_master!$A$2:$A$26,0)),0)</f>
        <v>65</v>
      </c>
      <c r="M2425" s="45" t="n">
        <f aca="false">IFERROR(INDEX(medicine_master!$G$2:$G$26,MATCH($C2425,medicine_master!$A$2:$A$26,0)),0)</f>
        <v>48</v>
      </c>
      <c r="N2425" s="45" t="n">
        <f aca="false">IF(D2425="Sale",E2425*L2425,0)</f>
        <v>0</v>
      </c>
      <c r="O2425" s="45" t="n">
        <f aca="false">IF(D2425="Sale",E2425*M2425,0)</f>
        <v>0</v>
      </c>
      <c r="P2425" s="45" t="n">
        <f aca="false">N2425-O2425</f>
        <v>0</v>
      </c>
      <c r="Q2425" s="45" t="n">
        <f aca="false">IF(D2425="Purchase",E2425*M2425,0)</f>
        <v>240</v>
      </c>
    </row>
    <row r="2426" customFormat="false" ht="15" hidden="false" customHeight="false" outlineLevel="0" collapsed="false">
      <c r="A2426" s="39" t="s">
        <v>2750</v>
      </c>
      <c r="B2426" s="44" t="n">
        <v>46373</v>
      </c>
      <c r="C2426" s="39" t="s">
        <v>404</v>
      </c>
      <c r="D2426" s="39" t="s">
        <v>138</v>
      </c>
      <c r="E2426" s="39" t="n">
        <v>50</v>
      </c>
      <c r="F2426" s="39" t="str">
        <f aca="false">IF(COUNTIF(medicine_master!$A$2:$A$26,C2426)&gt;0,"Valid","Invalid")</f>
        <v>Valid</v>
      </c>
      <c r="G2426" s="39" t="str">
        <f aca="false">IFERROR(INDEX(medicine_master!$B$2:$B$26,MATCH($C2426,medicine_master!$A$2:$A$26,0)),"Not found")</f>
        <v>ORS Sachet</v>
      </c>
      <c r="H2426" s="39" t="str">
        <f aca="false">IFERROR(INDEX(medicine_master!$C$2:$C$26,MATCH($C2426,medicine_master!$A$2:$A$26,0)),"Not found")</f>
        <v>First Aid</v>
      </c>
      <c r="I2426" s="39" t="n">
        <f aca="false">YEAR(B2426)</f>
        <v>2026</v>
      </c>
      <c r="J2426" s="39" t="n">
        <f aca="false">MONTH(B2426)</f>
        <v>12</v>
      </c>
      <c r="K2426" s="39" t="str">
        <f aca="false">TEXT(B2426,"mmm")</f>
        <v>Dec</v>
      </c>
      <c r="L2426" s="45" t="n">
        <f aca="false">IFERROR(INDEX(medicine_master!$I$2:$I$26,MATCH($C2426,medicine_master!$A$2:$A$26,0)),0)</f>
        <v>10</v>
      </c>
      <c r="M2426" s="45" t="n">
        <f aca="false">IFERROR(INDEX(medicine_master!$G$2:$G$26,MATCH($C2426,medicine_master!$A$2:$A$26,0)),0)</f>
        <v>6</v>
      </c>
      <c r="N2426" s="45" t="n">
        <f aca="false">IF(D2426="Sale",E2426*L2426,0)</f>
        <v>0</v>
      </c>
      <c r="O2426" s="45" t="n">
        <f aca="false">IF(D2426="Sale",E2426*M2426,0)</f>
        <v>0</v>
      </c>
      <c r="P2426" s="45" t="n">
        <f aca="false">N2426-O2426</f>
        <v>0</v>
      </c>
      <c r="Q2426" s="45" t="n">
        <f aca="false">IF(D2426="Purchase",E2426*M2426,0)</f>
        <v>300</v>
      </c>
    </row>
    <row r="2427" customFormat="false" ht="15" hidden="false" customHeight="false" outlineLevel="0" collapsed="false">
      <c r="A2427" s="39" t="s">
        <v>2751</v>
      </c>
      <c r="B2427" s="44" t="n">
        <v>46343</v>
      </c>
      <c r="C2427" s="39" t="s">
        <v>149</v>
      </c>
      <c r="D2427" s="39" t="s">
        <v>137</v>
      </c>
      <c r="E2427" s="39" t="n">
        <v>10</v>
      </c>
      <c r="F2427" s="39" t="str">
        <f aca="false">IF(COUNTIF(medicine_master!$A$2:$A$26,C2427)&gt;0,"Valid","Invalid")</f>
        <v>Valid</v>
      </c>
      <c r="G2427" s="39" t="str">
        <f aca="false">IFERROR(INDEX(medicine_master!$B$2:$B$26,MATCH($C2427,medicine_master!$A$2:$A$26,0)),"Not found")</f>
        <v>Azithromycin 500mg</v>
      </c>
      <c r="H2427" s="39" t="str">
        <f aca="false">IFERROR(INDEX(medicine_master!$C$2:$C$26,MATCH($C2427,medicine_master!$A$2:$A$26,0)),"Not found")</f>
        <v>Antibiotic</v>
      </c>
      <c r="I2427" s="39" t="n">
        <f aca="false">YEAR(B2427)</f>
        <v>2026</v>
      </c>
      <c r="J2427" s="39" t="n">
        <f aca="false">MONTH(B2427)</f>
        <v>11</v>
      </c>
      <c r="K2427" s="39" t="str">
        <f aca="false">TEXT(B2427,"mmm")</f>
        <v>Nov</v>
      </c>
      <c r="L2427" s="45" t="n">
        <f aca="false">IFERROR(INDEX(medicine_master!$I$2:$I$26,MATCH($C2427,medicine_master!$A$2:$A$26,0)),0)</f>
        <v>50</v>
      </c>
      <c r="M2427" s="45" t="n">
        <f aca="false">IFERROR(INDEX(medicine_master!$G$2:$G$26,MATCH($C2427,medicine_master!$A$2:$A$26,0)),0)</f>
        <v>35</v>
      </c>
      <c r="N2427" s="45" t="n">
        <f aca="false">IF(D2427="Sale",E2427*L2427,0)</f>
        <v>500</v>
      </c>
      <c r="O2427" s="45" t="n">
        <f aca="false">IF(D2427="Sale",E2427*M2427,0)</f>
        <v>350</v>
      </c>
      <c r="P2427" s="45" t="n">
        <f aca="false">N2427-O2427</f>
        <v>150</v>
      </c>
      <c r="Q2427" s="45" t="n">
        <f aca="false">IF(D2427="Purchase",E2427*M2427,0)</f>
        <v>0</v>
      </c>
    </row>
    <row r="2428" customFormat="false" ht="15" hidden="false" customHeight="false" outlineLevel="0" collapsed="false">
      <c r="A2428" s="39" t="s">
        <v>2752</v>
      </c>
      <c r="B2428" s="44" t="n">
        <v>46333</v>
      </c>
      <c r="C2428" s="39" t="s">
        <v>148</v>
      </c>
      <c r="D2428" s="39" t="s">
        <v>137</v>
      </c>
      <c r="E2428" s="39" t="n">
        <v>15</v>
      </c>
      <c r="F2428" s="39" t="str">
        <f aca="false">IF(COUNTIF(medicine_master!$A$2:$A$26,C2428)&gt;0,"Valid","Invalid")</f>
        <v>Valid</v>
      </c>
      <c r="G2428" s="39" t="str">
        <f aca="false">IFERROR(INDEX(medicine_master!$B$2:$B$26,MATCH($C2428,medicine_master!$A$2:$A$26,0)),"Not found")</f>
        <v>Dextromethorphan Syrup</v>
      </c>
      <c r="H2428" s="39" t="str">
        <f aca="false">IFERROR(INDEX(medicine_master!$C$2:$C$26,MATCH($C2428,medicine_master!$A$2:$A$26,0)),"Not found")</f>
        <v>Cold &amp; Cough</v>
      </c>
      <c r="I2428" s="39" t="n">
        <f aca="false">YEAR(B2428)</f>
        <v>2026</v>
      </c>
      <c r="J2428" s="39" t="n">
        <f aca="false">MONTH(B2428)</f>
        <v>11</v>
      </c>
      <c r="K2428" s="39" t="str">
        <f aca="false">TEXT(B2428,"mmm")</f>
        <v>Nov</v>
      </c>
      <c r="L2428" s="45" t="n">
        <f aca="false">IFERROR(INDEX(medicine_master!$I$2:$I$26,MATCH($C2428,medicine_master!$A$2:$A$26,0)),0)</f>
        <v>80</v>
      </c>
      <c r="M2428" s="45" t="n">
        <f aca="false">IFERROR(INDEX(medicine_master!$G$2:$G$26,MATCH($C2428,medicine_master!$A$2:$A$26,0)),0)</f>
        <v>58</v>
      </c>
      <c r="N2428" s="45" t="n">
        <f aca="false">IF(D2428="Sale",E2428*L2428,0)</f>
        <v>1200</v>
      </c>
      <c r="O2428" s="45" t="n">
        <f aca="false">IF(D2428="Sale",E2428*M2428,0)</f>
        <v>870</v>
      </c>
      <c r="P2428" s="45" t="n">
        <f aca="false">N2428-O2428</f>
        <v>330</v>
      </c>
      <c r="Q2428" s="45" t="n">
        <f aca="false">IF(D2428="Purchase",E2428*M2428,0)</f>
        <v>0</v>
      </c>
    </row>
    <row r="2429" customFormat="false" ht="15" hidden="false" customHeight="false" outlineLevel="0" collapsed="false">
      <c r="A2429" s="39" t="s">
        <v>2753</v>
      </c>
      <c r="B2429" s="44" t="n">
        <v>46030</v>
      </c>
      <c r="C2429" s="39" t="s">
        <v>345</v>
      </c>
      <c r="D2429" s="39" t="s">
        <v>137</v>
      </c>
      <c r="E2429" s="39" t="n">
        <v>5</v>
      </c>
      <c r="F2429" s="39" t="str">
        <f aca="false">IF(COUNTIF(medicine_master!$A$2:$A$26,C2429)&gt;0,"Valid","Invalid")</f>
        <v>Valid</v>
      </c>
      <c r="G2429" s="39" t="str">
        <f aca="false">IFERROR(INDEX(medicine_master!$B$2:$B$26,MATCH($C2429,medicine_master!$A$2:$A$26,0)),"Not found")</f>
        <v>Paracetamol 500mg</v>
      </c>
      <c r="H2429" s="39" t="str">
        <f aca="false">IFERROR(INDEX(medicine_master!$C$2:$C$26,MATCH($C2429,medicine_master!$A$2:$A$26,0)),"Not found")</f>
        <v>Pain Relief</v>
      </c>
      <c r="I2429" s="39" t="n">
        <f aca="false">YEAR(B2429)</f>
        <v>2026</v>
      </c>
      <c r="J2429" s="39" t="n">
        <f aca="false">MONTH(B2429)</f>
        <v>1</v>
      </c>
      <c r="K2429" s="39" t="str">
        <f aca="false">TEXT(B2429,"mmm")</f>
        <v>Jan</v>
      </c>
      <c r="L2429" s="45" t="n">
        <f aca="false">IFERROR(INDEX(medicine_master!$I$2:$I$26,MATCH($C2429,medicine_master!$A$2:$A$26,0)),0)</f>
        <v>18</v>
      </c>
      <c r="M2429" s="45" t="n">
        <f aca="false">IFERROR(INDEX(medicine_master!$G$2:$G$26,MATCH($C2429,medicine_master!$A$2:$A$26,0)),0)</f>
        <v>12</v>
      </c>
      <c r="N2429" s="45" t="n">
        <f aca="false">IF(D2429="Sale",E2429*L2429,0)</f>
        <v>90</v>
      </c>
      <c r="O2429" s="45" t="n">
        <f aca="false">IF(D2429="Sale",E2429*M2429,0)</f>
        <v>60</v>
      </c>
      <c r="P2429" s="45" t="n">
        <f aca="false">N2429-O2429</f>
        <v>30</v>
      </c>
      <c r="Q2429" s="45" t="n">
        <f aca="false">IF(D2429="Purchase",E2429*M2429,0)</f>
        <v>0</v>
      </c>
    </row>
    <row r="2430" customFormat="false" ht="15" hidden="false" customHeight="false" outlineLevel="0" collapsed="false">
      <c r="A2430" s="39" t="s">
        <v>2754</v>
      </c>
      <c r="B2430" s="44" t="n">
        <v>46303</v>
      </c>
      <c r="C2430" s="39" t="s">
        <v>159</v>
      </c>
      <c r="D2430" s="39" t="s">
        <v>138</v>
      </c>
      <c r="E2430" s="39" t="n">
        <v>10</v>
      </c>
      <c r="F2430" s="39" t="str">
        <f aca="false">IF(COUNTIF(medicine_master!$A$2:$A$26,C2430)&gt;0,"Valid","Invalid")</f>
        <v>Valid</v>
      </c>
      <c r="G2430" s="39" t="str">
        <f aca="false">IFERROR(INDEX(medicine_master!$B$2:$B$26,MATCH($C2430,medicine_master!$A$2:$A$26,0)),"Not found")</f>
        <v>Antiseptic Liquid 100ml</v>
      </c>
      <c r="H2430" s="39" t="str">
        <f aca="false">IFERROR(INDEX(medicine_master!$C$2:$C$26,MATCH($C2430,medicine_master!$A$2:$A$26,0)),"Not found")</f>
        <v>First Aid</v>
      </c>
      <c r="I2430" s="39" t="n">
        <f aca="false">YEAR(B2430)</f>
        <v>2026</v>
      </c>
      <c r="J2430" s="39" t="n">
        <f aca="false">MONTH(B2430)</f>
        <v>10</v>
      </c>
      <c r="K2430" s="39" t="str">
        <f aca="false">TEXT(B2430,"mmm")</f>
        <v>Oct</v>
      </c>
      <c r="L2430" s="45" t="n">
        <f aca="false">IFERROR(INDEX(medicine_master!$I$2:$I$26,MATCH($C2430,medicine_master!$A$2:$A$26,0)),0)</f>
        <v>65</v>
      </c>
      <c r="M2430" s="45" t="n">
        <f aca="false">IFERROR(INDEX(medicine_master!$G$2:$G$26,MATCH($C2430,medicine_master!$A$2:$A$26,0)),0)</f>
        <v>48</v>
      </c>
      <c r="N2430" s="45" t="n">
        <f aca="false">IF(D2430="Sale",E2430*L2430,0)</f>
        <v>0</v>
      </c>
      <c r="O2430" s="45" t="n">
        <f aca="false">IF(D2430="Sale",E2430*M2430,0)</f>
        <v>0</v>
      </c>
      <c r="P2430" s="45" t="n">
        <f aca="false">N2430-O2430</f>
        <v>0</v>
      </c>
      <c r="Q2430" s="45" t="n">
        <f aca="false">IF(D2430="Purchase",E2430*M2430,0)</f>
        <v>480</v>
      </c>
    </row>
    <row r="2431" customFormat="false" ht="15" hidden="false" customHeight="false" outlineLevel="0" collapsed="false">
      <c r="A2431" s="39" t="s">
        <v>2755</v>
      </c>
      <c r="B2431" s="44" t="n">
        <v>46105</v>
      </c>
      <c r="C2431" s="39" t="s">
        <v>390</v>
      </c>
      <c r="D2431" s="39" t="s">
        <v>138</v>
      </c>
      <c r="E2431" s="39" t="n">
        <v>50</v>
      </c>
      <c r="F2431" s="39" t="str">
        <f aca="false">IF(COUNTIF(medicine_master!$A$2:$A$26,C2431)&gt;0,"Valid","Invalid")</f>
        <v>Valid</v>
      </c>
      <c r="G2431" s="39" t="str">
        <f aca="false">IFERROR(INDEX(medicine_master!$B$2:$B$26,MATCH($C2431,medicine_master!$A$2:$A$26,0)),"Not found")</f>
        <v>Montelukast 10mg</v>
      </c>
      <c r="H2431" s="39" t="str">
        <f aca="false">IFERROR(INDEX(medicine_master!$C$2:$C$26,MATCH($C2431,medicine_master!$A$2:$A$26,0)),"Not found")</f>
        <v>Allergy</v>
      </c>
      <c r="I2431" s="39" t="n">
        <f aca="false">YEAR(B2431)</f>
        <v>2026</v>
      </c>
      <c r="J2431" s="39" t="n">
        <f aca="false">MONTH(B2431)</f>
        <v>3</v>
      </c>
      <c r="K2431" s="39" t="str">
        <f aca="false">TEXT(B2431,"mmm")</f>
        <v>Mar</v>
      </c>
      <c r="L2431" s="45" t="n">
        <f aca="false">IFERROR(INDEX(medicine_master!$I$2:$I$26,MATCH($C2431,medicine_master!$A$2:$A$26,0)),0)</f>
        <v>39</v>
      </c>
      <c r="M2431" s="45" t="n">
        <f aca="false">IFERROR(INDEX(medicine_master!$G$2:$G$26,MATCH($C2431,medicine_master!$A$2:$A$26,0)),0)</f>
        <v>27</v>
      </c>
      <c r="N2431" s="45" t="n">
        <f aca="false">IF(D2431="Sale",E2431*L2431,0)</f>
        <v>0</v>
      </c>
      <c r="O2431" s="45" t="n">
        <f aca="false">IF(D2431="Sale",E2431*M2431,0)</f>
        <v>0</v>
      </c>
      <c r="P2431" s="45" t="n">
        <f aca="false">N2431-O2431</f>
        <v>0</v>
      </c>
      <c r="Q2431" s="45" t="n">
        <f aca="false">IF(D2431="Purchase",E2431*M2431,0)</f>
        <v>1350</v>
      </c>
    </row>
    <row r="2432" customFormat="false" ht="15" hidden="false" customHeight="false" outlineLevel="0" collapsed="false">
      <c r="A2432" s="39" t="s">
        <v>2756</v>
      </c>
      <c r="B2432" s="44" t="n">
        <v>46142</v>
      </c>
      <c r="C2432" s="39" t="s">
        <v>180</v>
      </c>
      <c r="D2432" s="39" t="s">
        <v>138</v>
      </c>
      <c r="E2432" s="39" t="n">
        <v>15</v>
      </c>
      <c r="F2432" s="39" t="str">
        <f aca="false">IF(COUNTIF(medicine_master!$A$2:$A$26,C2432)&gt;0,"Valid","Invalid")</f>
        <v>Valid</v>
      </c>
      <c r="G2432" s="39" t="str">
        <f aca="false">IFERROR(INDEX(medicine_master!$B$2:$B$26,MATCH($C2432,medicine_master!$A$2:$A$26,0)),"Not found")</f>
        <v>Vitamin C 500mg</v>
      </c>
      <c r="H2432" s="39" t="str">
        <f aca="false">IFERROR(INDEX(medicine_master!$C$2:$C$26,MATCH($C2432,medicine_master!$A$2:$A$26,0)),"Not found")</f>
        <v>Vitamin</v>
      </c>
      <c r="I2432" s="39" t="n">
        <f aca="false">YEAR(B2432)</f>
        <v>2026</v>
      </c>
      <c r="J2432" s="39" t="n">
        <f aca="false">MONTH(B2432)</f>
        <v>4</v>
      </c>
      <c r="K2432" s="39" t="str">
        <f aca="false">TEXT(B2432,"mmm")</f>
        <v>Apr</v>
      </c>
      <c r="L2432" s="45" t="n">
        <f aca="false">IFERROR(INDEX(medicine_master!$I$2:$I$26,MATCH($C2432,medicine_master!$A$2:$A$26,0)),0)</f>
        <v>22</v>
      </c>
      <c r="M2432" s="45" t="n">
        <f aca="false">IFERROR(INDEX(medicine_master!$G$2:$G$26,MATCH($C2432,medicine_master!$A$2:$A$26,0)),0)</f>
        <v>14</v>
      </c>
      <c r="N2432" s="45" t="n">
        <f aca="false">IF(D2432="Sale",E2432*L2432,0)</f>
        <v>0</v>
      </c>
      <c r="O2432" s="45" t="n">
        <f aca="false">IF(D2432="Sale",E2432*M2432,0)</f>
        <v>0</v>
      </c>
      <c r="P2432" s="45" t="n">
        <f aca="false">N2432-O2432</f>
        <v>0</v>
      </c>
      <c r="Q2432" s="45" t="n">
        <f aca="false">IF(D2432="Purchase",E2432*M2432,0)</f>
        <v>210</v>
      </c>
    </row>
    <row r="2433" customFormat="false" ht="15" hidden="false" customHeight="false" outlineLevel="0" collapsed="false">
      <c r="A2433" s="39" t="s">
        <v>2757</v>
      </c>
      <c r="B2433" s="44" t="n">
        <v>46032</v>
      </c>
      <c r="C2433" s="39" t="s">
        <v>158</v>
      </c>
      <c r="D2433" s="39" t="s">
        <v>137</v>
      </c>
      <c r="E2433" s="39" t="n">
        <v>15</v>
      </c>
      <c r="F2433" s="39" t="str">
        <f aca="false">IF(COUNTIF(medicine_master!$A$2:$A$26,C2433)&gt;0,"Valid","Invalid")</f>
        <v>Valid</v>
      </c>
      <c r="G2433" s="39" t="str">
        <f aca="false">IFERROR(INDEX(medicine_master!$B$2:$B$26,MATCH($C2433,medicine_master!$A$2:$A$26,0)),"Not found")</f>
        <v>Cough Syrup 100ml</v>
      </c>
      <c r="H2433" s="39" t="str">
        <f aca="false">IFERROR(INDEX(medicine_master!$C$2:$C$26,MATCH($C2433,medicine_master!$A$2:$A$26,0)),"Not found")</f>
        <v>Cold &amp; Cough</v>
      </c>
      <c r="I2433" s="39" t="n">
        <f aca="false">YEAR(B2433)</f>
        <v>2026</v>
      </c>
      <c r="J2433" s="39" t="n">
        <f aca="false">MONTH(B2433)</f>
        <v>1</v>
      </c>
      <c r="K2433" s="39" t="str">
        <f aca="false">TEXT(B2433,"mmm")</f>
        <v>Jan</v>
      </c>
      <c r="L2433" s="45" t="n">
        <f aca="false">IFERROR(INDEX(medicine_master!$I$2:$I$26,MATCH($C2433,medicine_master!$A$2:$A$26,0)),0)</f>
        <v>72</v>
      </c>
      <c r="M2433" s="45" t="n">
        <f aca="false">IFERROR(INDEX(medicine_master!$G$2:$G$26,MATCH($C2433,medicine_master!$A$2:$A$26,0)),0)</f>
        <v>52</v>
      </c>
      <c r="N2433" s="45" t="n">
        <f aca="false">IF(D2433="Sale",E2433*L2433,0)</f>
        <v>1080</v>
      </c>
      <c r="O2433" s="45" t="n">
        <f aca="false">IF(D2433="Sale",E2433*M2433,0)</f>
        <v>780</v>
      </c>
      <c r="P2433" s="45" t="n">
        <f aca="false">N2433-O2433</f>
        <v>300</v>
      </c>
      <c r="Q2433" s="45" t="n">
        <f aca="false">IF(D2433="Purchase",E2433*M2433,0)</f>
        <v>0</v>
      </c>
    </row>
    <row r="2434" customFormat="false" ht="15" hidden="false" customHeight="false" outlineLevel="0" collapsed="false">
      <c r="A2434" s="39" t="s">
        <v>2758</v>
      </c>
      <c r="B2434" s="44" t="n">
        <v>46240</v>
      </c>
      <c r="C2434" s="39" t="s">
        <v>145</v>
      </c>
      <c r="D2434" s="39" t="s">
        <v>138</v>
      </c>
      <c r="E2434" s="39" t="n">
        <v>30</v>
      </c>
      <c r="F2434" s="39" t="str">
        <f aca="false">IF(COUNTIF(medicine_master!$A$2:$A$26,C2434)&gt;0,"Valid","Invalid")</f>
        <v>Valid</v>
      </c>
      <c r="G2434" s="39" t="str">
        <f aca="false">IFERROR(INDEX(medicine_master!$B$2:$B$26,MATCH($C2434,medicine_master!$A$2:$A$26,0)),"Not found")</f>
        <v>Clotrimazole Cream</v>
      </c>
      <c r="H2434" s="39" t="str">
        <f aca="false">IFERROR(INDEX(medicine_master!$C$2:$C$26,MATCH($C2434,medicine_master!$A$2:$A$26,0)),"Not found")</f>
        <v>Dermatology</v>
      </c>
      <c r="I2434" s="39" t="n">
        <f aca="false">YEAR(B2434)</f>
        <v>2026</v>
      </c>
      <c r="J2434" s="39" t="n">
        <f aca="false">MONTH(B2434)</f>
        <v>8</v>
      </c>
      <c r="K2434" s="39" t="str">
        <f aca="false">TEXT(B2434,"mmm")</f>
        <v>Aug</v>
      </c>
      <c r="L2434" s="45" t="n">
        <f aca="false">IFERROR(INDEX(medicine_master!$I$2:$I$26,MATCH($C2434,medicine_master!$A$2:$A$26,0)),0)</f>
        <v>48</v>
      </c>
      <c r="M2434" s="45" t="n">
        <f aca="false">IFERROR(INDEX(medicine_master!$G$2:$G$26,MATCH($C2434,medicine_master!$A$2:$A$26,0)),0)</f>
        <v>32</v>
      </c>
      <c r="N2434" s="45" t="n">
        <f aca="false">IF(D2434="Sale",E2434*L2434,0)</f>
        <v>0</v>
      </c>
      <c r="O2434" s="45" t="n">
        <f aca="false">IF(D2434="Sale",E2434*M2434,0)</f>
        <v>0</v>
      </c>
      <c r="P2434" s="45" t="n">
        <f aca="false">N2434-O2434</f>
        <v>0</v>
      </c>
      <c r="Q2434" s="45" t="n">
        <f aca="false">IF(D2434="Purchase",E2434*M2434,0)</f>
        <v>960</v>
      </c>
    </row>
    <row r="2435" customFormat="false" ht="15" hidden="false" customHeight="false" outlineLevel="0" collapsed="false">
      <c r="A2435" s="39" t="s">
        <v>2759</v>
      </c>
      <c r="B2435" s="44" t="n">
        <v>46227</v>
      </c>
      <c r="C2435" s="39" t="s">
        <v>147</v>
      </c>
      <c r="D2435" s="39" t="s">
        <v>137</v>
      </c>
      <c r="E2435" s="39" t="n">
        <v>25</v>
      </c>
      <c r="F2435" s="39" t="str">
        <f aca="false">IF(COUNTIF(medicine_master!$A$2:$A$26,C2435)&gt;0,"Valid","Invalid")</f>
        <v>Valid</v>
      </c>
      <c r="G2435" s="39" t="str">
        <f aca="false">IFERROR(INDEX(medicine_master!$B$2:$B$26,MATCH($C2435,medicine_master!$A$2:$A$26,0)),"Not found")</f>
        <v>Insulin Injection</v>
      </c>
      <c r="H2435" s="39" t="str">
        <f aca="false">IFERROR(INDEX(medicine_master!$C$2:$C$26,MATCH($C2435,medicine_master!$A$2:$A$26,0)),"Not found")</f>
        <v>Diabetes</v>
      </c>
      <c r="I2435" s="39" t="n">
        <f aca="false">YEAR(B2435)</f>
        <v>2026</v>
      </c>
      <c r="J2435" s="39" t="n">
        <f aca="false">MONTH(B2435)</f>
        <v>7</v>
      </c>
      <c r="K2435" s="39" t="str">
        <f aca="false">TEXT(B2435,"mmm")</f>
        <v>Jul</v>
      </c>
      <c r="L2435" s="45" t="n">
        <f aca="false">IFERROR(INDEX(medicine_master!$I$2:$I$26,MATCH($C2435,medicine_master!$A$2:$A$26,0)),0)</f>
        <v>225</v>
      </c>
      <c r="M2435" s="45" t="n">
        <f aca="false">IFERROR(INDEX(medicine_master!$G$2:$G$26,MATCH($C2435,medicine_master!$A$2:$A$26,0)),0)</f>
        <v>165</v>
      </c>
      <c r="N2435" s="45" t="n">
        <f aca="false">IF(D2435="Sale",E2435*L2435,0)</f>
        <v>5625</v>
      </c>
      <c r="O2435" s="45" t="n">
        <f aca="false">IF(D2435="Sale",E2435*M2435,0)</f>
        <v>4125</v>
      </c>
      <c r="P2435" s="45" t="n">
        <f aca="false">N2435-O2435</f>
        <v>1500</v>
      </c>
      <c r="Q2435" s="45" t="n">
        <f aca="false">IF(D2435="Purchase",E2435*M2435,0)</f>
        <v>0</v>
      </c>
    </row>
    <row r="2436" customFormat="false" ht="15" hidden="false" customHeight="false" outlineLevel="0" collapsed="false">
      <c r="A2436" s="39" t="s">
        <v>2760</v>
      </c>
      <c r="B2436" s="44" t="n">
        <v>46057</v>
      </c>
      <c r="C2436" s="39" t="s">
        <v>345</v>
      </c>
      <c r="D2436" s="39" t="s">
        <v>137</v>
      </c>
      <c r="E2436" s="39" t="n">
        <v>20</v>
      </c>
      <c r="F2436" s="39" t="str">
        <f aca="false">IF(COUNTIF(medicine_master!$A$2:$A$26,C2436)&gt;0,"Valid","Invalid")</f>
        <v>Valid</v>
      </c>
      <c r="G2436" s="39" t="str">
        <f aca="false">IFERROR(INDEX(medicine_master!$B$2:$B$26,MATCH($C2436,medicine_master!$A$2:$A$26,0)),"Not found")</f>
        <v>Paracetamol 500mg</v>
      </c>
      <c r="H2436" s="39" t="str">
        <f aca="false">IFERROR(INDEX(medicine_master!$C$2:$C$26,MATCH($C2436,medicine_master!$A$2:$A$26,0)),"Not found")</f>
        <v>Pain Relief</v>
      </c>
      <c r="I2436" s="39" t="n">
        <f aca="false">YEAR(B2436)</f>
        <v>2026</v>
      </c>
      <c r="J2436" s="39" t="n">
        <f aca="false">MONTH(B2436)</f>
        <v>2</v>
      </c>
      <c r="K2436" s="39" t="str">
        <f aca="false">TEXT(B2436,"mmm")</f>
        <v>Feb</v>
      </c>
      <c r="L2436" s="45" t="n">
        <f aca="false">IFERROR(INDEX(medicine_master!$I$2:$I$26,MATCH($C2436,medicine_master!$A$2:$A$26,0)),0)</f>
        <v>18</v>
      </c>
      <c r="M2436" s="45" t="n">
        <f aca="false">IFERROR(INDEX(medicine_master!$G$2:$G$26,MATCH($C2436,medicine_master!$A$2:$A$26,0)),0)</f>
        <v>12</v>
      </c>
      <c r="N2436" s="45" t="n">
        <f aca="false">IF(D2436="Sale",E2436*L2436,0)</f>
        <v>360</v>
      </c>
      <c r="O2436" s="45" t="n">
        <f aca="false">IF(D2436="Sale",E2436*M2436,0)</f>
        <v>240</v>
      </c>
      <c r="P2436" s="45" t="n">
        <f aca="false">N2436-O2436</f>
        <v>120</v>
      </c>
      <c r="Q2436" s="45" t="n">
        <f aca="false">IF(D2436="Purchase",E2436*M2436,0)</f>
        <v>0</v>
      </c>
    </row>
    <row r="2437" customFormat="false" ht="15" hidden="false" customHeight="false" outlineLevel="0" collapsed="false">
      <c r="A2437" s="39" t="s">
        <v>2761</v>
      </c>
      <c r="B2437" s="44" t="n">
        <v>46251</v>
      </c>
      <c r="C2437" s="39" t="s">
        <v>153</v>
      </c>
      <c r="D2437" s="39" t="s">
        <v>137</v>
      </c>
      <c r="E2437" s="39" t="n">
        <v>50</v>
      </c>
      <c r="F2437" s="39" t="str">
        <f aca="false">IF(COUNTIF(medicine_master!$A$2:$A$26,C2437)&gt;0,"Valid","Invalid")</f>
        <v>Valid</v>
      </c>
      <c r="G2437" s="39" t="str">
        <f aca="false">IFERROR(INDEX(medicine_master!$B$2:$B$26,MATCH($C2437,medicine_master!$A$2:$A$26,0)),"Not found")</f>
        <v>Atorvastatin 10mg</v>
      </c>
      <c r="H2437" s="39" t="str">
        <f aca="false">IFERROR(INDEX(medicine_master!$C$2:$C$26,MATCH($C2437,medicine_master!$A$2:$A$26,0)),"Not found")</f>
        <v>Cardiac</v>
      </c>
      <c r="I2437" s="39" t="n">
        <f aca="false">YEAR(B2437)</f>
        <v>2026</v>
      </c>
      <c r="J2437" s="39" t="n">
        <f aca="false">MONTH(B2437)</f>
        <v>8</v>
      </c>
      <c r="K2437" s="39" t="str">
        <f aca="false">TEXT(B2437,"mmm")</f>
        <v>Aug</v>
      </c>
      <c r="L2437" s="45" t="n">
        <f aca="false">IFERROR(INDEX(medicine_master!$I$2:$I$26,MATCH($C2437,medicine_master!$A$2:$A$26,0)),0)</f>
        <v>28</v>
      </c>
      <c r="M2437" s="45" t="n">
        <f aca="false">IFERROR(INDEX(medicine_master!$G$2:$G$26,MATCH($C2437,medicine_master!$A$2:$A$26,0)),0)</f>
        <v>19</v>
      </c>
      <c r="N2437" s="45" t="n">
        <f aca="false">IF(D2437="Sale",E2437*L2437,0)</f>
        <v>1400</v>
      </c>
      <c r="O2437" s="45" t="n">
        <f aca="false">IF(D2437="Sale",E2437*M2437,0)</f>
        <v>950</v>
      </c>
      <c r="P2437" s="45" t="n">
        <f aca="false">N2437-O2437</f>
        <v>450</v>
      </c>
      <c r="Q2437" s="45" t="n">
        <f aca="false">IF(D2437="Purchase",E2437*M2437,0)</f>
        <v>0</v>
      </c>
    </row>
    <row r="2438" customFormat="false" ht="15" hidden="false" customHeight="false" outlineLevel="0" collapsed="false">
      <c r="A2438" s="39" t="s">
        <v>2762</v>
      </c>
      <c r="B2438" s="44" t="n">
        <v>46239</v>
      </c>
      <c r="C2438" s="39" t="s">
        <v>179</v>
      </c>
      <c r="D2438" s="39" t="s">
        <v>137</v>
      </c>
      <c r="E2438" s="39" t="n">
        <v>30</v>
      </c>
      <c r="F2438" s="39" t="str">
        <f aca="false">IF(COUNTIF(medicine_master!$A$2:$A$26,C2438)&gt;0,"Valid","Invalid")</f>
        <v>Valid</v>
      </c>
      <c r="G2438" s="39" t="str">
        <f aca="false">IFERROR(INDEX(medicine_master!$B$2:$B$26,MATCH($C2438,medicine_master!$A$2:$A$26,0)),"Not found")</f>
        <v>Ibuprofen 400mg</v>
      </c>
      <c r="H2438" s="39" t="str">
        <f aca="false">IFERROR(INDEX(medicine_master!$C$2:$C$26,MATCH($C2438,medicine_master!$A$2:$A$26,0)),"Not found")</f>
        <v>Pain Relief</v>
      </c>
      <c r="I2438" s="39" t="n">
        <f aca="false">YEAR(B2438)</f>
        <v>2026</v>
      </c>
      <c r="J2438" s="39" t="n">
        <f aca="false">MONTH(B2438)</f>
        <v>8</v>
      </c>
      <c r="K2438" s="39" t="str">
        <f aca="false">TEXT(B2438,"mmm")</f>
        <v>Aug</v>
      </c>
      <c r="L2438" s="45" t="n">
        <f aca="false">IFERROR(INDEX(medicine_master!$I$2:$I$26,MATCH($C2438,medicine_master!$A$2:$A$26,0)),0)</f>
        <v>30</v>
      </c>
      <c r="M2438" s="45" t="n">
        <f aca="false">IFERROR(INDEX(medicine_master!$G$2:$G$26,MATCH($C2438,medicine_master!$A$2:$A$26,0)),0)</f>
        <v>22</v>
      </c>
      <c r="N2438" s="45" t="n">
        <f aca="false">IF(D2438="Sale",E2438*L2438,0)</f>
        <v>900</v>
      </c>
      <c r="O2438" s="45" t="n">
        <f aca="false">IF(D2438="Sale",E2438*M2438,0)</f>
        <v>660</v>
      </c>
      <c r="P2438" s="45" t="n">
        <f aca="false">N2438-O2438</f>
        <v>240</v>
      </c>
      <c r="Q2438" s="45" t="n">
        <f aca="false">IF(D2438="Purchase",E2438*M2438,0)</f>
        <v>0</v>
      </c>
    </row>
    <row r="2439" customFormat="false" ht="15" hidden="false" customHeight="false" outlineLevel="0" collapsed="false">
      <c r="A2439" s="39" t="s">
        <v>2763</v>
      </c>
      <c r="B2439" s="44" t="n">
        <v>46285</v>
      </c>
      <c r="C2439" s="39" t="s">
        <v>147</v>
      </c>
      <c r="D2439" s="39" t="s">
        <v>137</v>
      </c>
      <c r="E2439" s="39" t="n">
        <v>40</v>
      </c>
      <c r="F2439" s="39" t="str">
        <f aca="false">IF(COUNTIF(medicine_master!$A$2:$A$26,C2439)&gt;0,"Valid","Invalid")</f>
        <v>Valid</v>
      </c>
      <c r="G2439" s="39" t="str">
        <f aca="false">IFERROR(INDEX(medicine_master!$B$2:$B$26,MATCH($C2439,medicine_master!$A$2:$A$26,0)),"Not found")</f>
        <v>Insulin Injection</v>
      </c>
      <c r="H2439" s="39" t="str">
        <f aca="false">IFERROR(INDEX(medicine_master!$C$2:$C$26,MATCH($C2439,medicine_master!$A$2:$A$26,0)),"Not found")</f>
        <v>Diabetes</v>
      </c>
      <c r="I2439" s="39" t="n">
        <f aca="false">YEAR(B2439)</f>
        <v>2026</v>
      </c>
      <c r="J2439" s="39" t="n">
        <f aca="false">MONTH(B2439)</f>
        <v>9</v>
      </c>
      <c r="K2439" s="39" t="str">
        <f aca="false">TEXT(B2439,"mmm")</f>
        <v>Sep</v>
      </c>
      <c r="L2439" s="45" t="n">
        <f aca="false">IFERROR(INDEX(medicine_master!$I$2:$I$26,MATCH($C2439,medicine_master!$A$2:$A$26,0)),0)</f>
        <v>225</v>
      </c>
      <c r="M2439" s="45" t="n">
        <f aca="false">IFERROR(INDEX(medicine_master!$G$2:$G$26,MATCH($C2439,medicine_master!$A$2:$A$26,0)),0)</f>
        <v>165</v>
      </c>
      <c r="N2439" s="45" t="n">
        <f aca="false">IF(D2439="Sale",E2439*L2439,0)</f>
        <v>9000</v>
      </c>
      <c r="O2439" s="45" t="n">
        <f aca="false">IF(D2439="Sale",E2439*M2439,0)</f>
        <v>6600</v>
      </c>
      <c r="P2439" s="45" t="n">
        <f aca="false">N2439-O2439</f>
        <v>2400</v>
      </c>
      <c r="Q2439" s="45" t="n">
        <f aca="false">IF(D2439="Purchase",E2439*M2439,0)</f>
        <v>0</v>
      </c>
    </row>
    <row r="2440" customFormat="false" ht="15" hidden="false" customHeight="false" outlineLevel="0" collapsed="false">
      <c r="A2440" s="39" t="s">
        <v>2764</v>
      </c>
      <c r="B2440" s="44" t="n">
        <v>46034</v>
      </c>
      <c r="C2440" s="39" t="s">
        <v>145</v>
      </c>
      <c r="D2440" s="39" t="s">
        <v>138</v>
      </c>
      <c r="E2440" s="39" t="n">
        <v>10</v>
      </c>
      <c r="F2440" s="39" t="str">
        <f aca="false">IF(COUNTIF(medicine_master!$A$2:$A$26,C2440)&gt;0,"Valid","Invalid")</f>
        <v>Valid</v>
      </c>
      <c r="G2440" s="39" t="str">
        <f aca="false">IFERROR(INDEX(medicine_master!$B$2:$B$26,MATCH($C2440,medicine_master!$A$2:$A$26,0)),"Not found")</f>
        <v>Clotrimazole Cream</v>
      </c>
      <c r="H2440" s="39" t="str">
        <f aca="false">IFERROR(INDEX(medicine_master!$C$2:$C$26,MATCH($C2440,medicine_master!$A$2:$A$26,0)),"Not found")</f>
        <v>Dermatology</v>
      </c>
      <c r="I2440" s="39" t="n">
        <f aca="false">YEAR(B2440)</f>
        <v>2026</v>
      </c>
      <c r="J2440" s="39" t="n">
        <f aca="false">MONTH(B2440)</f>
        <v>1</v>
      </c>
      <c r="K2440" s="39" t="str">
        <f aca="false">TEXT(B2440,"mmm")</f>
        <v>Jan</v>
      </c>
      <c r="L2440" s="45" t="n">
        <f aca="false">IFERROR(INDEX(medicine_master!$I$2:$I$26,MATCH($C2440,medicine_master!$A$2:$A$26,0)),0)</f>
        <v>48</v>
      </c>
      <c r="M2440" s="45" t="n">
        <f aca="false">IFERROR(INDEX(medicine_master!$G$2:$G$26,MATCH($C2440,medicine_master!$A$2:$A$26,0)),0)</f>
        <v>32</v>
      </c>
      <c r="N2440" s="45" t="n">
        <f aca="false">IF(D2440="Sale",E2440*L2440,0)</f>
        <v>0</v>
      </c>
      <c r="O2440" s="45" t="n">
        <f aca="false">IF(D2440="Sale",E2440*M2440,0)</f>
        <v>0</v>
      </c>
      <c r="P2440" s="45" t="n">
        <f aca="false">N2440-O2440</f>
        <v>0</v>
      </c>
      <c r="Q2440" s="45" t="n">
        <f aca="false">IF(D2440="Purchase",E2440*M2440,0)</f>
        <v>320</v>
      </c>
    </row>
    <row r="2441" customFormat="false" ht="15" hidden="false" customHeight="false" outlineLevel="0" collapsed="false">
      <c r="A2441" s="39" t="s">
        <v>2765</v>
      </c>
      <c r="B2441" s="44" t="n">
        <v>46233</v>
      </c>
      <c r="C2441" s="39" t="s">
        <v>159</v>
      </c>
      <c r="D2441" s="39" t="s">
        <v>138</v>
      </c>
      <c r="E2441" s="39" t="n">
        <v>30</v>
      </c>
      <c r="F2441" s="39" t="str">
        <f aca="false">IF(COUNTIF(medicine_master!$A$2:$A$26,C2441)&gt;0,"Valid","Invalid")</f>
        <v>Valid</v>
      </c>
      <c r="G2441" s="39" t="str">
        <f aca="false">IFERROR(INDEX(medicine_master!$B$2:$B$26,MATCH($C2441,medicine_master!$A$2:$A$26,0)),"Not found")</f>
        <v>Antiseptic Liquid 100ml</v>
      </c>
      <c r="H2441" s="39" t="str">
        <f aca="false">IFERROR(INDEX(medicine_master!$C$2:$C$26,MATCH($C2441,medicine_master!$A$2:$A$26,0)),"Not found")</f>
        <v>First Aid</v>
      </c>
      <c r="I2441" s="39" t="n">
        <f aca="false">YEAR(B2441)</f>
        <v>2026</v>
      </c>
      <c r="J2441" s="39" t="n">
        <f aca="false">MONTH(B2441)</f>
        <v>7</v>
      </c>
      <c r="K2441" s="39" t="str">
        <f aca="false">TEXT(B2441,"mmm")</f>
        <v>Jul</v>
      </c>
      <c r="L2441" s="45" t="n">
        <f aca="false">IFERROR(INDEX(medicine_master!$I$2:$I$26,MATCH($C2441,medicine_master!$A$2:$A$26,0)),0)</f>
        <v>65</v>
      </c>
      <c r="M2441" s="45" t="n">
        <f aca="false">IFERROR(INDEX(medicine_master!$G$2:$G$26,MATCH($C2441,medicine_master!$A$2:$A$26,0)),0)</f>
        <v>48</v>
      </c>
      <c r="N2441" s="45" t="n">
        <f aca="false">IF(D2441="Sale",E2441*L2441,0)</f>
        <v>0</v>
      </c>
      <c r="O2441" s="45" t="n">
        <f aca="false">IF(D2441="Sale",E2441*M2441,0)</f>
        <v>0</v>
      </c>
      <c r="P2441" s="45" t="n">
        <f aca="false">N2441-O2441</f>
        <v>0</v>
      </c>
      <c r="Q2441" s="45" t="n">
        <f aca="false">IF(D2441="Purchase",E2441*M2441,0)</f>
        <v>1440</v>
      </c>
    </row>
    <row r="2442" customFormat="false" ht="15" hidden="false" customHeight="false" outlineLevel="0" collapsed="false">
      <c r="A2442" s="39" t="s">
        <v>2766</v>
      </c>
      <c r="B2442" s="44" t="n">
        <v>46080</v>
      </c>
      <c r="C2442" s="39" t="s">
        <v>321</v>
      </c>
      <c r="D2442" s="39" t="s">
        <v>138</v>
      </c>
      <c r="E2442" s="39" t="n">
        <v>15</v>
      </c>
      <c r="F2442" s="39" t="str">
        <f aca="false">IF(COUNTIF(medicine_master!$A$2:$A$26,C2442)&gt;0,"Valid","Invalid")</f>
        <v>Valid</v>
      </c>
      <c r="G2442" s="39" t="str">
        <f aca="false">IFERROR(INDEX(medicine_master!$B$2:$B$26,MATCH($C2442,medicine_master!$A$2:$A$26,0)),"Not found")</f>
        <v>Levocetirizine 5mg</v>
      </c>
      <c r="H2442" s="39" t="str">
        <f aca="false">IFERROR(INDEX(medicine_master!$C$2:$C$26,MATCH($C2442,medicine_master!$A$2:$A$26,0)),"Not found")</f>
        <v>Allergy</v>
      </c>
      <c r="I2442" s="39" t="n">
        <f aca="false">YEAR(B2442)</f>
        <v>2026</v>
      </c>
      <c r="J2442" s="39" t="n">
        <f aca="false">MONTH(B2442)</f>
        <v>2</v>
      </c>
      <c r="K2442" s="39" t="str">
        <f aca="false">TEXT(B2442,"mmm")</f>
        <v>Feb</v>
      </c>
      <c r="L2442" s="45" t="n">
        <f aca="false">IFERROR(INDEX(medicine_master!$I$2:$I$26,MATCH($C2442,medicine_master!$A$2:$A$26,0)),0)</f>
        <v>22</v>
      </c>
      <c r="M2442" s="45" t="n">
        <f aca="false">IFERROR(INDEX(medicine_master!$G$2:$G$26,MATCH($C2442,medicine_master!$A$2:$A$26,0)),0)</f>
        <v>14</v>
      </c>
      <c r="N2442" s="45" t="n">
        <f aca="false">IF(D2442="Sale",E2442*L2442,0)</f>
        <v>0</v>
      </c>
      <c r="O2442" s="45" t="n">
        <f aca="false">IF(D2442="Sale",E2442*M2442,0)</f>
        <v>0</v>
      </c>
      <c r="P2442" s="45" t="n">
        <f aca="false">N2442-O2442</f>
        <v>0</v>
      </c>
      <c r="Q2442" s="45" t="n">
        <f aca="false">IF(D2442="Purchase",E2442*M2442,0)</f>
        <v>210</v>
      </c>
    </row>
    <row r="2443" customFormat="false" ht="15" hidden="false" customHeight="false" outlineLevel="0" collapsed="false">
      <c r="A2443" s="39" t="s">
        <v>2767</v>
      </c>
      <c r="B2443" s="44" t="n">
        <v>46293</v>
      </c>
      <c r="C2443" s="39" t="s">
        <v>345</v>
      </c>
      <c r="D2443" s="39" t="s">
        <v>138</v>
      </c>
      <c r="E2443" s="39" t="n">
        <v>25</v>
      </c>
      <c r="F2443" s="39" t="str">
        <f aca="false">IF(COUNTIF(medicine_master!$A$2:$A$26,C2443)&gt;0,"Valid","Invalid")</f>
        <v>Valid</v>
      </c>
      <c r="G2443" s="39" t="str">
        <f aca="false">IFERROR(INDEX(medicine_master!$B$2:$B$26,MATCH($C2443,medicine_master!$A$2:$A$26,0)),"Not found")</f>
        <v>Paracetamol 500mg</v>
      </c>
      <c r="H2443" s="39" t="str">
        <f aca="false">IFERROR(INDEX(medicine_master!$C$2:$C$26,MATCH($C2443,medicine_master!$A$2:$A$26,0)),"Not found")</f>
        <v>Pain Relief</v>
      </c>
      <c r="I2443" s="39" t="n">
        <f aca="false">YEAR(B2443)</f>
        <v>2026</v>
      </c>
      <c r="J2443" s="39" t="n">
        <f aca="false">MONTH(B2443)</f>
        <v>9</v>
      </c>
      <c r="K2443" s="39" t="str">
        <f aca="false">TEXT(B2443,"mmm")</f>
        <v>Sep</v>
      </c>
      <c r="L2443" s="45" t="n">
        <f aca="false">IFERROR(INDEX(medicine_master!$I$2:$I$26,MATCH($C2443,medicine_master!$A$2:$A$26,0)),0)</f>
        <v>18</v>
      </c>
      <c r="M2443" s="45" t="n">
        <f aca="false">IFERROR(INDEX(medicine_master!$G$2:$G$26,MATCH($C2443,medicine_master!$A$2:$A$26,0)),0)</f>
        <v>12</v>
      </c>
      <c r="N2443" s="45" t="n">
        <f aca="false">IF(D2443="Sale",E2443*L2443,0)</f>
        <v>0</v>
      </c>
      <c r="O2443" s="45" t="n">
        <f aca="false">IF(D2443="Sale",E2443*M2443,0)</f>
        <v>0</v>
      </c>
      <c r="P2443" s="45" t="n">
        <f aca="false">N2443-O2443</f>
        <v>0</v>
      </c>
      <c r="Q2443" s="45" t="n">
        <f aca="false">IF(D2443="Purchase",E2443*M2443,0)</f>
        <v>300</v>
      </c>
    </row>
    <row r="2444" customFormat="false" ht="15" hidden="false" customHeight="false" outlineLevel="0" collapsed="false">
      <c r="A2444" s="39" t="s">
        <v>2768</v>
      </c>
      <c r="B2444" s="44" t="n">
        <v>46081</v>
      </c>
      <c r="C2444" s="39" t="s">
        <v>159</v>
      </c>
      <c r="D2444" s="39" t="s">
        <v>137</v>
      </c>
      <c r="E2444" s="39" t="n">
        <v>20</v>
      </c>
      <c r="F2444" s="39" t="str">
        <f aca="false">IF(COUNTIF(medicine_master!$A$2:$A$26,C2444)&gt;0,"Valid","Invalid")</f>
        <v>Valid</v>
      </c>
      <c r="G2444" s="39" t="str">
        <f aca="false">IFERROR(INDEX(medicine_master!$B$2:$B$26,MATCH($C2444,medicine_master!$A$2:$A$26,0)),"Not found")</f>
        <v>Antiseptic Liquid 100ml</v>
      </c>
      <c r="H2444" s="39" t="str">
        <f aca="false">IFERROR(INDEX(medicine_master!$C$2:$C$26,MATCH($C2444,medicine_master!$A$2:$A$26,0)),"Not found")</f>
        <v>First Aid</v>
      </c>
      <c r="I2444" s="39" t="n">
        <f aca="false">YEAR(B2444)</f>
        <v>2026</v>
      </c>
      <c r="J2444" s="39" t="n">
        <f aca="false">MONTH(B2444)</f>
        <v>2</v>
      </c>
      <c r="K2444" s="39" t="str">
        <f aca="false">TEXT(B2444,"mmm")</f>
        <v>Feb</v>
      </c>
      <c r="L2444" s="45" t="n">
        <f aca="false">IFERROR(INDEX(medicine_master!$I$2:$I$26,MATCH($C2444,medicine_master!$A$2:$A$26,0)),0)</f>
        <v>65</v>
      </c>
      <c r="M2444" s="45" t="n">
        <f aca="false">IFERROR(INDEX(medicine_master!$G$2:$G$26,MATCH($C2444,medicine_master!$A$2:$A$26,0)),0)</f>
        <v>48</v>
      </c>
      <c r="N2444" s="45" t="n">
        <f aca="false">IF(D2444="Sale",E2444*L2444,0)</f>
        <v>1300</v>
      </c>
      <c r="O2444" s="45" t="n">
        <f aca="false">IF(D2444="Sale",E2444*M2444,0)</f>
        <v>960</v>
      </c>
      <c r="P2444" s="45" t="n">
        <f aca="false">N2444-O2444</f>
        <v>340</v>
      </c>
      <c r="Q2444" s="45" t="n">
        <f aca="false">IF(D2444="Purchase",E2444*M2444,0)</f>
        <v>0</v>
      </c>
    </row>
    <row r="2445" customFormat="false" ht="15" hidden="false" customHeight="false" outlineLevel="0" collapsed="false">
      <c r="A2445" s="39" t="s">
        <v>2769</v>
      </c>
      <c r="B2445" s="44" t="n">
        <v>46229</v>
      </c>
      <c r="C2445" s="39" t="s">
        <v>147</v>
      </c>
      <c r="D2445" s="39" t="s">
        <v>137</v>
      </c>
      <c r="E2445" s="39" t="n">
        <v>30</v>
      </c>
      <c r="F2445" s="39" t="str">
        <f aca="false">IF(COUNTIF(medicine_master!$A$2:$A$26,C2445)&gt;0,"Valid","Invalid")</f>
        <v>Valid</v>
      </c>
      <c r="G2445" s="39" t="str">
        <f aca="false">IFERROR(INDEX(medicine_master!$B$2:$B$26,MATCH($C2445,medicine_master!$A$2:$A$26,0)),"Not found")</f>
        <v>Insulin Injection</v>
      </c>
      <c r="H2445" s="39" t="str">
        <f aca="false">IFERROR(INDEX(medicine_master!$C$2:$C$26,MATCH($C2445,medicine_master!$A$2:$A$26,0)),"Not found")</f>
        <v>Diabetes</v>
      </c>
      <c r="I2445" s="39" t="n">
        <f aca="false">YEAR(B2445)</f>
        <v>2026</v>
      </c>
      <c r="J2445" s="39" t="n">
        <f aca="false">MONTH(B2445)</f>
        <v>7</v>
      </c>
      <c r="K2445" s="39" t="str">
        <f aca="false">TEXT(B2445,"mmm")</f>
        <v>Jul</v>
      </c>
      <c r="L2445" s="45" t="n">
        <f aca="false">IFERROR(INDEX(medicine_master!$I$2:$I$26,MATCH($C2445,medicine_master!$A$2:$A$26,0)),0)</f>
        <v>225</v>
      </c>
      <c r="M2445" s="45" t="n">
        <f aca="false">IFERROR(INDEX(medicine_master!$G$2:$G$26,MATCH($C2445,medicine_master!$A$2:$A$26,0)),0)</f>
        <v>165</v>
      </c>
      <c r="N2445" s="45" t="n">
        <f aca="false">IF(D2445="Sale",E2445*L2445,0)</f>
        <v>6750</v>
      </c>
      <c r="O2445" s="45" t="n">
        <f aca="false">IF(D2445="Sale",E2445*M2445,0)</f>
        <v>4950</v>
      </c>
      <c r="P2445" s="45" t="n">
        <f aca="false">N2445-O2445</f>
        <v>1800</v>
      </c>
      <c r="Q2445" s="45" t="n">
        <f aca="false">IF(D2445="Purchase",E2445*M2445,0)</f>
        <v>0</v>
      </c>
    </row>
    <row r="2446" customFormat="false" ht="15" hidden="false" customHeight="false" outlineLevel="0" collapsed="false">
      <c r="A2446" s="39" t="s">
        <v>2770</v>
      </c>
      <c r="B2446" s="44" t="n">
        <v>46115</v>
      </c>
      <c r="C2446" s="39" t="s">
        <v>390</v>
      </c>
      <c r="D2446" s="39" t="s">
        <v>137</v>
      </c>
      <c r="E2446" s="39" t="n">
        <v>30</v>
      </c>
      <c r="F2446" s="39" t="str">
        <f aca="false">IF(COUNTIF(medicine_master!$A$2:$A$26,C2446)&gt;0,"Valid","Invalid")</f>
        <v>Valid</v>
      </c>
      <c r="G2446" s="39" t="str">
        <f aca="false">IFERROR(INDEX(medicine_master!$B$2:$B$26,MATCH($C2446,medicine_master!$A$2:$A$26,0)),"Not found")</f>
        <v>Montelukast 10mg</v>
      </c>
      <c r="H2446" s="39" t="str">
        <f aca="false">IFERROR(INDEX(medicine_master!$C$2:$C$26,MATCH($C2446,medicine_master!$A$2:$A$26,0)),"Not found")</f>
        <v>Allergy</v>
      </c>
      <c r="I2446" s="39" t="n">
        <f aca="false">YEAR(B2446)</f>
        <v>2026</v>
      </c>
      <c r="J2446" s="39" t="n">
        <f aca="false">MONTH(B2446)</f>
        <v>4</v>
      </c>
      <c r="K2446" s="39" t="str">
        <f aca="false">TEXT(B2446,"mmm")</f>
        <v>Apr</v>
      </c>
      <c r="L2446" s="45" t="n">
        <f aca="false">IFERROR(INDEX(medicine_master!$I$2:$I$26,MATCH($C2446,medicine_master!$A$2:$A$26,0)),0)</f>
        <v>39</v>
      </c>
      <c r="M2446" s="45" t="n">
        <f aca="false">IFERROR(INDEX(medicine_master!$G$2:$G$26,MATCH($C2446,medicine_master!$A$2:$A$26,0)),0)</f>
        <v>27</v>
      </c>
      <c r="N2446" s="45" t="n">
        <f aca="false">IF(D2446="Sale",E2446*L2446,0)</f>
        <v>1170</v>
      </c>
      <c r="O2446" s="45" t="n">
        <f aca="false">IF(D2446="Sale",E2446*M2446,0)</f>
        <v>810</v>
      </c>
      <c r="P2446" s="45" t="n">
        <f aca="false">N2446-O2446</f>
        <v>360</v>
      </c>
      <c r="Q2446" s="45" t="n">
        <f aca="false">IF(D2446="Purchase",E2446*M2446,0)</f>
        <v>0</v>
      </c>
    </row>
    <row r="2447" customFormat="false" ht="15" hidden="false" customHeight="false" outlineLevel="0" collapsed="false">
      <c r="A2447" s="39" t="s">
        <v>2771</v>
      </c>
      <c r="B2447" s="44" t="n">
        <v>46108</v>
      </c>
      <c r="C2447" s="39" t="s">
        <v>160</v>
      </c>
      <c r="D2447" s="39" t="s">
        <v>138</v>
      </c>
      <c r="E2447" s="39" t="n">
        <v>15</v>
      </c>
      <c r="F2447" s="39" t="str">
        <f aca="false">IF(COUNTIF(medicine_master!$A$2:$A$26,C2447)&gt;0,"Valid","Invalid")</f>
        <v>Valid</v>
      </c>
      <c r="G2447" s="39" t="str">
        <f aca="false">IFERROR(INDEX(medicine_master!$B$2:$B$26,MATCH($C2447,medicine_master!$A$2:$A$26,0)),"Not found")</f>
        <v>Calamine Lotion</v>
      </c>
      <c r="H2447" s="39" t="str">
        <f aca="false">IFERROR(INDEX(medicine_master!$C$2:$C$26,MATCH($C2447,medicine_master!$A$2:$A$26,0)),"Not found")</f>
        <v>Dermatology</v>
      </c>
      <c r="I2447" s="39" t="n">
        <f aca="false">YEAR(B2447)</f>
        <v>2026</v>
      </c>
      <c r="J2447" s="39" t="n">
        <f aca="false">MONTH(B2447)</f>
        <v>3</v>
      </c>
      <c r="K2447" s="39" t="str">
        <f aca="false">TEXT(B2447,"mmm")</f>
        <v>Mar</v>
      </c>
      <c r="L2447" s="45" t="n">
        <f aca="false">IFERROR(INDEX(medicine_master!$I$2:$I$26,MATCH($C2447,medicine_master!$A$2:$A$26,0)),0)</f>
        <v>60</v>
      </c>
      <c r="M2447" s="45" t="n">
        <f aca="false">IFERROR(INDEX(medicine_master!$G$2:$G$26,MATCH($C2447,medicine_master!$A$2:$A$26,0)),0)</f>
        <v>42</v>
      </c>
      <c r="N2447" s="45" t="n">
        <f aca="false">IF(D2447="Sale",E2447*L2447,0)</f>
        <v>0</v>
      </c>
      <c r="O2447" s="45" t="n">
        <f aca="false">IF(D2447="Sale",E2447*M2447,0)</f>
        <v>0</v>
      </c>
      <c r="P2447" s="45" t="n">
        <f aca="false">N2447-O2447</f>
        <v>0</v>
      </c>
      <c r="Q2447" s="45" t="n">
        <f aca="false">IF(D2447="Purchase",E2447*M2447,0)</f>
        <v>630</v>
      </c>
    </row>
    <row r="2448" customFormat="false" ht="15" hidden="false" customHeight="false" outlineLevel="0" collapsed="false">
      <c r="A2448" s="39" t="s">
        <v>2772</v>
      </c>
      <c r="B2448" s="44" t="n">
        <v>46206</v>
      </c>
      <c r="C2448" s="39" t="s">
        <v>147</v>
      </c>
      <c r="D2448" s="39" t="s">
        <v>137</v>
      </c>
      <c r="E2448" s="39" t="n">
        <v>20</v>
      </c>
      <c r="F2448" s="39" t="str">
        <f aca="false">IF(COUNTIF(medicine_master!$A$2:$A$26,C2448)&gt;0,"Valid","Invalid")</f>
        <v>Valid</v>
      </c>
      <c r="G2448" s="39" t="str">
        <f aca="false">IFERROR(INDEX(medicine_master!$B$2:$B$26,MATCH($C2448,medicine_master!$A$2:$A$26,0)),"Not found")</f>
        <v>Insulin Injection</v>
      </c>
      <c r="H2448" s="39" t="str">
        <f aca="false">IFERROR(INDEX(medicine_master!$C$2:$C$26,MATCH($C2448,medicine_master!$A$2:$A$26,0)),"Not found")</f>
        <v>Diabetes</v>
      </c>
      <c r="I2448" s="39" t="n">
        <f aca="false">YEAR(B2448)</f>
        <v>2026</v>
      </c>
      <c r="J2448" s="39" t="n">
        <f aca="false">MONTH(B2448)</f>
        <v>7</v>
      </c>
      <c r="K2448" s="39" t="str">
        <f aca="false">TEXT(B2448,"mmm")</f>
        <v>Jul</v>
      </c>
      <c r="L2448" s="45" t="n">
        <f aca="false">IFERROR(INDEX(medicine_master!$I$2:$I$26,MATCH($C2448,medicine_master!$A$2:$A$26,0)),0)</f>
        <v>225</v>
      </c>
      <c r="M2448" s="45" t="n">
        <f aca="false">IFERROR(INDEX(medicine_master!$G$2:$G$26,MATCH($C2448,medicine_master!$A$2:$A$26,0)),0)</f>
        <v>165</v>
      </c>
      <c r="N2448" s="45" t="n">
        <f aca="false">IF(D2448="Sale",E2448*L2448,0)</f>
        <v>4500</v>
      </c>
      <c r="O2448" s="45" t="n">
        <f aca="false">IF(D2448="Sale",E2448*M2448,0)</f>
        <v>3300</v>
      </c>
      <c r="P2448" s="45" t="n">
        <f aca="false">N2448-O2448</f>
        <v>1200</v>
      </c>
      <c r="Q2448" s="45" t="n">
        <f aca="false">IF(D2448="Purchase",E2448*M2448,0)</f>
        <v>0</v>
      </c>
    </row>
    <row r="2449" customFormat="false" ht="15" hidden="false" customHeight="false" outlineLevel="0" collapsed="false">
      <c r="A2449" s="39" t="s">
        <v>2773</v>
      </c>
      <c r="B2449" s="44" t="n">
        <v>46219</v>
      </c>
      <c r="C2449" s="39" t="s">
        <v>151</v>
      </c>
      <c r="D2449" s="39" t="s">
        <v>138</v>
      </c>
      <c r="E2449" s="39" t="n">
        <v>25</v>
      </c>
      <c r="F2449" s="39" t="str">
        <f aca="false">IF(COUNTIF(medicine_master!$A$2:$A$26,C2449)&gt;0,"Valid","Invalid")</f>
        <v>Valid</v>
      </c>
      <c r="G2449" s="39" t="str">
        <f aca="false">IFERROR(INDEX(medicine_master!$B$2:$B$26,MATCH($C2449,medicine_master!$A$2:$A$26,0)),"Not found")</f>
        <v>Cetirizine 10mg</v>
      </c>
      <c r="H2449" s="39" t="str">
        <f aca="false">IFERROR(INDEX(medicine_master!$C$2:$C$26,MATCH($C2449,medicine_master!$A$2:$A$26,0)),"Not found")</f>
        <v>Allergy</v>
      </c>
      <c r="I2449" s="39" t="n">
        <f aca="false">YEAR(B2449)</f>
        <v>2026</v>
      </c>
      <c r="J2449" s="39" t="n">
        <f aca="false">MONTH(B2449)</f>
        <v>7</v>
      </c>
      <c r="K2449" s="39" t="str">
        <f aca="false">TEXT(B2449,"mmm")</f>
        <v>Jul</v>
      </c>
      <c r="L2449" s="45" t="n">
        <f aca="false">IFERROR(INDEX(medicine_master!$I$2:$I$26,MATCH($C2449,medicine_master!$A$2:$A$26,0)),0)</f>
        <v>13</v>
      </c>
      <c r="M2449" s="45" t="n">
        <f aca="false">IFERROR(INDEX(medicine_master!$G$2:$G$26,MATCH($C2449,medicine_master!$A$2:$A$26,0)),0)</f>
        <v>8</v>
      </c>
      <c r="N2449" s="45" t="n">
        <f aca="false">IF(D2449="Sale",E2449*L2449,0)</f>
        <v>0</v>
      </c>
      <c r="O2449" s="45" t="n">
        <f aca="false">IF(D2449="Sale",E2449*M2449,0)</f>
        <v>0</v>
      </c>
      <c r="P2449" s="45" t="n">
        <f aca="false">N2449-O2449</f>
        <v>0</v>
      </c>
      <c r="Q2449" s="45" t="n">
        <f aca="false">IF(D2449="Purchase",E2449*M2449,0)</f>
        <v>200</v>
      </c>
    </row>
    <row r="2450" customFormat="false" ht="15" hidden="false" customHeight="false" outlineLevel="0" collapsed="false">
      <c r="A2450" s="39" t="s">
        <v>2774</v>
      </c>
      <c r="B2450" s="44" t="n">
        <v>46313</v>
      </c>
      <c r="C2450" s="39" t="s">
        <v>146</v>
      </c>
      <c r="D2450" s="39" t="s">
        <v>137</v>
      </c>
      <c r="E2450" s="39" t="n">
        <v>30</v>
      </c>
      <c r="F2450" s="39" t="str">
        <f aca="false">IF(COUNTIF(medicine_master!$A$2:$A$26,C2450)&gt;0,"Valid","Invalid")</f>
        <v>Valid</v>
      </c>
      <c r="G2450" s="39" t="str">
        <f aca="false">IFERROR(INDEX(medicine_master!$B$2:$B$26,MATCH($C2450,medicine_master!$A$2:$A$26,0)),"Not found")</f>
        <v>Diclofenac Gel</v>
      </c>
      <c r="H2450" s="39" t="str">
        <f aca="false">IFERROR(INDEX(medicine_master!$C$2:$C$26,MATCH($C2450,medicine_master!$A$2:$A$26,0)),"Not found")</f>
        <v>Pain Relief</v>
      </c>
      <c r="I2450" s="39" t="n">
        <f aca="false">YEAR(B2450)</f>
        <v>2026</v>
      </c>
      <c r="J2450" s="39" t="n">
        <f aca="false">MONTH(B2450)</f>
        <v>10</v>
      </c>
      <c r="K2450" s="39" t="str">
        <f aca="false">TEXT(B2450,"mmm")</f>
        <v>Oct</v>
      </c>
      <c r="L2450" s="45" t="n">
        <f aca="false">IFERROR(INDEX(medicine_master!$I$2:$I$26,MATCH($C2450,medicine_master!$A$2:$A$26,0)),0)</f>
        <v>55</v>
      </c>
      <c r="M2450" s="45" t="n">
        <f aca="false">IFERROR(INDEX(medicine_master!$G$2:$G$26,MATCH($C2450,medicine_master!$A$2:$A$26,0)),0)</f>
        <v>38</v>
      </c>
      <c r="N2450" s="45" t="n">
        <f aca="false">IF(D2450="Sale",E2450*L2450,0)</f>
        <v>1650</v>
      </c>
      <c r="O2450" s="45" t="n">
        <f aca="false">IF(D2450="Sale",E2450*M2450,0)</f>
        <v>1140</v>
      </c>
      <c r="P2450" s="45" t="n">
        <f aca="false">N2450-O2450</f>
        <v>510</v>
      </c>
      <c r="Q2450" s="45" t="n">
        <f aca="false">IF(D2450="Purchase",E2450*M2450,0)</f>
        <v>0</v>
      </c>
    </row>
    <row r="2451" customFormat="false" ht="15" hidden="false" customHeight="false" outlineLevel="0" collapsed="false">
      <c r="A2451" s="39" t="s">
        <v>2775</v>
      </c>
      <c r="B2451" s="44" t="n">
        <v>46244</v>
      </c>
      <c r="C2451" s="39" t="s">
        <v>160</v>
      </c>
      <c r="D2451" s="39" t="s">
        <v>138</v>
      </c>
      <c r="E2451" s="39" t="n">
        <v>15</v>
      </c>
      <c r="F2451" s="39" t="str">
        <f aca="false">IF(COUNTIF(medicine_master!$A$2:$A$26,C2451)&gt;0,"Valid","Invalid")</f>
        <v>Valid</v>
      </c>
      <c r="G2451" s="39" t="str">
        <f aca="false">IFERROR(INDEX(medicine_master!$B$2:$B$26,MATCH($C2451,medicine_master!$A$2:$A$26,0)),"Not found")</f>
        <v>Calamine Lotion</v>
      </c>
      <c r="H2451" s="39" t="str">
        <f aca="false">IFERROR(INDEX(medicine_master!$C$2:$C$26,MATCH($C2451,medicine_master!$A$2:$A$26,0)),"Not found")</f>
        <v>Dermatology</v>
      </c>
      <c r="I2451" s="39" t="n">
        <f aca="false">YEAR(B2451)</f>
        <v>2026</v>
      </c>
      <c r="J2451" s="39" t="n">
        <f aca="false">MONTH(B2451)</f>
        <v>8</v>
      </c>
      <c r="K2451" s="39" t="str">
        <f aca="false">TEXT(B2451,"mmm")</f>
        <v>Aug</v>
      </c>
      <c r="L2451" s="45" t="n">
        <f aca="false">IFERROR(INDEX(medicine_master!$I$2:$I$26,MATCH($C2451,medicine_master!$A$2:$A$26,0)),0)</f>
        <v>60</v>
      </c>
      <c r="M2451" s="45" t="n">
        <f aca="false">IFERROR(INDEX(medicine_master!$G$2:$G$26,MATCH($C2451,medicine_master!$A$2:$A$26,0)),0)</f>
        <v>42</v>
      </c>
      <c r="N2451" s="45" t="n">
        <f aca="false">IF(D2451="Sale",E2451*L2451,0)</f>
        <v>0</v>
      </c>
      <c r="O2451" s="45" t="n">
        <f aca="false">IF(D2451="Sale",E2451*M2451,0)</f>
        <v>0</v>
      </c>
      <c r="P2451" s="45" t="n">
        <f aca="false">N2451-O2451</f>
        <v>0</v>
      </c>
      <c r="Q2451" s="45" t="n">
        <f aca="false">IF(D2451="Purchase",E2451*M2451,0)</f>
        <v>630</v>
      </c>
    </row>
    <row r="2452" customFormat="false" ht="15" hidden="false" customHeight="false" outlineLevel="0" collapsed="false">
      <c r="A2452" s="39" t="s">
        <v>2776</v>
      </c>
      <c r="B2452" s="44" t="n">
        <v>46176</v>
      </c>
      <c r="C2452" s="39" t="s">
        <v>177</v>
      </c>
      <c r="D2452" s="39" t="s">
        <v>138</v>
      </c>
      <c r="E2452" s="39" t="n">
        <v>50</v>
      </c>
      <c r="F2452" s="39" t="str">
        <f aca="false">IF(COUNTIF(medicine_master!$A$2:$A$26,C2452)&gt;0,"Valid","Invalid")</f>
        <v>Valid</v>
      </c>
      <c r="G2452" s="39" t="str">
        <f aca="false">IFERROR(INDEX(medicine_master!$B$2:$B$26,MATCH($C2452,medicine_master!$A$2:$A$26,0)),"Not found")</f>
        <v>Bandage Roll</v>
      </c>
      <c r="H2452" s="39" t="str">
        <f aca="false">IFERROR(INDEX(medicine_master!$C$2:$C$26,MATCH($C2452,medicine_master!$A$2:$A$26,0)),"Not found")</f>
        <v>First Aid</v>
      </c>
      <c r="I2452" s="39" t="n">
        <f aca="false">YEAR(B2452)</f>
        <v>2026</v>
      </c>
      <c r="J2452" s="39" t="n">
        <f aca="false">MONTH(B2452)</f>
        <v>6</v>
      </c>
      <c r="K2452" s="39" t="str">
        <f aca="false">TEXT(B2452,"mmm")</f>
        <v>Jun</v>
      </c>
      <c r="L2452" s="45" t="n">
        <f aca="false">IFERROR(INDEX(medicine_master!$I$2:$I$26,MATCH($C2452,medicine_master!$A$2:$A$26,0)),0)</f>
        <v>25</v>
      </c>
      <c r="M2452" s="45" t="n">
        <f aca="false">IFERROR(INDEX(medicine_master!$G$2:$G$26,MATCH($C2452,medicine_master!$A$2:$A$26,0)),0)</f>
        <v>15</v>
      </c>
      <c r="N2452" s="45" t="n">
        <f aca="false">IF(D2452="Sale",E2452*L2452,0)</f>
        <v>0</v>
      </c>
      <c r="O2452" s="45" t="n">
        <f aca="false">IF(D2452="Sale",E2452*M2452,0)</f>
        <v>0</v>
      </c>
      <c r="P2452" s="45" t="n">
        <f aca="false">N2452-O2452</f>
        <v>0</v>
      </c>
      <c r="Q2452" s="45" t="n">
        <f aca="false">IF(D2452="Purchase",E2452*M2452,0)</f>
        <v>750</v>
      </c>
    </row>
    <row r="2453" customFormat="false" ht="15" hidden="false" customHeight="false" outlineLevel="0" collapsed="false">
      <c r="A2453" s="39" t="s">
        <v>2777</v>
      </c>
      <c r="B2453" s="44" t="n">
        <v>46335</v>
      </c>
      <c r="C2453" s="39" t="s">
        <v>157</v>
      </c>
      <c r="D2453" s="39" t="s">
        <v>137</v>
      </c>
      <c r="E2453" s="39" t="n">
        <v>10</v>
      </c>
      <c r="F2453" s="39" t="str">
        <f aca="false">IF(COUNTIF(medicine_master!$A$2:$A$26,C2453)&gt;0,"Valid","Invalid")</f>
        <v>Valid</v>
      </c>
      <c r="G2453" s="39" t="str">
        <f aca="false">IFERROR(INDEX(medicine_master!$B$2:$B$26,MATCH($C2453,medicine_master!$A$2:$A$26,0)),"Not found")</f>
        <v>Multivitamin Tablets</v>
      </c>
      <c r="H2453" s="39" t="str">
        <f aca="false">IFERROR(INDEX(medicine_master!$C$2:$C$26,MATCH($C2453,medicine_master!$A$2:$A$26,0)),"Not found")</f>
        <v>Vitamin</v>
      </c>
      <c r="I2453" s="39" t="n">
        <f aca="false">YEAR(B2453)</f>
        <v>2026</v>
      </c>
      <c r="J2453" s="39" t="n">
        <f aca="false">MONTH(B2453)</f>
        <v>11</v>
      </c>
      <c r="K2453" s="39" t="str">
        <f aca="false">TEXT(B2453,"mmm")</f>
        <v>Nov</v>
      </c>
      <c r="L2453" s="45" t="n">
        <f aca="false">IFERROR(INDEX(medicine_master!$I$2:$I$26,MATCH($C2453,medicine_master!$A$2:$A$26,0)),0)</f>
        <v>105</v>
      </c>
      <c r="M2453" s="45" t="n">
        <f aca="false">IFERROR(INDEX(medicine_master!$G$2:$G$26,MATCH($C2453,medicine_master!$A$2:$A$26,0)),0)</f>
        <v>72</v>
      </c>
      <c r="N2453" s="45" t="n">
        <f aca="false">IF(D2453="Sale",E2453*L2453,0)</f>
        <v>1050</v>
      </c>
      <c r="O2453" s="45" t="n">
        <f aca="false">IF(D2453="Sale",E2453*M2453,0)</f>
        <v>720</v>
      </c>
      <c r="P2453" s="45" t="n">
        <f aca="false">N2453-O2453</f>
        <v>330</v>
      </c>
      <c r="Q2453" s="45" t="n">
        <f aca="false">IF(D2453="Purchase",E2453*M2453,0)</f>
        <v>0</v>
      </c>
    </row>
    <row r="2454" customFormat="false" ht="15" hidden="false" customHeight="false" outlineLevel="0" collapsed="false">
      <c r="A2454" s="39" t="s">
        <v>2778</v>
      </c>
      <c r="B2454" s="44" t="n">
        <v>46181</v>
      </c>
      <c r="C2454" s="39" t="s">
        <v>144</v>
      </c>
      <c r="D2454" s="39" t="s">
        <v>138</v>
      </c>
      <c r="E2454" s="39" t="n">
        <v>30</v>
      </c>
      <c r="F2454" s="39" t="str">
        <f aca="false">IF(COUNTIF(medicine_master!$A$2:$A$26,C2454)&gt;0,"Valid","Invalid")</f>
        <v>Valid</v>
      </c>
      <c r="G2454" s="39" t="str">
        <f aca="false">IFERROR(INDEX(medicine_master!$B$2:$B$26,MATCH($C2454,medicine_master!$A$2:$A$26,0)),"Not found")</f>
        <v>Glimepiride 2mg</v>
      </c>
      <c r="H2454" s="39" t="str">
        <f aca="false">IFERROR(INDEX(medicine_master!$C$2:$C$26,MATCH($C2454,medicine_master!$A$2:$A$26,0)),"Not found")</f>
        <v>Diabetes</v>
      </c>
      <c r="I2454" s="39" t="n">
        <f aca="false">YEAR(B2454)</f>
        <v>2026</v>
      </c>
      <c r="J2454" s="39" t="n">
        <f aca="false">MONTH(B2454)</f>
        <v>6</v>
      </c>
      <c r="K2454" s="39" t="str">
        <f aca="false">TEXT(B2454,"mmm")</f>
        <v>Jun</v>
      </c>
      <c r="L2454" s="45" t="n">
        <f aca="false">IFERROR(INDEX(medicine_master!$I$2:$I$26,MATCH($C2454,medicine_master!$A$2:$A$26,0)),0)</f>
        <v>52</v>
      </c>
      <c r="M2454" s="45" t="n">
        <f aca="false">IFERROR(INDEX(medicine_master!$G$2:$G$26,MATCH($C2454,medicine_master!$A$2:$A$26,0)),0)</f>
        <v>38</v>
      </c>
      <c r="N2454" s="45" t="n">
        <f aca="false">IF(D2454="Sale",E2454*L2454,0)</f>
        <v>0</v>
      </c>
      <c r="O2454" s="45" t="n">
        <f aca="false">IF(D2454="Sale",E2454*M2454,0)</f>
        <v>0</v>
      </c>
      <c r="P2454" s="45" t="n">
        <f aca="false">N2454-O2454</f>
        <v>0</v>
      </c>
      <c r="Q2454" s="45" t="n">
        <f aca="false">IF(D2454="Purchase",E2454*M2454,0)</f>
        <v>1140</v>
      </c>
    </row>
    <row r="2455" customFormat="false" ht="15" hidden="false" customHeight="false" outlineLevel="0" collapsed="false">
      <c r="A2455" s="39" t="s">
        <v>2779</v>
      </c>
      <c r="B2455" s="44" t="n">
        <v>46096</v>
      </c>
      <c r="C2455" s="39" t="s">
        <v>180</v>
      </c>
      <c r="D2455" s="39" t="s">
        <v>137</v>
      </c>
      <c r="E2455" s="39" t="n">
        <v>20</v>
      </c>
      <c r="F2455" s="39" t="str">
        <f aca="false">IF(COUNTIF(medicine_master!$A$2:$A$26,C2455)&gt;0,"Valid","Invalid")</f>
        <v>Valid</v>
      </c>
      <c r="G2455" s="39" t="str">
        <f aca="false">IFERROR(INDEX(medicine_master!$B$2:$B$26,MATCH($C2455,medicine_master!$A$2:$A$26,0)),"Not found")</f>
        <v>Vitamin C 500mg</v>
      </c>
      <c r="H2455" s="39" t="str">
        <f aca="false">IFERROR(INDEX(medicine_master!$C$2:$C$26,MATCH($C2455,medicine_master!$A$2:$A$26,0)),"Not found")</f>
        <v>Vitamin</v>
      </c>
      <c r="I2455" s="39" t="n">
        <f aca="false">YEAR(B2455)</f>
        <v>2026</v>
      </c>
      <c r="J2455" s="39" t="n">
        <f aca="false">MONTH(B2455)</f>
        <v>3</v>
      </c>
      <c r="K2455" s="39" t="str">
        <f aca="false">TEXT(B2455,"mmm")</f>
        <v>Mar</v>
      </c>
      <c r="L2455" s="45" t="n">
        <f aca="false">IFERROR(INDEX(medicine_master!$I$2:$I$26,MATCH($C2455,medicine_master!$A$2:$A$26,0)),0)</f>
        <v>22</v>
      </c>
      <c r="M2455" s="45" t="n">
        <f aca="false">IFERROR(INDEX(medicine_master!$G$2:$G$26,MATCH($C2455,medicine_master!$A$2:$A$26,0)),0)</f>
        <v>14</v>
      </c>
      <c r="N2455" s="45" t="n">
        <f aca="false">IF(D2455="Sale",E2455*L2455,0)</f>
        <v>440</v>
      </c>
      <c r="O2455" s="45" t="n">
        <f aca="false">IF(D2455="Sale",E2455*M2455,0)</f>
        <v>280</v>
      </c>
      <c r="P2455" s="45" t="n">
        <f aca="false">N2455-O2455</f>
        <v>160</v>
      </c>
      <c r="Q2455" s="45" t="n">
        <f aca="false">IF(D2455="Purchase",E2455*M2455,0)</f>
        <v>0</v>
      </c>
    </row>
    <row r="2456" customFormat="false" ht="15" hidden="false" customHeight="false" outlineLevel="0" collapsed="false">
      <c r="A2456" s="39" t="s">
        <v>2780</v>
      </c>
      <c r="B2456" s="44" t="n">
        <v>46255</v>
      </c>
      <c r="C2456" s="39" t="s">
        <v>180</v>
      </c>
      <c r="D2456" s="39" t="s">
        <v>138</v>
      </c>
      <c r="E2456" s="39" t="n">
        <v>30</v>
      </c>
      <c r="F2456" s="39" t="str">
        <f aca="false">IF(COUNTIF(medicine_master!$A$2:$A$26,C2456)&gt;0,"Valid","Invalid")</f>
        <v>Valid</v>
      </c>
      <c r="G2456" s="39" t="str">
        <f aca="false">IFERROR(INDEX(medicine_master!$B$2:$B$26,MATCH($C2456,medicine_master!$A$2:$A$26,0)),"Not found")</f>
        <v>Vitamin C 500mg</v>
      </c>
      <c r="H2456" s="39" t="str">
        <f aca="false">IFERROR(INDEX(medicine_master!$C$2:$C$26,MATCH($C2456,medicine_master!$A$2:$A$26,0)),"Not found")</f>
        <v>Vitamin</v>
      </c>
      <c r="I2456" s="39" t="n">
        <f aca="false">YEAR(B2456)</f>
        <v>2026</v>
      </c>
      <c r="J2456" s="39" t="n">
        <f aca="false">MONTH(B2456)</f>
        <v>8</v>
      </c>
      <c r="K2456" s="39" t="str">
        <f aca="false">TEXT(B2456,"mmm")</f>
        <v>Aug</v>
      </c>
      <c r="L2456" s="45" t="n">
        <f aca="false">IFERROR(INDEX(medicine_master!$I$2:$I$26,MATCH($C2456,medicine_master!$A$2:$A$26,0)),0)</f>
        <v>22</v>
      </c>
      <c r="M2456" s="45" t="n">
        <f aca="false">IFERROR(INDEX(medicine_master!$G$2:$G$26,MATCH($C2456,medicine_master!$A$2:$A$26,0)),0)</f>
        <v>14</v>
      </c>
      <c r="N2456" s="45" t="n">
        <f aca="false">IF(D2456="Sale",E2456*L2456,0)</f>
        <v>0</v>
      </c>
      <c r="O2456" s="45" t="n">
        <f aca="false">IF(D2456="Sale",E2456*M2456,0)</f>
        <v>0</v>
      </c>
      <c r="P2456" s="45" t="n">
        <f aca="false">N2456-O2456</f>
        <v>0</v>
      </c>
      <c r="Q2456" s="45" t="n">
        <f aca="false">IF(D2456="Purchase",E2456*M2456,0)</f>
        <v>420</v>
      </c>
    </row>
    <row r="2457" customFormat="false" ht="15" hidden="false" customHeight="false" outlineLevel="0" collapsed="false">
      <c r="A2457" s="39" t="s">
        <v>2781</v>
      </c>
      <c r="B2457" s="44" t="n">
        <v>46225</v>
      </c>
      <c r="C2457" s="39" t="s">
        <v>180</v>
      </c>
      <c r="D2457" s="39" t="s">
        <v>138</v>
      </c>
      <c r="E2457" s="39" t="n">
        <v>40</v>
      </c>
      <c r="F2457" s="39" t="str">
        <f aca="false">IF(COUNTIF(medicine_master!$A$2:$A$26,C2457)&gt;0,"Valid","Invalid")</f>
        <v>Valid</v>
      </c>
      <c r="G2457" s="39" t="str">
        <f aca="false">IFERROR(INDEX(medicine_master!$B$2:$B$26,MATCH($C2457,medicine_master!$A$2:$A$26,0)),"Not found")</f>
        <v>Vitamin C 500mg</v>
      </c>
      <c r="H2457" s="39" t="str">
        <f aca="false">IFERROR(INDEX(medicine_master!$C$2:$C$26,MATCH($C2457,medicine_master!$A$2:$A$26,0)),"Not found")</f>
        <v>Vitamin</v>
      </c>
      <c r="I2457" s="39" t="n">
        <f aca="false">YEAR(B2457)</f>
        <v>2026</v>
      </c>
      <c r="J2457" s="39" t="n">
        <f aca="false">MONTH(B2457)</f>
        <v>7</v>
      </c>
      <c r="K2457" s="39" t="str">
        <f aca="false">TEXT(B2457,"mmm")</f>
        <v>Jul</v>
      </c>
      <c r="L2457" s="45" t="n">
        <f aca="false">IFERROR(INDEX(medicine_master!$I$2:$I$26,MATCH($C2457,medicine_master!$A$2:$A$26,0)),0)</f>
        <v>22</v>
      </c>
      <c r="M2457" s="45" t="n">
        <f aca="false">IFERROR(INDEX(medicine_master!$G$2:$G$26,MATCH($C2457,medicine_master!$A$2:$A$26,0)),0)</f>
        <v>14</v>
      </c>
      <c r="N2457" s="45" t="n">
        <f aca="false">IF(D2457="Sale",E2457*L2457,0)</f>
        <v>0</v>
      </c>
      <c r="O2457" s="45" t="n">
        <f aca="false">IF(D2457="Sale",E2457*M2457,0)</f>
        <v>0</v>
      </c>
      <c r="P2457" s="45" t="n">
        <f aca="false">N2457-O2457</f>
        <v>0</v>
      </c>
      <c r="Q2457" s="45" t="n">
        <f aca="false">IF(D2457="Purchase",E2457*M2457,0)</f>
        <v>560</v>
      </c>
    </row>
    <row r="2458" customFormat="false" ht="15" hidden="false" customHeight="false" outlineLevel="0" collapsed="false">
      <c r="A2458" s="39" t="s">
        <v>2782</v>
      </c>
      <c r="B2458" s="44" t="n">
        <v>46378</v>
      </c>
      <c r="C2458" s="39" t="s">
        <v>177</v>
      </c>
      <c r="D2458" s="39" t="s">
        <v>138</v>
      </c>
      <c r="E2458" s="39" t="n">
        <v>5</v>
      </c>
      <c r="F2458" s="39" t="str">
        <f aca="false">IF(COUNTIF(medicine_master!$A$2:$A$26,C2458)&gt;0,"Valid","Invalid")</f>
        <v>Valid</v>
      </c>
      <c r="G2458" s="39" t="str">
        <f aca="false">IFERROR(INDEX(medicine_master!$B$2:$B$26,MATCH($C2458,medicine_master!$A$2:$A$26,0)),"Not found")</f>
        <v>Bandage Roll</v>
      </c>
      <c r="H2458" s="39" t="str">
        <f aca="false">IFERROR(INDEX(medicine_master!$C$2:$C$26,MATCH($C2458,medicine_master!$A$2:$A$26,0)),"Not found")</f>
        <v>First Aid</v>
      </c>
      <c r="I2458" s="39" t="n">
        <f aca="false">YEAR(B2458)</f>
        <v>2026</v>
      </c>
      <c r="J2458" s="39" t="n">
        <f aca="false">MONTH(B2458)</f>
        <v>12</v>
      </c>
      <c r="K2458" s="39" t="str">
        <f aca="false">TEXT(B2458,"mmm")</f>
        <v>Dec</v>
      </c>
      <c r="L2458" s="45" t="n">
        <f aca="false">IFERROR(INDEX(medicine_master!$I$2:$I$26,MATCH($C2458,medicine_master!$A$2:$A$26,0)),0)</f>
        <v>25</v>
      </c>
      <c r="M2458" s="45" t="n">
        <f aca="false">IFERROR(INDEX(medicine_master!$G$2:$G$26,MATCH($C2458,medicine_master!$A$2:$A$26,0)),0)</f>
        <v>15</v>
      </c>
      <c r="N2458" s="45" t="n">
        <f aca="false">IF(D2458="Sale",E2458*L2458,0)</f>
        <v>0</v>
      </c>
      <c r="O2458" s="45" t="n">
        <f aca="false">IF(D2458="Sale",E2458*M2458,0)</f>
        <v>0</v>
      </c>
      <c r="P2458" s="45" t="n">
        <f aca="false">N2458-O2458</f>
        <v>0</v>
      </c>
      <c r="Q2458" s="45" t="n">
        <f aca="false">IF(D2458="Purchase",E2458*M2458,0)</f>
        <v>75</v>
      </c>
    </row>
    <row r="2459" customFormat="false" ht="15" hidden="false" customHeight="false" outlineLevel="0" collapsed="false">
      <c r="A2459" s="39" t="s">
        <v>2783</v>
      </c>
      <c r="B2459" s="44" t="n">
        <v>46295</v>
      </c>
      <c r="C2459" s="39" t="s">
        <v>326</v>
      </c>
      <c r="D2459" s="39" t="s">
        <v>137</v>
      </c>
      <c r="E2459" s="39" t="n">
        <v>10</v>
      </c>
      <c r="F2459" s="39" t="str">
        <f aca="false">IF(COUNTIF(medicine_master!$A$2:$A$26,C2459)&gt;0,"Valid","Invalid")</f>
        <v>Valid</v>
      </c>
      <c r="G2459" s="39" t="str">
        <f aca="false">IFERROR(INDEX(medicine_master!$B$2:$B$26,MATCH($C2459,medicine_master!$A$2:$A$26,0)),"Not found")</f>
        <v>Omeprazole 20mg</v>
      </c>
      <c r="H2459" s="39" t="str">
        <f aca="false">IFERROR(INDEX(medicine_master!$C$2:$C$26,MATCH($C2459,medicine_master!$A$2:$A$26,0)),"Not found")</f>
        <v>Gastric</v>
      </c>
      <c r="I2459" s="39" t="n">
        <f aca="false">YEAR(B2459)</f>
        <v>2026</v>
      </c>
      <c r="J2459" s="39" t="n">
        <f aca="false">MONTH(B2459)</f>
        <v>9</v>
      </c>
      <c r="K2459" s="39" t="str">
        <f aca="false">TEXT(B2459,"mmm")</f>
        <v>Sep</v>
      </c>
      <c r="L2459" s="45" t="n">
        <f aca="false">IFERROR(INDEX(medicine_master!$I$2:$I$26,MATCH($C2459,medicine_master!$A$2:$A$26,0)),0)</f>
        <v>26</v>
      </c>
      <c r="M2459" s="45" t="n">
        <f aca="false">IFERROR(INDEX(medicine_master!$G$2:$G$26,MATCH($C2459,medicine_master!$A$2:$A$26,0)),0)</f>
        <v>18</v>
      </c>
      <c r="N2459" s="45" t="n">
        <f aca="false">IF(D2459="Sale",E2459*L2459,0)</f>
        <v>260</v>
      </c>
      <c r="O2459" s="45" t="n">
        <f aca="false">IF(D2459="Sale",E2459*M2459,0)</f>
        <v>180</v>
      </c>
      <c r="P2459" s="45" t="n">
        <f aca="false">N2459-O2459</f>
        <v>80</v>
      </c>
      <c r="Q2459" s="45" t="n">
        <f aca="false">IF(D2459="Purchase",E2459*M2459,0)</f>
        <v>0</v>
      </c>
    </row>
    <row r="2460" customFormat="false" ht="15" hidden="false" customHeight="false" outlineLevel="0" collapsed="false">
      <c r="A2460" s="39" t="s">
        <v>2784</v>
      </c>
      <c r="B2460" s="44" t="n">
        <v>46287</v>
      </c>
      <c r="C2460" s="39" t="s">
        <v>180</v>
      </c>
      <c r="D2460" s="39" t="s">
        <v>137</v>
      </c>
      <c r="E2460" s="39" t="n">
        <v>15</v>
      </c>
      <c r="F2460" s="39" t="str">
        <f aca="false">IF(COUNTIF(medicine_master!$A$2:$A$26,C2460)&gt;0,"Valid","Invalid")</f>
        <v>Valid</v>
      </c>
      <c r="G2460" s="39" t="str">
        <f aca="false">IFERROR(INDEX(medicine_master!$B$2:$B$26,MATCH($C2460,medicine_master!$A$2:$A$26,0)),"Not found")</f>
        <v>Vitamin C 500mg</v>
      </c>
      <c r="H2460" s="39" t="str">
        <f aca="false">IFERROR(INDEX(medicine_master!$C$2:$C$26,MATCH($C2460,medicine_master!$A$2:$A$26,0)),"Not found")</f>
        <v>Vitamin</v>
      </c>
      <c r="I2460" s="39" t="n">
        <f aca="false">YEAR(B2460)</f>
        <v>2026</v>
      </c>
      <c r="J2460" s="39" t="n">
        <f aca="false">MONTH(B2460)</f>
        <v>9</v>
      </c>
      <c r="K2460" s="39" t="str">
        <f aca="false">TEXT(B2460,"mmm")</f>
        <v>Sep</v>
      </c>
      <c r="L2460" s="45" t="n">
        <f aca="false">IFERROR(INDEX(medicine_master!$I$2:$I$26,MATCH($C2460,medicine_master!$A$2:$A$26,0)),0)</f>
        <v>22</v>
      </c>
      <c r="M2460" s="45" t="n">
        <f aca="false">IFERROR(INDEX(medicine_master!$G$2:$G$26,MATCH($C2460,medicine_master!$A$2:$A$26,0)),0)</f>
        <v>14</v>
      </c>
      <c r="N2460" s="45" t="n">
        <f aca="false">IF(D2460="Sale",E2460*L2460,0)</f>
        <v>330</v>
      </c>
      <c r="O2460" s="45" t="n">
        <f aca="false">IF(D2460="Sale",E2460*M2460,0)</f>
        <v>210</v>
      </c>
      <c r="P2460" s="45" t="n">
        <f aca="false">N2460-O2460</f>
        <v>120</v>
      </c>
      <c r="Q2460" s="45" t="n">
        <f aca="false">IF(D2460="Purchase",E2460*M2460,0)</f>
        <v>0</v>
      </c>
    </row>
    <row r="2461" customFormat="false" ht="15" hidden="false" customHeight="false" outlineLevel="0" collapsed="false">
      <c r="A2461" s="39" t="s">
        <v>2785</v>
      </c>
      <c r="B2461" s="44" t="n">
        <v>46136</v>
      </c>
      <c r="C2461" s="39" t="s">
        <v>404</v>
      </c>
      <c r="D2461" s="39" t="s">
        <v>137</v>
      </c>
      <c r="E2461" s="39" t="n">
        <v>20</v>
      </c>
      <c r="F2461" s="39" t="str">
        <f aca="false">IF(COUNTIF(medicine_master!$A$2:$A$26,C2461)&gt;0,"Valid","Invalid")</f>
        <v>Valid</v>
      </c>
      <c r="G2461" s="39" t="str">
        <f aca="false">IFERROR(INDEX(medicine_master!$B$2:$B$26,MATCH($C2461,medicine_master!$A$2:$A$26,0)),"Not found")</f>
        <v>ORS Sachet</v>
      </c>
      <c r="H2461" s="39" t="str">
        <f aca="false">IFERROR(INDEX(medicine_master!$C$2:$C$26,MATCH($C2461,medicine_master!$A$2:$A$26,0)),"Not found")</f>
        <v>First Aid</v>
      </c>
      <c r="I2461" s="39" t="n">
        <f aca="false">YEAR(B2461)</f>
        <v>2026</v>
      </c>
      <c r="J2461" s="39" t="n">
        <f aca="false">MONTH(B2461)</f>
        <v>4</v>
      </c>
      <c r="K2461" s="39" t="str">
        <f aca="false">TEXT(B2461,"mmm")</f>
        <v>Apr</v>
      </c>
      <c r="L2461" s="45" t="n">
        <f aca="false">IFERROR(INDEX(medicine_master!$I$2:$I$26,MATCH($C2461,medicine_master!$A$2:$A$26,0)),0)</f>
        <v>10</v>
      </c>
      <c r="M2461" s="45" t="n">
        <f aca="false">IFERROR(INDEX(medicine_master!$G$2:$G$26,MATCH($C2461,medicine_master!$A$2:$A$26,0)),0)</f>
        <v>6</v>
      </c>
      <c r="N2461" s="45" t="n">
        <f aca="false">IF(D2461="Sale",E2461*L2461,0)</f>
        <v>200</v>
      </c>
      <c r="O2461" s="45" t="n">
        <f aca="false">IF(D2461="Sale",E2461*M2461,0)</f>
        <v>120</v>
      </c>
      <c r="P2461" s="45" t="n">
        <f aca="false">N2461-O2461</f>
        <v>80</v>
      </c>
      <c r="Q2461" s="45" t="n">
        <f aca="false">IF(D2461="Purchase",E2461*M2461,0)</f>
        <v>0</v>
      </c>
    </row>
    <row r="2462" customFormat="false" ht="15" hidden="false" customHeight="false" outlineLevel="0" collapsed="false">
      <c r="A2462" s="39" t="s">
        <v>2786</v>
      </c>
      <c r="B2462" s="44" t="n">
        <v>46272</v>
      </c>
      <c r="C2462" s="39" t="s">
        <v>150</v>
      </c>
      <c r="D2462" s="39" t="s">
        <v>138</v>
      </c>
      <c r="E2462" s="39" t="n">
        <v>20</v>
      </c>
      <c r="F2462" s="39" t="str">
        <f aca="false">IF(COUNTIF(medicine_master!$A$2:$A$26,C2462)&gt;0,"Valid","Invalid")</f>
        <v>Valid</v>
      </c>
      <c r="G2462" s="39" t="str">
        <f aca="false">IFERROR(INDEX(medicine_master!$B$2:$B$26,MATCH($C2462,medicine_master!$A$2:$A$26,0)),"Not found")</f>
        <v>Pantoprazole 40mg</v>
      </c>
      <c r="H2462" s="39" t="str">
        <f aca="false">IFERROR(INDEX(medicine_master!$C$2:$C$26,MATCH($C2462,medicine_master!$A$2:$A$26,0)),"Not found")</f>
        <v>Gastric</v>
      </c>
      <c r="I2462" s="39" t="n">
        <f aca="false">YEAR(B2462)</f>
        <v>2026</v>
      </c>
      <c r="J2462" s="39" t="n">
        <f aca="false">MONTH(B2462)</f>
        <v>9</v>
      </c>
      <c r="K2462" s="39" t="str">
        <f aca="false">TEXT(B2462,"mmm")</f>
        <v>Sep</v>
      </c>
      <c r="L2462" s="45" t="n">
        <f aca="false">IFERROR(INDEX(medicine_master!$I$2:$I$26,MATCH($C2462,medicine_master!$A$2:$A$26,0)),0)</f>
        <v>35</v>
      </c>
      <c r="M2462" s="45" t="n">
        <f aca="false">IFERROR(INDEX(medicine_master!$G$2:$G$26,MATCH($C2462,medicine_master!$A$2:$A$26,0)),0)</f>
        <v>24</v>
      </c>
      <c r="N2462" s="45" t="n">
        <f aca="false">IF(D2462="Sale",E2462*L2462,0)</f>
        <v>0</v>
      </c>
      <c r="O2462" s="45" t="n">
        <f aca="false">IF(D2462="Sale",E2462*M2462,0)</f>
        <v>0</v>
      </c>
      <c r="P2462" s="45" t="n">
        <f aca="false">N2462-O2462</f>
        <v>0</v>
      </c>
      <c r="Q2462" s="45" t="n">
        <f aca="false">IF(D2462="Purchase",E2462*M2462,0)</f>
        <v>480</v>
      </c>
    </row>
    <row r="2463" customFormat="false" ht="15" hidden="false" customHeight="false" outlineLevel="0" collapsed="false">
      <c r="A2463" s="39" t="s">
        <v>2787</v>
      </c>
      <c r="B2463" s="44" t="n">
        <v>46042</v>
      </c>
      <c r="C2463" s="39" t="s">
        <v>160</v>
      </c>
      <c r="D2463" s="39" t="s">
        <v>137</v>
      </c>
      <c r="E2463" s="39" t="n">
        <v>10</v>
      </c>
      <c r="F2463" s="39" t="str">
        <f aca="false">IF(COUNTIF(medicine_master!$A$2:$A$26,C2463)&gt;0,"Valid","Invalid")</f>
        <v>Valid</v>
      </c>
      <c r="G2463" s="39" t="str">
        <f aca="false">IFERROR(INDEX(medicine_master!$B$2:$B$26,MATCH($C2463,medicine_master!$A$2:$A$26,0)),"Not found")</f>
        <v>Calamine Lotion</v>
      </c>
      <c r="H2463" s="39" t="str">
        <f aca="false">IFERROR(INDEX(medicine_master!$C$2:$C$26,MATCH($C2463,medicine_master!$A$2:$A$26,0)),"Not found")</f>
        <v>Dermatology</v>
      </c>
      <c r="I2463" s="39" t="n">
        <f aca="false">YEAR(B2463)</f>
        <v>2026</v>
      </c>
      <c r="J2463" s="39" t="n">
        <f aca="false">MONTH(B2463)</f>
        <v>1</v>
      </c>
      <c r="K2463" s="39" t="str">
        <f aca="false">TEXT(B2463,"mmm")</f>
        <v>Jan</v>
      </c>
      <c r="L2463" s="45" t="n">
        <f aca="false">IFERROR(INDEX(medicine_master!$I$2:$I$26,MATCH($C2463,medicine_master!$A$2:$A$26,0)),0)</f>
        <v>60</v>
      </c>
      <c r="M2463" s="45" t="n">
        <f aca="false">IFERROR(INDEX(medicine_master!$G$2:$G$26,MATCH($C2463,medicine_master!$A$2:$A$26,0)),0)</f>
        <v>42</v>
      </c>
      <c r="N2463" s="45" t="n">
        <f aca="false">IF(D2463="Sale",E2463*L2463,0)</f>
        <v>600</v>
      </c>
      <c r="O2463" s="45" t="n">
        <f aca="false">IF(D2463="Sale",E2463*M2463,0)</f>
        <v>420</v>
      </c>
      <c r="P2463" s="45" t="n">
        <f aca="false">N2463-O2463</f>
        <v>180</v>
      </c>
      <c r="Q2463" s="45" t="n">
        <f aca="false">IF(D2463="Purchase",E2463*M2463,0)</f>
        <v>0</v>
      </c>
    </row>
    <row r="2464" customFormat="false" ht="15" hidden="false" customHeight="false" outlineLevel="0" collapsed="false">
      <c r="A2464" s="39" t="s">
        <v>2788</v>
      </c>
      <c r="B2464" s="44" t="n">
        <v>46059</v>
      </c>
      <c r="C2464" s="39" t="s">
        <v>144</v>
      </c>
      <c r="D2464" s="39" t="s">
        <v>137</v>
      </c>
      <c r="E2464" s="39" t="n">
        <v>50</v>
      </c>
      <c r="F2464" s="39" t="str">
        <f aca="false">IF(COUNTIF(medicine_master!$A$2:$A$26,C2464)&gt;0,"Valid","Invalid")</f>
        <v>Valid</v>
      </c>
      <c r="G2464" s="39" t="str">
        <f aca="false">IFERROR(INDEX(medicine_master!$B$2:$B$26,MATCH($C2464,medicine_master!$A$2:$A$26,0)),"Not found")</f>
        <v>Glimepiride 2mg</v>
      </c>
      <c r="H2464" s="39" t="str">
        <f aca="false">IFERROR(INDEX(medicine_master!$C$2:$C$26,MATCH($C2464,medicine_master!$A$2:$A$26,0)),"Not found")</f>
        <v>Diabetes</v>
      </c>
      <c r="I2464" s="39" t="n">
        <f aca="false">YEAR(B2464)</f>
        <v>2026</v>
      </c>
      <c r="J2464" s="39" t="n">
        <f aca="false">MONTH(B2464)</f>
        <v>2</v>
      </c>
      <c r="K2464" s="39" t="str">
        <f aca="false">TEXT(B2464,"mmm")</f>
        <v>Feb</v>
      </c>
      <c r="L2464" s="45" t="n">
        <f aca="false">IFERROR(INDEX(medicine_master!$I$2:$I$26,MATCH($C2464,medicine_master!$A$2:$A$26,0)),0)</f>
        <v>52</v>
      </c>
      <c r="M2464" s="45" t="n">
        <f aca="false">IFERROR(INDEX(medicine_master!$G$2:$G$26,MATCH($C2464,medicine_master!$A$2:$A$26,0)),0)</f>
        <v>38</v>
      </c>
      <c r="N2464" s="45" t="n">
        <f aca="false">IF(D2464="Sale",E2464*L2464,0)</f>
        <v>2600</v>
      </c>
      <c r="O2464" s="45" t="n">
        <f aca="false">IF(D2464="Sale",E2464*M2464,0)</f>
        <v>1900</v>
      </c>
      <c r="P2464" s="45" t="n">
        <f aca="false">N2464-O2464</f>
        <v>700</v>
      </c>
      <c r="Q2464" s="45" t="n">
        <f aca="false">IF(D2464="Purchase",E2464*M2464,0)</f>
        <v>0</v>
      </c>
    </row>
    <row r="2465" customFormat="false" ht="15" hidden="false" customHeight="false" outlineLevel="0" collapsed="false">
      <c r="A2465" s="39" t="s">
        <v>2789</v>
      </c>
      <c r="B2465" s="44" t="n">
        <v>46076</v>
      </c>
      <c r="C2465" s="39" t="s">
        <v>179</v>
      </c>
      <c r="D2465" s="39" t="s">
        <v>138</v>
      </c>
      <c r="E2465" s="39" t="n">
        <v>5</v>
      </c>
      <c r="F2465" s="39" t="str">
        <f aca="false">IF(COUNTIF(medicine_master!$A$2:$A$26,C2465)&gt;0,"Valid","Invalid")</f>
        <v>Valid</v>
      </c>
      <c r="G2465" s="39" t="str">
        <f aca="false">IFERROR(INDEX(medicine_master!$B$2:$B$26,MATCH($C2465,medicine_master!$A$2:$A$26,0)),"Not found")</f>
        <v>Ibuprofen 400mg</v>
      </c>
      <c r="H2465" s="39" t="str">
        <f aca="false">IFERROR(INDEX(medicine_master!$C$2:$C$26,MATCH($C2465,medicine_master!$A$2:$A$26,0)),"Not found")</f>
        <v>Pain Relief</v>
      </c>
      <c r="I2465" s="39" t="n">
        <f aca="false">YEAR(B2465)</f>
        <v>2026</v>
      </c>
      <c r="J2465" s="39" t="n">
        <f aca="false">MONTH(B2465)</f>
        <v>2</v>
      </c>
      <c r="K2465" s="39" t="str">
        <f aca="false">TEXT(B2465,"mmm")</f>
        <v>Feb</v>
      </c>
      <c r="L2465" s="45" t="n">
        <f aca="false">IFERROR(INDEX(medicine_master!$I$2:$I$26,MATCH($C2465,medicine_master!$A$2:$A$26,0)),0)</f>
        <v>30</v>
      </c>
      <c r="M2465" s="45" t="n">
        <f aca="false">IFERROR(INDEX(medicine_master!$G$2:$G$26,MATCH($C2465,medicine_master!$A$2:$A$26,0)),0)</f>
        <v>22</v>
      </c>
      <c r="N2465" s="45" t="n">
        <f aca="false">IF(D2465="Sale",E2465*L2465,0)</f>
        <v>0</v>
      </c>
      <c r="O2465" s="45" t="n">
        <f aca="false">IF(D2465="Sale",E2465*M2465,0)</f>
        <v>0</v>
      </c>
      <c r="P2465" s="45" t="n">
        <f aca="false">N2465-O2465</f>
        <v>0</v>
      </c>
      <c r="Q2465" s="45" t="n">
        <f aca="false">IF(D2465="Purchase",E2465*M2465,0)</f>
        <v>110</v>
      </c>
    </row>
    <row r="2466" customFormat="false" ht="15" hidden="false" customHeight="false" outlineLevel="0" collapsed="false">
      <c r="A2466" s="39" t="s">
        <v>2790</v>
      </c>
      <c r="B2466" s="44" t="n">
        <v>46128</v>
      </c>
      <c r="C2466" s="39" t="s">
        <v>326</v>
      </c>
      <c r="D2466" s="39" t="s">
        <v>137</v>
      </c>
      <c r="E2466" s="39" t="n">
        <v>15</v>
      </c>
      <c r="F2466" s="39" t="str">
        <f aca="false">IF(COUNTIF(medicine_master!$A$2:$A$26,C2466)&gt;0,"Valid","Invalid")</f>
        <v>Valid</v>
      </c>
      <c r="G2466" s="39" t="str">
        <f aca="false">IFERROR(INDEX(medicine_master!$B$2:$B$26,MATCH($C2466,medicine_master!$A$2:$A$26,0)),"Not found")</f>
        <v>Omeprazole 20mg</v>
      </c>
      <c r="H2466" s="39" t="str">
        <f aca="false">IFERROR(INDEX(medicine_master!$C$2:$C$26,MATCH($C2466,medicine_master!$A$2:$A$26,0)),"Not found")</f>
        <v>Gastric</v>
      </c>
      <c r="I2466" s="39" t="n">
        <f aca="false">YEAR(B2466)</f>
        <v>2026</v>
      </c>
      <c r="J2466" s="39" t="n">
        <f aca="false">MONTH(B2466)</f>
        <v>4</v>
      </c>
      <c r="K2466" s="39" t="str">
        <f aca="false">TEXT(B2466,"mmm")</f>
        <v>Apr</v>
      </c>
      <c r="L2466" s="45" t="n">
        <f aca="false">IFERROR(INDEX(medicine_master!$I$2:$I$26,MATCH($C2466,medicine_master!$A$2:$A$26,0)),0)</f>
        <v>26</v>
      </c>
      <c r="M2466" s="45" t="n">
        <f aca="false">IFERROR(INDEX(medicine_master!$G$2:$G$26,MATCH($C2466,medicine_master!$A$2:$A$26,0)),0)</f>
        <v>18</v>
      </c>
      <c r="N2466" s="45" t="n">
        <f aca="false">IF(D2466="Sale",E2466*L2466,0)</f>
        <v>390</v>
      </c>
      <c r="O2466" s="45" t="n">
        <f aca="false">IF(D2466="Sale",E2466*M2466,0)</f>
        <v>270</v>
      </c>
      <c r="P2466" s="45" t="n">
        <f aca="false">N2466-O2466</f>
        <v>120</v>
      </c>
      <c r="Q2466" s="45" t="n">
        <f aca="false">IF(D2466="Purchase",E2466*M2466,0)</f>
        <v>0</v>
      </c>
    </row>
    <row r="2467" customFormat="false" ht="15" hidden="false" customHeight="false" outlineLevel="0" collapsed="false">
      <c r="A2467" s="39" t="s">
        <v>2791</v>
      </c>
      <c r="B2467" s="44" t="n">
        <v>46027</v>
      </c>
      <c r="C2467" s="39" t="s">
        <v>144</v>
      </c>
      <c r="D2467" s="39" t="s">
        <v>137</v>
      </c>
      <c r="E2467" s="39" t="n">
        <v>30</v>
      </c>
      <c r="F2467" s="39" t="str">
        <f aca="false">IF(COUNTIF(medicine_master!$A$2:$A$26,C2467)&gt;0,"Valid","Invalid")</f>
        <v>Valid</v>
      </c>
      <c r="G2467" s="39" t="str">
        <f aca="false">IFERROR(INDEX(medicine_master!$B$2:$B$26,MATCH($C2467,medicine_master!$A$2:$A$26,0)),"Not found")</f>
        <v>Glimepiride 2mg</v>
      </c>
      <c r="H2467" s="39" t="str">
        <f aca="false">IFERROR(INDEX(medicine_master!$C$2:$C$26,MATCH($C2467,medicine_master!$A$2:$A$26,0)),"Not found")</f>
        <v>Diabetes</v>
      </c>
      <c r="I2467" s="39" t="n">
        <f aca="false">YEAR(B2467)</f>
        <v>2026</v>
      </c>
      <c r="J2467" s="39" t="n">
        <f aca="false">MONTH(B2467)</f>
        <v>1</v>
      </c>
      <c r="K2467" s="39" t="str">
        <f aca="false">TEXT(B2467,"mmm")</f>
        <v>Jan</v>
      </c>
      <c r="L2467" s="45" t="n">
        <f aca="false">IFERROR(INDEX(medicine_master!$I$2:$I$26,MATCH($C2467,medicine_master!$A$2:$A$26,0)),0)</f>
        <v>52</v>
      </c>
      <c r="M2467" s="45" t="n">
        <f aca="false">IFERROR(INDEX(medicine_master!$G$2:$G$26,MATCH($C2467,medicine_master!$A$2:$A$26,0)),0)</f>
        <v>38</v>
      </c>
      <c r="N2467" s="45" t="n">
        <f aca="false">IF(D2467="Sale",E2467*L2467,0)</f>
        <v>1560</v>
      </c>
      <c r="O2467" s="45" t="n">
        <f aca="false">IF(D2467="Sale",E2467*M2467,0)</f>
        <v>1140</v>
      </c>
      <c r="P2467" s="45" t="n">
        <f aca="false">N2467-O2467</f>
        <v>420</v>
      </c>
      <c r="Q2467" s="45" t="n">
        <f aca="false">IF(D2467="Purchase",E2467*M2467,0)</f>
        <v>0</v>
      </c>
    </row>
    <row r="2468" customFormat="false" ht="15" hidden="false" customHeight="false" outlineLevel="0" collapsed="false">
      <c r="A2468" s="39" t="s">
        <v>2792</v>
      </c>
      <c r="B2468" s="44" t="n">
        <v>46265</v>
      </c>
      <c r="C2468" s="39" t="s">
        <v>404</v>
      </c>
      <c r="D2468" s="39" t="s">
        <v>137</v>
      </c>
      <c r="E2468" s="39" t="n">
        <v>30</v>
      </c>
      <c r="F2468" s="39" t="str">
        <f aca="false">IF(COUNTIF(medicine_master!$A$2:$A$26,C2468)&gt;0,"Valid","Invalid")</f>
        <v>Valid</v>
      </c>
      <c r="G2468" s="39" t="str">
        <f aca="false">IFERROR(INDEX(medicine_master!$B$2:$B$26,MATCH($C2468,medicine_master!$A$2:$A$26,0)),"Not found")</f>
        <v>ORS Sachet</v>
      </c>
      <c r="H2468" s="39" t="str">
        <f aca="false">IFERROR(INDEX(medicine_master!$C$2:$C$26,MATCH($C2468,medicine_master!$A$2:$A$26,0)),"Not found")</f>
        <v>First Aid</v>
      </c>
      <c r="I2468" s="39" t="n">
        <f aca="false">YEAR(B2468)</f>
        <v>2026</v>
      </c>
      <c r="J2468" s="39" t="n">
        <f aca="false">MONTH(B2468)</f>
        <v>8</v>
      </c>
      <c r="K2468" s="39" t="str">
        <f aca="false">TEXT(B2468,"mmm")</f>
        <v>Aug</v>
      </c>
      <c r="L2468" s="45" t="n">
        <f aca="false">IFERROR(INDEX(medicine_master!$I$2:$I$26,MATCH($C2468,medicine_master!$A$2:$A$26,0)),0)</f>
        <v>10</v>
      </c>
      <c r="M2468" s="45" t="n">
        <f aca="false">IFERROR(INDEX(medicine_master!$G$2:$G$26,MATCH($C2468,medicine_master!$A$2:$A$26,0)),0)</f>
        <v>6</v>
      </c>
      <c r="N2468" s="45" t="n">
        <f aca="false">IF(D2468="Sale",E2468*L2468,0)</f>
        <v>300</v>
      </c>
      <c r="O2468" s="45" t="n">
        <f aca="false">IF(D2468="Sale",E2468*M2468,0)</f>
        <v>180</v>
      </c>
      <c r="P2468" s="45" t="n">
        <f aca="false">N2468-O2468</f>
        <v>120</v>
      </c>
      <c r="Q2468" s="45" t="n">
        <f aca="false">IF(D2468="Purchase",E2468*M2468,0)</f>
        <v>0</v>
      </c>
    </row>
    <row r="2469" customFormat="false" ht="15" hidden="false" customHeight="false" outlineLevel="0" collapsed="false">
      <c r="A2469" s="39" t="s">
        <v>2793</v>
      </c>
      <c r="B2469" s="44" t="n">
        <v>46365</v>
      </c>
      <c r="C2469" s="39" t="s">
        <v>150</v>
      </c>
      <c r="D2469" s="39" t="s">
        <v>137</v>
      </c>
      <c r="E2469" s="39" t="n">
        <v>25</v>
      </c>
      <c r="F2469" s="39" t="str">
        <f aca="false">IF(COUNTIF(medicine_master!$A$2:$A$26,C2469)&gt;0,"Valid","Invalid")</f>
        <v>Valid</v>
      </c>
      <c r="G2469" s="39" t="str">
        <f aca="false">IFERROR(INDEX(medicine_master!$B$2:$B$26,MATCH($C2469,medicine_master!$A$2:$A$26,0)),"Not found")</f>
        <v>Pantoprazole 40mg</v>
      </c>
      <c r="H2469" s="39" t="str">
        <f aca="false">IFERROR(INDEX(medicine_master!$C$2:$C$26,MATCH($C2469,medicine_master!$A$2:$A$26,0)),"Not found")</f>
        <v>Gastric</v>
      </c>
      <c r="I2469" s="39" t="n">
        <f aca="false">YEAR(B2469)</f>
        <v>2026</v>
      </c>
      <c r="J2469" s="39" t="n">
        <f aca="false">MONTH(B2469)</f>
        <v>12</v>
      </c>
      <c r="K2469" s="39" t="str">
        <f aca="false">TEXT(B2469,"mmm")</f>
        <v>Dec</v>
      </c>
      <c r="L2469" s="45" t="n">
        <f aca="false">IFERROR(INDEX(medicine_master!$I$2:$I$26,MATCH($C2469,medicine_master!$A$2:$A$26,0)),0)</f>
        <v>35</v>
      </c>
      <c r="M2469" s="45" t="n">
        <f aca="false">IFERROR(INDEX(medicine_master!$G$2:$G$26,MATCH($C2469,medicine_master!$A$2:$A$26,0)),0)</f>
        <v>24</v>
      </c>
      <c r="N2469" s="45" t="n">
        <f aca="false">IF(D2469="Sale",E2469*L2469,0)</f>
        <v>875</v>
      </c>
      <c r="O2469" s="45" t="n">
        <f aca="false">IF(D2469="Sale",E2469*M2469,0)</f>
        <v>600</v>
      </c>
      <c r="P2469" s="45" t="n">
        <f aca="false">N2469-O2469</f>
        <v>275</v>
      </c>
      <c r="Q2469" s="45" t="n">
        <f aca="false">IF(D2469="Purchase",E2469*M2469,0)</f>
        <v>0</v>
      </c>
    </row>
    <row r="2470" customFormat="false" ht="15" hidden="false" customHeight="false" outlineLevel="0" collapsed="false">
      <c r="A2470" s="39" t="s">
        <v>2794</v>
      </c>
      <c r="B2470" s="44" t="n">
        <v>46336</v>
      </c>
      <c r="C2470" s="39" t="s">
        <v>160</v>
      </c>
      <c r="D2470" s="39" t="s">
        <v>137</v>
      </c>
      <c r="E2470" s="39" t="n">
        <v>40</v>
      </c>
      <c r="F2470" s="39" t="str">
        <f aca="false">IF(COUNTIF(medicine_master!$A$2:$A$26,C2470)&gt;0,"Valid","Invalid")</f>
        <v>Valid</v>
      </c>
      <c r="G2470" s="39" t="str">
        <f aca="false">IFERROR(INDEX(medicine_master!$B$2:$B$26,MATCH($C2470,medicine_master!$A$2:$A$26,0)),"Not found")</f>
        <v>Calamine Lotion</v>
      </c>
      <c r="H2470" s="39" t="str">
        <f aca="false">IFERROR(INDEX(medicine_master!$C$2:$C$26,MATCH($C2470,medicine_master!$A$2:$A$26,0)),"Not found")</f>
        <v>Dermatology</v>
      </c>
      <c r="I2470" s="39" t="n">
        <f aca="false">YEAR(B2470)</f>
        <v>2026</v>
      </c>
      <c r="J2470" s="39" t="n">
        <f aca="false">MONTH(B2470)</f>
        <v>11</v>
      </c>
      <c r="K2470" s="39" t="str">
        <f aca="false">TEXT(B2470,"mmm")</f>
        <v>Nov</v>
      </c>
      <c r="L2470" s="45" t="n">
        <f aca="false">IFERROR(INDEX(medicine_master!$I$2:$I$26,MATCH($C2470,medicine_master!$A$2:$A$26,0)),0)</f>
        <v>60</v>
      </c>
      <c r="M2470" s="45" t="n">
        <f aca="false">IFERROR(INDEX(medicine_master!$G$2:$G$26,MATCH($C2470,medicine_master!$A$2:$A$26,0)),0)</f>
        <v>42</v>
      </c>
      <c r="N2470" s="45" t="n">
        <f aca="false">IF(D2470="Sale",E2470*L2470,0)</f>
        <v>2400</v>
      </c>
      <c r="O2470" s="45" t="n">
        <f aca="false">IF(D2470="Sale",E2470*M2470,0)</f>
        <v>1680</v>
      </c>
      <c r="P2470" s="45" t="n">
        <f aca="false">N2470-O2470</f>
        <v>720</v>
      </c>
      <c r="Q2470" s="45" t="n">
        <f aca="false">IF(D2470="Purchase",E2470*M2470,0)</f>
        <v>0</v>
      </c>
    </row>
    <row r="2471" customFormat="false" ht="15" hidden="false" customHeight="false" outlineLevel="0" collapsed="false">
      <c r="A2471" s="39" t="s">
        <v>2795</v>
      </c>
      <c r="B2471" s="44" t="n">
        <v>46333</v>
      </c>
      <c r="C2471" s="39" t="s">
        <v>178</v>
      </c>
      <c r="D2471" s="39" t="s">
        <v>137</v>
      </c>
      <c r="E2471" s="39" t="n">
        <v>40</v>
      </c>
      <c r="F2471" s="39" t="str">
        <f aca="false">IF(COUNTIF(medicine_master!$A$2:$A$26,C2471)&gt;0,"Valid","Invalid")</f>
        <v>Valid</v>
      </c>
      <c r="G2471" s="39" t="str">
        <f aca="false">IFERROR(INDEX(medicine_master!$B$2:$B$26,MATCH($C2471,medicine_master!$A$2:$A$26,0)),"Not found")</f>
        <v>Aspirin 75mg</v>
      </c>
      <c r="H2471" s="39" t="str">
        <f aca="false">IFERROR(INDEX(medicine_master!$C$2:$C$26,MATCH($C2471,medicine_master!$A$2:$A$26,0)),"Not found")</f>
        <v>Cardiac</v>
      </c>
      <c r="I2471" s="39" t="n">
        <f aca="false">YEAR(B2471)</f>
        <v>2026</v>
      </c>
      <c r="J2471" s="39" t="n">
        <f aca="false">MONTH(B2471)</f>
        <v>11</v>
      </c>
      <c r="K2471" s="39" t="str">
        <f aca="false">TEXT(B2471,"mmm")</f>
        <v>Nov</v>
      </c>
      <c r="L2471" s="45" t="n">
        <f aca="false">IFERROR(INDEX(medicine_master!$I$2:$I$26,MATCH($C2471,medicine_master!$A$2:$A$26,0)),0)</f>
        <v>15</v>
      </c>
      <c r="M2471" s="45" t="n">
        <f aca="false">IFERROR(INDEX(medicine_master!$G$2:$G$26,MATCH($C2471,medicine_master!$A$2:$A$26,0)),0)</f>
        <v>10</v>
      </c>
      <c r="N2471" s="45" t="n">
        <f aca="false">IF(D2471="Sale",E2471*L2471,0)</f>
        <v>600</v>
      </c>
      <c r="O2471" s="45" t="n">
        <f aca="false">IF(D2471="Sale",E2471*M2471,0)</f>
        <v>400</v>
      </c>
      <c r="P2471" s="45" t="n">
        <f aca="false">N2471-O2471</f>
        <v>200</v>
      </c>
      <c r="Q2471" s="45" t="n">
        <f aca="false">IF(D2471="Purchase",E2471*M2471,0)</f>
        <v>0</v>
      </c>
    </row>
    <row r="2472" customFormat="false" ht="15" hidden="false" customHeight="false" outlineLevel="0" collapsed="false">
      <c r="A2472" s="39" t="s">
        <v>2796</v>
      </c>
      <c r="B2472" s="44" t="n">
        <v>46369</v>
      </c>
      <c r="C2472" s="39" t="s">
        <v>146</v>
      </c>
      <c r="D2472" s="39" t="s">
        <v>138</v>
      </c>
      <c r="E2472" s="39" t="n">
        <v>25</v>
      </c>
      <c r="F2472" s="39" t="str">
        <f aca="false">IF(COUNTIF(medicine_master!$A$2:$A$26,C2472)&gt;0,"Valid","Invalid")</f>
        <v>Valid</v>
      </c>
      <c r="G2472" s="39" t="str">
        <f aca="false">IFERROR(INDEX(medicine_master!$B$2:$B$26,MATCH($C2472,medicine_master!$A$2:$A$26,0)),"Not found")</f>
        <v>Diclofenac Gel</v>
      </c>
      <c r="H2472" s="39" t="str">
        <f aca="false">IFERROR(INDEX(medicine_master!$C$2:$C$26,MATCH($C2472,medicine_master!$A$2:$A$26,0)),"Not found")</f>
        <v>Pain Relief</v>
      </c>
      <c r="I2472" s="39" t="n">
        <f aca="false">YEAR(B2472)</f>
        <v>2026</v>
      </c>
      <c r="J2472" s="39" t="n">
        <f aca="false">MONTH(B2472)</f>
        <v>12</v>
      </c>
      <c r="K2472" s="39" t="str">
        <f aca="false">TEXT(B2472,"mmm")</f>
        <v>Dec</v>
      </c>
      <c r="L2472" s="45" t="n">
        <f aca="false">IFERROR(INDEX(medicine_master!$I$2:$I$26,MATCH($C2472,medicine_master!$A$2:$A$26,0)),0)</f>
        <v>55</v>
      </c>
      <c r="M2472" s="45" t="n">
        <f aca="false">IFERROR(INDEX(medicine_master!$G$2:$G$26,MATCH($C2472,medicine_master!$A$2:$A$26,0)),0)</f>
        <v>38</v>
      </c>
      <c r="N2472" s="45" t="n">
        <f aca="false">IF(D2472="Sale",E2472*L2472,0)</f>
        <v>0</v>
      </c>
      <c r="O2472" s="45" t="n">
        <f aca="false">IF(D2472="Sale",E2472*M2472,0)</f>
        <v>0</v>
      </c>
      <c r="P2472" s="45" t="n">
        <f aca="false">N2472-O2472</f>
        <v>0</v>
      </c>
      <c r="Q2472" s="45" t="n">
        <f aca="false">IF(D2472="Purchase",E2472*M2472,0)</f>
        <v>950</v>
      </c>
    </row>
    <row r="2473" customFormat="false" ht="15" hidden="false" customHeight="false" outlineLevel="0" collapsed="false">
      <c r="A2473" s="39" t="s">
        <v>2797</v>
      </c>
      <c r="B2473" s="44" t="n">
        <v>46094</v>
      </c>
      <c r="C2473" s="39" t="s">
        <v>326</v>
      </c>
      <c r="D2473" s="39" t="s">
        <v>137</v>
      </c>
      <c r="E2473" s="39" t="n">
        <v>5</v>
      </c>
      <c r="F2473" s="39" t="str">
        <f aca="false">IF(COUNTIF(medicine_master!$A$2:$A$26,C2473)&gt;0,"Valid","Invalid")</f>
        <v>Valid</v>
      </c>
      <c r="G2473" s="39" t="str">
        <f aca="false">IFERROR(INDEX(medicine_master!$B$2:$B$26,MATCH($C2473,medicine_master!$A$2:$A$26,0)),"Not found")</f>
        <v>Omeprazole 20mg</v>
      </c>
      <c r="H2473" s="39" t="str">
        <f aca="false">IFERROR(INDEX(medicine_master!$C$2:$C$26,MATCH($C2473,medicine_master!$A$2:$A$26,0)),"Not found")</f>
        <v>Gastric</v>
      </c>
      <c r="I2473" s="39" t="n">
        <f aca="false">YEAR(B2473)</f>
        <v>2026</v>
      </c>
      <c r="J2473" s="39" t="n">
        <f aca="false">MONTH(B2473)</f>
        <v>3</v>
      </c>
      <c r="K2473" s="39" t="str">
        <f aca="false">TEXT(B2473,"mmm")</f>
        <v>Mar</v>
      </c>
      <c r="L2473" s="45" t="n">
        <f aca="false">IFERROR(INDEX(medicine_master!$I$2:$I$26,MATCH($C2473,medicine_master!$A$2:$A$26,0)),0)</f>
        <v>26</v>
      </c>
      <c r="M2473" s="45" t="n">
        <f aca="false">IFERROR(INDEX(medicine_master!$G$2:$G$26,MATCH($C2473,medicine_master!$A$2:$A$26,0)),0)</f>
        <v>18</v>
      </c>
      <c r="N2473" s="45" t="n">
        <f aca="false">IF(D2473="Sale",E2473*L2473,0)</f>
        <v>130</v>
      </c>
      <c r="O2473" s="45" t="n">
        <f aca="false">IF(D2473="Sale",E2473*M2473,0)</f>
        <v>90</v>
      </c>
      <c r="P2473" s="45" t="n">
        <f aca="false">N2473-O2473</f>
        <v>40</v>
      </c>
      <c r="Q2473" s="45" t="n">
        <f aca="false">IF(D2473="Purchase",E2473*M2473,0)</f>
        <v>0</v>
      </c>
    </row>
    <row r="2474" customFormat="false" ht="15" hidden="false" customHeight="false" outlineLevel="0" collapsed="false">
      <c r="A2474" s="39" t="s">
        <v>2798</v>
      </c>
      <c r="B2474" s="44" t="n">
        <v>46361</v>
      </c>
      <c r="C2474" s="39" t="s">
        <v>390</v>
      </c>
      <c r="D2474" s="39" t="s">
        <v>138</v>
      </c>
      <c r="E2474" s="39" t="n">
        <v>40</v>
      </c>
      <c r="F2474" s="39" t="str">
        <f aca="false">IF(COUNTIF(medicine_master!$A$2:$A$26,C2474)&gt;0,"Valid","Invalid")</f>
        <v>Valid</v>
      </c>
      <c r="G2474" s="39" t="str">
        <f aca="false">IFERROR(INDEX(medicine_master!$B$2:$B$26,MATCH($C2474,medicine_master!$A$2:$A$26,0)),"Not found")</f>
        <v>Montelukast 10mg</v>
      </c>
      <c r="H2474" s="39" t="str">
        <f aca="false">IFERROR(INDEX(medicine_master!$C$2:$C$26,MATCH($C2474,medicine_master!$A$2:$A$26,0)),"Not found")</f>
        <v>Allergy</v>
      </c>
      <c r="I2474" s="39" t="n">
        <f aca="false">YEAR(B2474)</f>
        <v>2026</v>
      </c>
      <c r="J2474" s="39" t="n">
        <f aca="false">MONTH(B2474)</f>
        <v>12</v>
      </c>
      <c r="K2474" s="39" t="str">
        <f aca="false">TEXT(B2474,"mmm")</f>
        <v>Dec</v>
      </c>
      <c r="L2474" s="45" t="n">
        <f aca="false">IFERROR(INDEX(medicine_master!$I$2:$I$26,MATCH($C2474,medicine_master!$A$2:$A$26,0)),0)</f>
        <v>39</v>
      </c>
      <c r="M2474" s="45" t="n">
        <f aca="false">IFERROR(INDEX(medicine_master!$G$2:$G$26,MATCH($C2474,medicine_master!$A$2:$A$26,0)),0)</f>
        <v>27</v>
      </c>
      <c r="N2474" s="45" t="n">
        <f aca="false">IF(D2474="Sale",E2474*L2474,0)</f>
        <v>0</v>
      </c>
      <c r="O2474" s="45" t="n">
        <f aca="false">IF(D2474="Sale",E2474*M2474,0)</f>
        <v>0</v>
      </c>
      <c r="P2474" s="45" t="n">
        <f aca="false">N2474-O2474</f>
        <v>0</v>
      </c>
      <c r="Q2474" s="45" t="n">
        <f aca="false">IF(D2474="Purchase",E2474*M2474,0)</f>
        <v>1080</v>
      </c>
    </row>
    <row r="2475" customFormat="false" ht="15" hidden="false" customHeight="false" outlineLevel="0" collapsed="false">
      <c r="A2475" s="39" t="s">
        <v>2799</v>
      </c>
      <c r="B2475" s="44" t="n">
        <v>46378</v>
      </c>
      <c r="C2475" s="39" t="s">
        <v>157</v>
      </c>
      <c r="D2475" s="39" t="s">
        <v>137</v>
      </c>
      <c r="E2475" s="39" t="n">
        <v>30</v>
      </c>
      <c r="F2475" s="39" t="str">
        <f aca="false">IF(COUNTIF(medicine_master!$A$2:$A$26,C2475)&gt;0,"Valid","Invalid")</f>
        <v>Valid</v>
      </c>
      <c r="G2475" s="39" t="str">
        <f aca="false">IFERROR(INDEX(medicine_master!$B$2:$B$26,MATCH($C2475,medicine_master!$A$2:$A$26,0)),"Not found")</f>
        <v>Multivitamin Tablets</v>
      </c>
      <c r="H2475" s="39" t="str">
        <f aca="false">IFERROR(INDEX(medicine_master!$C$2:$C$26,MATCH($C2475,medicine_master!$A$2:$A$26,0)),"Not found")</f>
        <v>Vitamin</v>
      </c>
      <c r="I2475" s="39" t="n">
        <f aca="false">YEAR(B2475)</f>
        <v>2026</v>
      </c>
      <c r="J2475" s="39" t="n">
        <f aca="false">MONTH(B2475)</f>
        <v>12</v>
      </c>
      <c r="K2475" s="39" t="str">
        <f aca="false">TEXT(B2475,"mmm")</f>
        <v>Dec</v>
      </c>
      <c r="L2475" s="45" t="n">
        <f aca="false">IFERROR(INDEX(medicine_master!$I$2:$I$26,MATCH($C2475,medicine_master!$A$2:$A$26,0)),0)</f>
        <v>105</v>
      </c>
      <c r="M2475" s="45" t="n">
        <f aca="false">IFERROR(INDEX(medicine_master!$G$2:$G$26,MATCH($C2475,medicine_master!$A$2:$A$26,0)),0)</f>
        <v>72</v>
      </c>
      <c r="N2475" s="45" t="n">
        <f aca="false">IF(D2475="Sale",E2475*L2475,0)</f>
        <v>3150</v>
      </c>
      <c r="O2475" s="45" t="n">
        <f aca="false">IF(D2475="Sale",E2475*M2475,0)</f>
        <v>2160</v>
      </c>
      <c r="P2475" s="45" t="n">
        <f aca="false">N2475-O2475</f>
        <v>990</v>
      </c>
      <c r="Q2475" s="45" t="n">
        <f aca="false">IF(D2475="Purchase",E2475*M2475,0)</f>
        <v>0</v>
      </c>
    </row>
    <row r="2476" customFormat="false" ht="15" hidden="false" customHeight="false" outlineLevel="0" collapsed="false">
      <c r="A2476" s="39" t="s">
        <v>2800</v>
      </c>
      <c r="B2476" s="44" t="n">
        <v>46091</v>
      </c>
      <c r="C2476" s="39" t="s">
        <v>153</v>
      </c>
      <c r="D2476" s="39" t="s">
        <v>138</v>
      </c>
      <c r="E2476" s="39" t="n">
        <v>25</v>
      </c>
      <c r="F2476" s="39" t="str">
        <f aca="false">IF(COUNTIF(medicine_master!$A$2:$A$26,C2476)&gt;0,"Valid","Invalid")</f>
        <v>Valid</v>
      </c>
      <c r="G2476" s="39" t="str">
        <f aca="false">IFERROR(INDEX(medicine_master!$B$2:$B$26,MATCH($C2476,medicine_master!$A$2:$A$26,0)),"Not found")</f>
        <v>Atorvastatin 10mg</v>
      </c>
      <c r="H2476" s="39" t="str">
        <f aca="false">IFERROR(INDEX(medicine_master!$C$2:$C$26,MATCH($C2476,medicine_master!$A$2:$A$26,0)),"Not found")</f>
        <v>Cardiac</v>
      </c>
      <c r="I2476" s="39" t="n">
        <f aca="false">YEAR(B2476)</f>
        <v>2026</v>
      </c>
      <c r="J2476" s="39" t="n">
        <f aca="false">MONTH(B2476)</f>
        <v>3</v>
      </c>
      <c r="K2476" s="39" t="str">
        <f aca="false">TEXT(B2476,"mmm")</f>
        <v>Mar</v>
      </c>
      <c r="L2476" s="45" t="n">
        <f aca="false">IFERROR(INDEX(medicine_master!$I$2:$I$26,MATCH($C2476,medicine_master!$A$2:$A$26,0)),0)</f>
        <v>28</v>
      </c>
      <c r="M2476" s="45" t="n">
        <f aca="false">IFERROR(INDEX(medicine_master!$G$2:$G$26,MATCH($C2476,medicine_master!$A$2:$A$26,0)),0)</f>
        <v>19</v>
      </c>
      <c r="N2476" s="45" t="n">
        <f aca="false">IF(D2476="Sale",E2476*L2476,0)</f>
        <v>0</v>
      </c>
      <c r="O2476" s="45" t="n">
        <f aca="false">IF(D2476="Sale",E2476*M2476,0)</f>
        <v>0</v>
      </c>
      <c r="P2476" s="45" t="n">
        <f aca="false">N2476-O2476</f>
        <v>0</v>
      </c>
      <c r="Q2476" s="45" t="n">
        <f aca="false">IF(D2476="Purchase",E2476*M2476,0)</f>
        <v>475</v>
      </c>
    </row>
    <row r="2477" customFormat="false" ht="15" hidden="false" customHeight="false" outlineLevel="0" collapsed="false">
      <c r="A2477" s="39" t="s">
        <v>2801</v>
      </c>
      <c r="B2477" s="44" t="n">
        <v>46211</v>
      </c>
      <c r="C2477" s="39" t="s">
        <v>149</v>
      </c>
      <c r="D2477" s="39" t="s">
        <v>137</v>
      </c>
      <c r="E2477" s="39" t="n">
        <v>20</v>
      </c>
      <c r="F2477" s="39" t="str">
        <f aca="false">IF(COUNTIF(medicine_master!$A$2:$A$26,C2477)&gt;0,"Valid","Invalid")</f>
        <v>Valid</v>
      </c>
      <c r="G2477" s="39" t="str">
        <f aca="false">IFERROR(INDEX(medicine_master!$B$2:$B$26,MATCH($C2477,medicine_master!$A$2:$A$26,0)),"Not found")</f>
        <v>Azithromycin 500mg</v>
      </c>
      <c r="H2477" s="39" t="str">
        <f aca="false">IFERROR(INDEX(medicine_master!$C$2:$C$26,MATCH($C2477,medicine_master!$A$2:$A$26,0)),"Not found")</f>
        <v>Antibiotic</v>
      </c>
      <c r="I2477" s="39" t="n">
        <f aca="false">YEAR(B2477)</f>
        <v>2026</v>
      </c>
      <c r="J2477" s="39" t="n">
        <f aca="false">MONTH(B2477)</f>
        <v>7</v>
      </c>
      <c r="K2477" s="39" t="str">
        <f aca="false">TEXT(B2477,"mmm")</f>
        <v>Jul</v>
      </c>
      <c r="L2477" s="45" t="n">
        <f aca="false">IFERROR(INDEX(medicine_master!$I$2:$I$26,MATCH($C2477,medicine_master!$A$2:$A$26,0)),0)</f>
        <v>50</v>
      </c>
      <c r="M2477" s="45" t="n">
        <f aca="false">IFERROR(INDEX(medicine_master!$G$2:$G$26,MATCH($C2477,medicine_master!$A$2:$A$26,0)),0)</f>
        <v>35</v>
      </c>
      <c r="N2477" s="45" t="n">
        <f aca="false">IF(D2477="Sale",E2477*L2477,0)</f>
        <v>1000</v>
      </c>
      <c r="O2477" s="45" t="n">
        <f aca="false">IF(D2477="Sale",E2477*M2477,0)</f>
        <v>700</v>
      </c>
      <c r="P2477" s="45" t="n">
        <f aca="false">N2477-O2477</f>
        <v>300</v>
      </c>
      <c r="Q2477" s="45" t="n">
        <f aca="false">IF(D2477="Purchase",E2477*M2477,0)</f>
        <v>0</v>
      </c>
    </row>
    <row r="2478" customFormat="false" ht="15" hidden="false" customHeight="false" outlineLevel="0" collapsed="false">
      <c r="A2478" s="39" t="s">
        <v>2802</v>
      </c>
      <c r="B2478" s="44" t="n">
        <v>46363</v>
      </c>
      <c r="C2478" s="39" t="s">
        <v>178</v>
      </c>
      <c r="D2478" s="39" t="s">
        <v>137</v>
      </c>
      <c r="E2478" s="39" t="n">
        <v>10</v>
      </c>
      <c r="F2478" s="39" t="str">
        <f aca="false">IF(COUNTIF(medicine_master!$A$2:$A$26,C2478)&gt;0,"Valid","Invalid")</f>
        <v>Valid</v>
      </c>
      <c r="G2478" s="39" t="str">
        <f aca="false">IFERROR(INDEX(medicine_master!$B$2:$B$26,MATCH($C2478,medicine_master!$A$2:$A$26,0)),"Not found")</f>
        <v>Aspirin 75mg</v>
      </c>
      <c r="H2478" s="39" t="str">
        <f aca="false">IFERROR(INDEX(medicine_master!$C$2:$C$26,MATCH($C2478,medicine_master!$A$2:$A$26,0)),"Not found")</f>
        <v>Cardiac</v>
      </c>
      <c r="I2478" s="39" t="n">
        <f aca="false">YEAR(B2478)</f>
        <v>2026</v>
      </c>
      <c r="J2478" s="39" t="n">
        <f aca="false">MONTH(B2478)</f>
        <v>12</v>
      </c>
      <c r="K2478" s="39" t="str">
        <f aca="false">TEXT(B2478,"mmm")</f>
        <v>Dec</v>
      </c>
      <c r="L2478" s="45" t="n">
        <f aca="false">IFERROR(INDEX(medicine_master!$I$2:$I$26,MATCH($C2478,medicine_master!$A$2:$A$26,0)),0)</f>
        <v>15</v>
      </c>
      <c r="M2478" s="45" t="n">
        <f aca="false">IFERROR(INDEX(medicine_master!$G$2:$G$26,MATCH($C2478,medicine_master!$A$2:$A$26,0)),0)</f>
        <v>10</v>
      </c>
      <c r="N2478" s="45" t="n">
        <f aca="false">IF(D2478="Sale",E2478*L2478,0)</f>
        <v>150</v>
      </c>
      <c r="O2478" s="45" t="n">
        <f aca="false">IF(D2478="Sale",E2478*M2478,0)</f>
        <v>100</v>
      </c>
      <c r="P2478" s="45" t="n">
        <f aca="false">N2478-O2478</f>
        <v>50</v>
      </c>
      <c r="Q2478" s="45" t="n">
        <f aca="false">IF(D2478="Purchase",E2478*M2478,0)</f>
        <v>0</v>
      </c>
    </row>
    <row r="2479" customFormat="false" ht="15" hidden="false" customHeight="false" outlineLevel="0" collapsed="false">
      <c r="A2479" s="39" t="s">
        <v>2803</v>
      </c>
      <c r="B2479" s="44" t="n">
        <v>46195</v>
      </c>
      <c r="C2479" s="39" t="s">
        <v>177</v>
      </c>
      <c r="D2479" s="39" t="s">
        <v>137</v>
      </c>
      <c r="E2479" s="39" t="n">
        <v>50</v>
      </c>
      <c r="F2479" s="39" t="str">
        <f aca="false">IF(COUNTIF(medicine_master!$A$2:$A$26,C2479)&gt;0,"Valid","Invalid")</f>
        <v>Valid</v>
      </c>
      <c r="G2479" s="39" t="str">
        <f aca="false">IFERROR(INDEX(medicine_master!$B$2:$B$26,MATCH($C2479,medicine_master!$A$2:$A$26,0)),"Not found")</f>
        <v>Bandage Roll</v>
      </c>
      <c r="H2479" s="39" t="str">
        <f aca="false">IFERROR(INDEX(medicine_master!$C$2:$C$26,MATCH($C2479,medicine_master!$A$2:$A$26,0)),"Not found")</f>
        <v>First Aid</v>
      </c>
      <c r="I2479" s="39" t="n">
        <f aca="false">YEAR(B2479)</f>
        <v>2026</v>
      </c>
      <c r="J2479" s="39" t="n">
        <f aca="false">MONTH(B2479)</f>
        <v>6</v>
      </c>
      <c r="K2479" s="39" t="str">
        <f aca="false">TEXT(B2479,"mmm")</f>
        <v>Jun</v>
      </c>
      <c r="L2479" s="45" t="n">
        <f aca="false">IFERROR(INDEX(medicine_master!$I$2:$I$26,MATCH($C2479,medicine_master!$A$2:$A$26,0)),0)</f>
        <v>25</v>
      </c>
      <c r="M2479" s="45" t="n">
        <f aca="false">IFERROR(INDEX(medicine_master!$G$2:$G$26,MATCH($C2479,medicine_master!$A$2:$A$26,0)),0)</f>
        <v>15</v>
      </c>
      <c r="N2479" s="45" t="n">
        <f aca="false">IF(D2479="Sale",E2479*L2479,0)</f>
        <v>1250</v>
      </c>
      <c r="O2479" s="45" t="n">
        <f aca="false">IF(D2479="Sale",E2479*M2479,0)</f>
        <v>750</v>
      </c>
      <c r="P2479" s="45" t="n">
        <f aca="false">N2479-O2479</f>
        <v>500</v>
      </c>
      <c r="Q2479" s="45" t="n">
        <f aca="false">IF(D2479="Purchase",E2479*M2479,0)</f>
        <v>0</v>
      </c>
    </row>
    <row r="2480" customFormat="false" ht="15" hidden="false" customHeight="false" outlineLevel="0" collapsed="false">
      <c r="A2480" s="39" t="s">
        <v>2804</v>
      </c>
      <c r="B2480" s="44" t="n">
        <v>46053</v>
      </c>
      <c r="C2480" s="39" t="s">
        <v>177</v>
      </c>
      <c r="D2480" s="39" t="s">
        <v>137</v>
      </c>
      <c r="E2480" s="39" t="n">
        <v>5</v>
      </c>
      <c r="F2480" s="39" t="str">
        <f aca="false">IF(COUNTIF(medicine_master!$A$2:$A$26,C2480)&gt;0,"Valid","Invalid")</f>
        <v>Valid</v>
      </c>
      <c r="G2480" s="39" t="str">
        <f aca="false">IFERROR(INDEX(medicine_master!$B$2:$B$26,MATCH($C2480,medicine_master!$A$2:$A$26,0)),"Not found")</f>
        <v>Bandage Roll</v>
      </c>
      <c r="H2480" s="39" t="str">
        <f aca="false">IFERROR(INDEX(medicine_master!$C$2:$C$26,MATCH($C2480,medicine_master!$A$2:$A$26,0)),"Not found")</f>
        <v>First Aid</v>
      </c>
      <c r="I2480" s="39" t="n">
        <f aca="false">YEAR(B2480)</f>
        <v>2026</v>
      </c>
      <c r="J2480" s="39" t="n">
        <f aca="false">MONTH(B2480)</f>
        <v>1</v>
      </c>
      <c r="K2480" s="39" t="str">
        <f aca="false">TEXT(B2480,"mmm")</f>
        <v>Jan</v>
      </c>
      <c r="L2480" s="45" t="n">
        <f aca="false">IFERROR(INDEX(medicine_master!$I$2:$I$26,MATCH($C2480,medicine_master!$A$2:$A$26,0)),0)</f>
        <v>25</v>
      </c>
      <c r="M2480" s="45" t="n">
        <f aca="false">IFERROR(INDEX(medicine_master!$G$2:$G$26,MATCH($C2480,medicine_master!$A$2:$A$26,0)),0)</f>
        <v>15</v>
      </c>
      <c r="N2480" s="45" t="n">
        <f aca="false">IF(D2480="Sale",E2480*L2480,0)</f>
        <v>125</v>
      </c>
      <c r="O2480" s="45" t="n">
        <f aca="false">IF(D2480="Sale",E2480*M2480,0)</f>
        <v>75</v>
      </c>
      <c r="P2480" s="45" t="n">
        <f aca="false">N2480-O2480</f>
        <v>50</v>
      </c>
      <c r="Q2480" s="45" t="n">
        <f aca="false">IF(D2480="Purchase",E2480*M2480,0)</f>
        <v>0</v>
      </c>
    </row>
    <row r="2481" customFormat="false" ht="15" hidden="false" customHeight="false" outlineLevel="0" collapsed="false">
      <c r="A2481" s="39" t="s">
        <v>2805</v>
      </c>
      <c r="B2481" s="44" t="n">
        <v>46349</v>
      </c>
      <c r="C2481" s="39" t="s">
        <v>179</v>
      </c>
      <c r="D2481" s="39" t="s">
        <v>137</v>
      </c>
      <c r="E2481" s="39" t="n">
        <v>30</v>
      </c>
      <c r="F2481" s="39" t="str">
        <f aca="false">IF(COUNTIF(medicine_master!$A$2:$A$26,C2481)&gt;0,"Valid","Invalid")</f>
        <v>Valid</v>
      </c>
      <c r="G2481" s="39" t="str">
        <f aca="false">IFERROR(INDEX(medicine_master!$B$2:$B$26,MATCH($C2481,medicine_master!$A$2:$A$26,0)),"Not found")</f>
        <v>Ibuprofen 400mg</v>
      </c>
      <c r="H2481" s="39" t="str">
        <f aca="false">IFERROR(INDEX(medicine_master!$C$2:$C$26,MATCH($C2481,medicine_master!$A$2:$A$26,0)),"Not found")</f>
        <v>Pain Relief</v>
      </c>
      <c r="I2481" s="39" t="n">
        <f aca="false">YEAR(B2481)</f>
        <v>2026</v>
      </c>
      <c r="J2481" s="39" t="n">
        <f aca="false">MONTH(B2481)</f>
        <v>11</v>
      </c>
      <c r="K2481" s="39" t="str">
        <f aca="false">TEXT(B2481,"mmm")</f>
        <v>Nov</v>
      </c>
      <c r="L2481" s="45" t="n">
        <f aca="false">IFERROR(INDEX(medicine_master!$I$2:$I$26,MATCH($C2481,medicine_master!$A$2:$A$26,0)),0)</f>
        <v>30</v>
      </c>
      <c r="M2481" s="45" t="n">
        <f aca="false">IFERROR(INDEX(medicine_master!$G$2:$G$26,MATCH($C2481,medicine_master!$A$2:$A$26,0)),0)</f>
        <v>22</v>
      </c>
      <c r="N2481" s="45" t="n">
        <f aca="false">IF(D2481="Sale",E2481*L2481,0)</f>
        <v>900</v>
      </c>
      <c r="O2481" s="45" t="n">
        <f aca="false">IF(D2481="Sale",E2481*M2481,0)</f>
        <v>660</v>
      </c>
      <c r="P2481" s="45" t="n">
        <f aca="false">N2481-O2481</f>
        <v>240</v>
      </c>
      <c r="Q2481" s="45" t="n">
        <f aca="false">IF(D2481="Purchase",E2481*M2481,0)</f>
        <v>0</v>
      </c>
    </row>
    <row r="2482" customFormat="false" ht="15" hidden="false" customHeight="false" outlineLevel="0" collapsed="false">
      <c r="A2482" s="39" t="s">
        <v>2806</v>
      </c>
      <c r="B2482" s="44" t="n">
        <v>46193</v>
      </c>
      <c r="C2482" s="39" t="s">
        <v>146</v>
      </c>
      <c r="D2482" s="39" t="s">
        <v>137</v>
      </c>
      <c r="E2482" s="39" t="n">
        <v>25</v>
      </c>
      <c r="F2482" s="39" t="str">
        <f aca="false">IF(COUNTIF(medicine_master!$A$2:$A$26,C2482)&gt;0,"Valid","Invalid")</f>
        <v>Valid</v>
      </c>
      <c r="G2482" s="39" t="str">
        <f aca="false">IFERROR(INDEX(medicine_master!$B$2:$B$26,MATCH($C2482,medicine_master!$A$2:$A$26,0)),"Not found")</f>
        <v>Diclofenac Gel</v>
      </c>
      <c r="H2482" s="39" t="str">
        <f aca="false">IFERROR(INDEX(medicine_master!$C$2:$C$26,MATCH($C2482,medicine_master!$A$2:$A$26,0)),"Not found")</f>
        <v>Pain Relief</v>
      </c>
      <c r="I2482" s="39" t="n">
        <f aca="false">YEAR(B2482)</f>
        <v>2026</v>
      </c>
      <c r="J2482" s="39" t="n">
        <f aca="false">MONTH(B2482)</f>
        <v>6</v>
      </c>
      <c r="K2482" s="39" t="str">
        <f aca="false">TEXT(B2482,"mmm")</f>
        <v>Jun</v>
      </c>
      <c r="L2482" s="45" t="n">
        <f aca="false">IFERROR(INDEX(medicine_master!$I$2:$I$26,MATCH($C2482,medicine_master!$A$2:$A$26,0)),0)</f>
        <v>55</v>
      </c>
      <c r="M2482" s="45" t="n">
        <f aca="false">IFERROR(INDEX(medicine_master!$G$2:$G$26,MATCH($C2482,medicine_master!$A$2:$A$26,0)),0)</f>
        <v>38</v>
      </c>
      <c r="N2482" s="45" t="n">
        <f aca="false">IF(D2482="Sale",E2482*L2482,0)</f>
        <v>1375</v>
      </c>
      <c r="O2482" s="45" t="n">
        <f aca="false">IF(D2482="Sale",E2482*M2482,0)</f>
        <v>950</v>
      </c>
      <c r="P2482" s="45" t="n">
        <f aca="false">N2482-O2482</f>
        <v>425</v>
      </c>
      <c r="Q2482" s="45" t="n">
        <f aca="false">IF(D2482="Purchase",E2482*M2482,0)</f>
        <v>0</v>
      </c>
    </row>
    <row r="2483" customFormat="false" ht="15" hidden="false" customHeight="false" outlineLevel="0" collapsed="false">
      <c r="A2483" s="39" t="s">
        <v>2807</v>
      </c>
      <c r="B2483" s="44" t="n">
        <v>46290</v>
      </c>
      <c r="C2483" s="39" t="s">
        <v>158</v>
      </c>
      <c r="D2483" s="39" t="s">
        <v>138</v>
      </c>
      <c r="E2483" s="39" t="n">
        <v>40</v>
      </c>
      <c r="F2483" s="39" t="str">
        <f aca="false">IF(COUNTIF(medicine_master!$A$2:$A$26,C2483)&gt;0,"Valid","Invalid")</f>
        <v>Valid</v>
      </c>
      <c r="G2483" s="39" t="str">
        <f aca="false">IFERROR(INDEX(medicine_master!$B$2:$B$26,MATCH($C2483,medicine_master!$A$2:$A$26,0)),"Not found")</f>
        <v>Cough Syrup 100ml</v>
      </c>
      <c r="H2483" s="39" t="str">
        <f aca="false">IFERROR(INDEX(medicine_master!$C$2:$C$26,MATCH($C2483,medicine_master!$A$2:$A$26,0)),"Not found")</f>
        <v>Cold &amp; Cough</v>
      </c>
      <c r="I2483" s="39" t="n">
        <f aca="false">YEAR(B2483)</f>
        <v>2026</v>
      </c>
      <c r="J2483" s="39" t="n">
        <f aca="false">MONTH(B2483)</f>
        <v>9</v>
      </c>
      <c r="K2483" s="39" t="str">
        <f aca="false">TEXT(B2483,"mmm")</f>
        <v>Sep</v>
      </c>
      <c r="L2483" s="45" t="n">
        <f aca="false">IFERROR(INDEX(medicine_master!$I$2:$I$26,MATCH($C2483,medicine_master!$A$2:$A$26,0)),0)</f>
        <v>72</v>
      </c>
      <c r="M2483" s="45" t="n">
        <f aca="false">IFERROR(INDEX(medicine_master!$G$2:$G$26,MATCH($C2483,medicine_master!$A$2:$A$26,0)),0)</f>
        <v>52</v>
      </c>
      <c r="N2483" s="45" t="n">
        <f aca="false">IF(D2483="Sale",E2483*L2483,0)</f>
        <v>0</v>
      </c>
      <c r="O2483" s="45" t="n">
        <f aca="false">IF(D2483="Sale",E2483*M2483,0)</f>
        <v>0</v>
      </c>
      <c r="P2483" s="45" t="n">
        <f aca="false">N2483-O2483</f>
        <v>0</v>
      </c>
      <c r="Q2483" s="45" t="n">
        <f aca="false">IF(D2483="Purchase",E2483*M2483,0)</f>
        <v>2080</v>
      </c>
    </row>
    <row r="2484" customFormat="false" ht="15" hidden="false" customHeight="false" outlineLevel="0" collapsed="false">
      <c r="A2484" s="39" t="s">
        <v>2808</v>
      </c>
      <c r="B2484" s="44" t="n">
        <v>46179</v>
      </c>
      <c r="C2484" s="39" t="s">
        <v>158</v>
      </c>
      <c r="D2484" s="39" t="s">
        <v>137</v>
      </c>
      <c r="E2484" s="39" t="n">
        <v>50</v>
      </c>
      <c r="F2484" s="39" t="str">
        <f aca="false">IF(COUNTIF(medicine_master!$A$2:$A$26,C2484)&gt;0,"Valid","Invalid")</f>
        <v>Valid</v>
      </c>
      <c r="G2484" s="39" t="str">
        <f aca="false">IFERROR(INDEX(medicine_master!$B$2:$B$26,MATCH($C2484,medicine_master!$A$2:$A$26,0)),"Not found")</f>
        <v>Cough Syrup 100ml</v>
      </c>
      <c r="H2484" s="39" t="str">
        <f aca="false">IFERROR(INDEX(medicine_master!$C$2:$C$26,MATCH($C2484,medicine_master!$A$2:$A$26,0)),"Not found")</f>
        <v>Cold &amp; Cough</v>
      </c>
      <c r="I2484" s="39" t="n">
        <f aca="false">YEAR(B2484)</f>
        <v>2026</v>
      </c>
      <c r="J2484" s="39" t="n">
        <f aca="false">MONTH(B2484)</f>
        <v>6</v>
      </c>
      <c r="K2484" s="39" t="str">
        <f aca="false">TEXT(B2484,"mmm")</f>
        <v>Jun</v>
      </c>
      <c r="L2484" s="45" t="n">
        <f aca="false">IFERROR(INDEX(medicine_master!$I$2:$I$26,MATCH($C2484,medicine_master!$A$2:$A$26,0)),0)</f>
        <v>72</v>
      </c>
      <c r="M2484" s="45" t="n">
        <f aca="false">IFERROR(INDEX(medicine_master!$G$2:$G$26,MATCH($C2484,medicine_master!$A$2:$A$26,0)),0)</f>
        <v>52</v>
      </c>
      <c r="N2484" s="45" t="n">
        <f aca="false">IF(D2484="Sale",E2484*L2484,0)</f>
        <v>3600</v>
      </c>
      <c r="O2484" s="45" t="n">
        <f aca="false">IF(D2484="Sale",E2484*M2484,0)</f>
        <v>2600</v>
      </c>
      <c r="P2484" s="45" t="n">
        <f aca="false">N2484-O2484</f>
        <v>1000</v>
      </c>
      <c r="Q2484" s="45" t="n">
        <f aca="false">IF(D2484="Purchase",E2484*M2484,0)</f>
        <v>0</v>
      </c>
    </row>
    <row r="2485" customFormat="false" ht="15" hidden="false" customHeight="false" outlineLevel="0" collapsed="false">
      <c r="A2485" s="39" t="s">
        <v>2809</v>
      </c>
      <c r="B2485" s="44" t="n">
        <v>46046</v>
      </c>
      <c r="C2485" s="39" t="s">
        <v>178</v>
      </c>
      <c r="D2485" s="39" t="s">
        <v>138</v>
      </c>
      <c r="E2485" s="39" t="n">
        <v>5</v>
      </c>
      <c r="F2485" s="39" t="str">
        <f aca="false">IF(COUNTIF(medicine_master!$A$2:$A$26,C2485)&gt;0,"Valid","Invalid")</f>
        <v>Valid</v>
      </c>
      <c r="G2485" s="39" t="str">
        <f aca="false">IFERROR(INDEX(medicine_master!$B$2:$B$26,MATCH($C2485,medicine_master!$A$2:$A$26,0)),"Not found")</f>
        <v>Aspirin 75mg</v>
      </c>
      <c r="H2485" s="39" t="str">
        <f aca="false">IFERROR(INDEX(medicine_master!$C$2:$C$26,MATCH($C2485,medicine_master!$A$2:$A$26,0)),"Not found")</f>
        <v>Cardiac</v>
      </c>
      <c r="I2485" s="39" t="n">
        <f aca="false">YEAR(B2485)</f>
        <v>2026</v>
      </c>
      <c r="J2485" s="39" t="n">
        <f aca="false">MONTH(B2485)</f>
        <v>1</v>
      </c>
      <c r="K2485" s="39" t="str">
        <f aca="false">TEXT(B2485,"mmm")</f>
        <v>Jan</v>
      </c>
      <c r="L2485" s="45" t="n">
        <f aca="false">IFERROR(INDEX(medicine_master!$I$2:$I$26,MATCH($C2485,medicine_master!$A$2:$A$26,0)),0)</f>
        <v>15</v>
      </c>
      <c r="M2485" s="45" t="n">
        <f aca="false">IFERROR(INDEX(medicine_master!$G$2:$G$26,MATCH($C2485,medicine_master!$A$2:$A$26,0)),0)</f>
        <v>10</v>
      </c>
      <c r="N2485" s="45" t="n">
        <f aca="false">IF(D2485="Sale",E2485*L2485,0)</f>
        <v>0</v>
      </c>
      <c r="O2485" s="45" t="n">
        <f aca="false">IF(D2485="Sale",E2485*M2485,0)</f>
        <v>0</v>
      </c>
      <c r="P2485" s="45" t="n">
        <f aca="false">N2485-O2485</f>
        <v>0</v>
      </c>
      <c r="Q2485" s="45" t="n">
        <f aca="false">IF(D2485="Purchase",E2485*M2485,0)</f>
        <v>50</v>
      </c>
    </row>
    <row r="2486" customFormat="false" ht="15" hidden="false" customHeight="false" outlineLevel="0" collapsed="false">
      <c r="A2486" s="39" t="s">
        <v>2810</v>
      </c>
      <c r="B2486" s="44" t="n">
        <v>46235</v>
      </c>
      <c r="C2486" s="39" t="s">
        <v>149</v>
      </c>
      <c r="D2486" s="39" t="s">
        <v>137</v>
      </c>
      <c r="E2486" s="39" t="n">
        <v>20</v>
      </c>
      <c r="F2486" s="39" t="str">
        <f aca="false">IF(COUNTIF(medicine_master!$A$2:$A$26,C2486)&gt;0,"Valid","Invalid")</f>
        <v>Valid</v>
      </c>
      <c r="G2486" s="39" t="str">
        <f aca="false">IFERROR(INDEX(medicine_master!$B$2:$B$26,MATCH($C2486,medicine_master!$A$2:$A$26,0)),"Not found")</f>
        <v>Azithromycin 500mg</v>
      </c>
      <c r="H2486" s="39" t="str">
        <f aca="false">IFERROR(INDEX(medicine_master!$C$2:$C$26,MATCH($C2486,medicine_master!$A$2:$A$26,0)),"Not found")</f>
        <v>Antibiotic</v>
      </c>
      <c r="I2486" s="39" t="n">
        <f aca="false">YEAR(B2486)</f>
        <v>2026</v>
      </c>
      <c r="J2486" s="39" t="n">
        <f aca="false">MONTH(B2486)</f>
        <v>8</v>
      </c>
      <c r="K2486" s="39" t="str">
        <f aca="false">TEXT(B2486,"mmm")</f>
        <v>Aug</v>
      </c>
      <c r="L2486" s="45" t="n">
        <f aca="false">IFERROR(INDEX(medicine_master!$I$2:$I$26,MATCH($C2486,medicine_master!$A$2:$A$26,0)),0)</f>
        <v>50</v>
      </c>
      <c r="M2486" s="45" t="n">
        <f aca="false">IFERROR(INDEX(medicine_master!$G$2:$G$26,MATCH($C2486,medicine_master!$A$2:$A$26,0)),0)</f>
        <v>35</v>
      </c>
      <c r="N2486" s="45" t="n">
        <f aca="false">IF(D2486="Sale",E2486*L2486,0)</f>
        <v>1000</v>
      </c>
      <c r="O2486" s="45" t="n">
        <f aca="false">IF(D2486="Sale",E2486*M2486,0)</f>
        <v>700</v>
      </c>
      <c r="P2486" s="45" t="n">
        <f aca="false">N2486-O2486</f>
        <v>300</v>
      </c>
      <c r="Q2486" s="45" t="n">
        <f aca="false">IF(D2486="Purchase",E2486*M2486,0)</f>
        <v>0</v>
      </c>
    </row>
    <row r="2487" customFormat="false" ht="15" hidden="false" customHeight="false" outlineLevel="0" collapsed="false">
      <c r="A2487" s="39" t="s">
        <v>2811</v>
      </c>
      <c r="B2487" s="44" t="n">
        <v>46370</v>
      </c>
      <c r="C2487" s="39" t="s">
        <v>145</v>
      </c>
      <c r="D2487" s="39" t="s">
        <v>137</v>
      </c>
      <c r="E2487" s="39" t="n">
        <v>10</v>
      </c>
      <c r="F2487" s="39" t="str">
        <f aca="false">IF(COUNTIF(medicine_master!$A$2:$A$26,C2487)&gt;0,"Valid","Invalid")</f>
        <v>Valid</v>
      </c>
      <c r="G2487" s="39" t="str">
        <f aca="false">IFERROR(INDEX(medicine_master!$B$2:$B$26,MATCH($C2487,medicine_master!$A$2:$A$26,0)),"Not found")</f>
        <v>Clotrimazole Cream</v>
      </c>
      <c r="H2487" s="39" t="str">
        <f aca="false">IFERROR(INDEX(medicine_master!$C$2:$C$26,MATCH($C2487,medicine_master!$A$2:$A$26,0)),"Not found")</f>
        <v>Dermatology</v>
      </c>
      <c r="I2487" s="39" t="n">
        <f aca="false">YEAR(B2487)</f>
        <v>2026</v>
      </c>
      <c r="J2487" s="39" t="n">
        <f aca="false">MONTH(B2487)</f>
        <v>12</v>
      </c>
      <c r="K2487" s="39" t="str">
        <f aca="false">TEXT(B2487,"mmm")</f>
        <v>Dec</v>
      </c>
      <c r="L2487" s="45" t="n">
        <f aca="false">IFERROR(INDEX(medicine_master!$I$2:$I$26,MATCH($C2487,medicine_master!$A$2:$A$26,0)),0)</f>
        <v>48</v>
      </c>
      <c r="M2487" s="45" t="n">
        <f aca="false">IFERROR(INDEX(medicine_master!$G$2:$G$26,MATCH($C2487,medicine_master!$A$2:$A$26,0)),0)</f>
        <v>32</v>
      </c>
      <c r="N2487" s="45" t="n">
        <f aca="false">IF(D2487="Sale",E2487*L2487,0)</f>
        <v>480</v>
      </c>
      <c r="O2487" s="45" t="n">
        <f aca="false">IF(D2487="Sale",E2487*M2487,0)</f>
        <v>320</v>
      </c>
      <c r="P2487" s="45" t="n">
        <f aca="false">N2487-O2487</f>
        <v>160</v>
      </c>
      <c r="Q2487" s="45" t="n">
        <f aca="false">IF(D2487="Purchase",E2487*M2487,0)</f>
        <v>0</v>
      </c>
    </row>
    <row r="2488" customFormat="false" ht="15" hidden="false" customHeight="false" outlineLevel="0" collapsed="false">
      <c r="A2488" s="39" t="s">
        <v>2812</v>
      </c>
      <c r="B2488" s="44" t="n">
        <v>46087</v>
      </c>
      <c r="C2488" s="39" t="s">
        <v>146</v>
      </c>
      <c r="D2488" s="39" t="s">
        <v>137</v>
      </c>
      <c r="E2488" s="39" t="n">
        <v>25</v>
      </c>
      <c r="F2488" s="39" t="str">
        <f aca="false">IF(COUNTIF(medicine_master!$A$2:$A$26,C2488)&gt;0,"Valid","Invalid")</f>
        <v>Valid</v>
      </c>
      <c r="G2488" s="39" t="str">
        <f aca="false">IFERROR(INDEX(medicine_master!$B$2:$B$26,MATCH($C2488,medicine_master!$A$2:$A$26,0)),"Not found")</f>
        <v>Diclofenac Gel</v>
      </c>
      <c r="H2488" s="39" t="str">
        <f aca="false">IFERROR(INDEX(medicine_master!$C$2:$C$26,MATCH($C2488,medicine_master!$A$2:$A$26,0)),"Not found")</f>
        <v>Pain Relief</v>
      </c>
      <c r="I2488" s="39" t="n">
        <f aca="false">YEAR(B2488)</f>
        <v>2026</v>
      </c>
      <c r="J2488" s="39" t="n">
        <f aca="false">MONTH(B2488)</f>
        <v>3</v>
      </c>
      <c r="K2488" s="39" t="str">
        <f aca="false">TEXT(B2488,"mmm")</f>
        <v>Mar</v>
      </c>
      <c r="L2488" s="45" t="n">
        <f aca="false">IFERROR(INDEX(medicine_master!$I$2:$I$26,MATCH($C2488,medicine_master!$A$2:$A$26,0)),0)</f>
        <v>55</v>
      </c>
      <c r="M2488" s="45" t="n">
        <f aca="false">IFERROR(INDEX(medicine_master!$G$2:$G$26,MATCH($C2488,medicine_master!$A$2:$A$26,0)),0)</f>
        <v>38</v>
      </c>
      <c r="N2488" s="45" t="n">
        <f aca="false">IF(D2488="Sale",E2488*L2488,0)</f>
        <v>1375</v>
      </c>
      <c r="O2488" s="45" t="n">
        <f aca="false">IF(D2488="Sale",E2488*M2488,0)</f>
        <v>950</v>
      </c>
      <c r="P2488" s="45" t="n">
        <f aca="false">N2488-O2488</f>
        <v>425</v>
      </c>
      <c r="Q2488" s="45" t="n">
        <f aca="false">IF(D2488="Purchase",E2488*M2488,0)</f>
        <v>0</v>
      </c>
    </row>
    <row r="2489" customFormat="false" ht="15" hidden="false" customHeight="false" outlineLevel="0" collapsed="false">
      <c r="A2489" s="39" t="s">
        <v>2813</v>
      </c>
      <c r="B2489" s="44" t="n">
        <v>46121</v>
      </c>
      <c r="C2489" s="39" t="s">
        <v>160</v>
      </c>
      <c r="D2489" s="39" t="s">
        <v>137</v>
      </c>
      <c r="E2489" s="39" t="n">
        <v>10</v>
      </c>
      <c r="F2489" s="39" t="str">
        <f aca="false">IF(COUNTIF(medicine_master!$A$2:$A$26,C2489)&gt;0,"Valid","Invalid")</f>
        <v>Valid</v>
      </c>
      <c r="G2489" s="39" t="str">
        <f aca="false">IFERROR(INDEX(medicine_master!$B$2:$B$26,MATCH($C2489,medicine_master!$A$2:$A$26,0)),"Not found")</f>
        <v>Calamine Lotion</v>
      </c>
      <c r="H2489" s="39" t="str">
        <f aca="false">IFERROR(INDEX(medicine_master!$C$2:$C$26,MATCH($C2489,medicine_master!$A$2:$A$26,0)),"Not found")</f>
        <v>Dermatology</v>
      </c>
      <c r="I2489" s="39" t="n">
        <f aca="false">YEAR(B2489)</f>
        <v>2026</v>
      </c>
      <c r="J2489" s="39" t="n">
        <f aca="false">MONTH(B2489)</f>
        <v>4</v>
      </c>
      <c r="K2489" s="39" t="str">
        <f aca="false">TEXT(B2489,"mmm")</f>
        <v>Apr</v>
      </c>
      <c r="L2489" s="45" t="n">
        <f aca="false">IFERROR(INDEX(medicine_master!$I$2:$I$26,MATCH($C2489,medicine_master!$A$2:$A$26,0)),0)</f>
        <v>60</v>
      </c>
      <c r="M2489" s="45" t="n">
        <f aca="false">IFERROR(INDEX(medicine_master!$G$2:$G$26,MATCH($C2489,medicine_master!$A$2:$A$26,0)),0)</f>
        <v>42</v>
      </c>
      <c r="N2489" s="45" t="n">
        <f aca="false">IF(D2489="Sale",E2489*L2489,0)</f>
        <v>600</v>
      </c>
      <c r="O2489" s="45" t="n">
        <f aca="false">IF(D2489="Sale",E2489*M2489,0)</f>
        <v>420</v>
      </c>
      <c r="P2489" s="45" t="n">
        <f aca="false">N2489-O2489</f>
        <v>180</v>
      </c>
      <c r="Q2489" s="45" t="n">
        <f aca="false">IF(D2489="Purchase",E2489*M2489,0)</f>
        <v>0</v>
      </c>
    </row>
    <row r="2490" customFormat="false" ht="15" hidden="false" customHeight="false" outlineLevel="0" collapsed="false">
      <c r="A2490" s="39" t="s">
        <v>2814</v>
      </c>
      <c r="B2490" s="44" t="n">
        <v>46305</v>
      </c>
      <c r="C2490" s="39" t="s">
        <v>147</v>
      </c>
      <c r="D2490" s="39" t="s">
        <v>137</v>
      </c>
      <c r="E2490" s="39" t="n">
        <v>20</v>
      </c>
      <c r="F2490" s="39" t="str">
        <f aca="false">IF(COUNTIF(medicine_master!$A$2:$A$26,C2490)&gt;0,"Valid","Invalid")</f>
        <v>Valid</v>
      </c>
      <c r="G2490" s="39" t="str">
        <f aca="false">IFERROR(INDEX(medicine_master!$B$2:$B$26,MATCH($C2490,medicine_master!$A$2:$A$26,0)),"Not found")</f>
        <v>Insulin Injection</v>
      </c>
      <c r="H2490" s="39" t="str">
        <f aca="false">IFERROR(INDEX(medicine_master!$C$2:$C$26,MATCH($C2490,medicine_master!$A$2:$A$26,0)),"Not found")</f>
        <v>Diabetes</v>
      </c>
      <c r="I2490" s="39" t="n">
        <f aca="false">YEAR(B2490)</f>
        <v>2026</v>
      </c>
      <c r="J2490" s="39" t="n">
        <f aca="false">MONTH(B2490)</f>
        <v>10</v>
      </c>
      <c r="K2490" s="39" t="str">
        <f aca="false">TEXT(B2490,"mmm")</f>
        <v>Oct</v>
      </c>
      <c r="L2490" s="45" t="n">
        <f aca="false">IFERROR(INDEX(medicine_master!$I$2:$I$26,MATCH($C2490,medicine_master!$A$2:$A$26,0)),0)</f>
        <v>225</v>
      </c>
      <c r="M2490" s="45" t="n">
        <f aca="false">IFERROR(INDEX(medicine_master!$G$2:$G$26,MATCH($C2490,medicine_master!$A$2:$A$26,0)),0)</f>
        <v>165</v>
      </c>
      <c r="N2490" s="45" t="n">
        <f aca="false">IF(D2490="Sale",E2490*L2490,0)</f>
        <v>4500</v>
      </c>
      <c r="O2490" s="45" t="n">
        <f aca="false">IF(D2490="Sale",E2490*M2490,0)</f>
        <v>3300</v>
      </c>
      <c r="P2490" s="45" t="n">
        <f aca="false">N2490-O2490</f>
        <v>1200</v>
      </c>
      <c r="Q2490" s="45" t="n">
        <f aca="false">IF(D2490="Purchase",E2490*M2490,0)</f>
        <v>0</v>
      </c>
    </row>
    <row r="2491" customFormat="false" ht="15" hidden="false" customHeight="false" outlineLevel="0" collapsed="false">
      <c r="A2491" s="39" t="s">
        <v>2815</v>
      </c>
      <c r="B2491" s="44" t="n">
        <v>46040</v>
      </c>
      <c r="C2491" s="39" t="s">
        <v>167</v>
      </c>
      <c r="D2491" s="39" t="s">
        <v>138</v>
      </c>
      <c r="E2491" s="39" t="n">
        <v>25</v>
      </c>
      <c r="F2491" s="39" t="str">
        <f aca="false">IF(COUNTIF(medicine_master!$A$2:$A$26,C2491)&gt;0,"Valid","Invalid")</f>
        <v>Valid</v>
      </c>
      <c r="G2491" s="39" t="str">
        <f aca="false">IFERROR(INDEX(medicine_master!$B$2:$B$26,MATCH($C2491,medicine_master!$A$2:$A$26,0)),"Not found")</f>
        <v>Amlodipine 5mg</v>
      </c>
      <c r="H2491" s="39" t="str">
        <f aca="false">IFERROR(INDEX(medicine_master!$C$2:$C$26,MATCH($C2491,medicine_master!$A$2:$A$26,0)),"Not found")</f>
        <v>Cardiac</v>
      </c>
      <c r="I2491" s="39" t="n">
        <f aca="false">YEAR(B2491)</f>
        <v>2026</v>
      </c>
      <c r="J2491" s="39" t="n">
        <f aca="false">MONTH(B2491)</f>
        <v>1</v>
      </c>
      <c r="K2491" s="39" t="str">
        <f aca="false">TEXT(B2491,"mmm")</f>
        <v>Jan</v>
      </c>
      <c r="L2491" s="45" t="n">
        <f aca="false">IFERROR(INDEX(medicine_master!$I$2:$I$26,MATCH($C2491,medicine_master!$A$2:$A$26,0)),0)</f>
        <v>19</v>
      </c>
      <c r="M2491" s="45" t="n">
        <f aca="false">IFERROR(INDEX(medicine_master!$G$2:$G$26,MATCH($C2491,medicine_master!$A$2:$A$26,0)),0)</f>
        <v>13</v>
      </c>
      <c r="N2491" s="45" t="n">
        <f aca="false">IF(D2491="Sale",E2491*L2491,0)</f>
        <v>0</v>
      </c>
      <c r="O2491" s="45" t="n">
        <f aca="false">IF(D2491="Sale",E2491*M2491,0)</f>
        <v>0</v>
      </c>
      <c r="P2491" s="45" t="n">
        <f aca="false">N2491-O2491</f>
        <v>0</v>
      </c>
      <c r="Q2491" s="45" t="n">
        <f aca="false">IF(D2491="Purchase",E2491*M2491,0)</f>
        <v>325</v>
      </c>
    </row>
    <row r="2492" customFormat="false" ht="15" hidden="false" customHeight="false" outlineLevel="0" collapsed="false">
      <c r="A2492" s="39" t="s">
        <v>2816</v>
      </c>
      <c r="B2492" s="44" t="n">
        <v>46162</v>
      </c>
      <c r="C2492" s="39" t="s">
        <v>145</v>
      </c>
      <c r="D2492" s="39" t="s">
        <v>138</v>
      </c>
      <c r="E2492" s="39" t="n">
        <v>20</v>
      </c>
      <c r="F2492" s="39" t="str">
        <f aca="false">IF(COUNTIF(medicine_master!$A$2:$A$26,C2492)&gt;0,"Valid","Invalid")</f>
        <v>Valid</v>
      </c>
      <c r="G2492" s="39" t="str">
        <f aca="false">IFERROR(INDEX(medicine_master!$B$2:$B$26,MATCH($C2492,medicine_master!$A$2:$A$26,0)),"Not found")</f>
        <v>Clotrimazole Cream</v>
      </c>
      <c r="H2492" s="39" t="str">
        <f aca="false">IFERROR(INDEX(medicine_master!$C$2:$C$26,MATCH($C2492,medicine_master!$A$2:$A$26,0)),"Not found")</f>
        <v>Dermatology</v>
      </c>
      <c r="I2492" s="39" t="n">
        <f aca="false">YEAR(B2492)</f>
        <v>2026</v>
      </c>
      <c r="J2492" s="39" t="n">
        <f aca="false">MONTH(B2492)</f>
        <v>5</v>
      </c>
      <c r="K2492" s="39" t="str">
        <f aca="false">TEXT(B2492,"mmm")</f>
        <v>May</v>
      </c>
      <c r="L2492" s="45" t="n">
        <f aca="false">IFERROR(INDEX(medicine_master!$I$2:$I$26,MATCH($C2492,medicine_master!$A$2:$A$26,0)),0)</f>
        <v>48</v>
      </c>
      <c r="M2492" s="45" t="n">
        <f aca="false">IFERROR(INDEX(medicine_master!$G$2:$G$26,MATCH($C2492,medicine_master!$A$2:$A$26,0)),0)</f>
        <v>32</v>
      </c>
      <c r="N2492" s="45" t="n">
        <f aca="false">IF(D2492="Sale",E2492*L2492,0)</f>
        <v>0</v>
      </c>
      <c r="O2492" s="45" t="n">
        <f aca="false">IF(D2492="Sale",E2492*M2492,0)</f>
        <v>0</v>
      </c>
      <c r="P2492" s="45" t="n">
        <f aca="false">N2492-O2492</f>
        <v>0</v>
      </c>
      <c r="Q2492" s="45" t="n">
        <f aca="false">IF(D2492="Purchase",E2492*M2492,0)</f>
        <v>640</v>
      </c>
    </row>
    <row r="2493" customFormat="false" ht="15" hidden="false" customHeight="false" outlineLevel="0" collapsed="false">
      <c r="A2493" s="39" t="s">
        <v>2817</v>
      </c>
      <c r="B2493" s="44" t="n">
        <v>46194</v>
      </c>
      <c r="C2493" s="39" t="s">
        <v>167</v>
      </c>
      <c r="D2493" s="39" t="s">
        <v>137</v>
      </c>
      <c r="E2493" s="39" t="n">
        <v>10</v>
      </c>
      <c r="F2493" s="39" t="str">
        <f aca="false">IF(COUNTIF(medicine_master!$A$2:$A$26,C2493)&gt;0,"Valid","Invalid")</f>
        <v>Valid</v>
      </c>
      <c r="G2493" s="39" t="str">
        <f aca="false">IFERROR(INDEX(medicine_master!$B$2:$B$26,MATCH($C2493,medicine_master!$A$2:$A$26,0)),"Not found")</f>
        <v>Amlodipine 5mg</v>
      </c>
      <c r="H2493" s="39" t="str">
        <f aca="false">IFERROR(INDEX(medicine_master!$C$2:$C$26,MATCH($C2493,medicine_master!$A$2:$A$26,0)),"Not found")</f>
        <v>Cardiac</v>
      </c>
      <c r="I2493" s="39" t="n">
        <f aca="false">YEAR(B2493)</f>
        <v>2026</v>
      </c>
      <c r="J2493" s="39" t="n">
        <f aca="false">MONTH(B2493)</f>
        <v>6</v>
      </c>
      <c r="K2493" s="39" t="str">
        <f aca="false">TEXT(B2493,"mmm")</f>
        <v>Jun</v>
      </c>
      <c r="L2493" s="45" t="n">
        <f aca="false">IFERROR(INDEX(medicine_master!$I$2:$I$26,MATCH($C2493,medicine_master!$A$2:$A$26,0)),0)</f>
        <v>19</v>
      </c>
      <c r="M2493" s="45" t="n">
        <f aca="false">IFERROR(INDEX(medicine_master!$G$2:$G$26,MATCH($C2493,medicine_master!$A$2:$A$26,0)),0)</f>
        <v>13</v>
      </c>
      <c r="N2493" s="45" t="n">
        <f aca="false">IF(D2493="Sale",E2493*L2493,0)</f>
        <v>190</v>
      </c>
      <c r="O2493" s="45" t="n">
        <f aca="false">IF(D2493="Sale",E2493*M2493,0)</f>
        <v>130</v>
      </c>
      <c r="P2493" s="45" t="n">
        <f aca="false">N2493-O2493</f>
        <v>60</v>
      </c>
      <c r="Q2493" s="45" t="n">
        <f aca="false">IF(D2493="Purchase",E2493*M2493,0)</f>
        <v>0</v>
      </c>
    </row>
    <row r="2494" customFormat="false" ht="15" hidden="false" customHeight="false" outlineLevel="0" collapsed="false">
      <c r="A2494" s="39" t="s">
        <v>2818</v>
      </c>
      <c r="B2494" s="44" t="n">
        <v>46157</v>
      </c>
      <c r="C2494" s="39" t="s">
        <v>167</v>
      </c>
      <c r="D2494" s="39" t="s">
        <v>138</v>
      </c>
      <c r="E2494" s="39" t="n">
        <v>50</v>
      </c>
      <c r="F2494" s="39" t="str">
        <f aca="false">IF(COUNTIF(medicine_master!$A$2:$A$26,C2494)&gt;0,"Valid","Invalid")</f>
        <v>Valid</v>
      </c>
      <c r="G2494" s="39" t="str">
        <f aca="false">IFERROR(INDEX(medicine_master!$B$2:$B$26,MATCH($C2494,medicine_master!$A$2:$A$26,0)),"Not found")</f>
        <v>Amlodipine 5mg</v>
      </c>
      <c r="H2494" s="39" t="str">
        <f aca="false">IFERROR(INDEX(medicine_master!$C$2:$C$26,MATCH($C2494,medicine_master!$A$2:$A$26,0)),"Not found")</f>
        <v>Cardiac</v>
      </c>
      <c r="I2494" s="39" t="n">
        <f aca="false">YEAR(B2494)</f>
        <v>2026</v>
      </c>
      <c r="J2494" s="39" t="n">
        <f aca="false">MONTH(B2494)</f>
        <v>5</v>
      </c>
      <c r="K2494" s="39" t="str">
        <f aca="false">TEXT(B2494,"mmm")</f>
        <v>May</v>
      </c>
      <c r="L2494" s="45" t="n">
        <f aca="false">IFERROR(INDEX(medicine_master!$I$2:$I$26,MATCH($C2494,medicine_master!$A$2:$A$26,0)),0)</f>
        <v>19</v>
      </c>
      <c r="M2494" s="45" t="n">
        <f aca="false">IFERROR(INDEX(medicine_master!$G$2:$G$26,MATCH($C2494,medicine_master!$A$2:$A$26,0)),0)</f>
        <v>13</v>
      </c>
      <c r="N2494" s="45" t="n">
        <f aca="false">IF(D2494="Sale",E2494*L2494,0)</f>
        <v>0</v>
      </c>
      <c r="O2494" s="45" t="n">
        <f aca="false">IF(D2494="Sale",E2494*M2494,0)</f>
        <v>0</v>
      </c>
      <c r="P2494" s="45" t="n">
        <f aca="false">N2494-O2494</f>
        <v>0</v>
      </c>
      <c r="Q2494" s="45" t="n">
        <f aca="false">IF(D2494="Purchase",E2494*M2494,0)</f>
        <v>650</v>
      </c>
    </row>
    <row r="2495" customFormat="false" ht="15" hidden="false" customHeight="false" outlineLevel="0" collapsed="false">
      <c r="A2495" s="39" t="s">
        <v>2819</v>
      </c>
      <c r="B2495" s="44" t="n">
        <v>46250</v>
      </c>
      <c r="C2495" s="39" t="s">
        <v>404</v>
      </c>
      <c r="D2495" s="39" t="s">
        <v>137</v>
      </c>
      <c r="E2495" s="39" t="n">
        <v>30</v>
      </c>
      <c r="F2495" s="39" t="str">
        <f aca="false">IF(COUNTIF(medicine_master!$A$2:$A$26,C2495)&gt;0,"Valid","Invalid")</f>
        <v>Valid</v>
      </c>
      <c r="G2495" s="39" t="str">
        <f aca="false">IFERROR(INDEX(medicine_master!$B$2:$B$26,MATCH($C2495,medicine_master!$A$2:$A$26,0)),"Not found")</f>
        <v>ORS Sachet</v>
      </c>
      <c r="H2495" s="39" t="str">
        <f aca="false">IFERROR(INDEX(medicine_master!$C$2:$C$26,MATCH($C2495,medicine_master!$A$2:$A$26,0)),"Not found")</f>
        <v>First Aid</v>
      </c>
      <c r="I2495" s="39" t="n">
        <f aca="false">YEAR(B2495)</f>
        <v>2026</v>
      </c>
      <c r="J2495" s="39" t="n">
        <f aca="false">MONTH(B2495)</f>
        <v>8</v>
      </c>
      <c r="K2495" s="39" t="str">
        <f aca="false">TEXT(B2495,"mmm")</f>
        <v>Aug</v>
      </c>
      <c r="L2495" s="45" t="n">
        <f aca="false">IFERROR(INDEX(medicine_master!$I$2:$I$26,MATCH($C2495,medicine_master!$A$2:$A$26,0)),0)</f>
        <v>10</v>
      </c>
      <c r="M2495" s="45" t="n">
        <f aca="false">IFERROR(INDEX(medicine_master!$G$2:$G$26,MATCH($C2495,medicine_master!$A$2:$A$26,0)),0)</f>
        <v>6</v>
      </c>
      <c r="N2495" s="45" t="n">
        <f aca="false">IF(D2495="Sale",E2495*L2495,0)</f>
        <v>300</v>
      </c>
      <c r="O2495" s="45" t="n">
        <f aca="false">IF(D2495="Sale",E2495*M2495,0)</f>
        <v>180</v>
      </c>
      <c r="P2495" s="45" t="n">
        <f aca="false">N2495-O2495</f>
        <v>120</v>
      </c>
      <c r="Q2495" s="45" t="n">
        <f aca="false">IF(D2495="Purchase",E2495*M2495,0)</f>
        <v>0</v>
      </c>
    </row>
    <row r="2496" customFormat="false" ht="15" hidden="false" customHeight="false" outlineLevel="0" collapsed="false">
      <c r="A2496" s="39" t="s">
        <v>2820</v>
      </c>
      <c r="B2496" s="44" t="n">
        <v>46380</v>
      </c>
      <c r="C2496" s="39" t="s">
        <v>157</v>
      </c>
      <c r="D2496" s="39" t="s">
        <v>137</v>
      </c>
      <c r="E2496" s="39" t="n">
        <v>40</v>
      </c>
      <c r="F2496" s="39" t="str">
        <f aca="false">IF(COUNTIF(medicine_master!$A$2:$A$26,C2496)&gt;0,"Valid","Invalid")</f>
        <v>Valid</v>
      </c>
      <c r="G2496" s="39" t="str">
        <f aca="false">IFERROR(INDEX(medicine_master!$B$2:$B$26,MATCH($C2496,medicine_master!$A$2:$A$26,0)),"Not found")</f>
        <v>Multivitamin Tablets</v>
      </c>
      <c r="H2496" s="39" t="str">
        <f aca="false">IFERROR(INDEX(medicine_master!$C$2:$C$26,MATCH($C2496,medicine_master!$A$2:$A$26,0)),"Not found")</f>
        <v>Vitamin</v>
      </c>
      <c r="I2496" s="39" t="n">
        <f aca="false">YEAR(B2496)</f>
        <v>2026</v>
      </c>
      <c r="J2496" s="39" t="n">
        <f aca="false">MONTH(B2496)</f>
        <v>12</v>
      </c>
      <c r="K2496" s="39" t="str">
        <f aca="false">TEXT(B2496,"mmm")</f>
        <v>Dec</v>
      </c>
      <c r="L2496" s="45" t="n">
        <f aca="false">IFERROR(INDEX(medicine_master!$I$2:$I$26,MATCH($C2496,medicine_master!$A$2:$A$26,0)),0)</f>
        <v>105</v>
      </c>
      <c r="M2496" s="45" t="n">
        <f aca="false">IFERROR(INDEX(medicine_master!$G$2:$G$26,MATCH($C2496,medicine_master!$A$2:$A$26,0)),0)</f>
        <v>72</v>
      </c>
      <c r="N2496" s="45" t="n">
        <f aca="false">IF(D2496="Sale",E2496*L2496,0)</f>
        <v>4200</v>
      </c>
      <c r="O2496" s="45" t="n">
        <f aca="false">IF(D2496="Sale",E2496*M2496,0)</f>
        <v>2880</v>
      </c>
      <c r="P2496" s="45" t="n">
        <f aca="false">N2496-O2496</f>
        <v>1320</v>
      </c>
      <c r="Q2496" s="45" t="n">
        <f aca="false">IF(D2496="Purchase",E2496*M2496,0)</f>
        <v>0</v>
      </c>
    </row>
    <row r="2497" customFormat="false" ht="15" hidden="false" customHeight="false" outlineLevel="0" collapsed="false">
      <c r="A2497" s="39" t="s">
        <v>2821</v>
      </c>
      <c r="B2497" s="44" t="n">
        <v>46213</v>
      </c>
      <c r="C2497" s="39" t="s">
        <v>152</v>
      </c>
      <c r="D2497" s="39" t="s">
        <v>137</v>
      </c>
      <c r="E2497" s="39" t="n">
        <v>40</v>
      </c>
      <c r="F2497" s="39" t="str">
        <f aca="false">IF(COUNTIF(medicine_master!$A$2:$A$26,C2497)&gt;0,"Valid","Invalid")</f>
        <v>Valid</v>
      </c>
      <c r="G2497" s="39" t="str">
        <f aca="false">IFERROR(INDEX(medicine_master!$B$2:$B$26,MATCH($C2497,medicine_master!$A$2:$A$26,0)),"Not found")</f>
        <v>Amoxicillin 500mg</v>
      </c>
      <c r="H2497" s="39" t="str">
        <f aca="false">IFERROR(INDEX(medicine_master!$C$2:$C$26,MATCH($C2497,medicine_master!$A$2:$A$26,0)),"Not found")</f>
        <v>Antibiotic</v>
      </c>
      <c r="I2497" s="39" t="n">
        <f aca="false">YEAR(B2497)</f>
        <v>2026</v>
      </c>
      <c r="J2497" s="39" t="n">
        <f aca="false">MONTH(B2497)</f>
        <v>7</v>
      </c>
      <c r="K2497" s="39" t="str">
        <f aca="false">TEXT(B2497,"mmm")</f>
        <v>Jul</v>
      </c>
      <c r="L2497" s="45" t="n">
        <f aca="false">IFERROR(INDEX(medicine_master!$I$2:$I$26,MATCH($C2497,medicine_master!$A$2:$A$26,0)),0)</f>
        <v>40</v>
      </c>
      <c r="M2497" s="45" t="n">
        <f aca="false">IFERROR(INDEX(medicine_master!$G$2:$G$26,MATCH($C2497,medicine_master!$A$2:$A$26,0)),0)</f>
        <v>28</v>
      </c>
      <c r="N2497" s="45" t="n">
        <f aca="false">IF(D2497="Sale",E2497*L2497,0)</f>
        <v>1600</v>
      </c>
      <c r="O2497" s="45" t="n">
        <f aca="false">IF(D2497="Sale",E2497*M2497,0)</f>
        <v>1120</v>
      </c>
      <c r="P2497" s="45" t="n">
        <f aca="false">N2497-O2497</f>
        <v>480</v>
      </c>
      <c r="Q2497" s="45" t="n">
        <f aca="false">IF(D2497="Purchase",E2497*M2497,0)</f>
        <v>0</v>
      </c>
    </row>
    <row r="2498" customFormat="false" ht="15" hidden="false" customHeight="false" outlineLevel="0" collapsed="false">
      <c r="A2498" s="39" t="s">
        <v>2822</v>
      </c>
      <c r="B2498" s="44" t="n">
        <v>46067</v>
      </c>
      <c r="C2498" s="39" t="s">
        <v>153</v>
      </c>
      <c r="D2498" s="39" t="s">
        <v>137</v>
      </c>
      <c r="E2498" s="39" t="n">
        <v>15</v>
      </c>
      <c r="F2498" s="39" t="str">
        <f aca="false">IF(COUNTIF(medicine_master!$A$2:$A$26,C2498)&gt;0,"Valid","Invalid")</f>
        <v>Valid</v>
      </c>
      <c r="G2498" s="39" t="str">
        <f aca="false">IFERROR(INDEX(medicine_master!$B$2:$B$26,MATCH($C2498,medicine_master!$A$2:$A$26,0)),"Not found")</f>
        <v>Atorvastatin 10mg</v>
      </c>
      <c r="H2498" s="39" t="str">
        <f aca="false">IFERROR(INDEX(medicine_master!$C$2:$C$26,MATCH($C2498,medicine_master!$A$2:$A$26,0)),"Not found")</f>
        <v>Cardiac</v>
      </c>
      <c r="I2498" s="39" t="n">
        <f aca="false">YEAR(B2498)</f>
        <v>2026</v>
      </c>
      <c r="J2498" s="39" t="n">
        <f aca="false">MONTH(B2498)</f>
        <v>2</v>
      </c>
      <c r="K2498" s="39" t="str">
        <f aca="false">TEXT(B2498,"mmm")</f>
        <v>Feb</v>
      </c>
      <c r="L2498" s="45" t="n">
        <f aca="false">IFERROR(INDEX(medicine_master!$I$2:$I$26,MATCH($C2498,medicine_master!$A$2:$A$26,0)),0)</f>
        <v>28</v>
      </c>
      <c r="M2498" s="45" t="n">
        <f aca="false">IFERROR(INDEX(medicine_master!$G$2:$G$26,MATCH($C2498,medicine_master!$A$2:$A$26,0)),0)</f>
        <v>19</v>
      </c>
      <c r="N2498" s="45" t="n">
        <f aca="false">IF(D2498="Sale",E2498*L2498,0)</f>
        <v>420</v>
      </c>
      <c r="O2498" s="45" t="n">
        <f aca="false">IF(D2498="Sale",E2498*M2498,0)</f>
        <v>285</v>
      </c>
      <c r="P2498" s="45" t="n">
        <f aca="false">N2498-O2498</f>
        <v>135</v>
      </c>
      <c r="Q2498" s="45" t="n">
        <f aca="false">IF(D2498="Purchase",E2498*M2498,0)</f>
        <v>0</v>
      </c>
    </row>
    <row r="2499" customFormat="false" ht="15" hidden="false" customHeight="false" outlineLevel="0" collapsed="false">
      <c r="A2499" s="39" t="s">
        <v>2823</v>
      </c>
      <c r="B2499" s="44" t="n">
        <v>46059</v>
      </c>
      <c r="C2499" s="39" t="s">
        <v>390</v>
      </c>
      <c r="D2499" s="39" t="s">
        <v>138</v>
      </c>
      <c r="E2499" s="39" t="n">
        <v>5</v>
      </c>
      <c r="F2499" s="39" t="str">
        <f aca="false">IF(COUNTIF(medicine_master!$A$2:$A$26,C2499)&gt;0,"Valid","Invalid")</f>
        <v>Valid</v>
      </c>
      <c r="G2499" s="39" t="str">
        <f aca="false">IFERROR(INDEX(medicine_master!$B$2:$B$26,MATCH($C2499,medicine_master!$A$2:$A$26,0)),"Not found")</f>
        <v>Montelukast 10mg</v>
      </c>
      <c r="H2499" s="39" t="str">
        <f aca="false">IFERROR(INDEX(medicine_master!$C$2:$C$26,MATCH($C2499,medicine_master!$A$2:$A$26,0)),"Not found")</f>
        <v>Allergy</v>
      </c>
      <c r="I2499" s="39" t="n">
        <f aca="false">YEAR(B2499)</f>
        <v>2026</v>
      </c>
      <c r="J2499" s="39" t="n">
        <f aca="false">MONTH(B2499)</f>
        <v>2</v>
      </c>
      <c r="K2499" s="39" t="str">
        <f aca="false">TEXT(B2499,"mmm")</f>
        <v>Feb</v>
      </c>
      <c r="L2499" s="45" t="n">
        <f aca="false">IFERROR(INDEX(medicine_master!$I$2:$I$26,MATCH($C2499,medicine_master!$A$2:$A$26,0)),0)</f>
        <v>39</v>
      </c>
      <c r="M2499" s="45" t="n">
        <f aca="false">IFERROR(INDEX(medicine_master!$G$2:$G$26,MATCH($C2499,medicine_master!$A$2:$A$26,0)),0)</f>
        <v>27</v>
      </c>
      <c r="N2499" s="45" t="n">
        <f aca="false">IF(D2499="Sale",E2499*L2499,0)</f>
        <v>0</v>
      </c>
      <c r="O2499" s="45" t="n">
        <f aca="false">IF(D2499="Sale",E2499*M2499,0)</f>
        <v>0</v>
      </c>
      <c r="P2499" s="45" t="n">
        <f aca="false">N2499-O2499</f>
        <v>0</v>
      </c>
      <c r="Q2499" s="45" t="n">
        <f aca="false">IF(D2499="Purchase",E2499*M2499,0)</f>
        <v>135</v>
      </c>
    </row>
    <row r="2500" customFormat="false" ht="15" hidden="false" customHeight="false" outlineLevel="0" collapsed="false">
      <c r="A2500" s="39" t="s">
        <v>2824</v>
      </c>
      <c r="B2500" s="44" t="n">
        <v>46209</v>
      </c>
      <c r="C2500" s="39" t="s">
        <v>345</v>
      </c>
      <c r="D2500" s="39" t="s">
        <v>138</v>
      </c>
      <c r="E2500" s="39" t="n">
        <v>50</v>
      </c>
      <c r="F2500" s="39" t="str">
        <f aca="false">IF(COUNTIF(medicine_master!$A$2:$A$26,C2500)&gt;0,"Valid","Invalid")</f>
        <v>Valid</v>
      </c>
      <c r="G2500" s="39" t="str">
        <f aca="false">IFERROR(INDEX(medicine_master!$B$2:$B$26,MATCH($C2500,medicine_master!$A$2:$A$26,0)),"Not found")</f>
        <v>Paracetamol 500mg</v>
      </c>
      <c r="H2500" s="39" t="str">
        <f aca="false">IFERROR(INDEX(medicine_master!$C$2:$C$26,MATCH($C2500,medicine_master!$A$2:$A$26,0)),"Not found")</f>
        <v>Pain Relief</v>
      </c>
      <c r="I2500" s="39" t="n">
        <f aca="false">YEAR(B2500)</f>
        <v>2026</v>
      </c>
      <c r="J2500" s="39" t="n">
        <f aca="false">MONTH(B2500)</f>
        <v>7</v>
      </c>
      <c r="K2500" s="39" t="str">
        <f aca="false">TEXT(B2500,"mmm")</f>
        <v>Jul</v>
      </c>
      <c r="L2500" s="45" t="n">
        <f aca="false">IFERROR(INDEX(medicine_master!$I$2:$I$26,MATCH($C2500,medicine_master!$A$2:$A$26,0)),0)</f>
        <v>18</v>
      </c>
      <c r="M2500" s="45" t="n">
        <f aca="false">IFERROR(INDEX(medicine_master!$G$2:$G$26,MATCH($C2500,medicine_master!$A$2:$A$26,0)),0)</f>
        <v>12</v>
      </c>
      <c r="N2500" s="45" t="n">
        <f aca="false">IF(D2500="Sale",E2500*L2500,0)</f>
        <v>0</v>
      </c>
      <c r="O2500" s="45" t="n">
        <f aca="false">IF(D2500="Sale",E2500*M2500,0)</f>
        <v>0</v>
      </c>
      <c r="P2500" s="45" t="n">
        <f aca="false">N2500-O2500</f>
        <v>0</v>
      </c>
      <c r="Q2500" s="45" t="n">
        <f aca="false">IF(D2500="Purchase",E2500*M2500,0)</f>
        <v>600</v>
      </c>
    </row>
    <row r="2501" customFormat="false" ht="15" hidden="false" customHeight="false" outlineLevel="0" collapsed="false">
      <c r="A2501" s="39" t="s">
        <v>2825</v>
      </c>
      <c r="B2501" s="44" t="n">
        <v>46057</v>
      </c>
      <c r="C2501" s="39" t="s">
        <v>148</v>
      </c>
      <c r="D2501" s="39" t="s">
        <v>137</v>
      </c>
      <c r="E2501" s="39" t="n">
        <v>50</v>
      </c>
      <c r="F2501" s="39" t="str">
        <f aca="false">IF(COUNTIF(medicine_master!$A$2:$A$26,C2501)&gt;0,"Valid","Invalid")</f>
        <v>Valid</v>
      </c>
      <c r="G2501" s="39" t="str">
        <f aca="false">IFERROR(INDEX(medicine_master!$B$2:$B$26,MATCH($C2501,medicine_master!$A$2:$A$26,0)),"Not found")</f>
        <v>Dextromethorphan Syrup</v>
      </c>
      <c r="H2501" s="39" t="str">
        <f aca="false">IFERROR(INDEX(medicine_master!$C$2:$C$26,MATCH($C2501,medicine_master!$A$2:$A$26,0)),"Not found")</f>
        <v>Cold &amp; Cough</v>
      </c>
      <c r="I2501" s="39" t="n">
        <f aca="false">YEAR(B2501)</f>
        <v>2026</v>
      </c>
      <c r="J2501" s="39" t="n">
        <f aca="false">MONTH(B2501)</f>
        <v>2</v>
      </c>
      <c r="K2501" s="39" t="str">
        <f aca="false">TEXT(B2501,"mmm")</f>
        <v>Feb</v>
      </c>
      <c r="L2501" s="45" t="n">
        <f aca="false">IFERROR(INDEX(medicine_master!$I$2:$I$26,MATCH($C2501,medicine_master!$A$2:$A$26,0)),0)</f>
        <v>80</v>
      </c>
      <c r="M2501" s="45" t="n">
        <f aca="false">IFERROR(INDEX(medicine_master!$G$2:$G$26,MATCH($C2501,medicine_master!$A$2:$A$26,0)),0)</f>
        <v>58</v>
      </c>
      <c r="N2501" s="45" t="n">
        <f aca="false">IF(D2501="Sale",E2501*L2501,0)</f>
        <v>4000</v>
      </c>
      <c r="O2501" s="45" t="n">
        <f aca="false">IF(D2501="Sale",E2501*M2501,0)</f>
        <v>2900</v>
      </c>
      <c r="P2501" s="45" t="n">
        <f aca="false">N2501-O2501</f>
        <v>1100</v>
      </c>
      <c r="Q2501" s="45" t="n">
        <f aca="false">IF(D2501="Purchase",E2501*M2501,0)</f>
        <v>0</v>
      </c>
    </row>
    <row r="2502" customFormat="false" ht="15" hidden="false" customHeight="false" outlineLevel="0" collapsed="false">
      <c r="A2502" s="39" t="s">
        <v>2826</v>
      </c>
      <c r="B2502" s="44" t="n">
        <v>46274</v>
      </c>
      <c r="C2502" s="39" t="s">
        <v>345</v>
      </c>
      <c r="D2502" s="39" t="s">
        <v>138</v>
      </c>
      <c r="E2502" s="39" t="n">
        <v>30</v>
      </c>
      <c r="F2502" s="39" t="str">
        <f aca="false">IF(COUNTIF(medicine_master!$A$2:$A$26,C2502)&gt;0,"Valid","Invalid")</f>
        <v>Valid</v>
      </c>
      <c r="G2502" s="39" t="str">
        <f aca="false">IFERROR(INDEX(medicine_master!$B$2:$B$26,MATCH($C2502,medicine_master!$A$2:$A$26,0)),"Not found")</f>
        <v>Paracetamol 500mg</v>
      </c>
      <c r="H2502" s="39" t="str">
        <f aca="false">IFERROR(INDEX(medicine_master!$C$2:$C$26,MATCH($C2502,medicine_master!$A$2:$A$26,0)),"Not found")</f>
        <v>Pain Relief</v>
      </c>
      <c r="I2502" s="39" t="n">
        <f aca="false">YEAR(B2502)</f>
        <v>2026</v>
      </c>
      <c r="J2502" s="39" t="n">
        <f aca="false">MONTH(B2502)</f>
        <v>9</v>
      </c>
      <c r="K2502" s="39" t="str">
        <f aca="false">TEXT(B2502,"mmm")</f>
        <v>Sep</v>
      </c>
      <c r="L2502" s="45" t="n">
        <f aca="false">IFERROR(INDEX(medicine_master!$I$2:$I$26,MATCH($C2502,medicine_master!$A$2:$A$26,0)),0)</f>
        <v>18</v>
      </c>
      <c r="M2502" s="45" t="n">
        <f aca="false">IFERROR(INDEX(medicine_master!$G$2:$G$26,MATCH($C2502,medicine_master!$A$2:$A$26,0)),0)</f>
        <v>12</v>
      </c>
      <c r="N2502" s="45" t="n">
        <f aca="false">IF(D2502="Sale",E2502*L2502,0)</f>
        <v>0</v>
      </c>
      <c r="O2502" s="45" t="n">
        <f aca="false">IF(D2502="Sale",E2502*M2502,0)</f>
        <v>0</v>
      </c>
      <c r="P2502" s="45" t="n">
        <f aca="false">N2502-O2502</f>
        <v>0</v>
      </c>
      <c r="Q2502" s="45" t="n">
        <f aca="false">IF(D2502="Purchase",E2502*M2502,0)</f>
        <v>360</v>
      </c>
    </row>
    <row r="2503" customFormat="false" ht="15" hidden="false" customHeight="false" outlineLevel="0" collapsed="false">
      <c r="A2503" s="39" t="s">
        <v>2827</v>
      </c>
      <c r="B2503" s="44" t="n">
        <v>46230</v>
      </c>
      <c r="C2503" s="39" t="s">
        <v>345</v>
      </c>
      <c r="D2503" s="39" t="s">
        <v>138</v>
      </c>
      <c r="E2503" s="39" t="n">
        <v>10</v>
      </c>
      <c r="F2503" s="39" t="str">
        <f aca="false">IF(COUNTIF(medicine_master!$A$2:$A$26,C2503)&gt;0,"Valid","Invalid")</f>
        <v>Valid</v>
      </c>
      <c r="G2503" s="39" t="str">
        <f aca="false">IFERROR(INDEX(medicine_master!$B$2:$B$26,MATCH($C2503,medicine_master!$A$2:$A$26,0)),"Not found")</f>
        <v>Paracetamol 500mg</v>
      </c>
      <c r="H2503" s="39" t="str">
        <f aca="false">IFERROR(INDEX(medicine_master!$C$2:$C$26,MATCH($C2503,medicine_master!$A$2:$A$26,0)),"Not found")</f>
        <v>Pain Relief</v>
      </c>
      <c r="I2503" s="39" t="n">
        <f aca="false">YEAR(B2503)</f>
        <v>2026</v>
      </c>
      <c r="J2503" s="39" t="n">
        <f aca="false">MONTH(B2503)</f>
        <v>7</v>
      </c>
      <c r="K2503" s="39" t="str">
        <f aca="false">TEXT(B2503,"mmm")</f>
        <v>Jul</v>
      </c>
      <c r="L2503" s="45" t="n">
        <f aca="false">IFERROR(INDEX(medicine_master!$I$2:$I$26,MATCH($C2503,medicine_master!$A$2:$A$26,0)),0)</f>
        <v>18</v>
      </c>
      <c r="M2503" s="45" t="n">
        <f aca="false">IFERROR(INDEX(medicine_master!$G$2:$G$26,MATCH($C2503,medicine_master!$A$2:$A$26,0)),0)</f>
        <v>12</v>
      </c>
      <c r="N2503" s="45" t="n">
        <f aca="false">IF(D2503="Sale",E2503*L2503,0)</f>
        <v>0</v>
      </c>
      <c r="O2503" s="45" t="n">
        <f aca="false">IF(D2503="Sale",E2503*M2503,0)</f>
        <v>0</v>
      </c>
      <c r="P2503" s="45" t="n">
        <f aca="false">N2503-O2503</f>
        <v>0</v>
      </c>
      <c r="Q2503" s="45" t="n">
        <f aca="false">IF(D2503="Purchase",E2503*M2503,0)</f>
        <v>120</v>
      </c>
    </row>
    <row r="2504" customFormat="false" ht="15" hidden="false" customHeight="false" outlineLevel="0" collapsed="false">
      <c r="A2504" s="39" t="s">
        <v>2828</v>
      </c>
      <c r="B2504" s="44" t="n">
        <v>46153</v>
      </c>
      <c r="C2504" s="39" t="s">
        <v>345</v>
      </c>
      <c r="D2504" s="39" t="s">
        <v>137</v>
      </c>
      <c r="E2504" s="39" t="n">
        <v>50</v>
      </c>
      <c r="F2504" s="39" t="str">
        <f aca="false">IF(COUNTIF(medicine_master!$A$2:$A$26,C2504)&gt;0,"Valid","Invalid")</f>
        <v>Valid</v>
      </c>
      <c r="G2504" s="39" t="str">
        <f aca="false">IFERROR(INDEX(medicine_master!$B$2:$B$26,MATCH($C2504,medicine_master!$A$2:$A$26,0)),"Not found")</f>
        <v>Paracetamol 500mg</v>
      </c>
      <c r="H2504" s="39" t="str">
        <f aca="false">IFERROR(INDEX(medicine_master!$C$2:$C$26,MATCH($C2504,medicine_master!$A$2:$A$26,0)),"Not found")</f>
        <v>Pain Relief</v>
      </c>
      <c r="I2504" s="39" t="n">
        <f aca="false">YEAR(B2504)</f>
        <v>2026</v>
      </c>
      <c r="J2504" s="39" t="n">
        <f aca="false">MONTH(B2504)</f>
        <v>5</v>
      </c>
      <c r="K2504" s="39" t="str">
        <f aca="false">TEXT(B2504,"mmm")</f>
        <v>May</v>
      </c>
      <c r="L2504" s="45" t="n">
        <f aca="false">IFERROR(INDEX(medicine_master!$I$2:$I$26,MATCH($C2504,medicine_master!$A$2:$A$26,0)),0)</f>
        <v>18</v>
      </c>
      <c r="M2504" s="45" t="n">
        <f aca="false">IFERROR(INDEX(medicine_master!$G$2:$G$26,MATCH($C2504,medicine_master!$A$2:$A$26,0)),0)</f>
        <v>12</v>
      </c>
      <c r="N2504" s="45" t="n">
        <f aca="false">IF(D2504="Sale",E2504*L2504,0)</f>
        <v>900</v>
      </c>
      <c r="O2504" s="45" t="n">
        <f aca="false">IF(D2504="Sale",E2504*M2504,0)</f>
        <v>600</v>
      </c>
      <c r="P2504" s="45" t="n">
        <f aca="false">N2504-O2504</f>
        <v>300</v>
      </c>
      <c r="Q2504" s="45" t="n">
        <f aca="false">IF(D2504="Purchase",E2504*M2504,0)</f>
        <v>0</v>
      </c>
    </row>
    <row r="2505" customFormat="false" ht="15" hidden="false" customHeight="false" outlineLevel="0" collapsed="false">
      <c r="A2505" s="39" t="s">
        <v>2829</v>
      </c>
      <c r="B2505" s="44" t="n">
        <v>46164</v>
      </c>
      <c r="C2505" s="39" t="s">
        <v>345</v>
      </c>
      <c r="D2505" s="39" t="s">
        <v>137</v>
      </c>
      <c r="E2505" s="39" t="n">
        <v>40</v>
      </c>
      <c r="F2505" s="39" t="str">
        <f aca="false">IF(COUNTIF(medicine_master!$A$2:$A$26,C2505)&gt;0,"Valid","Invalid")</f>
        <v>Valid</v>
      </c>
      <c r="G2505" s="39" t="str">
        <f aca="false">IFERROR(INDEX(medicine_master!$B$2:$B$26,MATCH($C2505,medicine_master!$A$2:$A$26,0)),"Not found")</f>
        <v>Paracetamol 500mg</v>
      </c>
      <c r="H2505" s="39" t="str">
        <f aca="false">IFERROR(INDEX(medicine_master!$C$2:$C$26,MATCH($C2505,medicine_master!$A$2:$A$26,0)),"Not found")</f>
        <v>Pain Relief</v>
      </c>
      <c r="I2505" s="39" t="n">
        <f aca="false">YEAR(B2505)</f>
        <v>2026</v>
      </c>
      <c r="J2505" s="39" t="n">
        <f aca="false">MONTH(B2505)</f>
        <v>5</v>
      </c>
      <c r="K2505" s="39" t="str">
        <f aca="false">TEXT(B2505,"mmm")</f>
        <v>May</v>
      </c>
      <c r="L2505" s="45" t="n">
        <f aca="false">IFERROR(INDEX(medicine_master!$I$2:$I$26,MATCH($C2505,medicine_master!$A$2:$A$26,0)),0)</f>
        <v>18</v>
      </c>
      <c r="M2505" s="45" t="n">
        <f aca="false">IFERROR(INDEX(medicine_master!$G$2:$G$26,MATCH($C2505,medicine_master!$A$2:$A$26,0)),0)</f>
        <v>12</v>
      </c>
      <c r="N2505" s="45" t="n">
        <f aca="false">IF(D2505="Sale",E2505*L2505,0)</f>
        <v>720</v>
      </c>
      <c r="O2505" s="45" t="n">
        <f aca="false">IF(D2505="Sale",E2505*M2505,0)</f>
        <v>480</v>
      </c>
      <c r="P2505" s="45" t="n">
        <f aca="false">N2505-O2505</f>
        <v>240</v>
      </c>
      <c r="Q2505" s="45" t="n">
        <f aca="false">IF(D2505="Purchase",E2505*M2505,0)</f>
        <v>0</v>
      </c>
    </row>
    <row r="2506" customFormat="false" ht="15" hidden="false" customHeight="false" outlineLevel="0" collapsed="false">
      <c r="A2506" s="39" t="s">
        <v>2830</v>
      </c>
      <c r="B2506" s="44" t="n">
        <v>46118</v>
      </c>
      <c r="C2506" s="39" t="s">
        <v>179</v>
      </c>
      <c r="D2506" s="39" t="s">
        <v>138</v>
      </c>
      <c r="E2506" s="39" t="n">
        <v>20</v>
      </c>
      <c r="F2506" s="39" t="str">
        <f aca="false">IF(COUNTIF(medicine_master!$A$2:$A$26,C2506)&gt;0,"Valid","Invalid")</f>
        <v>Valid</v>
      </c>
      <c r="G2506" s="39" t="str">
        <f aca="false">IFERROR(INDEX(medicine_master!$B$2:$B$26,MATCH($C2506,medicine_master!$A$2:$A$26,0)),"Not found")</f>
        <v>Ibuprofen 400mg</v>
      </c>
      <c r="H2506" s="39" t="str">
        <f aca="false">IFERROR(INDEX(medicine_master!$C$2:$C$26,MATCH($C2506,medicine_master!$A$2:$A$26,0)),"Not found")</f>
        <v>Pain Relief</v>
      </c>
      <c r="I2506" s="39" t="n">
        <f aca="false">YEAR(B2506)</f>
        <v>2026</v>
      </c>
      <c r="J2506" s="39" t="n">
        <f aca="false">MONTH(B2506)</f>
        <v>4</v>
      </c>
      <c r="K2506" s="39" t="str">
        <f aca="false">TEXT(B2506,"mmm")</f>
        <v>Apr</v>
      </c>
      <c r="L2506" s="45" t="n">
        <f aca="false">IFERROR(INDEX(medicine_master!$I$2:$I$26,MATCH($C2506,medicine_master!$A$2:$A$26,0)),0)</f>
        <v>30</v>
      </c>
      <c r="M2506" s="45" t="n">
        <f aca="false">IFERROR(INDEX(medicine_master!$G$2:$G$26,MATCH($C2506,medicine_master!$A$2:$A$26,0)),0)</f>
        <v>22</v>
      </c>
      <c r="N2506" s="45" t="n">
        <f aca="false">IF(D2506="Sale",E2506*L2506,0)</f>
        <v>0</v>
      </c>
      <c r="O2506" s="45" t="n">
        <f aca="false">IF(D2506="Sale",E2506*M2506,0)</f>
        <v>0</v>
      </c>
      <c r="P2506" s="45" t="n">
        <f aca="false">N2506-O2506</f>
        <v>0</v>
      </c>
      <c r="Q2506" s="45" t="n">
        <f aca="false">IF(D2506="Purchase",E2506*M2506,0)</f>
        <v>440</v>
      </c>
    </row>
    <row r="2507" customFormat="false" ht="15" hidden="false" customHeight="false" outlineLevel="0" collapsed="false">
      <c r="A2507" s="39" t="s">
        <v>2831</v>
      </c>
      <c r="B2507" s="44" t="n">
        <v>46133</v>
      </c>
      <c r="C2507" s="39" t="s">
        <v>179</v>
      </c>
      <c r="D2507" s="39" t="s">
        <v>138</v>
      </c>
      <c r="E2507" s="39" t="n">
        <v>30</v>
      </c>
      <c r="F2507" s="39" t="str">
        <f aca="false">IF(COUNTIF(medicine_master!$A$2:$A$26,C2507)&gt;0,"Valid","Invalid")</f>
        <v>Valid</v>
      </c>
      <c r="G2507" s="39" t="str">
        <f aca="false">IFERROR(INDEX(medicine_master!$B$2:$B$26,MATCH($C2507,medicine_master!$A$2:$A$26,0)),"Not found")</f>
        <v>Ibuprofen 400mg</v>
      </c>
      <c r="H2507" s="39" t="str">
        <f aca="false">IFERROR(INDEX(medicine_master!$C$2:$C$26,MATCH($C2507,medicine_master!$A$2:$A$26,0)),"Not found")</f>
        <v>Pain Relief</v>
      </c>
      <c r="I2507" s="39" t="n">
        <f aca="false">YEAR(B2507)</f>
        <v>2026</v>
      </c>
      <c r="J2507" s="39" t="n">
        <f aca="false">MONTH(B2507)</f>
        <v>4</v>
      </c>
      <c r="K2507" s="39" t="str">
        <f aca="false">TEXT(B2507,"mmm")</f>
        <v>Apr</v>
      </c>
      <c r="L2507" s="45" t="n">
        <f aca="false">IFERROR(INDEX(medicine_master!$I$2:$I$26,MATCH($C2507,medicine_master!$A$2:$A$26,0)),0)</f>
        <v>30</v>
      </c>
      <c r="M2507" s="45" t="n">
        <f aca="false">IFERROR(INDEX(medicine_master!$G$2:$G$26,MATCH($C2507,medicine_master!$A$2:$A$26,0)),0)</f>
        <v>22</v>
      </c>
      <c r="N2507" s="45" t="n">
        <f aca="false">IF(D2507="Sale",E2507*L2507,0)</f>
        <v>0</v>
      </c>
      <c r="O2507" s="45" t="n">
        <f aca="false">IF(D2507="Sale",E2507*M2507,0)</f>
        <v>0</v>
      </c>
      <c r="P2507" s="45" t="n">
        <f aca="false">N2507-O2507</f>
        <v>0</v>
      </c>
      <c r="Q2507" s="45" t="n">
        <f aca="false">IF(D2507="Purchase",E2507*M2507,0)</f>
        <v>660</v>
      </c>
    </row>
    <row r="2508" customFormat="false" ht="15" hidden="false" customHeight="false" outlineLevel="0" collapsed="false">
      <c r="A2508" s="39" t="s">
        <v>2832</v>
      </c>
      <c r="B2508" s="44" t="n">
        <v>46208</v>
      </c>
      <c r="C2508" s="39" t="s">
        <v>179</v>
      </c>
      <c r="D2508" s="39" t="s">
        <v>137</v>
      </c>
      <c r="E2508" s="39" t="n">
        <v>40</v>
      </c>
      <c r="F2508" s="39" t="str">
        <f aca="false">IF(COUNTIF(medicine_master!$A$2:$A$26,C2508)&gt;0,"Valid","Invalid")</f>
        <v>Valid</v>
      </c>
      <c r="G2508" s="39" t="str">
        <f aca="false">IFERROR(INDEX(medicine_master!$B$2:$B$26,MATCH($C2508,medicine_master!$A$2:$A$26,0)),"Not found")</f>
        <v>Ibuprofen 400mg</v>
      </c>
      <c r="H2508" s="39" t="str">
        <f aca="false">IFERROR(INDEX(medicine_master!$C$2:$C$26,MATCH($C2508,medicine_master!$A$2:$A$26,0)),"Not found")</f>
        <v>Pain Relief</v>
      </c>
      <c r="I2508" s="39" t="n">
        <f aca="false">YEAR(B2508)</f>
        <v>2026</v>
      </c>
      <c r="J2508" s="39" t="n">
        <f aca="false">MONTH(B2508)</f>
        <v>7</v>
      </c>
      <c r="K2508" s="39" t="str">
        <f aca="false">TEXT(B2508,"mmm")</f>
        <v>Jul</v>
      </c>
      <c r="L2508" s="45" t="n">
        <f aca="false">IFERROR(INDEX(medicine_master!$I$2:$I$26,MATCH($C2508,medicine_master!$A$2:$A$26,0)),0)</f>
        <v>30</v>
      </c>
      <c r="M2508" s="45" t="n">
        <f aca="false">IFERROR(INDEX(medicine_master!$G$2:$G$26,MATCH($C2508,medicine_master!$A$2:$A$26,0)),0)</f>
        <v>22</v>
      </c>
      <c r="N2508" s="45" t="n">
        <f aca="false">IF(D2508="Sale",E2508*L2508,0)</f>
        <v>1200</v>
      </c>
      <c r="O2508" s="45" t="n">
        <f aca="false">IF(D2508="Sale",E2508*M2508,0)</f>
        <v>880</v>
      </c>
      <c r="P2508" s="45" t="n">
        <f aca="false">N2508-O2508</f>
        <v>320</v>
      </c>
      <c r="Q2508" s="45" t="n">
        <f aca="false">IF(D2508="Purchase",E2508*M2508,0)</f>
        <v>0</v>
      </c>
    </row>
    <row r="2509" customFormat="false" ht="15" hidden="false" customHeight="false" outlineLevel="0" collapsed="false">
      <c r="A2509" s="39" t="s">
        <v>2833</v>
      </c>
      <c r="B2509" s="44" t="n">
        <v>46190</v>
      </c>
      <c r="C2509" s="39" t="s">
        <v>179</v>
      </c>
      <c r="D2509" s="39" t="s">
        <v>137</v>
      </c>
      <c r="E2509" s="39" t="n">
        <v>30</v>
      </c>
      <c r="F2509" s="39" t="str">
        <f aca="false">IF(COUNTIF(medicine_master!$A$2:$A$26,C2509)&gt;0,"Valid","Invalid")</f>
        <v>Valid</v>
      </c>
      <c r="G2509" s="39" t="str">
        <f aca="false">IFERROR(INDEX(medicine_master!$B$2:$B$26,MATCH($C2509,medicine_master!$A$2:$A$26,0)),"Not found")</f>
        <v>Ibuprofen 400mg</v>
      </c>
      <c r="H2509" s="39" t="str">
        <f aca="false">IFERROR(INDEX(medicine_master!$C$2:$C$26,MATCH($C2509,medicine_master!$A$2:$A$26,0)),"Not found")</f>
        <v>Pain Relief</v>
      </c>
      <c r="I2509" s="39" t="n">
        <f aca="false">YEAR(B2509)</f>
        <v>2026</v>
      </c>
      <c r="J2509" s="39" t="n">
        <f aca="false">MONTH(B2509)</f>
        <v>6</v>
      </c>
      <c r="K2509" s="39" t="str">
        <f aca="false">TEXT(B2509,"mmm")</f>
        <v>Jun</v>
      </c>
      <c r="L2509" s="45" t="n">
        <f aca="false">IFERROR(INDEX(medicine_master!$I$2:$I$26,MATCH($C2509,medicine_master!$A$2:$A$26,0)),0)</f>
        <v>30</v>
      </c>
      <c r="M2509" s="45" t="n">
        <f aca="false">IFERROR(INDEX(medicine_master!$G$2:$G$26,MATCH($C2509,medicine_master!$A$2:$A$26,0)),0)</f>
        <v>22</v>
      </c>
      <c r="N2509" s="45" t="n">
        <f aca="false">IF(D2509="Sale",E2509*L2509,0)</f>
        <v>900</v>
      </c>
      <c r="O2509" s="45" t="n">
        <f aca="false">IF(D2509="Sale",E2509*M2509,0)</f>
        <v>660</v>
      </c>
      <c r="P2509" s="45" t="n">
        <f aca="false">N2509-O2509</f>
        <v>240</v>
      </c>
      <c r="Q2509" s="45" t="n">
        <f aca="false">IF(D2509="Purchase",E2509*M2509,0)</f>
        <v>0</v>
      </c>
    </row>
    <row r="2510" customFormat="false" ht="15" hidden="false" customHeight="false" outlineLevel="0" collapsed="false">
      <c r="A2510" s="39" t="s">
        <v>2834</v>
      </c>
      <c r="B2510" s="44" t="n">
        <v>46027</v>
      </c>
      <c r="C2510" s="39" t="s">
        <v>151</v>
      </c>
      <c r="D2510" s="39" t="s">
        <v>138</v>
      </c>
      <c r="E2510" s="39" t="n">
        <v>50</v>
      </c>
      <c r="F2510" s="39" t="str">
        <f aca="false">IF(COUNTIF(medicine_master!$A$2:$A$26,C2510)&gt;0,"Valid","Invalid")</f>
        <v>Valid</v>
      </c>
      <c r="G2510" s="39" t="str">
        <f aca="false">IFERROR(INDEX(medicine_master!$B$2:$B$26,MATCH($C2510,medicine_master!$A$2:$A$26,0)),"Not found")</f>
        <v>Cetirizine 10mg</v>
      </c>
      <c r="H2510" s="39" t="str">
        <f aca="false">IFERROR(INDEX(medicine_master!$C$2:$C$26,MATCH($C2510,medicine_master!$A$2:$A$26,0)),"Not found")</f>
        <v>Allergy</v>
      </c>
      <c r="I2510" s="39" t="n">
        <f aca="false">YEAR(B2510)</f>
        <v>2026</v>
      </c>
      <c r="J2510" s="39" t="n">
        <f aca="false">MONTH(B2510)</f>
        <v>1</v>
      </c>
      <c r="K2510" s="39" t="str">
        <f aca="false">TEXT(B2510,"mmm")</f>
        <v>Jan</v>
      </c>
      <c r="L2510" s="45" t="n">
        <f aca="false">IFERROR(INDEX(medicine_master!$I$2:$I$26,MATCH($C2510,medicine_master!$A$2:$A$26,0)),0)</f>
        <v>13</v>
      </c>
      <c r="M2510" s="45" t="n">
        <f aca="false">IFERROR(INDEX(medicine_master!$G$2:$G$26,MATCH($C2510,medicine_master!$A$2:$A$26,0)),0)</f>
        <v>8</v>
      </c>
      <c r="N2510" s="45" t="n">
        <f aca="false">IF(D2510="Sale",E2510*L2510,0)</f>
        <v>0</v>
      </c>
      <c r="O2510" s="45" t="n">
        <f aca="false">IF(D2510="Sale",E2510*M2510,0)</f>
        <v>0</v>
      </c>
      <c r="P2510" s="45" t="n">
        <f aca="false">N2510-O2510</f>
        <v>0</v>
      </c>
      <c r="Q2510" s="45" t="n">
        <f aca="false">IF(D2510="Purchase",E2510*M2510,0)</f>
        <v>400</v>
      </c>
    </row>
    <row r="2511" customFormat="false" ht="15" hidden="false" customHeight="false" outlineLevel="0" collapsed="false">
      <c r="A2511" s="39" t="s">
        <v>2835</v>
      </c>
      <c r="B2511" s="44" t="n">
        <v>46182</v>
      </c>
      <c r="C2511" s="39" t="s">
        <v>151</v>
      </c>
      <c r="D2511" s="39" t="s">
        <v>138</v>
      </c>
      <c r="E2511" s="39" t="n">
        <v>10</v>
      </c>
      <c r="F2511" s="39" t="str">
        <f aca="false">IF(COUNTIF(medicine_master!$A$2:$A$26,C2511)&gt;0,"Valid","Invalid")</f>
        <v>Valid</v>
      </c>
      <c r="G2511" s="39" t="str">
        <f aca="false">IFERROR(INDEX(medicine_master!$B$2:$B$26,MATCH($C2511,medicine_master!$A$2:$A$26,0)),"Not found")</f>
        <v>Cetirizine 10mg</v>
      </c>
      <c r="H2511" s="39" t="str">
        <f aca="false">IFERROR(INDEX(medicine_master!$C$2:$C$26,MATCH($C2511,medicine_master!$A$2:$A$26,0)),"Not found")</f>
        <v>Allergy</v>
      </c>
      <c r="I2511" s="39" t="n">
        <f aca="false">YEAR(B2511)</f>
        <v>2026</v>
      </c>
      <c r="J2511" s="39" t="n">
        <f aca="false">MONTH(B2511)</f>
        <v>6</v>
      </c>
      <c r="K2511" s="39" t="str">
        <f aca="false">TEXT(B2511,"mmm")</f>
        <v>Jun</v>
      </c>
      <c r="L2511" s="45" t="n">
        <f aca="false">IFERROR(INDEX(medicine_master!$I$2:$I$26,MATCH($C2511,medicine_master!$A$2:$A$26,0)),0)</f>
        <v>13</v>
      </c>
      <c r="M2511" s="45" t="n">
        <f aca="false">IFERROR(INDEX(medicine_master!$G$2:$G$26,MATCH($C2511,medicine_master!$A$2:$A$26,0)),0)</f>
        <v>8</v>
      </c>
      <c r="N2511" s="45" t="n">
        <f aca="false">IF(D2511="Sale",E2511*L2511,0)</f>
        <v>0</v>
      </c>
      <c r="O2511" s="45" t="n">
        <f aca="false">IF(D2511="Sale",E2511*M2511,0)</f>
        <v>0</v>
      </c>
      <c r="P2511" s="45" t="n">
        <f aca="false">N2511-O2511</f>
        <v>0</v>
      </c>
      <c r="Q2511" s="45" t="n">
        <f aca="false">IF(D2511="Purchase",E2511*M2511,0)</f>
        <v>80</v>
      </c>
    </row>
    <row r="2512" customFormat="false" ht="15" hidden="false" customHeight="false" outlineLevel="0" collapsed="false">
      <c r="A2512" s="39" t="s">
        <v>2836</v>
      </c>
      <c r="B2512" s="44" t="n">
        <v>46227</v>
      </c>
      <c r="C2512" s="39" t="s">
        <v>151</v>
      </c>
      <c r="D2512" s="39" t="s">
        <v>137</v>
      </c>
      <c r="E2512" s="39" t="n">
        <v>30</v>
      </c>
      <c r="F2512" s="39" t="str">
        <f aca="false">IF(COUNTIF(medicine_master!$A$2:$A$26,C2512)&gt;0,"Valid","Invalid")</f>
        <v>Valid</v>
      </c>
      <c r="G2512" s="39" t="str">
        <f aca="false">IFERROR(INDEX(medicine_master!$B$2:$B$26,MATCH($C2512,medicine_master!$A$2:$A$26,0)),"Not found")</f>
        <v>Cetirizine 10mg</v>
      </c>
      <c r="H2512" s="39" t="str">
        <f aca="false">IFERROR(INDEX(medicine_master!$C$2:$C$26,MATCH($C2512,medicine_master!$A$2:$A$26,0)),"Not found")</f>
        <v>Allergy</v>
      </c>
      <c r="I2512" s="39" t="n">
        <f aca="false">YEAR(B2512)</f>
        <v>2026</v>
      </c>
      <c r="J2512" s="39" t="n">
        <f aca="false">MONTH(B2512)</f>
        <v>7</v>
      </c>
      <c r="K2512" s="39" t="str">
        <f aca="false">TEXT(B2512,"mmm")</f>
        <v>Jul</v>
      </c>
      <c r="L2512" s="45" t="n">
        <f aca="false">IFERROR(INDEX(medicine_master!$I$2:$I$26,MATCH($C2512,medicine_master!$A$2:$A$26,0)),0)</f>
        <v>13</v>
      </c>
      <c r="M2512" s="45" t="n">
        <f aca="false">IFERROR(INDEX(medicine_master!$G$2:$G$26,MATCH($C2512,medicine_master!$A$2:$A$26,0)),0)</f>
        <v>8</v>
      </c>
      <c r="N2512" s="45" t="n">
        <f aca="false">IF(D2512="Sale",E2512*L2512,0)</f>
        <v>390</v>
      </c>
      <c r="O2512" s="45" t="n">
        <f aca="false">IF(D2512="Sale",E2512*M2512,0)</f>
        <v>240</v>
      </c>
      <c r="P2512" s="45" t="n">
        <f aca="false">N2512-O2512</f>
        <v>150</v>
      </c>
      <c r="Q2512" s="45" t="n">
        <f aca="false">IF(D2512="Purchase",E2512*M2512,0)</f>
        <v>0</v>
      </c>
    </row>
    <row r="2513" customFormat="false" ht="15" hidden="false" customHeight="false" outlineLevel="0" collapsed="false">
      <c r="A2513" s="39" t="s">
        <v>2837</v>
      </c>
      <c r="B2513" s="44" t="n">
        <v>46030</v>
      </c>
      <c r="C2513" s="39" t="s">
        <v>151</v>
      </c>
      <c r="D2513" s="39" t="s">
        <v>137</v>
      </c>
      <c r="E2513" s="39" t="n">
        <v>10</v>
      </c>
      <c r="F2513" s="39" t="str">
        <f aca="false">IF(COUNTIF(medicine_master!$A$2:$A$26,C2513)&gt;0,"Valid","Invalid")</f>
        <v>Valid</v>
      </c>
      <c r="G2513" s="39" t="str">
        <f aca="false">IFERROR(INDEX(medicine_master!$B$2:$B$26,MATCH($C2513,medicine_master!$A$2:$A$26,0)),"Not found")</f>
        <v>Cetirizine 10mg</v>
      </c>
      <c r="H2513" s="39" t="str">
        <f aca="false">IFERROR(INDEX(medicine_master!$C$2:$C$26,MATCH($C2513,medicine_master!$A$2:$A$26,0)),"Not found")</f>
        <v>Allergy</v>
      </c>
      <c r="I2513" s="39" t="n">
        <f aca="false">YEAR(B2513)</f>
        <v>2026</v>
      </c>
      <c r="J2513" s="39" t="n">
        <f aca="false">MONTH(B2513)</f>
        <v>1</v>
      </c>
      <c r="K2513" s="39" t="str">
        <f aca="false">TEXT(B2513,"mmm")</f>
        <v>Jan</v>
      </c>
      <c r="L2513" s="45" t="n">
        <f aca="false">IFERROR(INDEX(medicine_master!$I$2:$I$26,MATCH($C2513,medicine_master!$A$2:$A$26,0)),0)</f>
        <v>13</v>
      </c>
      <c r="M2513" s="45" t="n">
        <f aca="false">IFERROR(INDEX(medicine_master!$G$2:$G$26,MATCH($C2513,medicine_master!$A$2:$A$26,0)),0)</f>
        <v>8</v>
      </c>
      <c r="N2513" s="45" t="n">
        <f aca="false">IF(D2513="Sale",E2513*L2513,0)</f>
        <v>130</v>
      </c>
      <c r="O2513" s="45" t="n">
        <f aca="false">IF(D2513="Sale",E2513*M2513,0)</f>
        <v>80</v>
      </c>
      <c r="P2513" s="45" t="n">
        <f aca="false">N2513-O2513</f>
        <v>50</v>
      </c>
      <c r="Q2513" s="45" t="n">
        <f aca="false">IF(D2513="Purchase",E2513*M2513,0)</f>
        <v>0</v>
      </c>
    </row>
    <row r="2514" customFormat="false" ht="15" hidden="false" customHeight="false" outlineLevel="0" collapsed="false">
      <c r="A2514" s="39" t="s">
        <v>2838</v>
      </c>
      <c r="B2514" s="44" t="n">
        <v>46054</v>
      </c>
      <c r="C2514" s="39" t="s">
        <v>149</v>
      </c>
      <c r="D2514" s="39" t="s">
        <v>138</v>
      </c>
      <c r="E2514" s="39" t="n">
        <v>40</v>
      </c>
      <c r="F2514" s="39" t="str">
        <f aca="false">IF(COUNTIF(medicine_master!$A$2:$A$26,C2514)&gt;0,"Valid","Invalid")</f>
        <v>Valid</v>
      </c>
      <c r="G2514" s="39" t="str">
        <f aca="false">IFERROR(INDEX(medicine_master!$B$2:$B$26,MATCH($C2514,medicine_master!$A$2:$A$26,0)),"Not found")</f>
        <v>Azithromycin 500mg</v>
      </c>
      <c r="H2514" s="39" t="str">
        <f aca="false">IFERROR(INDEX(medicine_master!$C$2:$C$26,MATCH($C2514,medicine_master!$A$2:$A$26,0)),"Not found")</f>
        <v>Antibiotic</v>
      </c>
      <c r="I2514" s="39" t="n">
        <f aca="false">YEAR(B2514)</f>
        <v>2026</v>
      </c>
      <c r="J2514" s="39" t="n">
        <f aca="false">MONTH(B2514)</f>
        <v>2</v>
      </c>
      <c r="K2514" s="39" t="str">
        <f aca="false">TEXT(B2514,"mmm")</f>
        <v>Feb</v>
      </c>
      <c r="L2514" s="45" t="n">
        <f aca="false">IFERROR(INDEX(medicine_master!$I$2:$I$26,MATCH($C2514,medicine_master!$A$2:$A$26,0)),0)</f>
        <v>50</v>
      </c>
      <c r="M2514" s="45" t="n">
        <f aca="false">IFERROR(INDEX(medicine_master!$G$2:$G$26,MATCH($C2514,medicine_master!$A$2:$A$26,0)),0)</f>
        <v>35</v>
      </c>
      <c r="N2514" s="45" t="n">
        <f aca="false">IF(D2514="Sale",E2514*L2514,0)</f>
        <v>0</v>
      </c>
      <c r="O2514" s="45" t="n">
        <f aca="false">IF(D2514="Sale",E2514*M2514,0)</f>
        <v>0</v>
      </c>
      <c r="P2514" s="45" t="n">
        <f aca="false">N2514-O2514</f>
        <v>0</v>
      </c>
      <c r="Q2514" s="45" t="n">
        <f aca="false">IF(D2514="Purchase",E2514*M2514,0)</f>
        <v>1400</v>
      </c>
    </row>
    <row r="2515" customFormat="false" ht="15" hidden="false" customHeight="false" outlineLevel="0" collapsed="false">
      <c r="A2515" s="39" t="s">
        <v>2839</v>
      </c>
      <c r="B2515" s="44" t="n">
        <v>46228</v>
      </c>
      <c r="C2515" s="39" t="s">
        <v>149</v>
      </c>
      <c r="D2515" s="39" t="s">
        <v>138</v>
      </c>
      <c r="E2515" s="39" t="n">
        <v>50</v>
      </c>
      <c r="F2515" s="39" t="str">
        <f aca="false">IF(COUNTIF(medicine_master!$A$2:$A$26,C2515)&gt;0,"Valid","Invalid")</f>
        <v>Valid</v>
      </c>
      <c r="G2515" s="39" t="str">
        <f aca="false">IFERROR(INDEX(medicine_master!$B$2:$B$26,MATCH($C2515,medicine_master!$A$2:$A$26,0)),"Not found")</f>
        <v>Azithromycin 500mg</v>
      </c>
      <c r="H2515" s="39" t="str">
        <f aca="false">IFERROR(INDEX(medicine_master!$C$2:$C$26,MATCH($C2515,medicine_master!$A$2:$A$26,0)),"Not found")</f>
        <v>Antibiotic</v>
      </c>
      <c r="I2515" s="39" t="n">
        <f aca="false">YEAR(B2515)</f>
        <v>2026</v>
      </c>
      <c r="J2515" s="39" t="n">
        <f aca="false">MONTH(B2515)</f>
        <v>7</v>
      </c>
      <c r="K2515" s="39" t="str">
        <f aca="false">TEXT(B2515,"mmm")</f>
        <v>Jul</v>
      </c>
      <c r="L2515" s="45" t="n">
        <f aca="false">IFERROR(INDEX(medicine_master!$I$2:$I$26,MATCH($C2515,medicine_master!$A$2:$A$26,0)),0)</f>
        <v>50</v>
      </c>
      <c r="M2515" s="45" t="n">
        <f aca="false">IFERROR(INDEX(medicine_master!$G$2:$G$26,MATCH($C2515,medicine_master!$A$2:$A$26,0)),0)</f>
        <v>35</v>
      </c>
      <c r="N2515" s="45" t="n">
        <f aca="false">IF(D2515="Sale",E2515*L2515,0)</f>
        <v>0</v>
      </c>
      <c r="O2515" s="45" t="n">
        <f aca="false">IF(D2515="Sale",E2515*M2515,0)</f>
        <v>0</v>
      </c>
      <c r="P2515" s="45" t="n">
        <f aca="false">N2515-O2515</f>
        <v>0</v>
      </c>
      <c r="Q2515" s="45" t="n">
        <f aca="false">IF(D2515="Purchase",E2515*M2515,0)</f>
        <v>1750</v>
      </c>
    </row>
    <row r="2516" customFormat="false" ht="15" hidden="false" customHeight="false" outlineLevel="0" collapsed="false">
      <c r="A2516" s="39" t="s">
        <v>2840</v>
      </c>
      <c r="B2516" s="44" t="n">
        <v>46250</v>
      </c>
      <c r="C2516" s="39" t="s">
        <v>149</v>
      </c>
      <c r="D2516" s="39" t="s">
        <v>137</v>
      </c>
      <c r="E2516" s="39" t="n">
        <v>30</v>
      </c>
      <c r="F2516" s="39" t="str">
        <f aca="false">IF(COUNTIF(medicine_master!$A$2:$A$26,C2516)&gt;0,"Valid","Invalid")</f>
        <v>Valid</v>
      </c>
      <c r="G2516" s="39" t="str">
        <f aca="false">IFERROR(INDEX(medicine_master!$B$2:$B$26,MATCH($C2516,medicine_master!$A$2:$A$26,0)),"Not found")</f>
        <v>Azithromycin 500mg</v>
      </c>
      <c r="H2516" s="39" t="str">
        <f aca="false">IFERROR(INDEX(medicine_master!$C$2:$C$26,MATCH($C2516,medicine_master!$A$2:$A$26,0)),"Not found")</f>
        <v>Antibiotic</v>
      </c>
      <c r="I2516" s="39" t="n">
        <f aca="false">YEAR(B2516)</f>
        <v>2026</v>
      </c>
      <c r="J2516" s="39" t="n">
        <f aca="false">MONTH(B2516)</f>
        <v>8</v>
      </c>
      <c r="K2516" s="39" t="str">
        <f aca="false">TEXT(B2516,"mmm")</f>
        <v>Aug</v>
      </c>
      <c r="L2516" s="45" t="n">
        <f aca="false">IFERROR(INDEX(medicine_master!$I$2:$I$26,MATCH($C2516,medicine_master!$A$2:$A$26,0)),0)</f>
        <v>50</v>
      </c>
      <c r="M2516" s="45" t="n">
        <f aca="false">IFERROR(INDEX(medicine_master!$G$2:$G$26,MATCH($C2516,medicine_master!$A$2:$A$26,0)),0)</f>
        <v>35</v>
      </c>
      <c r="N2516" s="45" t="n">
        <f aca="false">IF(D2516="Sale",E2516*L2516,0)</f>
        <v>1500</v>
      </c>
      <c r="O2516" s="45" t="n">
        <f aca="false">IF(D2516="Sale",E2516*M2516,0)</f>
        <v>1050</v>
      </c>
      <c r="P2516" s="45" t="n">
        <f aca="false">N2516-O2516</f>
        <v>450</v>
      </c>
      <c r="Q2516" s="45" t="n">
        <f aca="false">IF(D2516="Purchase",E2516*M2516,0)</f>
        <v>0</v>
      </c>
    </row>
    <row r="2517" customFormat="false" ht="15" hidden="false" customHeight="false" outlineLevel="0" collapsed="false">
      <c r="A2517" s="39" t="s">
        <v>2841</v>
      </c>
      <c r="B2517" s="44" t="n">
        <v>46234</v>
      </c>
      <c r="C2517" s="39" t="s">
        <v>149</v>
      </c>
      <c r="D2517" s="39" t="s">
        <v>137</v>
      </c>
      <c r="E2517" s="39" t="n">
        <v>30</v>
      </c>
      <c r="F2517" s="39" t="str">
        <f aca="false">IF(COUNTIF(medicine_master!$A$2:$A$26,C2517)&gt;0,"Valid","Invalid")</f>
        <v>Valid</v>
      </c>
      <c r="G2517" s="39" t="str">
        <f aca="false">IFERROR(INDEX(medicine_master!$B$2:$B$26,MATCH($C2517,medicine_master!$A$2:$A$26,0)),"Not found")</f>
        <v>Azithromycin 500mg</v>
      </c>
      <c r="H2517" s="39" t="str">
        <f aca="false">IFERROR(INDEX(medicine_master!$C$2:$C$26,MATCH($C2517,medicine_master!$A$2:$A$26,0)),"Not found")</f>
        <v>Antibiotic</v>
      </c>
      <c r="I2517" s="39" t="n">
        <f aca="false">YEAR(B2517)</f>
        <v>2026</v>
      </c>
      <c r="J2517" s="39" t="n">
        <f aca="false">MONTH(B2517)</f>
        <v>7</v>
      </c>
      <c r="K2517" s="39" t="str">
        <f aca="false">TEXT(B2517,"mmm")</f>
        <v>Jul</v>
      </c>
      <c r="L2517" s="45" t="n">
        <f aca="false">IFERROR(INDEX(medicine_master!$I$2:$I$26,MATCH($C2517,medicine_master!$A$2:$A$26,0)),0)</f>
        <v>50</v>
      </c>
      <c r="M2517" s="45" t="n">
        <f aca="false">IFERROR(INDEX(medicine_master!$G$2:$G$26,MATCH($C2517,medicine_master!$A$2:$A$26,0)),0)</f>
        <v>35</v>
      </c>
      <c r="N2517" s="45" t="n">
        <f aca="false">IF(D2517="Sale",E2517*L2517,0)</f>
        <v>1500</v>
      </c>
      <c r="O2517" s="45" t="n">
        <f aca="false">IF(D2517="Sale",E2517*M2517,0)</f>
        <v>1050</v>
      </c>
      <c r="P2517" s="45" t="n">
        <f aca="false">N2517-O2517</f>
        <v>450</v>
      </c>
      <c r="Q2517" s="45" t="n">
        <f aca="false">IF(D2517="Purchase",E2517*M2517,0)</f>
        <v>0</v>
      </c>
    </row>
    <row r="2518" customFormat="false" ht="15" hidden="false" customHeight="false" outlineLevel="0" collapsed="false">
      <c r="A2518" s="39" t="s">
        <v>2842</v>
      </c>
      <c r="B2518" s="44" t="n">
        <v>46267</v>
      </c>
      <c r="C2518" s="39" t="s">
        <v>152</v>
      </c>
      <c r="D2518" s="39" t="s">
        <v>138</v>
      </c>
      <c r="E2518" s="39" t="n">
        <v>50</v>
      </c>
      <c r="F2518" s="39" t="str">
        <f aca="false">IF(COUNTIF(medicine_master!$A$2:$A$26,C2518)&gt;0,"Valid","Invalid")</f>
        <v>Valid</v>
      </c>
      <c r="G2518" s="39" t="str">
        <f aca="false">IFERROR(INDEX(medicine_master!$B$2:$B$26,MATCH($C2518,medicine_master!$A$2:$A$26,0)),"Not found")</f>
        <v>Amoxicillin 500mg</v>
      </c>
      <c r="H2518" s="39" t="str">
        <f aca="false">IFERROR(INDEX(medicine_master!$C$2:$C$26,MATCH($C2518,medicine_master!$A$2:$A$26,0)),"Not found")</f>
        <v>Antibiotic</v>
      </c>
      <c r="I2518" s="39" t="n">
        <f aca="false">YEAR(B2518)</f>
        <v>2026</v>
      </c>
      <c r="J2518" s="39" t="n">
        <f aca="false">MONTH(B2518)</f>
        <v>9</v>
      </c>
      <c r="K2518" s="39" t="str">
        <f aca="false">TEXT(B2518,"mmm")</f>
        <v>Sep</v>
      </c>
      <c r="L2518" s="45" t="n">
        <f aca="false">IFERROR(INDEX(medicine_master!$I$2:$I$26,MATCH($C2518,medicine_master!$A$2:$A$26,0)),0)</f>
        <v>40</v>
      </c>
      <c r="M2518" s="45" t="n">
        <f aca="false">IFERROR(INDEX(medicine_master!$G$2:$G$26,MATCH($C2518,medicine_master!$A$2:$A$26,0)),0)</f>
        <v>28</v>
      </c>
      <c r="N2518" s="45" t="n">
        <f aca="false">IF(D2518="Sale",E2518*L2518,0)</f>
        <v>0</v>
      </c>
      <c r="O2518" s="45" t="n">
        <f aca="false">IF(D2518="Sale",E2518*M2518,0)</f>
        <v>0</v>
      </c>
      <c r="P2518" s="45" t="n">
        <f aca="false">N2518-O2518</f>
        <v>0</v>
      </c>
      <c r="Q2518" s="45" t="n">
        <f aca="false">IF(D2518="Purchase",E2518*M2518,0)</f>
        <v>1400</v>
      </c>
    </row>
    <row r="2519" customFormat="false" ht="15" hidden="false" customHeight="false" outlineLevel="0" collapsed="false">
      <c r="A2519" s="39" t="s">
        <v>2843</v>
      </c>
      <c r="B2519" s="44" t="n">
        <v>46127</v>
      </c>
      <c r="C2519" s="39" t="s">
        <v>152</v>
      </c>
      <c r="D2519" s="39" t="s">
        <v>138</v>
      </c>
      <c r="E2519" s="39" t="n">
        <v>40</v>
      </c>
      <c r="F2519" s="39" t="str">
        <f aca="false">IF(COUNTIF(medicine_master!$A$2:$A$26,C2519)&gt;0,"Valid","Invalid")</f>
        <v>Valid</v>
      </c>
      <c r="G2519" s="39" t="str">
        <f aca="false">IFERROR(INDEX(medicine_master!$B$2:$B$26,MATCH($C2519,medicine_master!$A$2:$A$26,0)),"Not found")</f>
        <v>Amoxicillin 500mg</v>
      </c>
      <c r="H2519" s="39" t="str">
        <f aca="false">IFERROR(INDEX(medicine_master!$C$2:$C$26,MATCH($C2519,medicine_master!$A$2:$A$26,0)),"Not found")</f>
        <v>Antibiotic</v>
      </c>
      <c r="I2519" s="39" t="n">
        <f aca="false">YEAR(B2519)</f>
        <v>2026</v>
      </c>
      <c r="J2519" s="39" t="n">
        <f aca="false">MONTH(B2519)</f>
        <v>4</v>
      </c>
      <c r="K2519" s="39" t="str">
        <f aca="false">TEXT(B2519,"mmm")</f>
        <v>Apr</v>
      </c>
      <c r="L2519" s="45" t="n">
        <f aca="false">IFERROR(INDEX(medicine_master!$I$2:$I$26,MATCH($C2519,medicine_master!$A$2:$A$26,0)),0)</f>
        <v>40</v>
      </c>
      <c r="M2519" s="45" t="n">
        <f aca="false">IFERROR(INDEX(medicine_master!$G$2:$G$26,MATCH($C2519,medicine_master!$A$2:$A$26,0)),0)</f>
        <v>28</v>
      </c>
      <c r="N2519" s="45" t="n">
        <f aca="false">IF(D2519="Sale",E2519*L2519,0)</f>
        <v>0</v>
      </c>
      <c r="O2519" s="45" t="n">
        <f aca="false">IF(D2519="Sale",E2519*M2519,0)</f>
        <v>0</v>
      </c>
      <c r="P2519" s="45" t="n">
        <f aca="false">N2519-O2519</f>
        <v>0</v>
      </c>
      <c r="Q2519" s="45" t="n">
        <f aca="false">IF(D2519="Purchase",E2519*M2519,0)</f>
        <v>1120</v>
      </c>
    </row>
    <row r="2520" customFormat="false" ht="15" hidden="false" customHeight="false" outlineLevel="0" collapsed="false">
      <c r="A2520" s="39" t="s">
        <v>2844</v>
      </c>
      <c r="B2520" s="44" t="n">
        <v>46303</v>
      </c>
      <c r="C2520" s="39" t="s">
        <v>152</v>
      </c>
      <c r="D2520" s="39" t="s">
        <v>137</v>
      </c>
      <c r="E2520" s="39" t="n">
        <v>20</v>
      </c>
      <c r="F2520" s="39" t="str">
        <f aca="false">IF(COUNTIF(medicine_master!$A$2:$A$26,C2520)&gt;0,"Valid","Invalid")</f>
        <v>Valid</v>
      </c>
      <c r="G2520" s="39" t="str">
        <f aca="false">IFERROR(INDEX(medicine_master!$B$2:$B$26,MATCH($C2520,medicine_master!$A$2:$A$26,0)),"Not found")</f>
        <v>Amoxicillin 500mg</v>
      </c>
      <c r="H2520" s="39" t="str">
        <f aca="false">IFERROR(INDEX(medicine_master!$C$2:$C$26,MATCH($C2520,medicine_master!$A$2:$A$26,0)),"Not found")</f>
        <v>Antibiotic</v>
      </c>
      <c r="I2520" s="39" t="n">
        <f aca="false">YEAR(B2520)</f>
        <v>2026</v>
      </c>
      <c r="J2520" s="39" t="n">
        <f aca="false">MONTH(B2520)</f>
        <v>10</v>
      </c>
      <c r="K2520" s="39" t="str">
        <f aca="false">TEXT(B2520,"mmm")</f>
        <v>Oct</v>
      </c>
      <c r="L2520" s="45" t="n">
        <f aca="false">IFERROR(INDEX(medicine_master!$I$2:$I$26,MATCH($C2520,medicine_master!$A$2:$A$26,0)),0)</f>
        <v>40</v>
      </c>
      <c r="M2520" s="45" t="n">
        <f aca="false">IFERROR(INDEX(medicine_master!$G$2:$G$26,MATCH($C2520,medicine_master!$A$2:$A$26,0)),0)</f>
        <v>28</v>
      </c>
      <c r="N2520" s="45" t="n">
        <f aca="false">IF(D2520="Sale",E2520*L2520,0)</f>
        <v>800</v>
      </c>
      <c r="O2520" s="45" t="n">
        <f aca="false">IF(D2520="Sale",E2520*M2520,0)</f>
        <v>560</v>
      </c>
      <c r="P2520" s="45" t="n">
        <f aca="false">N2520-O2520</f>
        <v>240</v>
      </c>
      <c r="Q2520" s="45" t="n">
        <f aca="false">IF(D2520="Purchase",E2520*M2520,0)</f>
        <v>0</v>
      </c>
    </row>
    <row r="2521" customFormat="false" ht="15" hidden="false" customHeight="false" outlineLevel="0" collapsed="false">
      <c r="A2521" s="39" t="s">
        <v>2845</v>
      </c>
      <c r="B2521" s="44" t="n">
        <v>46211</v>
      </c>
      <c r="C2521" s="39" t="s">
        <v>152</v>
      </c>
      <c r="D2521" s="39" t="s">
        <v>137</v>
      </c>
      <c r="E2521" s="39" t="n">
        <v>40</v>
      </c>
      <c r="F2521" s="39" t="str">
        <f aca="false">IF(COUNTIF(medicine_master!$A$2:$A$26,C2521)&gt;0,"Valid","Invalid")</f>
        <v>Valid</v>
      </c>
      <c r="G2521" s="39" t="str">
        <f aca="false">IFERROR(INDEX(medicine_master!$B$2:$B$26,MATCH($C2521,medicine_master!$A$2:$A$26,0)),"Not found")</f>
        <v>Amoxicillin 500mg</v>
      </c>
      <c r="H2521" s="39" t="str">
        <f aca="false">IFERROR(INDEX(medicine_master!$C$2:$C$26,MATCH($C2521,medicine_master!$A$2:$A$26,0)),"Not found")</f>
        <v>Antibiotic</v>
      </c>
      <c r="I2521" s="39" t="n">
        <f aca="false">YEAR(B2521)</f>
        <v>2026</v>
      </c>
      <c r="J2521" s="39" t="n">
        <f aca="false">MONTH(B2521)</f>
        <v>7</v>
      </c>
      <c r="K2521" s="39" t="str">
        <f aca="false">TEXT(B2521,"mmm")</f>
        <v>Jul</v>
      </c>
      <c r="L2521" s="45" t="n">
        <f aca="false">IFERROR(INDEX(medicine_master!$I$2:$I$26,MATCH($C2521,medicine_master!$A$2:$A$26,0)),0)</f>
        <v>40</v>
      </c>
      <c r="M2521" s="45" t="n">
        <f aca="false">IFERROR(INDEX(medicine_master!$G$2:$G$26,MATCH($C2521,medicine_master!$A$2:$A$26,0)),0)</f>
        <v>28</v>
      </c>
      <c r="N2521" s="45" t="n">
        <f aca="false">IF(D2521="Sale",E2521*L2521,0)</f>
        <v>1600</v>
      </c>
      <c r="O2521" s="45" t="n">
        <f aca="false">IF(D2521="Sale",E2521*M2521,0)</f>
        <v>1120</v>
      </c>
      <c r="P2521" s="45" t="n">
        <f aca="false">N2521-O2521</f>
        <v>480</v>
      </c>
      <c r="Q2521" s="45" t="n">
        <f aca="false">IF(D2521="Purchase",E2521*M2521,0)</f>
        <v>0</v>
      </c>
    </row>
    <row r="2522" customFormat="false" ht="15" hidden="false" customHeight="false" outlineLevel="0" collapsed="false">
      <c r="A2522" s="39" t="s">
        <v>2846</v>
      </c>
      <c r="B2522" s="44" t="n">
        <v>46247</v>
      </c>
      <c r="C2522" s="39" t="s">
        <v>158</v>
      </c>
      <c r="D2522" s="39" t="s">
        <v>138</v>
      </c>
      <c r="E2522" s="39" t="n">
        <v>10</v>
      </c>
      <c r="F2522" s="39" t="str">
        <f aca="false">IF(COUNTIF(medicine_master!$A$2:$A$26,C2522)&gt;0,"Valid","Invalid")</f>
        <v>Valid</v>
      </c>
      <c r="G2522" s="39" t="str">
        <f aca="false">IFERROR(INDEX(medicine_master!$B$2:$B$26,MATCH($C2522,medicine_master!$A$2:$A$26,0)),"Not found")</f>
        <v>Cough Syrup 100ml</v>
      </c>
      <c r="H2522" s="39" t="str">
        <f aca="false">IFERROR(INDEX(medicine_master!$C$2:$C$26,MATCH($C2522,medicine_master!$A$2:$A$26,0)),"Not found")</f>
        <v>Cold &amp; Cough</v>
      </c>
      <c r="I2522" s="39" t="n">
        <f aca="false">YEAR(B2522)</f>
        <v>2026</v>
      </c>
      <c r="J2522" s="39" t="n">
        <f aca="false">MONTH(B2522)</f>
        <v>8</v>
      </c>
      <c r="K2522" s="39" t="str">
        <f aca="false">TEXT(B2522,"mmm")</f>
        <v>Aug</v>
      </c>
      <c r="L2522" s="45" t="n">
        <f aca="false">IFERROR(INDEX(medicine_master!$I$2:$I$26,MATCH($C2522,medicine_master!$A$2:$A$26,0)),0)</f>
        <v>72</v>
      </c>
      <c r="M2522" s="45" t="n">
        <f aca="false">IFERROR(INDEX(medicine_master!$G$2:$G$26,MATCH($C2522,medicine_master!$A$2:$A$26,0)),0)</f>
        <v>52</v>
      </c>
      <c r="N2522" s="45" t="n">
        <f aca="false">IF(D2522="Sale",E2522*L2522,0)</f>
        <v>0</v>
      </c>
      <c r="O2522" s="45" t="n">
        <f aca="false">IF(D2522="Sale",E2522*M2522,0)</f>
        <v>0</v>
      </c>
      <c r="P2522" s="45" t="n">
        <f aca="false">N2522-O2522</f>
        <v>0</v>
      </c>
      <c r="Q2522" s="45" t="n">
        <f aca="false">IF(D2522="Purchase",E2522*M2522,0)</f>
        <v>520</v>
      </c>
    </row>
    <row r="2523" customFormat="false" ht="15" hidden="false" customHeight="false" outlineLevel="0" collapsed="false">
      <c r="A2523" s="39" t="s">
        <v>2847</v>
      </c>
      <c r="B2523" s="44" t="n">
        <v>46102</v>
      </c>
      <c r="C2523" s="39" t="s">
        <v>158</v>
      </c>
      <c r="D2523" s="39" t="s">
        <v>138</v>
      </c>
      <c r="E2523" s="39" t="n">
        <v>20</v>
      </c>
      <c r="F2523" s="39" t="str">
        <f aca="false">IF(COUNTIF(medicine_master!$A$2:$A$26,C2523)&gt;0,"Valid","Invalid")</f>
        <v>Valid</v>
      </c>
      <c r="G2523" s="39" t="str">
        <f aca="false">IFERROR(INDEX(medicine_master!$B$2:$B$26,MATCH($C2523,medicine_master!$A$2:$A$26,0)),"Not found")</f>
        <v>Cough Syrup 100ml</v>
      </c>
      <c r="H2523" s="39" t="str">
        <f aca="false">IFERROR(INDEX(medicine_master!$C$2:$C$26,MATCH($C2523,medicine_master!$A$2:$A$26,0)),"Not found")</f>
        <v>Cold &amp; Cough</v>
      </c>
      <c r="I2523" s="39" t="n">
        <f aca="false">YEAR(B2523)</f>
        <v>2026</v>
      </c>
      <c r="J2523" s="39" t="n">
        <f aca="false">MONTH(B2523)</f>
        <v>3</v>
      </c>
      <c r="K2523" s="39" t="str">
        <f aca="false">TEXT(B2523,"mmm")</f>
        <v>Mar</v>
      </c>
      <c r="L2523" s="45" t="n">
        <f aca="false">IFERROR(INDEX(medicine_master!$I$2:$I$26,MATCH($C2523,medicine_master!$A$2:$A$26,0)),0)</f>
        <v>72</v>
      </c>
      <c r="M2523" s="45" t="n">
        <f aca="false">IFERROR(INDEX(medicine_master!$G$2:$G$26,MATCH($C2523,medicine_master!$A$2:$A$26,0)),0)</f>
        <v>52</v>
      </c>
      <c r="N2523" s="45" t="n">
        <f aca="false">IF(D2523="Sale",E2523*L2523,0)</f>
        <v>0</v>
      </c>
      <c r="O2523" s="45" t="n">
        <f aca="false">IF(D2523="Sale",E2523*M2523,0)</f>
        <v>0</v>
      </c>
      <c r="P2523" s="45" t="n">
        <f aca="false">N2523-O2523</f>
        <v>0</v>
      </c>
      <c r="Q2523" s="45" t="n">
        <f aca="false">IF(D2523="Purchase",E2523*M2523,0)</f>
        <v>1040</v>
      </c>
    </row>
    <row r="2524" customFormat="false" ht="15" hidden="false" customHeight="false" outlineLevel="0" collapsed="false">
      <c r="A2524" s="39" t="s">
        <v>2848</v>
      </c>
      <c r="B2524" s="44" t="n">
        <v>46157</v>
      </c>
      <c r="C2524" s="39" t="s">
        <v>158</v>
      </c>
      <c r="D2524" s="39" t="s">
        <v>137</v>
      </c>
      <c r="E2524" s="39" t="n">
        <v>10</v>
      </c>
      <c r="F2524" s="39" t="str">
        <f aca="false">IF(COUNTIF(medicine_master!$A$2:$A$26,C2524)&gt;0,"Valid","Invalid")</f>
        <v>Valid</v>
      </c>
      <c r="G2524" s="39" t="str">
        <f aca="false">IFERROR(INDEX(medicine_master!$B$2:$B$26,MATCH($C2524,medicine_master!$A$2:$A$26,0)),"Not found")</f>
        <v>Cough Syrup 100ml</v>
      </c>
      <c r="H2524" s="39" t="str">
        <f aca="false">IFERROR(INDEX(medicine_master!$C$2:$C$26,MATCH($C2524,medicine_master!$A$2:$A$26,0)),"Not found")</f>
        <v>Cold &amp; Cough</v>
      </c>
      <c r="I2524" s="39" t="n">
        <f aca="false">YEAR(B2524)</f>
        <v>2026</v>
      </c>
      <c r="J2524" s="39" t="n">
        <f aca="false">MONTH(B2524)</f>
        <v>5</v>
      </c>
      <c r="K2524" s="39" t="str">
        <f aca="false">TEXT(B2524,"mmm")</f>
        <v>May</v>
      </c>
      <c r="L2524" s="45" t="n">
        <f aca="false">IFERROR(INDEX(medicine_master!$I$2:$I$26,MATCH($C2524,medicine_master!$A$2:$A$26,0)),0)</f>
        <v>72</v>
      </c>
      <c r="M2524" s="45" t="n">
        <f aca="false">IFERROR(INDEX(medicine_master!$G$2:$G$26,MATCH($C2524,medicine_master!$A$2:$A$26,0)),0)</f>
        <v>52</v>
      </c>
      <c r="N2524" s="45" t="n">
        <f aca="false">IF(D2524="Sale",E2524*L2524,0)</f>
        <v>720</v>
      </c>
      <c r="O2524" s="45" t="n">
        <f aca="false">IF(D2524="Sale",E2524*M2524,0)</f>
        <v>520</v>
      </c>
      <c r="P2524" s="45" t="n">
        <f aca="false">N2524-O2524</f>
        <v>200</v>
      </c>
      <c r="Q2524" s="45" t="n">
        <f aca="false">IF(D2524="Purchase",E2524*M2524,0)</f>
        <v>0</v>
      </c>
    </row>
    <row r="2525" customFormat="false" ht="15" hidden="false" customHeight="false" outlineLevel="0" collapsed="false">
      <c r="A2525" s="39" t="s">
        <v>2849</v>
      </c>
      <c r="B2525" s="44" t="n">
        <v>46265</v>
      </c>
      <c r="C2525" s="39" t="s">
        <v>158</v>
      </c>
      <c r="D2525" s="39" t="s">
        <v>137</v>
      </c>
      <c r="E2525" s="39" t="n">
        <v>50</v>
      </c>
      <c r="F2525" s="39" t="str">
        <f aca="false">IF(COUNTIF(medicine_master!$A$2:$A$26,C2525)&gt;0,"Valid","Invalid")</f>
        <v>Valid</v>
      </c>
      <c r="G2525" s="39" t="str">
        <f aca="false">IFERROR(INDEX(medicine_master!$B$2:$B$26,MATCH($C2525,medicine_master!$A$2:$A$26,0)),"Not found")</f>
        <v>Cough Syrup 100ml</v>
      </c>
      <c r="H2525" s="39" t="str">
        <f aca="false">IFERROR(INDEX(medicine_master!$C$2:$C$26,MATCH($C2525,medicine_master!$A$2:$A$26,0)),"Not found")</f>
        <v>Cold &amp; Cough</v>
      </c>
      <c r="I2525" s="39" t="n">
        <f aca="false">YEAR(B2525)</f>
        <v>2026</v>
      </c>
      <c r="J2525" s="39" t="n">
        <f aca="false">MONTH(B2525)</f>
        <v>8</v>
      </c>
      <c r="K2525" s="39" t="str">
        <f aca="false">TEXT(B2525,"mmm")</f>
        <v>Aug</v>
      </c>
      <c r="L2525" s="45" t="n">
        <f aca="false">IFERROR(INDEX(medicine_master!$I$2:$I$26,MATCH($C2525,medicine_master!$A$2:$A$26,0)),0)</f>
        <v>72</v>
      </c>
      <c r="M2525" s="45" t="n">
        <f aca="false">IFERROR(INDEX(medicine_master!$G$2:$G$26,MATCH($C2525,medicine_master!$A$2:$A$26,0)),0)</f>
        <v>52</v>
      </c>
      <c r="N2525" s="45" t="n">
        <f aca="false">IF(D2525="Sale",E2525*L2525,0)</f>
        <v>3600</v>
      </c>
      <c r="O2525" s="45" t="n">
        <f aca="false">IF(D2525="Sale",E2525*M2525,0)</f>
        <v>2600</v>
      </c>
      <c r="P2525" s="45" t="n">
        <f aca="false">N2525-O2525</f>
        <v>1000</v>
      </c>
      <c r="Q2525" s="45" t="n">
        <f aca="false">IF(D2525="Purchase",E2525*M2525,0)</f>
        <v>0</v>
      </c>
    </row>
    <row r="2526" customFormat="false" ht="15" hidden="false" customHeight="false" outlineLevel="0" collapsed="false">
      <c r="A2526" s="39" t="s">
        <v>2850</v>
      </c>
      <c r="B2526" s="44" t="n">
        <v>46078</v>
      </c>
      <c r="C2526" s="39" t="s">
        <v>180</v>
      </c>
      <c r="D2526" s="39" t="s">
        <v>138</v>
      </c>
      <c r="E2526" s="39" t="n">
        <v>10</v>
      </c>
      <c r="F2526" s="39" t="str">
        <f aca="false">IF(COUNTIF(medicine_master!$A$2:$A$26,C2526)&gt;0,"Valid","Invalid")</f>
        <v>Valid</v>
      </c>
      <c r="G2526" s="39" t="str">
        <f aca="false">IFERROR(INDEX(medicine_master!$B$2:$B$26,MATCH($C2526,medicine_master!$A$2:$A$26,0)),"Not found")</f>
        <v>Vitamin C 500mg</v>
      </c>
      <c r="H2526" s="39" t="str">
        <f aca="false">IFERROR(INDEX(medicine_master!$C$2:$C$26,MATCH($C2526,medicine_master!$A$2:$A$26,0)),"Not found")</f>
        <v>Vitamin</v>
      </c>
      <c r="I2526" s="39" t="n">
        <f aca="false">YEAR(B2526)</f>
        <v>2026</v>
      </c>
      <c r="J2526" s="39" t="n">
        <f aca="false">MONTH(B2526)</f>
        <v>2</v>
      </c>
      <c r="K2526" s="39" t="str">
        <f aca="false">TEXT(B2526,"mmm")</f>
        <v>Feb</v>
      </c>
      <c r="L2526" s="45" t="n">
        <f aca="false">IFERROR(INDEX(medicine_master!$I$2:$I$26,MATCH($C2526,medicine_master!$A$2:$A$26,0)),0)</f>
        <v>22</v>
      </c>
      <c r="M2526" s="45" t="n">
        <f aca="false">IFERROR(INDEX(medicine_master!$G$2:$G$26,MATCH($C2526,medicine_master!$A$2:$A$26,0)),0)</f>
        <v>14</v>
      </c>
      <c r="N2526" s="45" t="n">
        <f aca="false">IF(D2526="Sale",E2526*L2526,0)</f>
        <v>0</v>
      </c>
      <c r="O2526" s="45" t="n">
        <f aca="false">IF(D2526="Sale",E2526*M2526,0)</f>
        <v>0</v>
      </c>
      <c r="P2526" s="45" t="n">
        <f aca="false">N2526-O2526</f>
        <v>0</v>
      </c>
      <c r="Q2526" s="45" t="n">
        <f aca="false">IF(D2526="Purchase",E2526*M2526,0)</f>
        <v>140</v>
      </c>
    </row>
    <row r="2527" customFormat="false" ht="15" hidden="false" customHeight="false" outlineLevel="0" collapsed="false">
      <c r="A2527" s="39" t="s">
        <v>2851</v>
      </c>
      <c r="B2527" s="44" t="n">
        <v>46336</v>
      </c>
      <c r="C2527" s="39" t="s">
        <v>180</v>
      </c>
      <c r="D2527" s="39" t="s">
        <v>138</v>
      </c>
      <c r="E2527" s="39" t="n">
        <v>30</v>
      </c>
      <c r="F2527" s="39" t="str">
        <f aca="false">IF(COUNTIF(medicine_master!$A$2:$A$26,C2527)&gt;0,"Valid","Invalid")</f>
        <v>Valid</v>
      </c>
      <c r="G2527" s="39" t="str">
        <f aca="false">IFERROR(INDEX(medicine_master!$B$2:$B$26,MATCH($C2527,medicine_master!$A$2:$A$26,0)),"Not found")</f>
        <v>Vitamin C 500mg</v>
      </c>
      <c r="H2527" s="39" t="str">
        <f aca="false">IFERROR(INDEX(medicine_master!$C$2:$C$26,MATCH($C2527,medicine_master!$A$2:$A$26,0)),"Not found")</f>
        <v>Vitamin</v>
      </c>
      <c r="I2527" s="39" t="n">
        <f aca="false">YEAR(B2527)</f>
        <v>2026</v>
      </c>
      <c r="J2527" s="39" t="n">
        <f aca="false">MONTH(B2527)</f>
        <v>11</v>
      </c>
      <c r="K2527" s="39" t="str">
        <f aca="false">TEXT(B2527,"mmm")</f>
        <v>Nov</v>
      </c>
      <c r="L2527" s="45" t="n">
        <f aca="false">IFERROR(INDEX(medicine_master!$I$2:$I$26,MATCH($C2527,medicine_master!$A$2:$A$26,0)),0)</f>
        <v>22</v>
      </c>
      <c r="M2527" s="45" t="n">
        <f aca="false">IFERROR(INDEX(medicine_master!$G$2:$G$26,MATCH($C2527,medicine_master!$A$2:$A$26,0)),0)</f>
        <v>14</v>
      </c>
      <c r="N2527" s="45" t="n">
        <f aca="false">IF(D2527="Sale",E2527*L2527,0)</f>
        <v>0</v>
      </c>
      <c r="O2527" s="45" t="n">
        <f aca="false">IF(D2527="Sale",E2527*M2527,0)</f>
        <v>0</v>
      </c>
      <c r="P2527" s="45" t="n">
        <f aca="false">N2527-O2527</f>
        <v>0</v>
      </c>
      <c r="Q2527" s="45" t="n">
        <f aca="false">IF(D2527="Purchase",E2527*M2527,0)</f>
        <v>420</v>
      </c>
    </row>
    <row r="2528" customFormat="false" ht="15" hidden="false" customHeight="false" outlineLevel="0" collapsed="false">
      <c r="A2528" s="39" t="s">
        <v>2852</v>
      </c>
      <c r="B2528" s="44" t="n">
        <v>46110</v>
      </c>
      <c r="C2528" s="39" t="s">
        <v>180</v>
      </c>
      <c r="D2528" s="39" t="s">
        <v>137</v>
      </c>
      <c r="E2528" s="39" t="n">
        <v>10</v>
      </c>
      <c r="F2528" s="39" t="str">
        <f aca="false">IF(COUNTIF(medicine_master!$A$2:$A$26,C2528)&gt;0,"Valid","Invalid")</f>
        <v>Valid</v>
      </c>
      <c r="G2528" s="39" t="str">
        <f aca="false">IFERROR(INDEX(medicine_master!$B$2:$B$26,MATCH($C2528,medicine_master!$A$2:$A$26,0)),"Not found")</f>
        <v>Vitamin C 500mg</v>
      </c>
      <c r="H2528" s="39" t="str">
        <f aca="false">IFERROR(INDEX(medicine_master!$C$2:$C$26,MATCH($C2528,medicine_master!$A$2:$A$26,0)),"Not found")</f>
        <v>Vitamin</v>
      </c>
      <c r="I2528" s="39" t="n">
        <f aca="false">YEAR(B2528)</f>
        <v>2026</v>
      </c>
      <c r="J2528" s="39" t="n">
        <f aca="false">MONTH(B2528)</f>
        <v>3</v>
      </c>
      <c r="K2528" s="39" t="str">
        <f aca="false">TEXT(B2528,"mmm")</f>
        <v>Mar</v>
      </c>
      <c r="L2528" s="45" t="n">
        <f aca="false">IFERROR(INDEX(medicine_master!$I$2:$I$26,MATCH($C2528,medicine_master!$A$2:$A$26,0)),0)</f>
        <v>22</v>
      </c>
      <c r="M2528" s="45" t="n">
        <f aca="false">IFERROR(INDEX(medicine_master!$G$2:$G$26,MATCH($C2528,medicine_master!$A$2:$A$26,0)),0)</f>
        <v>14</v>
      </c>
      <c r="N2528" s="45" t="n">
        <f aca="false">IF(D2528="Sale",E2528*L2528,0)</f>
        <v>220</v>
      </c>
      <c r="O2528" s="45" t="n">
        <f aca="false">IF(D2528="Sale",E2528*M2528,0)</f>
        <v>140</v>
      </c>
      <c r="P2528" s="45" t="n">
        <f aca="false">N2528-O2528</f>
        <v>80</v>
      </c>
      <c r="Q2528" s="45" t="n">
        <f aca="false">IF(D2528="Purchase",E2528*M2528,0)</f>
        <v>0</v>
      </c>
    </row>
    <row r="2529" customFormat="false" ht="15" hidden="false" customHeight="false" outlineLevel="0" collapsed="false">
      <c r="A2529" s="39" t="s">
        <v>2853</v>
      </c>
      <c r="B2529" s="44" t="n">
        <v>46166</v>
      </c>
      <c r="C2529" s="39" t="s">
        <v>180</v>
      </c>
      <c r="D2529" s="39" t="s">
        <v>137</v>
      </c>
      <c r="E2529" s="39" t="n">
        <v>50</v>
      </c>
      <c r="F2529" s="39" t="str">
        <f aca="false">IF(COUNTIF(medicine_master!$A$2:$A$26,C2529)&gt;0,"Valid","Invalid")</f>
        <v>Valid</v>
      </c>
      <c r="G2529" s="39" t="str">
        <f aca="false">IFERROR(INDEX(medicine_master!$B$2:$B$26,MATCH($C2529,medicine_master!$A$2:$A$26,0)),"Not found")</f>
        <v>Vitamin C 500mg</v>
      </c>
      <c r="H2529" s="39" t="str">
        <f aca="false">IFERROR(INDEX(medicine_master!$C$2:$C$26,MATCH($C2529,medicine_master!$A$2:$A$26,0)),"Not found")</f>
        <v>Vitamin</v>
      </c>
      <c r="I2529" s="39" t="n">
        <f aca="false">YEAR(B2529)</f>
        <v>2026</v>
      </c>
      <c r="J2529" s="39" t="n">
        <f aca="false">MONTH(B2529)</f>
        <v>5</v>
      </c>
      <c r="K2529" s="39" t="str">
        <f aca="false">TEXT(B2529,"mmm")</f>
        <v>May</v>
      </c>
      <c r="L2529" s="45" t="n">
        <f aca="false">IFERROR(INDEX(medicine_master!$I$2:$I$26,MATCH($C2529,medicine_master!$A$2:$A$26,0)),0)</f>
        <v>22</v>
      </c>
      <c r="M2529" s="45" t="n">
        <f aca="false">IFERROR(INDEX(medicine_master!$G$2:$G$26,MATCH($C2529,medicine_master!$A$2:$A$26,0)),0)</f>
        <v>14</v>
      </c>
      <c r="N2529" s="45" t="n">
        <f aca="false">IF(D2529="Sale",E2529*L2529,0)</f>
        <v>1100</v>
      </c>
      <c r="O2529" s="45" t="n">
        <f aca="false">IF(D2529="Sale",E2529*M2529,0)</f>
        <v>700</v>
      </c>
      <c r="P2529" s="45" t="n">
        <f aca="false">N2529-O2529</f>
        <v>400</v>
      </c>
      <c r="Q2529" s="45" t="n">
        <f aca="false">IF(D2529="Purchase",E2529*M2529,0)</f>
        <v>0</v>
      </c>
    </row>
    <row r="2530" customFormat="false" ht="15" hidden="false" customHeight="false" outlineLevel="0" collapsed="false">
      <c r="A2530" s="39" t="s">
        <v>2854</v>
      </c>
      <c r="B2530" s="44" t="n">
        <v>46237</v>
      </c>
      <c r="C2530" s="39" t="s">
        <v>157</v>
      </c>
      <c r="D2530" s="39" t="s">
        <v>138</v>
      </c>
      <c r="E2530" s="39" t="n">
        <v>50</v>
      </c>
      <c r="F2530" s="39" t="str">
        <f aca="false">IF(COUNTIF(medicine_master!$A$2:$A$26,C2530)&gt;0,"Valid","Invalid")</f>
        <v>Valid</v>
      </c>
      <c r="G2530" s="39" t="str">
        <f aca="false">IFERROR(INDEX(medicine_master!$B$2:$B$26,MATCH($C2530,medicine_master!$A$2:$A$26,0)),"Not found")</f>
        <v>Multivitamin Tablets</v>
      </c>
      <c r="H2530" s="39" t="str">
        <f aca="false">IFERROR(INDEX(medicine_master!$C$2:$C$26,MATCH($C2530,medicine_master!$A$2:$A$26,0)),"Not found")</f>
        <v>Vitamin</v>
      </c>
      <c r="I2530" s="39" t="n">
        <f aca="false">YEAR(B2530)</f>
        <v>2026</v>
      </c>
      <c r="J2530" s="39" t="n">
        <f aca="false">MONTH(B2530)</f>
        <v>8</v>
      </c>
      <c r="K2530" s="39" t="str">
        <f aca="false">TEXT(B2530,"mmm")</f>
        <v>Aug</v>
      </c>
      <c r="L2530" s="45" t="n">
        <f aca="false">IFERROR(INDEX(medicine_master!$I$2:$I$26,MATCH($C2530,medicine_master!$A$2:$A$26,0)),0)</f>
        <v>105</v>
      </c>
      <c r="M2530" s="45" t="n">
        <f aca="false">IFERROR(INDEX(medicine_master!$G$2:$G$26,MATCH($C2530,medicine_master!$A$2:$A$26,0)),0)</f>
        <v>72</v>
      </c>
      <c r="N2530" s="45" t="n">
        <f aca="false">IF(D2530="Sale",E2530*L2530,0)</f>
        <v>0</v>
      </c>
      <c r="O2530" s="45" t="n">
        <f aca="false">IF(D2530="Sale",E2530*M2530,0)</f>
        <v>0</v>
      </c>
      <c r="P2530" s="45" t="n">
        <f aca="false">N2530-O2530</f>
        <v>0</v>
      </c>
      <c r="Q2530" s="45" t="n">
        <f aca="false">IF(D2530="Purchase",E2530*M2530,0)</f>
        <v>3600</v>
      </c>
    </row>
    <row r="2531" customFormat="false" ht="15" hidden="false" customHeight="false" outlineLevel="0" collapsed="false">
      <c r="A2531" s="39" t="s">
        <v>2855</v>
      </c>
      <c r="B2531" s="44" t="n">
        <v>46245</v>
      </c>
      <c r="C2531" s="39" t="s">
        <v>157</v>
      </c>
      <c r="D2531" s="39" t="s">
        <v>138</v>
      </c>
      <c r="E2531" s="39" t="n">
        <v>10</v>
      </c>
      <c r="F2531" s="39" t="str">
        <f aca="false">IF(COUNTIF(medicine_master!$A$2:$A$26,C2531)&gt;0,"Valid","Invalid")</f>
        <v>Valid</v>
      </c>
      <c r="G2531" s="39" t="str">
        <f aca="false">IFERROR(INDEX(medicine_master!$B$2:$B$26,MATCH($C2531,medicine_master!$A$2:$A$26,0)),"Not found")</f>
        <v>Multivitamin Tablets</v>
      </c>
      <c r="H2531" s="39" t="str">
        <f aca="false">IFERROR(INDEX(medicine_master!$C$2:$C$26,MATCH($C2531,medicine_master!$A$2:$A$26,0)),"Not found")</f>
        <v>Vitamin</v>
      </c>
      <c r="I2531" s="39" t="n">
        <f aca="false">YEAR(B2531)</f>
        <v>2026</v>
      </c>
      <c r="J2531" s="39" t="n">
        <f aca="false">MONTH(B2531)</f>
        <v>8</v>
      </c>
      <c r="K2531" s="39" t="str">
        <f aca="false">TEXT(B2531,"mmm")</f>
        <v>Aug</v>
      </c>
      <c r="L2531" s="45" t="n">
        <f aca="false">IFERROR(INDEX(medicine_master!$I$2:$I$26,MATCH($C2531,medicine_master!$A$2:$A$26,0)),0)</f>
        <v>105</v>
      </c>
      <c r="M2531" s="45" t="n">
        <f aca="false">IFERROR(INDEX(medicine_master!$G$2:$G$26,MATCH($C2531,medicine_master!$A$2:$A$26,0)),0)</f>
        <v>72</v>
      </c>
      <c r="N2531" s="45" t="n">
        <f aca="false">IF(D2531="Sale",E2531*L2531,0)</f>
        <v>0</v>
      </c>
      <c r="O2531" s="45" t="n">
        <f aca="false">IF(D2531="Sale",E2531*M2531,0)</f>
        <v>0</v>
      </c>
      <c r="P2531" s="45" t="n">
        <f aca="false">N2531-O2531</f>
        <v>0</v>
      </c>
      <c r="Q2531" s="45" t="n">
        <f aca="false">IF(D2531="Purchase",E2531*M2531,0)</f>
        <v>720</v>
      </c>
    </row>
    <row r="2532" customFormat="false" ht="15" hidden="false" customHeight="false" outlineLevel="0" collapsed="false">
      <c r="A2532" s="39" t="s">
        <v>2856</v>
      </c>
      <c r="B2532" s="44" t="n">
        <v>46204</v>
      </c>
      <c r="C2532" s="39" t="s">
        <v>157</v>
      </c>
      <c r="D2532" s="39" t="s">
        <v>137</v>
      </c>
      <c r="E2532" s="39" t="n">
        <v>30</v>
      </c>
      <c r="F2532" s="39" t="str">
        <f aca="false">IF(COUNTIF(medicine_master!$A$2:$A$26,C2532)&gt;0,"Valid","Invalid")</f>
        <v>Valid</v>
      </c>
      <c r="G2532" s="39" t="str">
        <f aca="false">IFERROR(INDEX(medicine_master!$B$2:$B$26,MATCH($C2532,medicine_master!$A$2:$A$26,0)),"Not found")</f>
        <v>Multivitamin Tablets</v>
      </c>
      <c r="H2532" s="39" t="str">
        <f aca="false">IFERROR(INDEX(medicine_master!$C$2:$C$26,MATCH($C2532,medicine_master!$A$2:$A$26,0)),"Not found")</f>
        <v>Vitamin</v>
      </c>
      <c r="I2532" s="39" t="n">
        <f aca="false">YEAR(B2532)</f>
        <v>2026</v>
      </c>
      <c r="J2532" s="39" t="n">
        <f aca="false">MONTH(B2532)</f>
        <v>7</v>
      </c>
      <c r="K2532" s="39" t="str">
        <f aca="false">TEXT(B2532,"mmm")</f>
        <v>Jul</v>
      </c>
      <c r="L2532" s="45" t="n">
        <f aca="false">IFERROR(INDEX(medicine_master!$I$2:$I$26,MATCH($C2532,medicine_master!$A$2:$A$26,0)),0)</f>
        <v>105</v>
      </c>
      <c r="M2532" s="45" t="n">
        <f aca="false">IFERROR(INDEX(medicine_master!$G$2:$G$26,MATCH($C2532,medicine_master!$A$2:$A$26,0)),0)</f>
        <v>72</v>
      </c>
      <c r="N2532" s="45" t="n">
        <f aca="false">IF(D2532="Sale",E2532*L2532,0)</f>
        <v>3150</v>
      </c>
      <c r="O2532" s="45" t="n">
        <f aca="false">IF(D2532="Sale",E2532*M2532,0)</f>
        <v>2160</v>
      </c>
      <c r="P2532" s="45" t="n">
        <f aca="false">N2532-O2532</f>
        <v>990</v>
      </c>
      <c r="Q2532" s="45" t="n">
        <f aca="false">IF(D2532="Purchase",E2532*M2532,0)</f>
        <v>0</v>
      </c>
    </row>
    <row r="2533" customFormat="false" ht="15" hidden="false" customHeight="false" outlineLevel="0" collapsed="false">
      <c r="A2533" s="39" t="s">
        <v>2857</v>
      </c>
      <c r="B2533" s="44" t="n">
        <v>46267</v>
      </c>
      <c r="C2533" s="39" t="s">
        <v>157</v>
      </c>
      <c r="D2533" s="39" t="s">
        <v>137</v>
      </c>
      <c r="E2533" s="39" t="n">
        <v>50</v>
      </c>
      <c r="F2533" s="39" t="str">
        <f aca="false">IF(COUNTIF(medicine_master!$A$2:$A$26,C2533)&gt;0,"Valid","Invalid")</f>
        <v>Valid</v>
      </c>
      <c r="G2533" s="39" t="str">
        <f aca="false">IFERROR(INDEX(medicine_master!$B$2:$B$26,MATCH($C2533,medicine_master!$A$2:$A$26,0)),"Not found")</f>
        <v>Multivitamin Tablets</v>
      </c>
      <c r="H2533" s="39" t="str">
        <f aca="false">IFERROR(INDEX(medicine_master!$C$2:$C$26,MATCH($C2533,medicine_master!$A$2:$A$26,0)),"Not found")</f>
        <v>Vitamin</v>
      </c>
      <c r="I2533" s="39" t="n">
        <f aca="false">YEAR(B2533)</f>
        <v>2026</v>
      </c>
      <c r="J2533" s="39" t="n">
        <f aca="false">MONTH(B2533)</f>
        <v>9</v>
      </c>
      <c r="K2533" s="39" t="str">
        <f aca="false">TEXT(B2533,"mmm")</f>
        <v>Sep</v>
      </c>
      <c r="L2533" s="45" t="n">
        <f aca="false">IFERROR(INDEX(medicine_master!$I$2:$I$26,MATCH($C2533,medicine_master!$A$2:$A$26,0)),0)</f>
        <v>105</v>
      </c>
      <c r="M2533" s="45" t="n">
        <f aca="false">IFERROR(INDEX(medicine_master!$G$2:$G$26,MATCH($C2533,medicine_master!$A$2:$A$26,0)),0)</f>
        <v>72</v>
      </c>
      <c r="N2533" s="45" t="n">
        <f aca="false">IF(D2533="Sale",E2533*L2533,0)</f>
        <v>5250</v>
      </c>
      <c r="O2533" s="45" t="n">
        <f aca="false">IF(D2533="Sale",E2533*M2533,0)</f>
        <v>3600</v>
      </c>
      <c r="P2533" s="45" t="n">
        <f aca="false">N2533-O2533</f>
        <v>1650</v>
      </c>
      <c r="Q2533" s="45" t="n">
        <f aca="false">IF(D2533="Purchase",E2533*M2533,0)</f>
        <v>0</v>
      </c>
    </row>
    <row r="2534" customFormat="false" ht="15" hidden="false" customHeight="false" outlineLevel="0" collapsed="false">
      <c r="A2534" s="39" t="s">
        <v>2858</v>
      </c>
      <c r="B2534" s="44" t="n">
        <v>46253</v>
      </c>
      <c r="C2534" s="39" t="s">
        <v>326</v>
      </c>
      <c r="D2534" s="39" t="s">
        <v>138</v>
      </c>
      <c r="E2534" s="39" t="n">
        <v>30</v>
      </c>
      <c r="F2534" s="39" t="str">
        <f aca="false">IF(COUNTIF(medicine_master!$A$2:$A$26,C2534)&gt;0,"Valid","Invalid")</f>
        <v>Valid</v>
      </c>
      <c r="G2534" s="39" t="str">
        <f aca="false">IFERROR(INDEX(medicine_master!$B$2:$B$26,MATCH($C2534,medicine_master!$A$2:$A$26,0)),"Not found")</f>
        <v>Omeprazole 20mg</v>
      </c>
      <c r="H2534" s="39" t="str">
        <f aca="false">IFERROR(INDEX(medicine_master!$C$2:$C$26,MATCH($C2534,medicine_master!$A$2:$A$26,0)),"Not found")</f>
        <v>Gastric</v>
      </c>
      <c r="I2534" s="39" t="n">
        <f aca="false">YEAR(B2534)</f>
        <v>2026</v>
      </c>
      <c r="J2534" s="39" t="n">
        <f aca="false">MONTH(B2534)</f>
        <v>8</v>
      </c>
      <c r="K2534" s="39" t="str">
        <f aca="false">TEXT(B2534,"mmm")</f>
        <v>Aug</v>
      </c>
      <c r="L2534" s="45" t="n">
        <f aca="false">IFERROR(INDEX(medicine_master!$I$2:$I$26,MATCH($C2534,medicine_master!$A$2:$A$26,0)),0)</f>
        <v>26</v>
      </c>
      <c r="M2534" s="45" t="n">
        <f aca="false">IFERROR(INDEX(medicine_master!$G$2:$G$26,MATCH($C2534,medicine_master!$A$2:$A$26,0)),0)</f>
        <v>18</v>
      </c>
      <c r="N2534" s="45" t="n">
        <f aca="false">IF(D2534="Sale",E2534*L2534,0)</f>
        <v>0</v>
      </c>
      <c r="O2534" s="45" t="n">
        <f aca="false">IF(D2534="Sale",E2534*M2534,0)</f>
        <v>0</v>
      </c>
      <c r="P2534" s="45" t="n">
        <f aca="false">N2534-O2534</f>
        <v>0</v>
      </c>
      <c r="Q2534" s="45" t="n">
        <f aca="false">IF(D2534="Purchase",E2534*M2534,0)</f>
        <v>540</v>
      </c>
    </row>
    <row r="2535" customFormat="false" ht="15" hidden="false" customHeight="false" outlineLevel="0" collapsed="false">
      <c r="A2535" s="39" t="s">
        <v>2859</v>
      </c>
      <c r="B2535" s="44" t="n">
        <v>46197</v>
      </c>
      <c r="C2535" s="39" t="s">
        <v>326</v>
      </c>
      <c r="D2535" s="39" t="s">
        <v>138</v>
      </c>
      <c r="E2535" s="39" t="n">
        <v>30</v>
      </c>
      <c r="F2535" s="39" t="str">
        <f aca="false">IF(COUNTIF(medicine_master!$A$2:$A$26,C2535)&gt;0,"Valid","Invalid")</f>
        <v>Valid</v>
      </c>
      <c r="G2535" s="39" t="str">
        <f aca="false">IFERROR(INDEX(medicine_master!$B$2:$B$26,MATCH($C2535,medicine_master!$A$2:$A$26,0)),"Not found")</f>
        <v>Omeprazole 20mg</v>
      </c>
      <c r="H2535" s="39" t="str">
        <f aca="false">IFERROR(INDEX(medicine_master!$C$2:$C$26,MATCH($C2535,medicine_master!$A$2:$A$26,0)),"Not found")</f>
        <v>Gastric</v>
      </c>
      <c r="I2535" s="39" t="n">
        <f aca="false">YEAR(B2535)</f>
        <v>2026</v>
      </c>
      <c r="J2535" s="39" t="n">
        <f aca="false">MONTH(B2535)</f>
        <v>6</v>
      </c>
      <c r="K2535" s="39" t="str">
        <f aca="false">TEXT(B2535,"mmm")</f>
        <v>Jun</v>
      </c>
      <c r="L2535" s="45" t="n">
        <f aca="false">IFERROR(INDEX(medicine_master!$I$2:$I$26,MATCH($C2535,medicine_master!$A$2:$A$26,0)),0)</f>
        <v>26</v>
      </c>
      <c r="M2535" s="45" t="n">
        <f aca="false">IFERROR(INDEX(medicine_master!$G$2:$G$26,MATCH($C2535,medicine_master!$A$2:$A$26,0)),0)</f>
        <v>18</v>
      </c>
      <c r="N2535" s="45" t="n">
        <f aca="false">IF(D2535="Sale",E2535*L2535,0)</f>
        <v>0</v>
      </c>
      <c r="O2535" s="45" t="n">
        <f aca="false">IF(D2535="Sale",E2535*M2535,0)</f>
        <v>0</v>
      </c>
      <c r="P2535" s="45" t="n">
        <f aca="false">N2535-O2535</f>
        <v>0</v>
      </c>
      <c r="Q2535" s="45" t="n">
        <f aca="false">IF(D2535="Purchase",E2535*M2535,0)</f>
        <v>540</v>
      </c>
    </row>
    <row r="2536" customFormat="false" ht="15" hidden="false" customHeight="false" outlineLevel="0" collapsed="false">
      <c r="A2536" s="39" t="s">
        <v>2860</v>
      </c>
      <c r="B2536" s="44" t="n">
        <v>46333</v>
      </c>
      <c r="C2536" s="39" t="s">
        <v>326</v>
      </c>
      <c r="D2536" s="39" t="s">
        <v>137</v>
      </c>
      <c r="E2536" s="39" t="n">
        <v>10</v>
      </c>
      <c r="F2536" s="39" t="str">
        <f aca="false">IF(COUNTIF(medicine_master!$A$2:$A$26,C2536)&gt;0,"Valid","Invalid")</f>
        <v>Valid</v>
      </c>
      <c r="G2536" s="39" t="str">
        <f aca="false">IFERROR(INDEX(medicine_master!$B$2:$B$26,MATCH($C2536,medicine_master!$A$2:$A$26,0)),"Not found")</f>
        <v>Omeprazole 20mg</v>
      </c>
      <c r="H2536" s="39" t="str">
        <f aca="false">IFERROR(INDEX(medicine_master!$C$2:$C$26,MATCH($C2536,medicine_master!$A$2:$A$26,0)),"Not found")</f>
        <v>Gastric</v>
      </c>
      <c r="I2536" s="39" t="n">
        <f aca="false">YEAR(B2536)</f>
        <v>2026</v>
      </c>
      <c r="J2536" s="39" t="n">
        <f aca="false">MONTH(B2536)</f>
        <v>11</v>
      </c>
      <c r="K2536" s="39" t="str">
        <f aca="false">TEXT(B2536,"mmm")</f>
        <v>Nov</v>
      </c>
      <c r="L2536" s="45" t="n">
        <f aca="false">IFERROR(INDEX(medicine_master!$I$2:$I$26,MATCH($C2536,medicine_master!$A$2:$A$26,0)),0)</f>
        <v>26</v>
      </c>
      <c r="M2536" s="45" t="n">
        <f aca="false">IFERROR(INDEX(medicine_master!$G$2:$G$26,MATCH($C2536,medicine_master!$A$2:$A$26,0)),0)</f>
        <v>18</v>
      </c>
      <c r="N2536" s="45" t="n">
        <f aca="false">IF(D2536="Sale",E2536*L2536,0)</f>
        <v>260</v>
      </c>
      <c r="O2536" s="45" t="n">
        <f aca="false">IF(D2536="Sale",E2536*M2536,0)</f>
        <v>180</v>
      </c>
      <c r="P2536" s="45" t="n">
        <f aca="false">N2536-O2536</f>
        <v>80</v>
      </c>
      <c r="Q2536" s="45" t="n">
        <f aca="false">IF(D2536="Purchase",E2536*M2536,0)</f>
        <v>0</v>
      </c>
    </row>
    <row r="2537" customFormat="false" ht="15" hidden="false" customHeight="false" outlineLevel="0" collapsed="false">
      <c r="A2537" s="39" t="s">
        <v>2861</v>
      </c>
      <c r="B2537" s="44" t="n">
        <v>46322</v>
      </c>
      <c r="C2537" s="39" t="s">
        <v>326</v>
      </c>
      <c r="D2537" s="39" t="s">
        <v>137</v>
      </c>
      <c r="E2537" s="39" t="n">
        <v>20</v>
      </c>
      <c r="F2537" s="39" t="str">
        <f aca="false">IF(COUNTIF(medicine_master!$A$2:$A$26,C2537)&gt;0,"Valid","Invalid")</f>
        <v>Valid</v>
      </c>
      <c r="G2537" s="39" t="str">
        <f aca="false">IFERROR(INDEX(medicine_master!$B$2:$B$26,MATCH($C2537,medicine_master!$A$2:$A$26,0)),"Not found")</f>
        <v>Omeprazole 20mg</v>
      </c>
      <c r="H2537" s="39" t="str">
        <f aca="false">IFERROR(INDEX(medicine_master!$C$2:$C$26,MATCH($C2537,medicine_master!$A$2:$A$26,0)),"Not found")</f>
        <v>Gastric</v>
      </c>
      <c r="I2537" s="39" t="n">
        <f aca="false">YEAR(B2537)</f>
        <v>2026</v>
      </c>
      <c r="J2537" s="39" t="n">
        <f aca="false">MONTH(B2537)</f>
        <v>10</v>
      </c>
      <c r="K2537" s="39" t="str">
        <f aca="false">TEXT(B2537,"mmm")</f>
        <v>Oct</v>
      </c>
      <c r="L2537" s="45" t="n">
        <f aca="false">IFERROR(INDEX(medicine_master!$I$2:$I$26,MATCH($C2537,medicine_master!$A$2:$A$26,0)),0)</f>
        <v>26</v>
      </c>
      <c r="M2537" s="45" t="n">
        <f aca="false">IFERROR(INDEX(medicine_master!$G$2:$G$26,MATCH($C2537,medicine_master!$A$2:$A$26,0)),0)</f>
        <v>18</v>
      </c>
      <c r="N2537" s="45" t="n">
        <f aca="false">IF(D2537="Sale",E2537*L2537,0)</f>
        <v>520</v>
      </c>
      <c r="O2537" s="45" t="n">
        <f aca="false">IF(D2537="Sale",E2537*M2537,0)</f>
        <v>360</v>
      </c>
      <c r="P2537" s="45" t="n">
        <f aca="false">N2537-O2537</f>
        <v>160</v>
      </c>
      <c r="Q2537" s="45" t="n">
        <f aca="false">IF(D2537="Purchase",E2537*M2537,0)</f>
        <v>0</v>
      </c>
    </row>
    <row r="2538" customFormat="false" ht="15" hidden="false" customHeight="false" outlineLevel="0" collapsed="false">
      <c r="A2538" s="39" t="s">
        <v>2862</v>
      </c>
      <c r="B2538" s="44" t="n">
        <v>46294</v>
      </c>
      <c r="C2538" s="39" t="s">
        <v>150</v>
      </c>
      <c r="D2538" s="39" t="s">
        <v>138</v>
      </c>
      <c r="E2538" s="39" t="n">
        <v>40</v>
      </c>
      <c r="F2538" s="39" t="str">
        <f aca="false">IF(COUNTIF(medicine_master!$A$2:$A$26,C2538)&gt;0,"Valid","Invalid")</f>
        <v>Valid</v>
      </c>
      <c r="G2538" s="39" t="str">
        <f aca="false">IFERROR(INDEX(medicine_master!$B$2:$B$26,MATCH($C2538,medicine_master!$A$2:$A$26,0)),"Not found")</f>
        <v>Pantoprazole 40mg</v>
      </c>
      <c r="H2538" s="39" t="str">
        <f aca="false">IFERROR(INDEX(medicine_master!$C$2:$C$26,MATCH($C2538,medicine_master!$A$2:$A$26,0)),"Not found")</f>
        <v>Gastric</v>
      </c>
      <c r="I2538" s="39" t="n">
        <f aca="false">YEAR(B2538)</f>
        <v>2026</v>
      </c>
      <c r="J2538" s="39" t="n">
        <f aca="false">MONTH(B2538)</f>
        <v>9</v>
      </c>
      <c r="K2538" s="39" t="str">
        <f aca="false">TEXT(B2538,"mmm")</f>
        <v>Sep</v>
      </c>
      <c r="L2538" s="45" t="n">
        <f aca="false">IFERROR(INDEX(medicine_master!$I$2:$I$26,MATCH($C2538,medicine_master!$A$2:$A$26,0)),0)</f>
        <v>35</v>
      </c>
      <c r="M2538" s="45" t="n">
        <f aca="false">IFERROR(INDEX(medicine_master!$G$2:$G$26,MATCH($C2538,medicine_master!$A$2:$A$26,0)),0)</f>
        <v>24</v>
      </c>
      <c r="N2538" s="45" t="n">
        <f aca="false">IF(D2538="Sale",E2538*L2538,0)</f>
        <v>0</v>
      </c>
      <c r="O2538" s="45" t="n">
        <f aca="false">IF(D2538="Sale",E2538*M2538,0)</f>
        <v>0</v>
      </c>
      <c r="P2538" s="45" t="n">
        <f aca="false">N2538-O2538</f>
        <v>0</v>
      </c>
      <c r="Q2538" s="45" t="n">
        <f aca="false">IF(D2538="Purchase",E2538*M2538,0)</f>
        <v>960</v>
      </c>
    </row>
    <row r="2539" customFormat="false" ht="15" hidden="false" customHeight="false" outlineLevel="0" collapsed="false">
      <c r="A2539" s="39" t="s">
        <v>2863</v>
      </c>
      <c r="B2539" s="44" t="n">
        <v>46323</v>
      </c>
      <c r="C2539" s="39" t="s">
        <v>150</v>
      </c>
      <c r="D2539" s="39" t="s">
        <v>138</v>
      </c>
      <c r="E2539" s="39" t="n">
        <v>30</v>
      </c>
      <c r="F2539" s="39" t="str">
        <f aca="false">IF(COUNTIF(medicine_master!$A$2:$A$26,C2539)&gt;0,"Valid","Invalid")</f>
        <v>Valid</v>
      </c>
      <c r="G2539" s="39" t="str">
        <f aca="false">IFERROR(INDEX(medicine_master!$B$2:$B$26,MATCH($C2539,medicine_master!$A$2:$A$26,0)),"Not found")</f>
        <v>Pantoprazole 40mg</v>
      </c>
      <c r="H2539" s="39" t="str">
        <f aca="false">IFERROR(INDEX(medicine_master!$C$2:$C$26,MATCH($C2539,medicine_master!$A$2:$A$26,0)),"Not found")</f>
        <v>Gastric</v>
      </c>
      <c r="I2539" s="39" t="n">
        <f aca="false">YEAR(B2539)</f>
        <v>2026</v>
      </c>
      <c r="J2539" s="39" t="n">
        <f aca="false">MONTH(B2539)</f>
        <v>10</v>
      </c>
      <c r="K2539" s="39" t="str">
        <f aca="false">TEXT(B2539,"mmm")</f>
        <v>Oct</v>
      </c>
      <c r="L2539" s="45" t="n">
        <f aca="false">IFERROR(INDEX(medicine_master!$I$2:$I$26,MATCH($C2539,medicine_master!$A$2:$A$26,0)),0)</f>
        <v>35</v>
      </c>
      <c r="M2539" s="45" t="n">
        <f aca="false">IFERROR(INDEX(medicine_master!$G$2:$G$26,MATCH($C2539,medicine_master!$A$2:$A$26,0)),0)</f>
        <v>24</v>
      </c>
      <c r="N2539" s="45" t="n">
        <f aca="false">IF(D2539="Sale",E2539*L2539,0)</f>
        <v>0</v>
      </c>
      <c r="O2539" s="45" t="n">
        <f aca="false">IF(D2539="Sale",E2539*M2539,0)</f>
        <v>0</v>
      </c>
      <c r="P2539" s="45" t="n">
        <f aca="false">N2539-O2539</f>
        <v>0</v>
      </c>
      <c r="Q2539" s="45" t="n">
        <f aca="false">IF(D2539="Purchase",E2539*M2539,0)</f>
        <v>720</v>
      </c>
    </row>
    <row r="2540" customFormat="false" ht="15" hidden="false" customHeight="false" outlineLevel="0" collapsed="false">
      <c r="A2540" s="39" t="s">
        <v>2864</v>
      </c>
      <c r="B2540" s="44" t="n">
        <v>46115</v>
      </c>
      <c r="C2540" s="39" t="s">
        <v>150</v>
      </c>
      <c r="D2540" s="39" t="s">
        <v>137</v>
      </c>
      <c r="E2540" s="39" t="n">
        <v>20</v>
      </c>
      <c r="F2540" s="39" t="str">
        <f aca="false">IF(COUNTIF(medicine_master!$A$2:$A$26,C2540)&gt;0,"Valid","Invalid")</f>
        <v>Valid</v>
      </c>
      <c r="G2540" s="39" t="str">
        <f aca="false">IFERROR(INDEX(medicine_master!$B$2:$B$26,MATCH($C2540,medicine_master!$A$2:$A$26,0)),"Not found")</f>
        <v>Pantoprazole 40mg</v>
      </c>
      <c r="H2540" s="39" t="str">
        <f aca="false">IFERROR(INDEX(medicine_master!$C$2:$C$26,MATCH($C2540,medicine_master!$A$2:$A$26,0)),"Not found")</f>
        <v>Gastric</v>
      </c>
      <c r="I2540" s="39" t="n">
        <f aca="false">YEAR(B2540)</f>
        <v>2026</v>
      </c>
      <c r="J2540" s="39" t="n">
        <f aca="false">MONTH(B2540)</f>
        <v>4</v>
      </c>
      <c r="K2540" s="39" t="str">
        <f aca="false">TEXT(B2540,"mmm")</f>
        <v>Apr</v>
      </c>
      <c r="L2540" s="45" t="n">
        <f aca="false">IFERROR(INDEX(medicine_master!$I$2:$I$26,MATCH($C2540,medicine_master!$A$2:$A$26,0)),0)</f>
        <v>35</v>
      </c>
      <c r="M2540" s="45" t="n">
        <f aca="false">IFERROR(INDEX(medicine_master!$G$2:$G$26,MATCH($C2540,medicine_master!$A$2:$A$26,0)),0)</f>
        <v>24</v>
      </c>
      <c r="N2540" s="45" t="n">
        <f aca="false">IF(D2540="Sale",E2540*L2540,0)</f>
        <v>700</v>
      </c>
      <c r="O2540" s="45" t="n">
        <f aca="false">IF(D2540="Sale",E2540*M2540,0)</f>
        <v>480</v>
      </c>
      <c r="P2540" s="45" t="n">
        <f aca="false">N2540-O2540</f>
        <v>220</v>
      </c>
      <c r="Q2540" s="45" t="n">
        <f aca="false">IF(D2540="Purchase",E2540*M2540,0)</f>
        <v>0</v>
      </c>
    </row>
    <row r="2541" customFormat="false" ht="15" hidden="false" customHeight="false" outlineLevel="0" collapsed="false">
      <c r="A2541" s="39" t="s">
        <v>2865</v>
      </c>
      <c r="B2541" s="44" t="n">
        <v>46300</v>
      </c>
      <c r="C2541" s="39" t="s">
        <v>150</v>
      </c>
      <c r="D2541" s="39" t="s">
        <v>137</v>
      </c>
      <c r="E2541" s="39" t="n">
        <v>10</v>
      </c>
      <c r="F2541" s="39" t="str">
        <f aca="false">IF(COUNTIF(medicine_master!$A$2:$A$26,C2541)&gt;0,"Valid","Invalid")</f>
        <v>Valid</v>
      </c>
      <c r="G2541" s="39" t="str">
        <f aca="false">IFERROR(INDEX(medicine_master!$B$2:$B$26,MATCH($C2541,medicine_master!$A$2:$A$26,0)),"Not found")</f>
        <v>Pantoprazole 40mg</v>
      </c>
      <c r="H2541" s="39" t="str">
        <f aca="false">IFERROR(INDEX(medicine_master!$C$2:$C$26,MATCH($C2541,medicine_master!$A$2:$A$26,0)),"Not found")</f>
        <v>Gastric</v>
      </c>
      <c r="I2541" s="39" t="n">
        <f aca="false">YEAR(B2541)</f>
        <v>2026</v>
      </c>
      <c r="J2541" s="39" t="n">
        <f aca="false">MONTH(B2541)</f>
        <v>10</v>
      </c>
      <c r="K2541" s="39" t="str">
        <f aca="false">TEXT(B2541,"mmm")</f>
        <v>Oct</v>
      </c>
      <c r="L2541" s="45" t="n">
        <f aca="false">IFERROR(INDEX(medicine_master!$I$2:$I$26,MATCH($C2541,medicine_master!$A$2:$A$26,0)),0)</f>
        <v>35</v>
      </c>
      <c r="M2541" s="45" t="n">
        <f aca="false">IFERROR(INDEX(medicine_master!$G$2:$G$26,MATCH($C2541,medicine_master!$A$2:$A$26,0)),0)</f>
        <v>24</v>
      </c>
      <c r="N2541" s="45" t="n">
        <f aca="false">IF(D2541="Sale",E2541*L2541,0)</f>
        <v>350</v>
      </c>
      <c r="O2541" s="45" t="n">
        <f aca="false">IF(D2541="Sale",E2541*M2541,0)</f>
        <v>240</v>
      </c>
      <c r="P2541" s="45" t="n">
        <f aca="false">N2541-O2541</f>
        <v>110</v>
      </c>
      <c r="Q2541" s="45" t="n">
        <f aca="false">IF(D2541="Purchase",E2541*M2541,0)</f>
        <v>0</v>
      </c>
    </row>
    <row r="2542" customFormat="false" ht="15" hidden="false" customHeight="false" outlineLevel="0" collapsed="false">
      <c r="A2542" s="39" t="s">
        <v>2866</v>
      </c>
      <c r="B2542" s="44" t="n">
        <v>46325</v>
      </c>
      <c r="C2542" s="39" t="s">
        <v>495</v>
      </c>
      <c r="D2542" s="39" t="s">
        <v>138</v>
      </c>
      <c r="E2542" s="39" t="n">
        <v>50</v>
      </c>
      <c r="F2542" s="39" t="str">
        <f aca="false">IF(COUNTIF(medicine_master!$A$2:$A$26,C2542)&gt;0,"Valid","Invalid")</f>
        <v>Valid</v>
      </c>
      <c r="G2542" s="39" t="str">
        <f aca="false">IFERROR(INDEX(medicine_master!$B$2:$B$26,MATCH($C2542,medicine_master!$A$2:$A$26,0)),"Not found")</f>
        <v>Metformin 500mg</v>
      </c>
      <c r="H2542" s="39" t="str">
        <f aca="false">IFERROR(INDEX(medicine_master!$C$2:$C$26,MATCH($C2542,medicine_master!$A$2:$A$26,0)),"Not found")</f>
        <v>Diabetes</v>
      </c>
      <c r="I2542" s="39" t="n">
        <f aca="false">YEAR(B2542)</f>
        <v>2026</v>
      </c>
      <c r="J2542" s="39" t="n">
        <f aca="false">MONTH(B2542)</f>
        <v>10</v>
      </c>
      <c r="K2542" s="39" t="str">
        <f aca="false">TEXT(B2542,"mmm")</f>
        <v>Oct</v>
      </c>
      <c r="L2542" s="45" t="n">
        <f aca="false">IFERROR(INDEX(medicine_master!$I$2:$I$26,MATCH($C2542,medicine_master!$A$2:$A$26,0)),0)</f>
        <v>24</v>
      </c>
      <c r="M2542" s="45" t="n">
        <f aca="false">IFERROR(INDEX(medicine_master!$G$2:$G$26,MATCH($C2542,medicine_master!$A$2:$A$26,0)),0)</f>
        <v>16</v>
      </c>
      <c r="N2542" s="45" t="n">
        <f aca="false">IF(D2542="Sale",E2542*L2542,0)</f>
        <v>0</v>
      </c>
      <c r="O2542" s="45" t="n">
        <f aca="false">IF(D2542="Sale",E2542*M2542,0)</f>
        <v>0</v>
      </c>
      <c r="P2542" s="45" t="n">
        <f aca="false">N2542-O2542</f>
        <v>0</v>
      </c>
      <c r="Q2542" s="45" t="n">
        <f aca="false">IF(D2542="Purchase",E2542*M2542,0)</f>
        <v>800</v>
      </c>
    </row>
    <row r="2543" customFormat="false" ht="15" hidden="false" customHeight="false" outlineLevel="0" collapsed="false">
      <c r="A2543" s="39" t="s">
        <v>2867</v>
      </c>
      <c r="B2543" s="44" t="n">
        <v>46323</v>
      </c>
      <c r="C2543" s="39" t="s">
        <v>495</v>
      </c>
      <c r="D2543" s="39" t="s">
        <v>138</v>
      </c>
      <c r="E2543" s="39" t="n">
        <v>50</v>
      </c>
      <c r="F2543" s="39" t="str">
        <f aca="false">IF(COUNTIF(medicine_master!$A$2:$A$26,C2543)&gt;0,"Valid","Invalid")</f>
        <v>Valid</v>
      </c>
      <c r="G2543" s="39" t="str">
        <f aca="false">IFERROR(INDEX(medicine_master!$B$2:$B$26,MATCH($C2543,medicine_master!$A$2:$A$26,0)),"Not found")</f>
        <v>Metformin 500mg</v>
      </c>
      <c r="H2543" s="39" t="str">
        <f aca="false">IFERROR(INDEX(medicine_master!$C$2:$C$26,MATCH($C2543,medicine_master!$A$2:$A$26,0)),"Not found")</f>
        <v>Diabetes</v>
      </c>
      <c r="I2543" s="39" t="n">
        <f aca="false">YEAR(B2543)</f>
        <v>2026</v>
      </c>
      <c r="J2543" s="39" t="n">
        <f aca="false">MONTH(B2543)</f>
        <v>10</v>
      </c>
      <c r="K2543" s="39" t="str">
        <f aca="false">TEXT(B2543,"mmm")</f>
        <v>Oct</v>
      </c>
      <c r="L2543" s="45" t="n">
        <f aca="false">IFERROR(INDEX(medicine_master!$I$2:$I$26,MATCH($C2543,medicine_master!$A$2:$A$26,0)),0)</f>
        <v>24</v>
      </c>
      <c r="M2543" s="45" t="n">
        <f aca="false">IFERROR(INDEX(medicine_master!$G$2:$G$26,MATCH($C2543,medicine_master!$A$2:$A$26,0)),0)</f>
        <v>16</v>
      </c>
      <c r="N2543" s="45" t="n">
        <f aca="false">IF(D2543="Sale",E2543*L2543,0)</f>
        <v>0</v>
      </c>
      <c r="O2543" s="45" t="n">
        <f aca="false">IF(D2543="Sale",E2543*M2543,0)</f>
        <v>0</v>
      </c>
      <c r="P2543" s="45" t="n">
        <f aca="false">N2543-O2543</f>
        <v>0</v>
      </c>
      <c r="Q2543" s="45" t="n">
        <f aca="false">IF(D2543="Purchase",E2543*M2543,0)</f>
        <v>800</v>
      </c>
    </row>
    <row r="2544" customFormat="false" ht="15" hidden="false" customHeight="false" outlineLevel="0" collapsed="false">
      <c r="A2544" s="39" t="s">
        <v>2868</v>
      </c>
      <c r="B2544" s="44" t="n">
        <v>46031</v>
      </c>
      <c r="C2544" s="39" t="s">
        <v>495</v>
      </c>
      <c r="D2544" s="39" t="s">
        <v>137</v>
      </c>
      <c r="E2544" s="39" t="n">
        <v>40</v>
      </c>
      <c r="F2544" s="39" t="str">
        <f aca="false">IF(COUNTIF(medicine_master!$A$2:$A$26,C2544)&gt;0,"Valid","Invalid")</f>
        <v>Valid</v>
      </c>
      <c r="G2544" s="39" t="str">
        <f aca="false">IFERROR(INDEX(medicine_master!$B$2:$B$26,MATCH($C2544,medicine_master!$A$2:$A$26,0)),"Not found")</f>
        <v>Metformin 500mg</v>
      </c>
      <c r="H2544" s="39" t="str">
        <f aca="false">IFERROR(INDEX(medicine_master!$C$2:$C$26,MATCH($C2544,medicine_master!$A$2:$A$26,0)),"Not found")</f>
        <v>Diabetes</v>
      </c>
      <c r="I2544" s="39" t="n">
        <f aca="false">YEAR(B2544)</f>
        <v>2026</v>
      </c>
      <c r="J2544" s="39" t="n">
        <f aca="false">MONTH(B2544)</f>
        <v>1</v>
      </c>
      <c r="K2544" s="39" t="str">
        <f aca="false">TEXT(B2544,"mmm")</f>
        <v>Jan</v>
      </c>
      <c r="L2544" s="45" t="n">
        <f aca="false">IFERROR(INDEX(medicine_master!$I$2:$I$26,MATCH($C2544,medicine_master!$A$2:$A$26,0)),0)</f>
        <v>24</v>
      </c>
      <c r="M2544" s="45" t="n">
        <f aca="false">IFERROR(INDEX(medicine_master!$G$2:$G$26,MATCH($C2544,medicine_master!$A$2:$A$26,0)),0)</f>
        <v>16</v>
      </c>
      <c r="N2544" s="45" t="n">
        <f aca="false">IF(D2544="Sale",E2544*L2544,0)</f>
        <v>960</v>
      </c>
      <c r="O2544" s="45" t="n">
        <f aca="false">IF(D2544="Sale",E2544*M2544,0)</f>
        <v>640</v>
      </c>
      <c r="P2544" s="45" t="n">
        <f aca="false">N2544-O2544</f>
        <v>320</v>
      </c>
      <c r="Q2544" s="45" t="n">
        <f aca="false">IF(D2544="Purchase",E2544*M2544,0)</f>
        <v>0</v>
      </c>
    </row>
    <row r="2545" customFormat="false" ht="15" hidden="false" customHeight="false" outlineLevel="0" collapsed="false">
      <c r="A2545" s="39" t="s">
        <v>2869</v>
      </c>
      <c r="B2545" s="44" t="n">
        <v>46035</v>
      </c>
      <c r="C2545" s="39" t="s">
        <v>495</v>
      </c>
      <c r="D2545" s="39" t="s">
        <v>137</v>
      </c>
      <c r="E2545" s="39" t="n">
        <v>30</v>
      </c>
      <c r="F2545" s="39" t="str">
        <f aca="false">IF(COUNTIF(medicine_master!$A$2:$A$26,C2545)&gt;0,"Valid","Invalid")</f>
        <v>Valid</v>
      </c>
      <c r="G2545" s="39" t="str">
        <f aca="false">IFERROR(INDEX(medicine_master!$B$2:$B$26,MATCH($C2545,medicine_master!$A$2:$A$26,0)),"Not found")</f>
        <v>Metformin 500mg</v>
      </c>
      <c r="H2545" s="39" t="str">
        <f aca="false">IFERROR(INDEX(medicine_master!$C$2:$C$26,MATCH($C2545,medicine_master!$A$2:$A$26,0)),"Not found")</f>
        <v>Diabetes</v>
      </c>
      <c r="I2545" s="39" t="n">
        <f aca="false">YEAR(B2545)</f>
        <v>2026</v>
      </c>
      <c r="J2545" s="39" t="n">
        <f aca="false">MONTH(B2545)</f>
        <v>1</v>
      </c>
      <c r="K2545" s="39" t="str">
        <f aca="false">TEXT(B2545,"mmm")</f>
        <v>Jan</v>
      </c>
      <c r="L2545" s="45" t="n">
        <f aca="false">IFERROR(INDEX(medicine_master!$I$2:$I$26,MATCH($C2545,medicine_master!$A$2:$A$26,0)),0)</f>
        <v>24</v>
      </c>
      <c r="M2545" s="45" t="n">
        <f aca="false">IFERROR(INDEX(medicine_master!$G$2:$G$26,MATCH($C2545,medicine_master!$A$2:$A$26,0)),0)</f>
        <v>16</v>
      </c>
      <c r="N2545" s="45" t="n">
        <f aca="false">IF(D2545="Sale",E2545*L2545,0)</f>
        <v>720</v>
      </c>
      <c r="O2545" s="45" t="n">
        <f aca="false">IF(D2545="Sale",E2545*M2545,0)</f>
        <v>480</v>
      </c>
      <c r="P2545" s="45" t="n">
        <f aca="false">N2545-O2545</f>
        <v>240</v>
      </c>
      <c r="Q2545" s="45" t="n">
        <f aca="false">IF(D2545="Purchase",E2545*M2545,0)</f>
        <v>0</v>
      </c>
    </row>
    <row r="2546" customFormat="false" ht="15" hidden="false" customHeight="false" outlineLevel="0" collapsed="false">
      <c r="A2546" s="39" t="s">
        <v>2870</v>
      </c>
      <c r="B2546" s="44" t="n">
        <v>46194</v>
      </c>
      <c r="C2546" s="39" t="s">
        <v>144</v>
      </c>
      <c r="D2546" s="39" t="s">
        <v>138</v>
      </c>
      <c r="E2546" s="39" t="n">
        <v>50</v>
      </c>
      <c r="F2546" s="39" t="str">
        <f aca="false">IF(COUNTIF(medicine_master!$A$2:$A$26,C2546)&gt;0,"Valid","Invalid")</f>
        <v>Valid</v>
      </c>
      <c r="G2546" s="39" t="str">
        <f aca="false">IFERROR(INDEX(medicine_master!$B$2:$B$26,MATCH($C2546,medicine_master!$A$2:$A$26,0)),"Not found")</f>
        <v>Glimepiride 2mg</v>
      </c>
      <c r="H2546" s="39" t="str">
        <f aca="false">IFERROR(INDEX(medicine_master!$C$2:$C$26,MATCH($C2546,medicine_master!$A$2:$A$26,0)),"Not found")</f>
        <v>Diabetes</v>
      </c>
      <c r="I2546" s="39" t="n">
        <f aca="false">YEAR(B2546)</f>
        <v>2026</v>
      </c>
      <c r="J2546" s="39" t="n">
        <f aca="false">MONTH(B2546)</f>
        <v>6</v>
      </c>
      <c r="K2546" s="39" t="str">
        <f aca="false">TEXT(B2546,"mmm")</f>
        <v>Jun</v>
      </c>
      <c r="L2546" s="45" t="n">
        <f aca="false">IFERROR(INDEX(medicine_master!$I$2:$I$26,MATCH($C2546,medicine_master!$A$2:$A$26,0)),0)</f>
        <v>52</v>
      </c>
      <c r="M2546" s="45" t="n">
        <f aca="false">IFERROR(INDEX(medicine_master!$G$2:$G$26,MATCH($C2546,medicine_master!$A$2:$A$26,0)),0)</f>
        <v>38</v>
      </c>
      <c r="N2546" s="45" t="n">
        <f aca="false">IF(D2546="Sale",E2546*L2546,0)</f>
        <v>0</v>
      </c>
      <c r="O2546" s="45" t="n">
        <f aca="false">IF(D2546="Sale",E2546*M2546,0)</f>
        <v>0</v>
      </c>
      <c r="P2546" s="45" t="n">
        <f aca="false">N2546-O2546</f>
        <v>0</v>
      </c>
      <c r="Q2546" s="45" t="n">
        <f aca="false">IF(D2546="Purchase",E2546*M2546,0)</f>
        <v>1900</v>
      </c>
    </row>
    <row r="2547" customFormat="false" ht="15" hidden="false" customHeight="false" outlineLevel="0" collapsed="false">
      <c r="A2547" s="39" t="s">
        <v>2871</v>
      </c>
      <c r="B2547" s="44" t="n">
        <v>46349</v>
      </c>
      <c r="C2547" s="39" t="s">
        <v>144</v>
      </c>
      <c r="D2547" s="39" t="s">
        <v>138</v>
      </c>
      <c r="E2547" s="39" t="n">
        <v>50</v>
      </c>
      <c r="F2547" s="39" t="str">
        <f aca="false">IF(COUNTIF(medicine_master!$A$2:$A$26,C2547)&gt;0,"Valid","Invalid")</f>
        <v>Valid</v>
      </c>
      <c r="G2547" s="39" t="str">
        <f aca="false">IFERROR(INDEX(medicine_master!$B$2:$B$26,MATCH($C2547,medicine_master!$A$2:$A$26,0)),"Not found")</f>
        <v>Glimepiride 2mg</v>
      </c>
      <c r="H2547" s="39" t="str">
        <f aca="false">IFERROR(INDEX(medicine_master!$C$2:$C$26,MATCH($C2547,medicine_master!$A$2:$A$26,0)),"Not found")</f>
        <v>Diabetes</v>
      </c>
      <c r="I2547" s="39" t="n">
        <f aca="false">YEAR(B2547)</f>
        <v>2026</v>
      </c>
      <c r="J2547" s="39" t="n">
        <f aca="false">MONTH(B2547)</f>
        <v>11</v>
      </c>
      <c r="K2547" s="39" t="str">
        <f aca="false">TEXT(B2547,"mmm")</f>
        <v>Nov</v>
      </c>
      <c r="L2547" s="45" t="n">
        <f aca="false">IFERROR(INDEX(medicine_master!$I$2:$I$26,MATCH($C2547,medicine_master!$A$2:$A$26,0)),0)</f>
        <v>52</v>
      </c>
      <c r="M2547" s="45" t="n">
        <f aca="false">IFERROR(INDEX(medicine_master!$G$2:$G$26,MATCH($C2547,medicine_master!$A$2:$A$26,0)),0)</f>
        <v>38</v>
      </c>
      <c r="N2547" s="45" t="n">
        <f aca="false">IF(D2547="Sale",E2547*L2547,0)</f>
        <v>0</v>
      </c>
      <c r="O2547" s="45" t="n">
        <f aca="false">IF(D2547="Sale",E2547*M2547,0)</f>
        <v>0</v>
      </c>
      <c r="P2547" s="45" t="n">
        <f aca="false">N2547-O2547</f>
        <v>0</v>
      </c>
      <c r="Q2547" s="45" t="n">
        <f aca="false">IF(D2547="Purchase",E2547*M2547,0)</f>
        <v>1900</v>
      </c>
    </row>
    <row r="2548" customFormat="false" ht="15" hidden="false" customHeight="false" outlineLevel="0" collapsed="false">
      <c r="A2548" s="39" t="s">
        <v>2872</v>
      </c>
      <c r="B2548" s="44" t="n">
        <v>46098</v>
      </c>
      <c r="C2548" s="39" t="s">
        <v>144</v>
      </c>
      <c r="D2548" s="39" t="s">
        <v>137</v>
      </c>
      <c r="E2548" s="39" t="n">
        <v>40</v>
      </c>
      <c r="F2548" s="39" t="str">
        <f aca="false">IF(COUNTIF(medicine_master!$A$2:$A$26,C2548)&gt;0,"Valid","Invalid")</f>
        <v>Valid</v>
      </c>
      <c r="G2548" s="39" t="str">
        <f aca="false">IFERROR(INDEX(medicine_master!$B$2:$B$26,MATCH($C2548,medicine_master!$A$2:$A$26,0)),"Not found")</f>
        <v>Glimepiride 2mg</v>
      </c>
      <c r="H2548" s="39" t="str">
        <f aca="false">IFERROR(INDEX(medicine_master!$C$2:$C$26,MATCH($C2548,medicine_master!$A$2:$A$26,0)),"Not found")</f>
        <v>Diabetes</v>
      </c>
      <c r="I2548" s="39" t="n">
        <f aca="false">YEAR(B2548)</f>
        <v>2026</v>
      </c>
      <c r="J2548" s="39" t="n">
        <f aca="false">MONTH(B2548)</f>
        <v>3</v>
      </c>
      <c r="K2548" s="39" t="str">
        <f aca="false">TEXT(B2548,"mmm")</f>
        <v>Mar</v>
      </c>
      <c r="L2548" s="45" t="n">
        <f aca="false">IFERROR(INDEX(medicine_master!$I$2:$I$26,MATCH($C2548,medicine_master!$A$2:$A$26,0)),0)</f>
        <v>52</v>
      </c>
      <c r="M2548" s="45" t="n">
        <f aca="false">IFERROR(INDEX(medicine_master!$G$2:$G$26,MATCH($C2548,medicine_master!$A$2:$A$26,0)),0)</f>
        <v>38</v>
      </c>
      <c r="N2548" s="45" t="n">
        <f aca="false">IF(D2548="Sale",E2548*L2548,0)</f>
        <v>2080</v>
      </c>
      <c r="O2548" s="45" t="n">
        <f aca="false">IF(D2548="Sale",E2548*M2548,0)</f>
        <v>1520</v>
      </c>
      <c r="P2548" s="45" t="n">
        <f aca="false">N2548-O2548</f>
        <v>560</v>
      </c>
      <c r="Q2548" s="45" t="n">
        <f aca="false">IF(D2548="Purchase",E2548*M2548,0)</f>
        <v>0</v>
      </c>
    </row>
    <row r="2549" customFormat="false" ht="15" hidden="false" customHeight="false" outlineLevel="0" collapsed="false">
      <c r="A2549" s="39" t="s">
        <v>2873</v>
      </c>
      <c r="B2549" s="44" t="n">
        <v>46083</v>
      </c>
      <c r="C2549" s="39" t="s">
        <v>144</v>
      </c>
      <c r="D2549" s="39" t="s">
        <v>137</v>
      </c>
      <c r="E2549" s="39" t="n">
        <v>10</v>
      </c>
      <c r="F2549" s="39" t="str">
        <f aca="false">IF(COUNTIF(medicine_master!$A$2:$A$26,C2549)&gt;0,"Valid","Invalid")</f>
        <v>Valid</v>
      </c>
      <c r="G2549" s="39" t="str">
        <f aca="false">IFERROR(INDEX(medicine_master!$B$2:$B$26,MATCH($C2549,medicine_master!$A$2:$A$26,0)),"Not found")</f>
        <v>Glimepiride 2mg</v>
      </c>
      <c r="H2549" s="39" t="str">
        <f aca="false">IFERROR(INDEX(medicine_master!$C$2:$C$26,MATCH($C2549,medicine_master!$A$2:$A$26,0)),"Not found")</f>
        <v>Diabetes</v>
      </c>
      <c r="I2549" s="39" t="n">
        <f aca="false">YEAR(B2549)</f>
        <v>2026</v>
      </c>
      <c r="J2549" s="39" t="n">
        <f aca="false">MONTH(B2549)</f>
        <v>3</v>
      </c>
      <c r="K2549" s="39" t="str">
        <f aca="false">TEXT(B2549,"mmm")</f>
        <v>Mar</v>
      </c>
      <c r="L2549" s="45" t="n">
        <f aca="false">IFERROR(INDEX(medicine_master!$I$2:$I$26,MATCH($C2549,medicine_master!$A$2:$A$26,0)),0)</f>
        <v>52</v>
      </c>
      <c r="M2549" s="45" t="n">
        <f aca="false">IFERROR(INDEX(medicine_master!$G$2:$G$26,MATCH($C2549,medicine_master!$A$2:$A$26,0)),0)</f>
        <v>38</v>
      </c>
      <c r="N2549" s="45" t="n">
        <f aca="false">IF(D2549="Sale",E2549*L2549,0)</f>
        <v>520</v>
      </c>
      <c r="O2549" s="45" t="n">
        <f aca="false">IF(D2549="Sale",E2549*M2549,0)</f>
        <v>380</v>
      </c>
      <c r="P2549" s="45" t="n">
        <f aca="false">N2549-O2549</f>
        <v>140</v>
      </c>
      <c r="Q2549" s="45" t="n">
        <f aca="false">IF(D2549="Purchase",E2549*M2549,0)</f>
        <v>0</v>
      </c>
    </row>
    <row r="2550" customFormat="false" ht="15" hidden="false" customHeight="false" outlineLevel="0" collapsed="false">
      <c r="A2550" s="39" t="s">
        <v>2874</v>
      </c>
      <c r="B2550" s="44" t="n">
        <v>46267</v>
      </c>
      <c r="C2550" s="39" t="s">
        <v>167</v>
      </c>
      <c r="D2550" s="39" t="s">
        <v>138</v>
      </c>
      <c r="E2550" s="39" t="n">
        <v>50</v>
      </c>
      <c r="F2550" s="39" t="str">
        <f aca="false">IF(COUNTIF(medicine_master!$A$2:$A$26,C2550)&gt;0,"Valid","Invalid")</f>
        <v>Valid</v>
      </c>
      <c r="G2550" s="39" t="str">
        <f aca="false">IFERROR(INDEX(medicine_master!$B$2:$B$26,MATCH($C2550,medicine_master!$A$2:$A$26,0)),"Not found")</f>
        <v>Amlodipine 5mg</v>
      </c>
      <c r="H2550" s="39" t="str">
        <f aca="false">IFERROR(INDEX(medicine_master!$C$2:$C$26,MATCH($C2550,medicine_master!$A$2:$A$26,0)),"Not found")</f>
        <v>Cardiac</v>
      </c>
      <c r="I2550" s="39" t="n">
        <f aca="false">YEAR(B2550)</f>
        <v>2026</v>
      </c>
      <c r="J2550" s="39" t="n">
        <f aca="false">MONTH(B2550)</f>
        <v>9</v>
      </c>
      <c r="K2550" s="39" t="str">
        <f aca="false">TEXT(B2550,"mmm")</f>
        <v>Sep</v>
      </c>
      <c r="L2550" s="45" t="n">
        <f aca="false">IFERROR(INDEX(medicine_master!$I$2:$I$26,MATCH($C2550,medicine_master!$A$2:$A$26,0)),0)</f>
        <v>19</v>
      </c>
      <c r="M2550" s="45" t="n">
        <f aca="false">IFERROR(INDEX(medicine_master!$G$2:$G$26,MATCH($C2550,medicine_master!$A$2:$A$26,0)),0)</f>
        <v>13</v>
      </c>
      <c r="N2550" s="45" t="n">
        <f aca="false">IF(D2550="Sale",E2550*L2550,0)</f>
        <v>0</v>
      </c>
      <c r="O2550" s="45" t="n">
        <f aca="false">IF(D2550="Sale",E2550*M2550,0)</f>
        <v>0</v>
      </c>
      <c r="P2550" s="45" t="n">
        <f aca="false">N2550-O2550</f>
        <v>0</v>
      </c>
      <c r="Q2550" s="45" t="n">
        <f aca="false">IF(D2550="Purchase",E2550*M2550,0)</f>
        <v>650</v>
      </c>
    </row>
    <row r="2551" customFormat="false" ht="15" hidden="false" customHeight="false" outlineLevel="0" collapsed="false">
      <c r="A2551" s="39" t="s">
        <v>2875</v>
      </c>
      <c r="B2551" s="44" t="n">
        <v>46177</v>
      </c>
      <c r="C2551" s="39" t="s">
        <v>167</v>
      </c>
      <c r="D2551" s="39" t="s">
        <v>138</v>
      </c>
      <c r="E2551" s="39" t="n">
        <v>10</v>
      </c>
      <c r="F2551" s="39" t="str">
        <f aca="false">IF(COUNTIF(medicine_master!$A$2:$A$26,C2551)&gt;0,"Valid","Invalid")</f>
        <v>Valid</v>
      </c>
      <c r="G2551" s="39" t="str">
        <f aca="false">IFERROR(INDEX(medicine_master!$B$2:$B$26,MATCH($C2551,medicine_master!$A$2:$A$26,0)),"Not found")</f>
        <v>Amlodipine 5mg</v>
      </c>
      <c r="H2551" s="39" t="str">
        <f aca="false">IFERROR(INDEX(medicine_master!$C$2:$C$26,MATCH($C2551,medicine_master!$A$2:$A$26,0)),"Not found")</f>
        <v>Cardiac</v>
      </c>
      <c r="I2551" s="39" t="n">
        <f aca="false">YEAR(B2551)</f>
        <v>2026</v>
      </c>
      <c r="J2551" s="39" t="n">
        <f aca="false">MONTH(B2551)</f>
        <v>6</v>
      </c>
      <c r="K2551" s="39" t="str">
        <f aca="false">TEXT(B2551,"mmm")</f>
        <v>Jun</v>
      </c>
      <c r="L2551" s="45" t="n">
        <f aca="false">IFERROR(INDEX(medicine_master!$I$2:$I$26,MATCH($C2551,medicine_master!$A$2:$A$26,0)),0)</f>
        <v>19</v>
      </c>
      <c r="M2551" s="45" t="n">
        <f aca="false">IFERROR(INDEX(medicine_master!$G$2:$G$26,MATCH($C2551,medicine_master!$A$2:$A$26,0)),0)</f>
        <v>13</v>
      </c>
      <c r="N2551" s="45" t="n">
        <f aca="false">IF(D2551="Sale",E2551*L2551,0)</f>
        <v>0</v>
      </c>
      <c r="O2551" s="45" t="n">
        <f aca="false">IF(D2551="Sale",E2551*M2551,0)</f>
        <v>0</v>
      </c>
      <c r="P2551" s="45" t="n">
        <f aca="false">N2551-O2551</f>
        <v>0</v>
      </c>
      <c r="Q2551" s="45" t="n">
        <f aca="false">IF(D2551="Purchase",E2551*M2551,0)</f>
        <v>130</v>
      </c>
    </row>
    <row r="2552" customFormat="false" ht="15" hidden="false" customHeight="false" outlineLevel="0" collapsed="false">
      <c r="A2552" s="39" t="s">
        <v>2876</v>
      </c>
      <c r="B2552" s="44" t="n">
        <v>46266</v>
      </c>
      <c r="C2552" s="39" t="s">
        <v>167</v>
      </c>
      <c r="D2552" s="39" t="s">
        <v>137</v>
      </c>
      <c r="E2552" s="39" t="n">
        <v>20</v>
      </c>
      <c r="F2552" s="39" t="str">
        <f aca="false">IF(COUNTIF(medicine_master!$A$2:$A$26,C2552)&gt;0,"Valid","Invalid")</f>
        <v>Valid</v>
      </c>
      <c r="G2552" s="39" t="str">
        <f aca="false">IFERROR(INDEX(medicine_master!$B$2:$B$26,MATCH($C2552,medicine_master!$A$2:$A$26,0)),"Not found")</f>
        <v>Amlodipine 5mg</v>
      </c>
      <c r="H2552" s="39" t="str">
        <f aca="false">IFERROR(INDEX(medicine_master!$C$2:$C$26,MATCH($C2552,medicine_master!$A$2:$A$26,0)),"Not found")</f>
        <v>Cardiac</v>
      </c>
      <c r="I2552" s="39" t="n">
        <f aca="false">YEAR(B2552)</f>
        <v>2026</v>
      </c>
      <c r="J2552" s="39" t="n">
        <f aca="false">MONTH(B2552)</f>
        <v>9</v>
      </c>
      <c r="K2552" s="39" t="str">
        <f aca="false">TEXT(B2552,"mmm")</f>
        <v>Sep</v>
      </c>
      <c r="L2552" s="45" t="n">
        <f aca="false">IFERROR(INDEX(medicine_master!$I$2:$I$26,MATCH($C2552,medicine_master!$A$2:$A$26,0)),0)</f>
        <v>19</v>
      </c>
      <c r="M2552" s="45" t="n">
        <f aca="false">IFERROR(INDEX(medicine_master!$G$2:$G$26,MATCH($C2552,medicine_master!$A$2:$A$26,0)),0)</f>
        <v>13</v>
      </c>
      <c r="N2552" s="45" t="n">
        <f aca="false">IF(D2552="Sale",E2552*L2552,0)</f>
        <v>380</v>
      </c>
      <c r="O2552" s="45" t="n">
        <f aca="false">IF(D2552="Sale",E2552*M2552,0)</f>
        <v>260</v>
      </c>
      <c r="P2552" s="45" t="n">
        <f aca="false">N2552-O2552</f>
        <v>120</v>
      </c>
      <c r="Q2552" s="45" t="n">
        <f aca="false">IF(D2552="Purchase",E2552*M2552,0)</f>
        <v>0</v>
      </c>
    </row>
    <row r="2553" customFormat="false" ht="15" hidden="false" customHeight="false" outlineLevel="0" collapsed="false">
      <c r="A2553" s="39" t="s">
        <v>2877</v>
      </c>
      <c r="B2553" s="44" t="n">
        <v>46090</v>
      </c>
      <c r="C2553" s="39" t="s">
        <v>167</v>
      </c>
      <c r="D2553" s="39" t="s">
        <v>137</v>
      </c>
      <c r="E2553" s="39" t="n">
        <v>50</v>
      </c>
      <c r="F2553" s="39" t="str">
        <f aca="false">IF(COUNTIF(medicine_master!$A$2:$A$26,C2553)&gt;0,"Valid","Invalid")</f>
        <v>Valid</v>
      </c>
      <c r="G2553" s="39" t="str">
        <f aca="false">IFERROR(INDEX(medicine_master!$B$2:$B$26,MATCH($C2553,medicine_master!$A$2:$A$26,0)),"Not found")</f>
        <v>Amlodipine 5mg</v>
      </c>
      <c r="H2553" s="39" t="str">
        <f aca="false">IFERROR(INDEX(medicine_master!$C$2:$C$26,MATCH($C2553,medicine_master!$A$2:$A$26,0)),"Not found")</f>
        <v>Cardiac</v>
      </c>
      <c r="I2553" s="39" t="n">
        <f aca="false">YEAR(B2553)</f>
        <v>2026</v>
      </c>
      <c r="J2553" s="39" t="n">
        <f aca="false">MONTH(B2553)</f>
        <v>3</v>
      </c>
      <c r="K2553" s="39" t="str">
        <f aca="false">TEXT(B2553,"mmm")</f>
        <v>Mar</v>
      </c>
      <c r="L2553" s="45" t="n">
        <f aca="false">IFERROR(INDEX(medicine_master!$I$2:$I$26,MATCH($C2553,medicine_master!$A$2:$A$26,0)),0)</f>
        <v>19</v>
      </c>
      <c r="M2553" s="45" t="n">
        <f aca="false">IFERROR(INDEX(medicine_master!$G$2:$G$26,MATCH($C2553,medicine_master!$A$2:$A$26,0)),0)</f>
        <v>13</v>
      </c>
      <c r="N2553" s="45" t="n">
        <f aca="false">IF(D2553="Sale",E2553*L2553,0)</f>
        <v>950</v>
      </c>
      <c r="O2553" s="45" t="n">
        <f aca="false">IF(D2553="Sale",E2553*M2553,0)</f>
        <v>650</v>
      </c>
      <c r="P2553" s="45" t="n">
        <f aca="false">N2553-O2553</f>
        <v>300</v>
      </c>
      <c r="Q2553" s="45" t="n">
        <f aca="false">IF(D2553="Purchase",E2553*M2553,0)</f>
        <v>0</v>
      </c>
    </row>
    <row r="2554" customFormat="false" ht="15" hidden="false" customHeight="false" outlineLevel="0" collapsed="false">
      <c r="A2554" s="39" t="s">
        <v>2878</v>
      </c>
      <c r="B2554" s="44" t="n">
        <v>46183</v>
      </c>
      <c r="C2554" s="39" t="s">
        <v>153</v>
      </c>
      <c r="D2554" s="39" t="s">
        <v>138</v>
      </c>
      <c r="E2554" s="39" t="n">
        <v>10</v>
      </c>
      <c r="F2554" s="39" t="str">
        <f aca="false">IF(COUNTIF(medicine_master!$A$2:$A$26,C2554)&gt;0,"Valid","Invalid")</f>
        <v>Valid</v>
      </c>
      <c r="G2554" s="39" t="str">
        <f aca="false">IFERROR(INDEX(medicine_master!$B$2:$B$26,MATCH($C2554,medicine_master!$A$2:$A$26,0)),"Not found")</f>
        <v>Atorvastatin 10mg</v>
      </c>
      <c r="H2554" s="39" t="str">
        <f aca="false">IFERROR(INDEX(medicine_master!$C$2:$C$26,MATCH($C2554,medicine_master!$A$2:$A$26,0)),"Not found")</f>
        <v>Cardiac</v>
      </c>
      <c r="I2554" s="39" t="n">
        <f aca="false">YEAR(B2554)</f>
        <v>2026</v>
      </c>
      <c r="J2554" s="39" t="n">
        <f aca="false">MONTH(B2554)</f>
        <v>6</v>
      </c>
      <c r="K2554" s="39" t="str">
        <f aca="false">TEXT(B2554,"mmm")</f>
        <v>Jun</v>
      </c>
      <c r="L2554" s="45" t="n">
        <f aca="false">IFERROR(INDEX(medicine_master!$I$2:$I$26,MATCH($C2554,medicine_master!$A$2:$A$26,0)),0)</f>
        <v>28</v>
      </c>
      <c r="M2554" s="45" t="n">
        <f aca="false">IFERROR(INDEX(medicine_master!$G$2:$G$26,MATCH($C2554,medicine_master!$A$2:$A$26,0)),0)</f>
        <v>19</v>
      </c>
      <c r="N2554" s="45" t="n">
        <f aca="false">IF(D2554="Sale",E2554*L2554,0)</f>
        <v>0</v>
      </c>
      <c r="O2554" s="45" t="n">
        <f aca="false">IF(D2554="Sale",E2554*M2554,0)</f>
        <v>0</v>
      </c>
      <c r="P2554" s="45" t="n">
        <f aca="false">N2554-O2554</f>
        <v>0</v>
      </c>
      <c r="Q2554" s="45" t="n">
        <f aca="false">IF(D2554="Purchase",E2554*M2554,0)</f>
        <v>190</v>
      </c>
    </row>
    <row r="2555" customFormat="false" ht="15" hidden="false" customHeight="false" outlineLevel="0" collapsed="false">
      <c r="A2555" s="39" t="s">
        <v>2879</v>
      </c>
      <c r="B2555" s="44" t="n">
        <v>46281</v>
      </c>
      <c r="C2555" s="39" t="s">
        <v>153</v>
      </c>
      <c r="D2555" s="39" t="s">
        <v>138</v>
      </c>
      <c r="E2555" s="39" t="n">
        <v>40</v>
      </c>
      <c r="F2555" s="39" t="str">
        <f aca="false">IF(COUNTIF(medicine_master!$A$2:$A$26,C2555)&gt;0,"Valid","Invalid")</f>
        <v>Valid</v>
      </c>
      <c r="G2555" s="39" t="str">
        <f aca="false">IFERROR(INDEX(medicine_master!$B$2:$B$26,MATCH($C2555,medicine_master!$A$2:$A$26,0)),"Not found")</f>
        <v>Atorvastatin 10mg</v>
      </c>
      <c r="H2555" s="39" t="str">
        <f aca="false">IFERROR(INDEX(medicine_master!$C$2:$C$26,MATCH($C2555,medicine_master!$A$2:$A$26,0)),"Not found")</f>
        <v>Cardiac</v>
      </c>
      <c r="I2555" s="39" t="n">
        <f aca="false">YEAR(B2555)</f>
        <v>2026</v>
      </c>
      <c r="J2555" s="39" t="n">
        <f aca="false">MONTH(B2555)</f>
        <v>9</v>
      </c>
      <c r="K2555" s="39" t="str">
        <f aca="false">TEXT(B2555,"mmm")</f>
        <v>Sep</v>
      </c>
      <c r="L2555" s="45" t="n">
        <f aca="false">IFERROR(INDEX(medicine_master!$I$2:$I$26,MATCH($C2555,medicine_master!$A$2:$A$26,0)),0)</f>
        <v>28</v>
      </c>
      <c r="M2555" s="45" t="n">
        <f aca="false">IFERROR(INDEX(medicine_master!$G$2:$G$26,MATCH($C2555,medicine_master!$A$2:$A$26,0)),0)</f>
        <v>19</v>
      </c>
      <c r="N2555" s="45" t="n">
        <f aca="false">IF(D2555="Sale",E2555*L2555,0)</f>
        <v>0</v>
      </c>
      <c r="O2555" s="45" t="n">
        <f aca="false">IF(D2555="Sale",E2555*M2555,0)</f>
        <v>0</v>
      </c>
      <c r="P2555" s="45" t="n">
        <f aca="false">N2555-O2555</f>
        <v>0</v>
      </c>
      <c r="Q2555" s="45" t="n">
        <f aca="false">IF(D2555="Purchase",E2555*M2555,0)</f>
        <v>760</v>
      </c>
    </row>
    <row r="2556" customFormat="false" ht="15" hidden="false" customHeight="false" outlineLevel="0" collapsed="false">
      <c r="A2556" s="39" t="s">
        <v>2880</v>
      </c>
      <c r="B2556" s="44" t="n">
        <v>46329</v>
      </c>
      <c r="C2556" s="39" t="s">
        <v>153</v>
      </c>
      <c r="D2556" s="39" t="s">
        <v>137</v>
      </c>
      <c r="E2556" s="39" t="n">
        <v>20</v>
      </c>
      <c r="F2556" s="39" t="str">
        <f aca="false">IF(COUNTIF(medicine_master!$A$2:$A$26,C2556)&gt;0,"Valid","Invalid")</f>
        <v>Valid</v>
      </c>
      <c r="G2556" s="39" t="str">
        <f aca="false">IFERROR(INDEX(medicine_master!$B$2:$B$26,MATCH($C2556,medicine_master!$A$2:$A$26,0)),"Not found")</f>
        <v>Atorvastatin 10mg</v>
      </c>
      <c r="H2556" s="39" t="str">
        <f aca="false">IFERROR(INDEX(medicine_master!$C$2:$C$26,MATCH($C2556,medicine_master!$A$2:$A$26,0)),"Not found")</f>
        <v>Cardiac</v>
      </c>
      <c r="I2556" s="39" t="n">
        <f aca="false">YEAR(B2556)</f>
        <v>2026</v>
      </c>
      <c r="J2556" s="39" t="n">
        <f aca="false">MONTH(B2556)</f>
        <v>11</v>
      </c>
      <c r="K2556" s="39" t="str">
        <f aca="false">TEXT(B2556,"mmm")</f>
        <v>Nov</v>
      </c>
      <c r="L2556" s="45" t="n">
        <f aca="false">IFERROR(INDEX(medicine_master!$I$2:$I$26,MATCH($C2556,medicine_master!$A$2:$A$26,0)),0)</f>
        <v>28</v>
      </c>
      <c r="M2556" s="45" t="n">
        <f aca="false">IFERROR(INDEX(medicine_master!$G$2:$G$26,MATCH($C2556,medicine_master!$A$2:$A$26,0)),0)</f>
        <v>19</v>
      </c>
      <c r="N2556" s="45" t="n">
        <f aca="false">IF(D2556="Sale",E2556*L2556,0)</f>
        <v>560</v>
      </c>
      <c r="O2556" s="45" t="n">
        <f aca="false">IF(D2556="Sale",E2556*M2556,0)</f>
        <v>380</v>
      </c>
      <c r="P2556" s="45" t="n">
        <f aca="false">N2556-O2556</f>
        <v>180</v>
      </c>
      <c r="Q2556" s="45" t="n">
        <f aca="false">IF(D2556="Purchase",E2556*M2556,0)</f>
        <v>0</v>
      </c>
    </row>
    <row r="2557" customFormat="false" ht="15" hidden="false" customHeight="false" outlineLevel="0" collapsed="false">
      <c r="A2557" s="39" t="s">
        <v>2881</v>
      </c>
      <c r="B2557" s="44" t="n">
        <v>46268</v>
      </c>
      <c r="C2557" s="39" t="s">
        <v>153</v>
      </c>
      <c r="D2557" s="39" t="s">
        <v>137</v>
      </c>
      <c r="E2557" s="39" t="n">
        <v>50</v>
      </c>
      <c r="F2557" s="39" t="str">
        <f aca="false">IF(COUNTIF(medicine_master!$A$2:$A$26,C2557)&gt;0,"Valid","Invalid")</f>
        <v>Valid</v>
      </c>
      <c r="G2557" s="39" t="str">
        <f aca="false">IFERROR(INDEX(medicine_master!$B$2:$B$26,MATCH($C2557,medicine_master!$A$2:$A$26,0)),"Not found")</f>
        <v>Atorvastatin 10mg</v>
      </c>
      <c r="H2557" s="39" t="str">
        <f aca="false">IFERROR(INDEX(medicine_master!$C$2:$C$26,MATCH($C2557,medicine_master!$A$2:$A$26,0)),"Not found")</f>
        <v>Cardiac</v>
      </c>
      <c r="I2557" s="39" t="n">
        <f aca="false">YEAR(B2557)</f>
        <v>2026</v>
      </c>
      <c r="J2557" s="39" t="n">
        <f aca="false">MONTH(B2557)</f>
        <v>9</v>
      </c>
      <c r="K2557" s="39" t="str">
        <f aca="false">TEXT(B2557,"mmm")</f>
        <v>Sep</v>
      </c>
      <c r="L2557" s="45" t="n">
        <f aca="false">IFERROR(INDEX(medicine_master!$I$2:$I$26,MATCH($C2557,medicine_master!$A$2:$A$26,0)),0)</f>
        <v>28</v>
      </c>
      <c r="M2557" s="45" t="n">
        <f aca="false">IFERROR(INDEX(medicine_master!$G$2:$G$26,MATCH($C2557,medicine_master!$A$2:$A$26,0)),0)</f>
        <v>19</v>
      </c>
      <c r="N2557" s="45" t="n">
        <f aca="false">IF(D2557="Sale",E2557*L2557,0)</f>
        <v>1400</v>
      </c>
      <c r="O2557" s="45" t="n">
        <f aca="false">IF(D2557="Sale",E2557*M2557,0)</f>
        <v>950</v>
      </c>
      <c r="P2557" s="45" t="n">
        <f aca="false">N2557-O2557</f>
        <v>450</v>
      </c>
      <c r="Q2557" s="45" t="n">
        <f aca="false">IF(D2557="Purchase",E2557*M2557,0)</f>
        <v>0</v>
      </c>
    </row>
    <row r="2558" customFormat="false" ht="15" hidden="false" customHeight="false" outlineLevel="0" collapsed="false">
      <c r="A2558" s="39" t="s">
        <v>2882</v>
      </c>
      <c r="B2558" s="44" t="n">
        <v>46145</v>
      </c>
      <c r="C2558" s="39" t="s">
        <v>159</v>
      </c>
      <c r="D2558" s="39" t="s">
        <v>138</v>
      </c>
      <c r="E2558" s="39" t="n">
        <v>30</v>
      </c>
      <c r="F2558" s="39" t="str">
        <f aca="false">IF(COUNTIF(medicine_master!$A$2:$A$26,C2558)&gt;0,"Valid","Invalid")</f>
        <v>Valid</v>
      </c>
      <c r="G2558" s="39" t="str">
        <f aca="false">IFERROR(INDEX(medicine_master!$B$2:$B$26,MATCH($C2558,medicine_master!$A$2:$A$26,0)),"Not found")</f>
        <v>Antiseptic Liquid 100ml</v>
      </c>
      <c r="H2558" s="39" t="str">
        <f aca="false">IFERROR(INDEX(medicine_master!$C$2:$C$26,MATCH($C2558,medicine_master!$A$2:$A$26,0)),"Not found")</f>
        <v>First Aid</v>
      </c>
      <c r="I2558" s="39" t="n">
        <f aca="false">YEAR(B2558)</f>
        <v>2026</v>
      </c>
      <c r="J2558" s="39" t="n">
        <f aca="false">MONTH(B2558)</f>
        <v>5</v>
      </c>
      <c r="K2558" s="39" t="str">
        <f aca="false">TEXT(B2558,"mmm")</f>
        <v>May</v>
      </c>
      <c r="L2558" s="45" t="n">
        <f aca="false">IFERROR(INDEX(medicine_master!$I$2:$I$26,MATCH($C2558,medicine_master!$A$2:$A$26,0)),0)</f>
        <v>65</v>
      </c>
      <c r="M2558" s="45" t="n">
        <f aca="false">IFERROR(INDEX(medicine_master!$G$2:$G$26,MATCH($C2558,medicine_master!$A$2:$A$26,0)),0)</f>
        <v>48</v>
      </c>
      <c r="N2558" s="45" t="n">
        <f aca="false">IF(D2558="Sale",E2558*L2558,0)</f>
        <v>0</v>
      </c>
      <c r="O2558" s="45" t="n">
        <f aca="false">IF(D2558="Sale",E2558*M2558,0)</f>
        <v>0</v>
      </c>
      <c r="P2558" s="45" t="n">
        <f aca="false">N2558-O2558</f>
        <v>0</v>
      </c>
      <c r="Q2558" s="45" t="n">
        <f aca="false">IF(D2558="Purchase",E2558*M2558,0)</f>
        <v>1440</v>
      </c>
    </row>
    <row r="2559" customFormat="false" ht="15" hidden="false" customHeight="false" outlineLevel="0" collapsed="false">
      <c r="A2559" s="39" t="s">
        <v>2883</v>
      </c>
      <c r="B2559" s="44" t="n">
        <v>46284</v>
      </c>
      <c r="C2559" s="39" t="s">
        <v>159</v>
      </c>
      <c r="D2559" s="39" t="s">
        <v>138</v>
      </c>
      <c r="E2559" s="39" t="n">
        <v>50</v>
      </c>
      <c r="F2559" s="39" t="str">
        <f aca="false">IF(COUNTIF(medicine_master!$A$2:$A$26,C2559)&gt;0,"Valid","Invalid")</f>
        <v>Valid</v>
      </c>
      <c r="G2559" s="39" t="str">
        <f aca="false">IFERROR(INDEX(medicine_master!$B$2:$B$26,MATCH($C2559,medicine_master!$A$2:$A$26,0)),"Not found")</f>
        <v>Antiseptic Liquid 100ml</v>
      </c>
      <c r="H2559" s="39" t="str">
        <f aca="false">IFERROR(INDEX(medicine_master!$C$2:$C$26,MATCH($C2559,medicine_master!$A$2:$A$26,0)),"Not found")</f>
        <v>First Aid</v>
      </c>
      <c r="I2559" s="39" t="n">
        <f aca="false">YEAR(B2559)</f>
        <v>2026</v>
      </c>
      <c r="J2559" s="39" t="n">
        <f aca="false">MONTH(B2559)</f>
        <v>9</v>
      </c>
      <c r="K2559" s="39" t="str">
        <f aca="false">TEXT(B2559,"mmm")</f>
        <v>Sep</v>
      </c>
      <c r="L2559" s="45" t="n">
        <f aca="false">IFERROR(INDEX(medicine_master!$I$2:$I$26,MATCH($C2559,medicine_master!$A$2:$A$26,0)),0)</f>
        <v>65</v>
      </c>
      <c r="M2559" s="45" t="n">
        <f aca="false">IFERROR(INDEX(medicine_master!$G$2:$G$26,MATCH($C2559,medicine_master!$A$2:$A$26,0)),0)</f>
        <v>48</v>
      </c>
      <c r="N2559" s="45" t="n">
        <f aca="false">IF(D2559="Sale",E2559*L2559,0)</f>
        <v>0</v>
      </c>
      <c r="O2559" s="45" t="n">
        <f aca="false">IF(D2559="Sale",E2559*M2559,0)</f>
        <v>0</v>
      </c>
      <c r="P2559" s="45" t="n">
        <f aca="false">N2559-O2559</f>
        <v>0</v>
      </c>
      <c r="Q2559" s="45" t="n">
        <f aca="false">IF(D2559="Purchase",E2559*M2559,0)</f>
        <v>2400</v>
      </c>
    </row>
    <row r="2560" customFormat="false" ht="15" hidden="false" customHeight="false" outlineLevel="0" collapsed="false">
      <c r="A2560" s="39" t="s">
        <v>2884</v>
      </c>
      <c r="B2560" s="44" t="n">
        <v>46295</v>
      </c>
      <c r="C2560" s="39" t="s">
        <v>159</v>
      </c>
      <c r="D2560" s="39" t="s">
        <v>137</v>
      </c>
      <c r="E2560" s="39" t="n">
        <v>50</v>
      </c>
      <c r="F2560" s="39" t="str">
        <f aca="false">IF(COUNTIF(medicine_master!$A$2:$A$26,C2560)&gt;0,"Valid","Invalid")</f>
        <v>Valid</v>
      </c>
      <c r="G2560" s="39" t="str">
        <f aca="false">IFERROR(INDEX(medicine_master!$B$2:$B$26,MATCH($C2560,medicine_master!$A$2:$A$26,0)),"Not found")</f>
        <v>Antiseptic Liquid 100ml</v>
      </c>
      <c r="H2560" s="39" t="str">
        <f aca="false">IFERROR(INDEX(medicine_master!$C$2:$C$26,MATCH($C2560,medicine_master!$A$2:$A$26,0)),"Not found")</f>
        <v>First Aid</v>
      </c>
      <c r="I2560" s="39" t="n">
        <f aca="false">YEAR(B2560)</f>
        <v>2026</v>
      </c>
      <c r="J2560" s="39" t="n">
        <f aca="false">MONTH(B2560)</f>
        <v>9</v>
      </c>
      <c r="K2560" s="39" t="str">
        <f aca="false">TEXT(B2560,"mmm")</f>
        <v>Sep</v>
      </c>
      <c r="L2560" s="45" t="n">
        <f aca="false">IFERROR(INDEX(medicine_master!$I$2:$I$26,MATCH($C2560,medicine_master!$A$2:$A$26,0)),0)</f>
        <v>65</v>
      </c>
      <c r="M2560" s="45" t="n">
        <f aca="false">IFERROR(INDEX(medicine_master!$G$2:$G$26,MATCH($C2560,medicine_master!$A$2:$A$26,0)),0)</f>
        <v>48</v>
      </c>
      <c r="N2560" s="45" t="n">
        <f aca="false">IF(D2560="Sale",E2560*L2560,0)</f>
        <v>3250</v>
      </c>
      <c r="O2560" s="45" t="n">
        <f aca="false">IF(D2560="Sale",E2560*M2560,0)</f>
        <v>2400</v>
      </c>
      <c r="P2560" s="45" t="n">
        <f aca="false">N2560-O2560</f>
        <v>850</v>
      </c>
      <c r="Q2560" s="45" t="n">
        <f aca="false">IF(D2560="Purchase",E2560*M2560,0)</f>
        <v>0</v>
      </c>
    </row>
    <row r="2561" customFormat="false" ht="15" hidden="false" customHeight="false" outlineLevel="0" collapsed="false">
      <c r="A2561" s="39" t="s">
        <v>2885</v>
      </c>
      <c r="B2561" s="44" t="n">
        <v>46082</v>
      </c>
      <c r="C2561" s="39" t="s">
        <v>159</v>
      </c>
      <c r="D2561" s="39" t="s">
        <v>137</v>
      </c>
      <c r="E2561" s="39" t="n">
        <v>50</v>
      </c>
      <c r="F2561" s="39" t="str">
        <f aca="false">IF(COUNTIF(medicine_master!$A$2:$A$26,C2561)&gt;0,"Valid","Invalid")</f>
        <v>Valid</v>
      </c>
      <c r="G2561" s="39" t="str">
        <f aca="false">IFERROR(INDEX(medicine_master!$B$2:$B$26,MATCH($C2561,medicine_master!$A$2:$A$26,0)),"Not found")</f>
        <v>Antiseptic Liquid 100ml</v>
      </c>
      <c r="H2561" s="39" t="str">
        <f aca="false">IFERROR(INDEX(medicine_master!$C$2:$C$26,MATCH($C2561,medicine_master!$A$2:$A$26,0)),"Not found")</f>
        <v>First Aid</v>
      </c>
      <c r="I2561" s="39" t="n">
        <f aca="false">YEAR(B2561)</f>
        <v>2026</v>
      </c>
      <c r="J2561" s="39" t="n">
        <f aca="false">MONTH(B2561)</f>
        <v>3</v>
      </c>
      <c r="K2561" s="39" t="str">
        <f aca="false">TEXT(B2561,"mmm")</f>
        <v>Mar</v>
      </c>
      <c r="L2561" s="45" t="n">
        <f aca="false">IFERROR(INDEX(medicine_master!$I$2:$I$26,MATCH($C2561,medicine_master!$A$2:$A$26,0)),0)</f>
        <v>65</v>
      </c>
      <c r="M2561" s="45" t="n">
        <f aca="false">IFERROR(INDEX(medicine_master!$G$2:$G$26,MATCH($C2561,medicine_master!$A$2:$A$26,0)),0)</f>
        <v>48</v>
      </c>
      <c r="N2561" s="45" t="n">
        <f aca="false">IF(D2561="Sale",E2561*L2561,0)</f>
        <v>3250</v>
      </c>
      <c r="O2561" s="45" t="n">
        <f aca="false">IF(D2561="Sale",E2561*M2561,0)</f>
        <v>2400</v>
      </c>
      <c r="P2561" s="45" t="n">
        <f aca="false">N2561-O2561</f>
        <v>850</v>
      </c>
      <c r="Q2561" s="45" t="n">
        <f aca="false">IF(D2561="Purchase",E2561*M2561,0)</f>
        <v>0</v>
      </c>
    </row>
    <row r="2562" customFormat="false" ht="15" hidden="false" customHeight="false" outlineLevel="0" collapsed="false">
      <c r="A2562" s="39" t="s">
        <v>2886</v>
      </c>
      <c r="B2562" s="44" t="n">
        <v>46359</v>
      </c>
      <c r="C2562" s="39" t="s">
        <v>177</v>
      </c>
      <c r="D2562" s="39" t="s">
        <v>138</v>
      </c>
      <c r="E2562" s="39" t="n">
        <v>50</v>
      </c>
      <c r="F2562" s="39" t="str">
        <f aca="false">IF(COUNTIF(medicine_master!$A$2:$A$26,C2562)&gt;0,"Valid","Invalid")</f>
        <v>Valid</v>
      </c>
      <c r="G2562" s="39" t="str">
        <f aca="false">IFERROR(INDEX(medicine_master!$B$2:$B$26,MATCH($C2562,medicine_master!$A$2:$A$26,0)),"Not found")</f>
        <v>Bandage Roll</v>
      </c>
      <c r="H2562" s="39" t="str">
        <f aca="false">IFERROR(INDEX(medicine_master!$C$2:$C$26,MATCH($C2562,medicine_master!$A$2:$A$26,0)),"Not found")</f>
        <v>First Aid</v>
      </c>
      <c r="I2562" s="39" t="n">
        <f aca="false">YEAR(B2562)</f>
        <v>2026</v>
      </c>
      <c r="J2562" s="39" t="n">
        <f aca="false">MONTH(B2562)</f>
        <v>12</v>
      </c>
      <c r="K2562" s="39" t="str">
        <f aca="false">TEXT(B2562,"mmm")</f>
        <v>Dec</v>
      </c>
      <c r="L2562" s="45" t="n">
        <f aca="false">IFERROR(INDEX(medicine_master!$I$2:$I$26,MATCH($C2562,medicine_master!$A$2:$A$26,0)),0)</f>
        <v>25</v>
      </c>
      <c r="M2562" s="45" t="n">
        <f aca="false">IFERROR(INDEX(medicine_master!$G$2:$G$26,MATCH($C2562,medicine_master!$A$2:$A$26,0)),0)</f>
        <v>15</v>
      </c>
      <c r="N2562" s="45" t="n">
        <f aca="false">IF(D2562="Sale",E2562*L2562,0)</f>
        <v>0</v>
      </c>
      <c r="O2562" s="45" t="n">
        <f aca="false">IF(D2562="Sale",E2562*M2562,0)</f>
        <v>0</v>
      </c>
      <c r="P2562" s="45" t="n">
        <f aca="false">N2562-O2562</f>
        <v>0</v>
      </c>
      <c r="Q2562" s="45" t="n">
        <f aca="false">IF(D2562="Purchase",E2562*M2562,0)</f>
        <v>750</v>
      </c>
    </row>
    <row r="2563" customFormat="false" ht="15" hidden="false" customHeight="false" outlineLevel="0" collapsed="false">
      <c r="A2563" s="39" t="s">
        <v>2887</v>
      </c>
      <c r="B2563" s="44" t="n">
        <v>46073</v>
      </c>
      <c r="C2563" s="39" t="s">
        <v>177</v>
      </c>
      <c r="D2563" s="39" t="s">
        <v>138</v>
      </c>
      <c r="E2563" s="39" t="n">
        <v>20</v>
      </c>
      <c r="F2563" s="39" t="str">
        <f aca="false">IF(COUNTIF(medicine_master!$A$2:$A$26,C2563)&gt;0,"Valid","Invalid")</f>
        <v>Valid</v>
      </c>
      <c r="G2563" s="39" t="str">
        <f aca="false">IFERROR(INDEX(medicine_master!$B$2:$B$26,MATCH($C2563,medicine_master!$A$2:$A$26,0)),"Not found")</f>
        <v>Bandage Roll</v>
      </c>
      <c r="H2563" s="39" t="str">
        <f aca="false">IFERROR(INDEX(medicine_master!$C$2:$C$26,MATCH($C2563,medicine_master!$A$2:$A$26,0)),"Not found")</f>
        <v>First Aid</v>
      </c>
      <c r="I2563" s="39" t="n">
        <f aca="false">YEAR(B2563)</f>
        <v>2026</v>
      </c>
      <c r="J2563" s="39" t="n">
        <f aca="false">MONTH(B2563)</f>
        <v>2</v>
      </c>
      <c r="K2563" s="39" t="str">
        <f aca="false">TEXT(B2563,"mmm")</f>
        <v>Feb</v>
      </c>
      <c r="L2563" s="45" t="n">
        <f aca="false">IFERROR(INDEX(medicine_master!$I$2:$I$26,MATCH($C2563,medicine_master!$A$2:$A$26,0)),0)</f>
        <v>25</v>
      </c>
      <c r="M2563" s="45" t="n">
        <f aca="false">IFERROR(INDEX(medicine_master!$G$2:$G$26,MATCH($C2563,medicine_master!$A$2:$A$26,0)),0)</f>
        <v>15</v>
      </c>
      <c r="N2563" s="45" t="n">
        <f aca="false">IF(D2563="Sale",E2563*L2563,0)</f>
        <v>0</v>
      </c>
      <c r="O2563" s="45" t="n">
        <f aca="false">IF(D2563="Sale",E2563*M2563,0)</f>
        <v>0</v>
      </c>
      <c r="P2563" s="45" t="n">
        <f aca="false">N2563-O2563</f>
        <v>0</v>
      </c>
      <c r="Q2563" s="45" t="n">
        <f aca="false">IF(D2563="Purchase",E2563*M2563,0)</f>
        <v>300</v>
      </c>
    </row>
    <row r="2564" customFormat="false" ht="15" hidden="false" customHeight="false" outlineLevel="0" collapsed="false">
      <c r="A2564" s="39" t="s">
        <v>2888</v>
      </c>
      <c r="B2564" s="44" t="n">
        <v>46161</v>
      </c>
      <c r="C2564" s="39" t="s">
        <v>177</v>
      </c>
      <c r="D2564" s="39" t="s">
        <v>137</v>
      </c>
      <c r="E2564" s="39" t="n">
        <v>20</v>
      </c>
      <c r="F2564" s="39" t="str">
        <f aca="false">IF(COUNTIF(medicine_master!$A$2:$A$26,C2564)&gt;0,"Valid","Invalid")</f>
        <v>Valid</v>
      </c>
      <c r="G2564" s="39" t="str">
        <f aca="false">IFERROR(INDEX(medicine_master!$B$2:$B$26,MATCH($C2564,medicine_master!$A$2:$A$26,0)),"Not found")</f>
        <v>Bandage Roll</v>
      </c>
      <c r="H2564" s="39" t="str">
        <f aca="false">IFERROR(INDEX(medicine_master!$C$2:$C$26,MATCH($C2564,medicine_master!$A$2:$A$26,0)),"Not found")</f>
        <v>First Aid</v>
      </c>
      <c r="I2564" s="39" t="n">
        <f aca="false">YEAR(B2564)</f>
        <v>2026</v>
      </c>
      <c r="J2564" s="39" t="n">
        <f aca="false">MONTH(B2564)</f>
        <v>5</v>
      </c>
      <c r="K2564" s="39" t="str">
        <f aca="false">TEXT(B2564,"mmm")</f>
        <v>May</v>
      </c>
      <c r="L2564" s="45" t="n">
        <f aca="false">IFERROR(INDEX(medicine_master!$I$2:$I$26,MATCH($C2564,medicine_master!$A$2:$A$26,0)),0)</f>
        <v>25</v>
      </c>
      <c r="M2564" s="45" t="n">
        <f aca="false">IFERROR(INDEX(medicine_master!$G$2:$G$26,MATCH($C2564,medicine_master!$A$2:$A$26,0)),0)</f>
        <v>15</v>
      </c>
      <c r="N2564" s="45" t="n">
        <f aca="false">IF(D2564="Sale",E2564*L2564,0)</f>
        <v>500</v>
      </c>
      <c r="O2564" s="45" t="n">
        <f aca="false">IF(D2564="Sale",E2564*M2564,0)</f>
        <v>300</v>
      </c>
      <c r="P2564" s="45" t="n">
        <f aca="false">N2564-O2564</f>
        <v>200</v>
      </c>
      <c r="Q2564" s="45" t="n">
        <f aca="false">IF(D2564="Purchase",E2564*M2564,0)</f>
        <v>0</v>
      </c>
    </row>
    <row r="2565" customFormat="false" ht="15" hidden="false" customHeight="false" outlineLevel="0" collapsed="false">
      <c r="A2565" s="39" t="s">
        <v>2889</v>
      </c>
      <c r="B2565" s="44" t="n">
        <v>46061</v>
      </c>
      <c r="C2565" s="39" t="s">
        <v>177</v>
      </c>
      <c r="D2565" s="39" t="s">
        <v>137</v>
      </c>
      <c r="E2565" s="39" t="n">
        <v>50</v>
      </c>
      <c r="F2565" s="39" t="str">
        <f aca="false">IF(COUNTIF(medicine_master!$A$2:$A$26,C2565)&gt;0,"Valid","Invalid")</f>
        <v>Valid</v>
      </c>
      <c r="G2565" s="39" t="str">
        <f aca="false">IFERROR(INDEX(medicine_master!$B$2:$B$26,MATCH($C2565,medicine_master!$A$2:$A$26,0)),"Not found")</f>
        <v>Bandage Roll</v>
      </c>
      <c r="H2565" s="39" t="str">
        <f aca="false">IFERROR(INDEX(medicine_master!$C$2:$C$26,MATCH($C2565,medicine_master!$A$2:$A$26,0)),"Not found")</f>
        <v>First Aid</v>
      </c>
      <c r="I2565" s="39" t="n">
        <f aca="false">YEAR(B2565)</f>
        <v>2026</v>
      </c>
      <c r="J2565" s="39" t="n">
        <f aca="false">MONTH(B2565)</f>
        <v>2</v>
      </c>
      <c r="K2565" s="39" t="str">
        <f aca="false">TEXT(B2565,"mmm")</f>
        <v>Feb</v>
      </c>
      <c r="L2565" s="45" t="n">
        <f aca="false">IFERROR(INDEX(medicine_master!$I$2:$I$26,MATCH($C2565,medicine_master!$A$2:$A$26,0)),0)</f>
        <v>25</v>
      </c>
      <c r="M2565" s="45" t="n">
        <f aca="false">IFERROR(INDEX(medicine_master!$G$2:$G$26,MATCH($C2565,medicine_master!$A$2:$A$26,0)),0)</f>
        <v>15</v>
      </c>
      <c r="N2565" s="45" t="n">
        <f aca="false">IF(D2565="Sale",E2565*L2565,0)</f>
        <v>1250</v>
      </c>
      <c r="O2565" s="45" t="n">
        <f aca="false">IF(D2565="Sale",E2565*M2565,0)</f>
        <v>750</v>
      </c>
      <c r="P2565" s="45" t="n">
        <f aca="false">N2565-O2565</f>
        <v>500</v>
      </c>
      <c r="Q2565" s="45" t="n">
        <f aca="false">IF(D2565="Purchase",E2565*M2565,0)</f>
        <v>0</v>
      </c>
    </row>
    <row r="2566" customFormat="false" ht="15" hidden="false" customHeight="false" outlineLevel="0" collapsed="false">
      <c r="A2566" s="39" t="s">
        <v>2890</v>
      </c>
      <c r="B2566" s="44" t="n">
        <v>46258</v>
      </c>
      <c r="C2566" s="39" t="s">
        <v>145</v>
      </c>
      <c r="D2566" s="39" t="s">
        <v>138</v>
      </c>
      <c r="E2566" s="39" t="n">
        <v>50</v>
      </c>
      <c r="F2566" s="39" t="str">
        <f aca="false">IF(COUNTIF(medicine_master!$A$2:$A$26,C2566)&gt;0,"Valid","Invalid")</f>
        <v>Valid</v>
      </c>
      <c r="G2566" s="39" t="str">
        <f aca="false">IFERROR(INDEX(medicine_master!$B$2:$B$26,MATCH($C2566,medicine_master!$A$2:$A$26,0)),"Not found")</f>
        <v>Clotrimazole Cream</v>
      </c>
      <c r="H2566" s="39" t="str">
        <f aca="false">IFERROR(INDEX(medicine_master!$C$2:$C$26,MATCH($C2566,medicine_master!$A$2:$A$26,0)),"Not found")</f>
        <v>Dermatology</v>
      </c>
      <c r="I2566" s="39" t="n">
        <f aca="false">YEAR(B2566)</f>
        <v>2026</v>
      </c>
      <c r="J2566" s="39" t="n">
        <f aca="false">MONTH(B2566)</f>
        <v>8</v>
      </c>
      <c r="K2566" s="39" t="str">
        <f aca="false">TEXT(B2566,"mmm")</f>
        <v>Aug</v>
      </c>
      <c r="L2566" s="45" t="n">
        <f aca="false">IFERROR(INDEX(medicine_master!$I$2:$I$26,MATCH($C2566,medicine_master!$A$2:$A$26,0)),0)</f>
        <v>48</v>
      </c>
      <c r="M2566" s="45" t="n">
        <f aca="false">IFERROR(INDEX(medicine_master!$G$2:$G$26,MATCH($C2566,medicine_master!$A$2:$A$26,0)),0)</f>
        <v>32</v>
      </c>
      <c r="N2566" s="45" t="n">
        <f aca="false">IF(D2566="Sale",E2566*L2566,0)</f>
        <v>0</v>
      </c>
      <c r="O2566" s="45" t="n">
        <f aca="false">IF(D2566="Sale",E2566*M2566,0)</f>
        <v>0</v>
      </c>
      <c r="P2566" s="45" t="n">
        <f aca="false">N2566-O2566</f>
        <v>0</v>
      </c>
      <c r="Q2566" s="45" t="n">
        <f aca="false">IF(D2566="Purchase",E2566*M2566,0)</f>
        <v>1600</v>
      </c>
    </row>
    <row r="2567" customFormat="false" ht="15" hidden="false" customHeight="false" outlineLevel="0" collapsed="false">
      <c r="A2567" s="39" t="s">
        <v>2891</v>
      </c>
      <c r="B2567" s="44" t="n">
        <v>46079</v>
      </c>
      <c r="C2567" s="39" t="s">
        <v>145</v>
      </c>
      <c r="D2567" s="39" t="s">
        <v>138</v>
      </c>
      <c r="E2567" s="39" t="n">
        <v>50</v>
      </c>
      <c r="F2567" s="39" t="str">
        <f aca="false">IF(COUNTIF(medicine_master!$A$2:$A$26,C2567)&gt;0,"Valid","Invalid")</f>
        <v>Valid</v>
      </c>
      <c r="G2567" s="39" t="str">
        <f aca="false">IFERROR(INDEX(medicine_master!$B$2:$B$26,MATCH($C2567,medicine_master!$A$2:$A$26,0)),"Not found")</f>
        <v>Clotrimazole Cream</v>
      </c>
      <c r="H2567" s="39" t="str">
        <f aca="false">IFERROR(INDEX(medicine_master!$C$2:$C$26,MATCH($C2567,medicine_master!$A$2:$A$26,0)),"Not found")</f>
        <v>Dermatology</v>
      </c>
      <c r="I2567" s="39" t="n">
        <f aca="false">YEAR(B2567)</f>
        <v>2026</v>
      </c>
      <c r="J2567" s="39" t="n">
        <f aca="false">MONTH(B2567)</f>
        <v>2</v>
      </c>
      <c r="K2567" s="39" t="str">
        <f aca="false">TEXT(B2567,"mmm")</f>
        <v>Feb</v>
      </c>
      <c r="L2567" s="45" t="n">
        <f aca="false">IFERROR(INDEX(medicine_master!$I$2:$I$26,MATCH($C2567,medicine_master!$A$2:$A$26,0)),0)</f>
        <v>48</v>
      </c>
      <c r="M2567" s="45" t="n">
        <f aca="false">IFERROR(INDEX(medicine_master!$G$2:$G$26,MATCH($C2567,medicine_master!$A$2:$A$26,0)),0)</f>
        <v>32</v>
      </c>
      <c r="N2567" s="45" t="n">
        <f aca="false">IF(D2567="Sale",E2567*L2567,0)</f>
        <v>0</v>
      </c>
      <c r="O2567" s="45" t="n">
        <f aca="false">IF(D2567="Sale",E2567*M2567,0)</f>
        <v>0</v>
      </c>
      <c r="P2567" s="45" t="n">
        <f aca="false">N2567-O2567</f>
        <v>0</v>
      </c>
      <c r="Q2567" s="45" t="n">
        <f aca="false">IF(D2567="Purchase",E2567*M2567,0)</f>
        <v>1600</v>
      </c>
    </row>
    <row r="2568" customFormat="false" ht="15" hidden="false" customHeight="false" outlineLevel="0" collapsed="false">
      <c r="A2568" s="39" t="s">
        <v>2892</v>
      </c>
      <c r="B2568" s="44" t="n">
        <v>46360</v>
      </c>
      <c r="C2568" s="39" t="s">
        <v>145</v>
      </c>
      <c r="D2568" s="39" t="s">
        <v>137</v>
      </c>
      <c r="E2568" s="39" t="n">
        <v>30</v>
      </c>
      <c r="F2568" s="39" t="str">
        <f aca="false">IF(COUNTIF(medicine_master!$A$2:$A$26,C2568)&gt;0,"Valid","Invalid")</f>
        <v>Valid</v>
      </c>
      <c r="G2568" s="39" t="str">
        <f aca="false">IFERROR(INDEX(medicine_master!$B$2:$B$26,MATCH($C2568,medicine_master!$A$2:$A$26,0)),"Not found")</f>
        <v>Clotrimazole Cream</v>
      </c>
      <c r="H2568" s="39" t="str">
        <f aca="false">IFERROR(INDEX(medicine_master!$C$2:$C$26,MATCH($C2568,medicine_master!$A$2:$A$26,0)),"Not found")</f>
        <v>Dermatology</v>
      </c>
      <c r="I2568" s="39" t="n">
        <f aca="false">YEAR(B2568)</f>
        <v>2026</v>
      </c>
      <c r="J2568" s="39" t="n">
        <f aca="false">MONTH(B2568)</f>
        <v>12</v>
      </c>
      <c r="K2568" s="39" t="str">
        <f aca="false">TEXT(B2568,"mmm")</f>
        <v>Dec</v>
      </c>
      <c r="L2568" s="45" t="n">
        <f aca="false">IFERROR(INDEX(medicine_master!$I$2:$I$26,MATCH($C2568,medicine_master!$A$2:$A$26,0)),0)</f>
        <v>48</v>
      </c>
      <c r="M2568" s="45" t="n">
        <f aca="false">IFERROR(INDEX(medicine_master!$G$2:$G$26,MATCH($C2568,medicine_master!$A$2:$A$26,0)),0)</f>
        <v>32</v>
      </c>
      <c r="N2568" s="45" t="n">
        <f aca="false">IF(D2568="Sale",E2568*L2568,0)</f>
        <v>1440</v>
      </c>
      <c r="O2568" s="45" t="n">
        <f aca="false">IF(D2568="Sale",E2568*M2568,0)</f>
        <v>960</v>
      </c>
      <c r="P2568" s="45" t="n">
        <f aca="false">N2568-O2568</f>
        <v>480</v>
      </c>
      <c r="Q2568" s="45" t="n">
        <f aca="false">IF(D2568="Purchase",E2568*M2568,0)</f>
        <v>0</v>
      </c>
    </row>
    <row r="2569" customFormat="false" ht="15" hidden="false" customHeight="false" outlineLevel="0" collapsed="false">
      <c r="A2569" s="39" t="s">
        <v>2893</v>
      </c>
      <c r="B2569" s="44" t="n">
        <v>46037</v>
      </c>
      <c r="C2569" s="39" t="s">
        <v>145</v>
      </c>
      <c r="D2569" s="39" t="s">
        <v>137</v>
      </c>
      <c r="E2569" s="39" t="n">
        <v>50</v>
      </c>
      <c r="F2569" s="39" t="str">
        <f aca="false">IF(COUNTIF(medicine_master!$A$2:$A$26,C2569)&gt;0,"Valid","Invalid")</f>
        <v>Valid</v>
      </c>
      <c r="G2569" s="39" t="str">
        <f aca="false">IFERROR(INDEX(medicine_master!$B$2:$B$26,MATCH($C2569,medicine_master!$A$2:$A$26,0)),"Not found")</f>
        <v>Clotrimazole Cream</v>
      </c>
      <c r="H2569" s="39" t="str">
        <f aca="false">IFERROR(INDEX(medicine_master!$C$2:$C$26,MATCH($C2569,medicine_master!$A$2:$A$26,0)),"Not found")</f>
        <v>Dermatology</v>
      </c>
      <c r="I2569" s="39" t="n">
        <f aca="false">YEAR(B2569)</f>
        <v>2026</v>
      </c>
      <c r="J2569" s="39" t="n">
        <f aca="false">MONTH(B2569)</f>
        <v>1</v>
      </c>
      <c r="K2569" s="39" t="str">
        <f aca="false">TEXT(B2569,"mmm")</f>
        <v>Jan</v>
      </c>
      <c r="L2569" s="45" t="n">
        <f aca="false">IFERROR(INDEX(medicine_master!$I$2:$I$26,MATCH($C2569,medicine_master!$A$2:$A$26,0)),0)</f>
        <v>48</v>
      </c>
      <c r="M2569" s="45" t="n">
        <f aca="false">IFERROR(INDEX(medicine_master!$G$2:$G$26,MATCH($C2569,medicine_master!$A$2:$A$26,0)),0)</f>
        <v>32</v>
      </c>
      <c r="N2569" s="45" t="n">
        <f aca="false">IF(D2569="Sale",E2569*L2569,0)</f>
        <v>2400</v>
      </c>
      <c r="O2569" s="45" t="n">
        <f aca="false">IF(D2569="Sale",E2569*M2569,0)</f>
        <v>1600</v>
      </c>
      <c r="P2569" s="45" t="n">
        <f aca="false">N2569-O2569</f>
        <v>800</v>
      </c>
      <c r="Q2569" s="45" t="n">
        <f aca="false">IF(D2569="Purchase",E2569*M2569,0)</f>
        <v>0</v>
      </c>
    </row>
    <row r="2570" customFormat="false" ht="15" hidden="false" customHeight="false" outlineLevel="0" collapsed="false">
      <c r="A2570" s="39" t="s">
        <v>2894</v>
      </c>
      <c r="B2570" s="44" t="n">
        <v>46201</v>
      </c>
      <c r="C2570" s="39" t="s">
        <v>160</v>
      </c>
      <c r="D2570" s="39" t="s">
        <v>138</v>
      </c>
      <c r="E2570" s="39" t="n">
        <v>40</v>
      </c>
      <c r="F2570" s="39" t="str">
        <f aca="false">IF(COUNTIF(medicine_master!$A$2:$A$26,C2570)&gt;0,"Valid","Invalid")</f>
        <v>Valid</v>
      </c>
      <c r="G2570" s="39" t="str">
        <f aca="false">IFERROR(INDEX(medicine_master!$B$2:$B$26,MATCH($C2570,medicine_master!$A$2:$A$26,0)),"Not found")</f>
        <v>Calamine Lotion</v>
      </c>
      <c r="H2570" s="39" t="str">
        <f aca="false">IFERROR(INDEX(medicine_master!$C$2:$C$26,MATCH($C2570,medicine_master!$A$2:$A$26,0)),"Not found")</f>
        <v>Dermatology</v>
      </c>
      <c r="I2570" s="39" t="n">
        <f aca="false">YEAR(B2570)</f>
        <v>2026</v>
      </c>
      <c r="J2570" s="39" t="n">
        <f aca="false">MONTH(B2570)</f>
        <v>6</v>
      </c>
      <c r="K2570" s="39" t="str">
        <f aca="false">TEXT(B2570,"mmm")</f>
        <v>Jun</v>
      </c>
      <c r="L2570" s="45" t="n">
        <f aca="false">IFERROR(INDEX(medicine_master!$I$2:$I$26,MATCH($C2570,medicine_master!$A$2:$A$26,0)),0)</f>
        <v>60</v>
      </c>
      <c r="M2570" s="45" t="n">
        <f aca="false">IFERROR(INDEX(medicine_master!$G$2:$G$26,MATCH($C2570,medicine_master!$A$2:$A$26,0)),0)</f>
        <v>42</v>
      </c>
      <c r="N2570" s="45" t="n">
        <f aca="false">IF(D2570="Sale",E2570*L2570,0)</f>
        <v>0</v>
      </c>
      <c r="O2570" s="45" t="n">
        <f aca="false">IF(D2570="Sale",E2570*M2570,0)</f>
        <v>0</v>
      </c>
      <c r="P2570" s="45" t="n">
        <f aca="false">N2570-O2570</f>
        <v>0</v>
      </c>
      <c r="Q2570" s="45" t="n">
        <f aca="false">IF(D2570="Purchase",E2570*M2570,0)</f>
        <v>1680</v>
      </c>
    </row>
    <row r="2571" customFormat="false" ht="15" hidden="false" customHeight="false" outlineLevel="0" collapsed="false">
      <c r="A2571" s="39" t="s">
        <v>2895</v>
      </c>
      <c r="B2571" s="44" t="n">
        <v>46084</v>
      </c>
      <c r="C2571" s="39" t="s">
        <v>160</v>
      </c>
      <c r="D2571" s="39" t="s">
        <v>138</v>
      </c>
      <c r="E2571" s="39" t="n">
        <v>50</v>
      </c>
      <c r="F2571" s="39" t="str">
        <f aca="false">IF(COUNTIF(medicine_master!$A$2:$A$26,C2571)&gt;0,"Valid","Invalid")</f>
        <v>Valid</v>
      </c>
      <c r="G2571" s="39" t="str">
        <f aca="false">IFERROR(INDEX(medicine_master!$B$2:$B$26,MATCH($C2571,medicine_master!$A$2:$A$26,0)),"Not found")</f>
        <v>Calamine Lotion</v>
      </c>
      <c r="H2571" s="39" t="str">
        <f aca="false">IFERROR(INDEX(medicine_master!$C$2:$C$26,MATCH($C2571,medicine_master!$A$2:$A$26,0)),"Not found")</f>
        <v>Dermatology</v>
      </c>
      <c r="I2571" s="39" t="n">
        <f aca="false">YEAR(B2571)</f>
        <v>2026</v>
      </c>
      <c r="J2571" s="39" t="n">
        <f aca="false">MONTH(B2571)</f>
        <v>3</v>
      </c>
      <c r="K2571" s="39" t="str">
        <f aca="false">TEXT(B2571,"mmm")</f>
        <v>Mar</v>
      </c>
      <c r="L2571" s="45" t="n">
        <f aca="false">IFERROR(INDEX(medicine_master!$I$2:$I$26,MATCH($C2571,medicine_master!$A$2:$A$26,0)),0)</f>
        <v>60</v>
      </c>
      <c r="M2571" s="45" t="n">
        <f aca="false">IFERROR(INDEX(medicine_master!$G$2:$G$26,MATCH($C2571,medicine_master!$A$2:$A$26,0)),0)</f>
        <v>42</v>
      </c>
      <c r="N2571" s="45" t="n">
        <f aca="false">IF(D2571="Sale",E2571*L2571,0)</f>
        <v>0</v>
      </c>
      <c r="O2571" s="45" t="n">
        <f aca="false">IF(D2571="Sale",E2571*M2571,0)</f>
        <v>0</v>
      </c>
      <c r="P2571" s="45" t="n">
        <f aca="false">N2571-O2571</f>
        <v>0</v>
      </c>
      <c r="Q2571" s="45" t="n">
        <f aca="false">IF(D2571="Purchase",E2571*M2571,0)</f>
        <v>2100</v>
      </c>
    </row>
    <row r="2572" customFormat="false" ht="15" hidden="false" customHeight="false" outlineLevel="0" collapsed="false">
      <c r="A2572" s="39" t="s">
        <v>2896</v>
      </c>
      <c r="B2572" s="44" t="n">
        <v>46059</v>
      </c>
      <c r="C2572" s="39" t="s">
        <v>160</v>
      </c>
      <c r="D2572" s="39" t="s">
        <v>137</v>
      </c>
      <c r="E2572" s="39" t="n">
        <v>20</v>
      </c>
      <c r="F2572" s="39" t="str">
        <f aca="false">IF(COUNTIF(medicine_master!$A$2:$A$26,C2572)&gt;0,"Valid","Invalid")</f>
        <v>Valid</v>
      </c>
      <c r="G2572" s="39" t="str">
        <f aca="false">IFERROR(INDEX(medicine_master!$B$2:$B$26,MATCH($C2572,medicine_master!$A$2:$A$26,0)),"Not found")</f>
        <v>Calamine Lotion</v>
      </c>
      <c r="H2572" s="39" t="str">
        <f aca="false">IFERROR(INDEX(medicine_master!$C$2:$C$26,MATCH($C2572,medicine_master!$A$2:$A$26,0)),"Not found")</f>
        <v>Dermatology</v>
      </c>
      <c r="I2572" s="39" t="n">
        <f aca="false">YEAR(B2572)</f>
        <v>2026</v>
      </c>
      <c r="J2572" s="39" t="n">
        <f aca="false">MONTH(B2572)</f>
        <v>2</v>
      </c>
      <c r="K2572" s="39" t="str">
        <f aca="false">TEXT(B2572,"mmm")</f>
        <v>Feb</v>
      </c>
      <c r="L2572" s="45" t="n">
        <f aca="false">IFERROR(INDEX(medicine_master!$I$2:$I$26,MATCH($C2572,medicine_master!$A$2:$A$26,0)),0)</f>
        <v>60</v>
      </c>
      <c r="M2572" s="45" t="n">
        <f aca="false">IFERROR(INDEX(medicine_master!$G$2:$G$26,MATCH($C2572,medicine_master!$A$2:$A$26,0)),0)</f>
        <v>42</v>
      </c>
      <c r="N2572" s="45" t="n">
        <f aca="false">IF(D2572="Sale",E2572*L2572,0)</f>
        <v>1200</v>
      </c>
      <c r="O2572" s="45" t="n">
        <f aca="false">IF(D2572="Sale",E2572*M2572,0)</f>
        <v>840</v>
      </c>
      <c r="P2572" s="45" t="n">
        <f aca="false">N2572-O2572</f>
        <v>360</v>
      </c>
      <c r="Q2572" s="45" t="n">
        <f aca="false">IF(D2572="Purchase",E2572*M2572,0)</f>
        <v>0</v>
      </c>
    </row>
    <row r="2573" customFormat="false" ht="15" hidden="false" customHeight="false" outlineLevel="0" collapsed="false">
      <c r="A2573" s="39" t="s">
        <v>2897</v>
      </c>
      <c r="B2573" s="44" t="n">
        <v>46030</v>
      </c>
      <c r="C2573" s="39" t="s">
        <v>160</v>
      </c>
      <c r="D2573" s="39" t="s">
        <v>137</v>
      </c>
      <c r="E2573" s="39" t="n">
        <v>10</v>
      </c>
      <c r="F2573" s="39" t="str">
        <f aca="false">IF(COUNTIF(medicine_master!$A$2:$A$26,C2573)&gt;0,"Valid","Invalid")</f>
        <v>Valid</v>
      </c>
      <c r="G2573" s="39" t="str">
        <f aca="false">IFERROR(INDEX(medicine_master!$B$2:$B$26,MATCH($C2573,medicine_master!$A$2:$A$26,0)),"Not found")</f>
        <v>Calamine Lotion</v>
      </c>
      <c r="H2573" s="39" t="str">
        <f aca="false">IFERROR(INDEX(medicine_master!$C$2:$C$26,MATCH($C2573,medicine_master!$A$2:$A$26,0)),"Not found")</f>
        <v>Dermatology</v>
      </c>
      <c r="I2573" s="39" t="n">
        <f aca="false">YEAR(B2573)</f>
        <v>2026</v>
      </c>
      <c r="J2573" s="39" t="n">
        <f aca="false">MONTH(B2573)</f>
        <v>1</v>
      </c>
      <c r="K2573" s="39" t="str">
        <f aca="false">TEXT(B2573,"mmm")</f>
        <v>Jan</v>
      </c>
      <c r="L2573" s="45" t="n">
        <f aca="false">IFERROR(INDEX(medicine_master!$I$2:$I$26,MATCH($C2573,medicine_master!$A$2:$A$26,0)),0)</f>
        <v>60</v>
      </c>
      <c r="M2573" s="45" t="n">
        <f aca="false">IFERROR(INDEX(medicine_master!$G$2:$G$26,MATCH($C2573,medicine_master!$A$2:$A$26,0)),0)</f>
        <v>42</v>
      </c>
      <c r="N2573" s="45" t="n">
        <f aca="false">IF(D2573="Sale",E2573*L2573,0)</f>
        <v>600</v>
      </c>
      <c r="O2573" s="45" t="n">
        <f aca="false">IF(D2573="Sale",E2573*M2573,0)</f>
        <v>420</v>
      </c>
      <c r="P2573" s="45" t="n">
        <f aca="false">N2573-O2573</f>
        <v>180</v>
      </c>
      <c r="Q2573" s="45" t="n">
        <f aca="false">IF(D2573="Purchase",E2573*M2573,0)</f>
        <v>0</v>
      </c>
    </row>
    <row r="2574" customFormat="false" ht="15" hidden="false" customHeight="false" outlineLevel="0" collapsed="false">
      <c r="A2574" s="39" t="s">
        <v>2898</v>
      </c>
      <c r="B2574" s="44" t="n">
        <v>46026</v>
      </c>
      <c r="C2574" s="39" t="s">
        <v>404</v>
      </c>
      <c r="D2574" s="39" t="s">
        <v>138</v>
      </c>
      <c r="E2574" s="39" t="n">
        <v>50</v>
      </c>
      <c r="F2574" s="39" t="str">
        <f aca="false">IF(COUNTIF(medicine_master!$A$2:$A$26,C2574)&gt;0,"Valid","Invalid")</f>
        <v>Valid</v>
      </c>
      <c r="G2574" s="39" t="str">
        <f aca="false">IFERROR(INDEX(medicine_master!$B$2:$B$26,MATCH($C2574,medicine_master!$A$2:$A$26,0)),"Not found")</f>
        <v>ORS Sachet</v>
      </c>
      <c r="H2574" s="39" t="str">
        <f aca="false">IFERROR(INDEX(medicine_master!$C$2:$C$26,MATCH($C2574,medicine_master!$A$2:$A$26,0)),"Not found")</f>
        <v>First Aid</v>
      </c>
      <c r="I2574" s="39" t="n">
        <f aca="false">YEAR(B2574)</f>
        <v>2026</v>
      </c>
      <c r="J2574" s="39" t="n">
        <f aca="false">MONTH(B2574)</f>
        <v>1</v>
      </c>
      <c r="K2574" s="39" t="str">
        <f aca="false">TEXT(B2574,"mmm")</f>
        <v>Jan</v>
      </c>
      <c r="L2574" s="45" t="n">
        <f aca="false">IFERROR(INDEX(medicine_master!$I$2:$I$26,MATCH($C2574,medicine_master!$A$2:$A$26,0)),0)</f>
        <v>10</v>
      </c>
      <c r="M2574" s="45" t="n">
        <f aca="false">IFERROR(INDEX(medicine_master!$G$2:$G$26,MATCH($C2574,medicine_master!$A$2:$A$26,0)),0)</f>
        <v>6</v>
      </c>
      <c r="N2574" s="45" t="n">
        <f aca="false">IF(D2574="Sale",E2574*L2574,0)</f>
        <v>0</v>
      </c>
      <c r="O2574" s="45" t="n">
        <f aca="false">IF(D2574="Sale",E2574*M2574,0)</f>
        <v>0</v>
      </c>
      <c r="P2574" s="45" t="n">
        <f aca="false">N2574-O2574</f>
        <v>0</v>
      </c>
      <c r="Q2574" s="45" t="n">
        <f aca="false">IF(D2574="Purchase",E2574*M2574,0)</f>
        <v>300</v>
      </c>
    </row>
    <row r="2575" customFormat="false" ht="15" hidden="false" customHeight="false" outlineLevel="0" collapsed="false">
      <c r="A2575" s="39" t="s">
        <v>2899</v>
      </c>
      <c r="B2575" s="44" t="n">
        <v>46171</v>
      </c>
      <c r="C2575" s="39" t="s">
        <v>404</v>
      </c>
      <c r="D2575" s="39" t="s">
        <v>138</v>
      </c>
      <c r="E2575" s="39" t="n">
        <v>10</v>
      </c>
      <c r="F2575" s="39" t="str">
        <f aca="false">IF(COUNTIF(medicine_master!$A$2:$A$26,C2575)&gt;0,"Valid","Invalid")</f>
        <v>Valid</v>
      </c>
      <c r="G2575" s="39" t="str">
        <f aca="false">IFERROR(INDEX(medicine_master!$B$2:$B$26,MATCH($C2575,medicine_master!$A$2:$A$26,0)),"Not found")</f>
        <v>ORS Sachet</v>
      </c>
      <c r="H2575" s="39" t="str">
        <f aca="false">IFERROR(INDEX(medicine_master!$C$2:$C$26,MATCH($C2575,medicine_master!$A$2:$A$26,0)),"Not found")</f>
        <v>First Aid</v>
      </c>
      <c r="I2575" s="39" t="n">
        <f aca="false">YEAR(B2575)</f>
        <v>2026</v>
      </c>
      <c r="J2575" s="39" t="n">
        <f aca="false">MONTH(B2575)</f>
        <v>5</v>
      </c>
      <c r="K2575" s="39" t="str">
        <f aca="false">TEXT(B2575,"mmm")</f>
        <v>May</v>
      </c>
      <c r="L2575" s="45" t="n">
        <f aca="false">IFERROR(INDEX(medicine_master!$I$2:$I$26,MATCH($C2575,medicine_master!$A$2:$A$26,0)),0)</f>
        <v>10</v>
      </c>
      <c r="M2575" s="45" t="n">
        <f aca="false">IFERROR(INDEX(medicine_master!$G$2:$G$26,MATCH($C2575,medicine_master!$A$2:$A$26,0)),0)</f>
        <v>6</v>
      </c>
      <c r="N2575" s="45" t="n">
        <f aca="false">IF(D2575="Sale",E2575*L2575,0)</f>
        <v>0</v>
      </c>
      <c r="O2575" s="45" t="n">
        <f aca="false">IF(D2575="Sale",E2575*M2575,0)</f>
        <v>0</v>
      </c>
      <c r="P2575" s="45" t="n">
        <f aca="false">N2575-O2575</f>
        <v>0</v>
      </c>
      <c r="Q2575" s="45" t="n">
        <f aca="false">IF(D2575="Purchase",E2575*M2575,0)</f>
        <v>60</v>
      </c>
    </row>
    <row r="2576" customFormat="false" ht="15" hidden="false" customHeight="false" outlineLevel="0" collapsed="false">
      <c r="A2576" s="39" t="s">
        <v>2900</v>
      </c>
      <c r="B2576" s="44" t="n">
        <v>46165</v>
      </c>
      <c r="C2576" s="39" t="s">
        <v>404</v>
      </c>
      <c r="D2576" s="39" t="s">
        <v>137</v>
      </c>
      <c r="E2576" s="39" t="n">
        <v>50</v>
      </c>
      <c r="F2576" s="39" t="str">
        <f aca="false">IF(COUNTIF(medicine_master!$A$2:$A$26,C2576)&gt;0,"Valid","Invalid")</f>
        <v>Valid</v>
      </c>
      <c r="G2576" s="39" t="str">
        <f aca="false">IFERROR(INDEX(medicine_master!$B$2:$B$26,MATCH($C2576,medicine_master!$A$2:$A$26,0)),"Not found")</f>
        <v>ORS Sachet</v>
      </c>
      <c r="H2576" s="39" t="str">
        <f aca="false">IFERROR(INDEX(medicine_master!$C$2:$C$26,MATCH($C2576,medicine_master!$A$2:$A$26,0)),"Not found")</f>
        <v>First Aid</v>
      </c>
      <c r="I2576" s="39" t="n">
        <f aca="false">YEAR(B2576)</f>
        <v>2026</v>
      </c>
      <c r="J2576" s="39" t="n">
        <f aca="false">MONTH(B2576)</f>
        <v>5</v>
      </c>
      <c r="K2576" s="39" t="str">
        <f aca="false">TEXT(B2576,"mmm")</f>
        <v>May</v>
      </c>
      <c r="L2576" s="45" t="n">
        <f aca="false">IFERROR(INDEX(medicine_master!$I$2:$I$26,MATCH($C2576,medicine_master!$A$2:$A$26,0)),0)</f>
        <v>10</v>
      </c>
      <c r="M2576" s="45" t="n">
        <f aca="false">IFERROR(INDEX(medicine_master!$G$2:$G$26,MATCH($C2576,medicine_master!$A$2:$A$26,0)),0)</f>
        <v>6</v>
      </c>
      <c r="N2576" s="45" t="n">
        <f aca="false">IF(D2576="Sale",E2576*L2576,0)</f>
        <v>500</v>
      </c>
      <c r="O2576" s="45" t="n">
        <f aca="false">IF(D2576="Sale",E2576*M2576,0)</f>
        <v>300</v>
      </c>
      <c r="P2576" s="45" t="n">
        <f aca="false">N2576-O2576</f>
        <v>200</v>
      </c>
      <c r="Q2576" s="45" t="n">
        <f aca="false">IF(D2576="Purchase",E2576*M2576,0)</f>
        <v>0</v>
      </c>
    </row>
    <row r="2577" customFormat="false" ht="15" hidden="false" customHeight="false" outlineLevel="0" collapsed="false">
      <c r="A2577" s="39" t="s">
        <v>2901</v>
      </c>
      <c r="B2577" s="44" t="n">
        <v>46065</v>
      </c>
      <c r="C2577" s="39" t="s">
        <v>404</v>
      </c>
      <c r="D2577" s="39" t="s">
        <v>137</v>
      </c>
      <c r="E2577" s="39" t="n">
        <v>10</v>
      </c>
      <c r="F2577" s="39" t="str">
        <f aca="false">IF(COUNTIF(medicine_master!$A$2:$A$26,C2577)&gt;0,"Valid","Invalid")</f>
        <v>Valid</v>
      </c>
      <c r="G2577" s="39" t="str">
        <f aca="false">IFERROR(INDEX(medicine_master!$B$2:$B$26,MATCH($C2577,medicine_master!$A$2:$A$26,0)),"Not found")</f>
        <v>ORS Sachet</v>
      </c>
      <c r="H2577" s="39" t="str">
        <f aca="false">IFERROR(INDEX(medicine_master!$C$2:$C$26,MATCH($C2577,medicine_master!$A$2:$A$26,0)),"Not found")</f>
        <v>First Aid</v>
      </c>
      <c r="I2577" s="39" t="n">
        <f aca="false">YEAR(B2577)</f>
        <v>2026</v>
      </c>
      <c r="J2577" s="39" t="n">
        <f aca="false">MONTH(B2577)</f>
        <v>2</v>
      </c>
      <c r="K2577" s="39" t="str">
        <f aca="false">TEXT(B2577,"mmm")</f>
        <v>Feb</v>
      </c>
      <c r="L2577" s="45" t="n">
        <f aca="false">IFERROR(INDEX(medicine_master!$I$2:$I$26,MATCH($C2577,medicine_master!$A$2:$A$26,0)),0)</f>
        <v>10</v>
      </c>
      <c r="M2577" s="45" t="n">
        <f aca="false">IFERROR(INDEX(medicine_master!$G$2:$G$26,MATCH($C2577,medicine_master!$A$2:$A$26,0)),0)</f>
        <v>6</v>
      </c>
      <c r="N2577" s="45" t="n">
        <f aca="false">IF(D2577="Sale",E2577*L2577,0)</f>
        <v>100</v>
      </c>
      <c r="O2577" s="45" t="n">
        <f aca="false">IF(D2577="Sale",E2577*M2577,0)</f>
        <v>60</v>
      </c>
      <c r="P2577" s="45" t="n">
        <f aca="false">N2577-O2577</f>
        <v>40</v>
      </c>
      <c r="Q2577" s="45" t="n">
        <f aca="false">IF(D2577="Purchase",E2577*M2577,0)</f>
        <v>0</v>
      </c>
    </row>
    <row r="2578" customFormat="false" ht="15" hidden="false" customHeight="false" outlineLevel="0" collapsed="false">
      <c r="A2578" s="39" t="s">
        <v>2902</v>
      </c>
      <c r="B2578" s="44" t="n">
        <v>46315</v>
      </c>
      <c r="C2578" s="39" t="s">
        <v>146</v>
      </c>
      <c r="D2578" s="39" t="s">
        <v>138</v>
      </c>
      <c r="E2578" s="39" t="n">
        <v>10</v>
      </c>
      <c r="F2578" s="39" t="str">
        <f aca="false">IF(COUNTIF(medicine_master!$A$2:$A$26,C2578)&gt;0,"Valid","Invalid")</f>
        <v>Valid</v>
      </c>
      <c r="G2578" s="39" t="str">
        <f aca="false">IFERROR(INDEX(medicine_master!$B$2:$B$26,MATCH($C2578,medicine_master!$A$2:$A$26,0)),"Not found")</f>
        <v>Diclofenac Gel</v>
      </c>
      <c r="H2578" s="39" t="str">
        <f aca="false">IFERROR(INDEX(medicine_master!$C$2:$C$26,MATCH($C2578,medicine_master!$A$2:$A$26,0)),"Not found")</f>
        <v>Pain Relief</v>
      </c>
      <c r="I2578" s="39" t="n">
        <f aca="false">YEAR(B2578)</f>
        <v>2026</v>
      </c>
      <c r="J2578" s="39" t="n">
        <f aca="false">MONTH(B2578)</f>
        <v>10</v>
      </c>
      <c r="K2578" s="39" t="str">
        <f aca="false">TEXT(B2578,"mmm")</f>
        <v>Oct</v>
      </c>
      <c r="L2578" s="45" t="n">
        <f aca="false">IFERROR(INDEX(medicine_master!$I$2:$I$26,MATCH($C2578,medicine_master!$A$2:$A$26,0)),0)</f>
        <v>55</v>
      </c>
      <c r="M2578" s="45" t="n">
        <f aca="false">IFERROR(INDEX(medicine_master!$G$2:$G$26,MATCH($C2578,medicine_master!$A$2:$A$26,0)),0)</f>
        <v>38</v>
      </c>
      <c r="N2578" s="45" t="n">
        <f aca="false">IF(D2578="Sale",E2578*L2578,0)</f>
        <v>0</v>
      </c>
      <c r="O2578" s="45" t="n">
        <f aca="false">IF(D2578="Sale",E2578*M2578,0)</f>
        <v>0</v>
      </c>
      <c r="P2578" s="45" t="n">
        <f aca="false">N2578-O2578</f>
        <v>0</v>
      </c>
      <c r="Q2578" s="45" t="n">
        <f aca="false">IF(D2578="Purchase",E2578*M2578,0)</f>
        <v>380</v>
      </c>
    </row>
    <row r="2579" customFormat="false" ht="15" hidden="false" customHeight="false" outlineLevel="0" collapsed="false">
      <c r="A2579" s="39" t="s">
        <v>2903</v>
      </c>
      <c r="B2579" s="44" t="n">
        <v>46064</v>
      </c>
      <c r="C2579" s="39" t="s">
        <v>146</v>
      </c>
      <c r="D2579" s="39" t="s">
        <v>138</v>
      </c>
      <c r="E2579" s="39" t="n">
        <v>40</v>
      </c>
      <c r="F2579" s="39" t="str">
        <f aca="false">IF(COUNTIF(medicine_master!$A$2:$A$26,C2579)&gt;0,"Valid","Invalid")</f>
        <v>Valid</v>
      </c>
      <c r="G2579" s="39" t="str">
        <f aca="false">IFERROR(INDEX(medicine_master!$B$2:$B$26,MATCH($C2579,medicine_master!$A$2:$A$26,0)),"Not found")</f>
        <v>Diclofenac Gel</v>
      </c>
      <c r="H2579" s="39" t="str">
        <f aca="false">IFERROR(INDEX(medicine_master!$C$2:$C$26,MATCH($C2579,medicine_master!$A$2:$A$26,0)),"Not found")</f>
        <v>Pain Relief</v>
      </c>
      <c r="I2579" s="39" t="n">
        <f aca="false">YEAR(B2579)</f>
        <v>2026</v>
      </c>
      <c r="J2579" s="39" t="n">
        <f aca="false">MONTH(B2579)</f>
        <v>2</v>
      </c>
      <c r="K2579" s="39" t="str">
        <f aca="false">TEXT(B2579,"mmm")</f>
        <v>Feb</v>
      </c>
      <c r="L2579" s="45" t="n">
        <f aca="false">IFERROR(INDEX(medicine_master!$I$2:$I$26,MATCH($C2579,medicine_master!$A$2:$A$26,0)),0)</f>
        <v>55</v>
      </c>
      <c r="M2579" s="45" t="n">
        <f aca="false">IFERROR(INDEX(medicine_master!$G$2:$G$26,MATCH($C2579,medicine_master!$A$2:$A$26,0)),0)</f>
        <v>38</v>
      </c>
      <c r="N2579" s="45" t="n">
        <f aca="false">IF(D2579="Sale",E2579*L2579,0)</f>
        <v>0</v>
      </c>
      <c r="O2579" s="45" t="n">
        <f aca="false">IF(D2579="Sale",E2579*M2579,0)</f>
        <v>0</v>
      </c>
      <c r="P2579" s="45" t="n">
        <f aca="false">N2579-O2579</f>
        <v>0</v>
      </c>
      <c r="Q2579" s="45" t="n">
        <f aca="false">IF(D2579="Purchase",E2579*M2579,0)</f>
        <v>1520</v>
      </c>
    </row>
    <row r="2580" customFormat="false" ht="15" hidden="false" customHeight="false" outlineLevel="0" collapsed="false">
      <c r="A2580" s="39" t="s">
        <v>2904</v>
      </c>
      <c r="B2580" s="44" t="n">
        <v>46339</v>
      </c>
      <c r="C2580" s="39" t="s">
        <v>146</v>
      </c>
      <c r="D2580" s="39" t="s">
        <v>137</v>
      </c>
      <c r="E2580" s="39" t="n">
        <v>40</v>
      </c>
      <c r="F2580" s="39" t="str">
        <f aca="false">IF(COUNTIF(medicine_master!$A$2:$A$26,C2580)&gt;0,"Valid","Invalid")</f>
        <v>Valid</v>
      </c>
      <c r="G2580" s="39" t="str">
        <f aca="false">IFERROR(INDEX(medicine_master!$B$2:$B$26,MATCH($C2580,medicine_master!$A$2:$A$26,0)),"Not found")</f>
        <v>Diclofenac Gel</v>
      </c>
      <c r="H2580" s="39" t="str">
        <f aca="false">IFERROR(INDEX(medicine_master!$C$2:$C$26,MATCH($C2580,medicine_master!$A$2:$A$26,0)),"Not found")</f>
        <v>Pain Relief</v>
      </c>
      <c r="I2580" s="39" t="n">
        <f aca="false">YEAR(B2580)</f>
        <v>2026</v>
      </c>
      <c r="J2580" s="39" t="n">
        <f aca="false">MONTH(B2580)</f>
        <v>11</v>
      </c>
      <c r="K2580" s="39" t="str">
        <f aca="false">TEXT(B2580,"mmm")</f>
        <v>Nov</v>
      </c>
      <c r="L2580" s="45" t="n">
        <f aca="false">IFERROR(INDEX(medicine_master!$I$2:$I$26,MATCH($C2580,medicine_master!$A$2:$A$26,0)),0)</f>
        <v>55</v>
      </c>
      <c r="M2580" s="45" t="n">
        <f aca="false">IFERROR(INDEX(medicine_master!$G$2:$G$26,MATCH($C2580,medicine_master!$A$2:$A$26,0)),0)</f>
        <v>38</v>
      </c>
      <c r="N2580" s="45" t="n">
        <f aca="false">IF(D2580="Sale",E2580*L2580,0)</f>
        <v>2200</v>
      </c>
      <c r="O2580" s="45" t="n">
        <f aca="false">IF(D2580="Sale",E2580*M2580,0)</f>
        <v>1520</v>
      </c>
      <c r="P2580" s="45" t="n">
        <f aca="false">N2580-O2580</f>
        <v>680</v>
      </c>
      <c r="Q2580" s="45" t="n">
        <f aca="false">IF(D2580="Purchase",E2580*M2580,0)</f>
        <v>0</v>
      </c>
    </row>
    <row r="2581" customFormat="false" ht="15" hidden="false" customHeight="false" outlineLevel="0" collapsed="false">
      <c r="A2581" s="39" t="s">
        <v>2905</v>
      </c>
      <c r="B2581" s="44" t="n">
        <v>46075</v>
      </c>
      <c r="C2581" s="39" t="s">
        <v>146</v>
      </c>
      <c r="D2581" s="39" t="s">
        <v>137</v>
      </c>
      <c r="E2581" s="39" t="n">
        <v>40</v>
      </c>
      <c r="F2581" s="39" t="str">
        <f aca="false">IF(COUNTIF(medicine_master!$A$2:$A$26,C2581)&gt;0,"Valid","Invalid")</f>
        <v>Valid</v>
      </c>
      <c r="G2581" s="39" t="str">
        <f aca="false">IFERROR(INDEX(medicine_master!$B$2:$B$26,MATCH($C2581,medicine_master!$A$2:$A$26,0)),"Not found")</f>
        <v>Diclofenac Gel</v>
      </c>
      <c r="H2581" s="39" t="str">
        <f aca="false">IFERROR(INDEX(medicine_master!$C$2:$C$26,MATCH($C2581,medicine_master!$A$2:$A$26,0)),"Not found")</f>
        <v>Pain Relief</v>
      </c>
      <c r="I2581" s="39" t="n">
        <f aca="false">YEAR(B2581)</f>
        <v>2026</v>
      </c>
      <c r="J2581" s="39" t="n">
        <f aca="false">MONTH(B2581)</f>
        <v>2</v>
      </c>
      <c r="K2581" s="39" t="str">
        <f aca="false">TEXT(B2581,"mmm")</f>
        <v>Feb</v>
      </c>
      <c r="L2581" s="45" t="n">
        <f aca="false">IFERROR(INDEX(medicine_master!$I$2:$I$26,MATCH($C2581,medicine_master!$A$2:$A$26,0)),0)</f>
        <v>55</v>
      </c>
      <c r="M2581" s="45" t="n">
        <f aca="false">IFERROR(INDEX(medicine_master!$G$2:$G$26,MATCH($C2581,medicine_master!$A$2:$A$26,0)),0)</f>
        <v>38</v>
      </c>
      <c r="N2581" s="45" t="n">
        <f aca="false">IF(D2581="Sale",E2581*L2581,0)</f>
        <v>2200</v>
      </c>
      <c r="O2581" s="45" t="n">
        <f aca="false">IF(D2581="Sale",E2581*M2581,0)</f>
        <v>1520</v>
      </c>
      <c r="P2581" s="45" t="n">
        <f aca="false">N2581-O2581</f>
        <v>680</v>
      </c>
      <c r="Q2581" s="45" t="n">
        <f aca="false">IF(D2581="Purchase",E2581*M2581,0)</f>
        <v>0</v>
      </c>
    </row>
    <row r="2582" customFormat="false" ht="15" hidden="false" customHeight="false" outlineLevel="0" collapsed="false">
      <c r="A2582" s="39" t="s">
        <v>2906</v>
      </c>
      <c r="B2582" s="44" t="n">
        <v>46056</v>
      </c>
      <c r="C2582" s="39" t="s">
        <v>390</v>
      </c>
      <c r="D2582" s="39" t="s">
        <v>138</v>
      </c>
      <c r="E2582" s="39" t="n">
        <v>40</v>
      </c>
      <c r="F2582" s="39" t="str">
        <f aca="false">IF(COUNTIF(medicine_master!$A$2:$A$26,C2582)&gt;0,"Valid","Invalid")</f>
        <v>Valid</v>
      </c>
      <c r="G2582" s="39" t="str">
        <f aca="false">IFERROR(INDEX(medicine_master!$B$2:$B$26,MATCH($C2582,medicine_master!$A$2:$A$26,0)),"Not found")</f>
        <v>Montelukast 10mg</v>
      </c>
      <c r="H2582" s="39" t="str">
        <f aca="false">IFERROR(INDEX(medicine_master!$C$2:$C$26,MATCH($C2582,medicine_master!$A$2:$A$26,0)),"Not found")</f>
        <v>Allergy</v>
      </c>
      <c r="I2582" s="39" t="n">
        <f aca="false">YEAR(B2582)</f>
        <v>2026</v>
      </c>
      <c r="J2582" s="39" t="n">
        <f aca="false">MONTH(B2582)</f>
        <v>2</v>
      </c>
      <c r="K2582" s="39" t="str">
        <f aca="false">TEXT(B2582,"mmm")</f>
        <v>Feb</v>
      </c>
      <c r="L2582" s="45" t="n">
        <f aca="false">IFERROR(INDEX(medicine_master!$I$2:$I$26,MATCH($C2582,medicine_master!$A$2:$A$26,0)),0)</f>
        <v>39</v>
      </c>
      <c r="M2582" s="45" t="n">
        <f aca="false">IFERROR(INDEX(medicine_master!$G$2:$G$26,MATCH($C2582,medicine_master!$A$2:$A$26,0)),0)</f>
        <v>27</v>
      </c>
      <c r="N2582" s="45" t="n">
        <f aca="false">IF(D2582="Sale",E2582*L2582,0)</f>
        <v>0</v>
      </c>
      <c r="O2582" s="45" t="n">
        <f aca="false">IF(D2582="Sale",E2582*M2582,0)</f>
        <v>0</v>
      </c>
      <c r="P2582" s="45" t="n">
        <f aca="false">N2582-O2582</f>
        <v>0</v>
      </c>
      <c r="Q2582" s="45" t="n">
        <f aca="false">IF(D2582="Purchase",E2582*M2582,0)</f>
        <v>1080</v>
      </c>
    </row>
    <row r="2583" customFormat="false" ht="15" hidden="false" customHeight="false" outlineLevel="0" collapsed="false">
      <c r="A2583" s="39" t="s">
        <v>2907</v>
      </c>
      <c r="B2583" s="44" t="n">
        <v>46375</v>
      </c>
      <c r="C2583" s="39" t="s">
        <v>390</v>
      </c>
      <c r="D2583" s="39" t="s">
        <v>138</v>
      </c>
      <c r="E2583" s="39" t="n">
        <v>40</v>
      </c>
      <c r="F2583" s="39" t="str">
        <f aca="false">IF(COUNTIF(medicine_master!$A$2:$A$26,C2583)&gt;0,"Valid","Invalid")</f>
        <v>Valid</v>
      </c>
      <c r="G2583" s="39" t="str">
        <f aca="false">IFERROR(INDEX(medicine_master!$B$2:$B$26,MATCH($C2583,medicine_master!$A$2:$A$26,0)),"Not found")</f>
        <v>Montelukast 10mg</v>
      </c>
      <c r="H2583" s="39" t="str">
        <f aca="false">IFERROR(INDEX(medicine_master!$C$2:$C$26,MATCH($C2583,medicine_master!$A$2:$A$26,0)),"Not found")</f>
        <v>Allergy</v>
      </c>
      <c r="I2583" s="39" t="n">
        <f aca="false">YEAR(B2583)</f>
        <v>2026</v>
      </c>
      <c r="J2583" s="39" t="n">
        <f aca="false">MONTH(B2583)</f>
        <v>12</v>
      </c>
      <c r="K2583" s="39" t="str">
        <f aca="false">TEXT(B2583,"mmm")</f>
        <v>Dec</v>
      </c>
      <c r="L2583" s="45" t="n">
        <f aca="false">IFERROR(INDEX(medicine_master!$I$2:$I$26,MATCH($C2583,medicine_master!$A$2:$A$26,0)),0)</f>
        <v>39</v>
      </c>
      <c r="M2583" s="45" t="n">
        <f aca="false">IFERROR(INDEX(medicine_master!$G$2:$G$26,MATCH($C2583,medicine_master!$A$2:$A$26,0)),0)</f>
        <v>27</v>
      </c>
      <c r="N2583" s="45" t="n">
        <f aca="false">IF(D2583="Sale",E2583*L2583,0)</f>
        <v>0</v>
      </c>
      <c r="O2583" s="45" t="n">
        <f aca="false">IF(D2583="Sale",E2583*M2583,0)</f>
        <v>0</v>
      </c>
      <c r="P2583" s="45" t="n">
        <f aca="false">N2583-O2583</f>
        <v>0</v>
      </c>
      <c r="Q2583" s="45" t="n">
        <f aca="false">IF(D2583="Purchase",E2583*M2583,0)</f>
        <v>1080</v>
      </c>
    </row>
    <row r="2584" customFormat="false" ht="15" hidden="false" customHeight="false" outlineLevel="0" collapsed="false">
      <c r="A2584" s="39" t="s">
        <v>2908</v>
      </c>
      <c r="B2584" s="44" t="n">
        <v>46219</v>
      </c>
      <c r="C2584" s="39" t="s">
        <v>390</v>
      </c>
      <c r="D2584" s="39" t="s">
        <v>137</v>
      </c>
      <c r="E2584" s="39" t="n">
        <v>30</v>
      </c>
      <c r="F2584" s="39" t="str">
        <f aca="false">IF(COUNTIF(medicine_master!$A$2:$A$26,C2584)&gt;0,"Valid","Invalid")</f>
        <v>Valid</v>
      </c>
      <c r="G2584" s="39" t="str">
        <f aca="false">IFERROR(INDEX(medicine_master!$B$2:$B$26,MATCH($C2584,medicine_master!$A$2:$A$26,0)),"Not found")</f>
        <v>Montelukast 10mg</v>
      </c>
      <c r="H2584" s="39" t="str">
        <f aca="false">IFERROR(INDEX(medicine_master!$C$2:$C$26,MATCH($C2584,medicine_master!$A$2:$A$26,0)),"Not found")</f>
        <v>Allergy</v>
      </c>
      <c r="I2584" s="39" t="n">
        <f aca="false">YEAR(B2584)</f>
        <v>2026</v>
      </c>
      <c r="J2584" s="39" t="n">
        <f aca="false">MONTH(B2584)</f>
        <v>7</v>
      </c>
      <c r="K2584" s="39" t="str">
        <f aca="false">TEXT(B2584,"mmm")</f>
        <v>Jul</v>
      </c>
      <c r="L2584" s="45" t="n">
        <f aca="false">IFERROR(INDEX(medicine_master!$I$2:$I$26,MATCH($C2584,medicine_master!$A$2:$A$26,0)),0)</f>
        <v>39</v>
      </c>
      <c r="M2584" s="45" t="n">
        <f aca="false">IFERROR(INDEX(medicine_master!$G$2:$G$26,MATCH($C2584,medicine_master!$A$2:$A$26,0)),0)</f>
        <v>27</v>
      </c>
      <c r="N2584" s="45" t="n">
        <f aca="false">IF(D2584="Sale",E2584*L2584,0)</f>
        <v>1170</v>
      </c>
      <c r="O2584" s="45" t="n">
        <f aca="false">IF(D2584="Sale",E2584*M2584,0)</f>
        <v>810</v>
      </c>
      <c r="P2584" s="45" t="n">
        <f aca="false">N2584-O2584</f>
        <v>360</v>
      </c>
      <c r="Q2584" s="45" t="n">
        <f aca="false">IF(D2584="Purchase",E2584*M2584,0)</f>
        <v>0</v>
      </c>
    </row>
    <row r="2585" customFormat="false" ht="15" hidden="false" customHeight="false" outlineLevel="0" collapsed="false">
      <c r="A2585" s="39" t="s">
        <v>2909</v>
      </c>
      <c r="B2585" s="44" t="n">
        <v>46254</v>
      </c>
      <c r="C2585" s="39" t="s">
        <v>390</v>
      </c>
      <c r="D2585" s="39" t="s">
        <v>137</v>
      </c>
      <c r="E2585" s="39" t="n">
        <v>40</v>
      </c>
      <c r="F2585" s="39" t="str">
        <f aca="false">IF(COUNTIF(medicine_master!$A$2:$A$26,C2585)&gt;0,"Valid","Invalid")</f>
        <v>Valid</v>
      </c>
      <c r="G2585" s="39" t="str">
        <f aca="false">IFERROR(INDEX(medicine_master!$B$2:$B$26,MATCH($C2585,medicine_master!$A$2:$A$26,0)),"Not found")</f>
        <v>Montelukast 10mg</v>
      </c>
      <c r="H2585" s="39" t="str">
        <f aca="false">IFERROR(INDEX(medicine_master!$C$2:$C$26,MATCH($C2585,medicine_master!$A$2:$A$26,0)),"Not found")</f>
        <v>Allergy</v>
      </c>
      <c r="I2585" s="39" t="n">
        <f aca="false">YEAR(B2585)</f>
        <v>2026</v>
      </c>
      <c r="J2585" s="39" t="n">
        <f aca="false">MONTH(B2585)</f>
        <v>8</v>
      </c>
      <c r="K2585" s="39" t="str">
        <f aca="false">TEXT(B2585,"mmm")</f>
        <v>Aug</v>
      </c>
      <c r="L2585" s="45" t="n">
        <f aca="false">IFERROR(INDEX(medicine_master!$I$2:$I$26,MATCH($C2585,medicine_master!$A$2:$A$26,0)),0)</f>
        <v>39</v>
      </c>
      <c r="M2585" s="45" t="n">
        <f aca="false">IFERROR(INDEX(medicine_master!$G$2:$G$26,MATCH($C2585,medicine_master!$A$2:$A$26,0)),0)</f>
        <v>27</v>
      </c>
      <c r="N2585" s="45" t="n">
        <f aca="false">IF(D2585="Sale",E2585*L2585,0)</f>
        <v>1560</v>
      </c>
      <c r="O2585" s="45" t="n">
        <f aca="false">IF(D2585="Sale",E2585*M2585,0)</f>
        <v>1080</v>
      </c>
      <c r="P2585" s="45" t="n">
        <f aca="false">N2585-O2585</f>
        <v>480</v>
      </c>
      <c r="Q2585" s="45" t="n">
        <f aca="false">IF(D2585="Purchase",E2585*M2585,0)</f>
        <v>0</v>
      </c>
    </row>
    <row r="2586" customFormat="false" ht="15" hidden="false" customHeight="false" outlineLevel="0" collapsed="false">
      <c r="A2586" s="39" t="s">
        <v>2910</v>
      </c>
      <c r="B2586" s="44" t="n">
        <v>46060</v>
      </c>
      <c r="C2586" s="39" t="s">
        <v>321</v>
      </c>
      <c r="D2586" s="39" t="s">
        <v>138</v>
      </c>
      <c r="E2586" s="39" t="n">
        <v>40</v>
      </c>
      <c r="F2586" s="39" t="str">
        <f aca="false">IF(COUNTIF(medicine_master!$A$2:$A$26,C2586)&gt;0,"Valid","Invalid")</f>
        <v>Valid</v>
      </c>
      <c r="G2586" s="39" t="str">
        <f aca="false">IFERROR(INDEX(medicine_master!$B$2:$B$26,MATCH($C2586,medicine_master!$A$2:$A$26,0)),"Not found")</f>
        <v>Levocetirizine 5mg</v>
      </c>
      <c r="H2586" s="39" t="str">
        <f aca="false">IFERROR(INDEX(medicine_master!$C$2:$C$26,MATCH($C2586,medicine_master!$A$2:$A$26,0)),"Not found")</f>
        <v>Allergy</v>
      </c>
      <c r="I2586" s="39" t="n">
        <f aca="false">YEAR(B2586)</f>
        <v>2026</v>
      </c>
      <c r="J2586" s="39" t="n">
        <f aca="false">MONTH(B2586)</f>
        <v>2</v>
      </c>
      <c r="K2586" s="39" t="str">
        <f aca="false">TEXT(B2586,"mmm")</f>
        <v>Feb</v>
      </c>
      <c r="L2586" s="45" t="n">
        <f aca="false">IFERROR(INDEX(medicine_master!$I$2:$I$26,MATCH($C2586,medicine_master!$A$2:$A$26,0)),0)</f>
        <v>22</v>
      </c>
      <c r="M2586" s="45" t="n">
        <f aca="false">IFERROR(INDEX(medicine_master!$G$2:$G$26,MATCH($C2586,medicine_master!$A$2:$A$26,0)),0)</f>
        <v>14</v>
      </c>
      <c r="N2586" s="45" t="n">
        <f aca="false">IF(D2586="Sale",E2586*L2586,0)</f>
        <v>0</v>
      </c>
      <c r="O2586" s="45" t="n">
        <f aca="false">IF(D2586="Sale",E2586*M2586,0)</f>
        <v>0</v>
      </c>
      <c r="P2586" s="45" t="n">
        <f aca="false">N2586-O2586</f>
        <v>0</v>
      </c>
      <c r="Q2586" s="45" t="n">
        <f aca="false">IF(D2586="Purchase",E2586*M2586,0)</f>
        <v>560</v>
      </c>
    </row>
    <row r="2587" customFormat="false" ht="15" hidden="false" customHeight="false" outlineLevel="0" collapsed="false">
      <c r="A2587" s="39" t="s">
        <v>2911</v>
      </c>
      <c r="B2587" s="44" t="n">
        <v>46165</v>
      </c>
      <c r="C2587" s="39" t="s">
        <v>321</v>
      </c>
      <c r="D2587" s="39" t="s">
        <v>138</v>
      </c>
      <c r="E2587" s="39" t="n">
        <v>40</v>
      </c>
      <c r="F2587" s="39" t="str">
        <f aca="false">IF(COUNTIF(medicine_master!$A$2:$A$26,C2587)&gt;0,"Valid","Invalid")</f>
        <v>Valid</v>
      </c>
      <c r="G2587" s="39" t="str">
        <f aca="false">IFERROR(INDEX(medicine_master!$B$2:$B$26,MATCH($C2587,medicine_master!$A$2:$A$26,0)),"Not found")</f>
        <v>Levocetirizine 5mg</v>
      </c>
      <c r="H2587" s="39" t="str">
        <f aca="false">IFERROR(INDEX(medicine_master!$C$2:$C$26,MATCH($C2587,medicine_master!$A$2:$A$26,0)),"Not found")</f>
        <v>Allergy</v>
      </c>
      <c r="I2587" s="39" t="n">
        <f aca="false">YEAR(B2587)</f>
        <v>2026</v>
      </c>
      <c r="J2587" s="39" t="n">
        <f aca="false">MONTH(B2587)</f>
        <v>5</v>
      </c>
      <c r="K2587" s="39" t="str">
        <f aca="false">TEXT(B2587,"mmm")</f>
        <v>May</v>
      </c>
      <c r="L2587" s="45" t="n">
        <f aca="false">IFERROR(INDEX(medicine_master!$I$2:$I$26,MATCH($C2587,medicine_master!$A$2:$A$26,0)),0)</f>
        <v>22</v>
      </c>
      <c r="M2587" s="45" t="n">
        <f aca="false">IFERROR(INDEX(medicine_master!$G$2:$G$26,MATCH($C2587,medicine_master!$A$2:$A$26,0)),0)</f>
        <v>14</v>
      </c>
      <c r="N2587" s="45" t="n">
        <f aca="false">IF(D2587="Sale",E2587*L2587,0)</f>
        <v>0</v>
      </c>
      <c r="O2587" s="45" t="n">
        <f aca="false">IF(D2587="Sale",E2587*M2587,0)</f>
        <v>0</v>
      </c>
      <c r="P2587" s="45" t="n">
        <f aca="false">N2587-O2587</f>
        <v>0</v>
      </c>
      <c r="Q2587" s="45" t="n">
        <f aca="false">IF(D2587="Purchase",E2587*M2587,0)</f>
        <v>560</v>
      </c>
    </row>
    <row r="2588" customFormat="false" ht="15" hidden="false" customHeight="false" outlineLevel="0" collapsed="false">
      <c r="A2588" s="39" t="s">
        <v>2912</v>
      </c>
      <c r="B2588" s="44" t="n">
        <v>46243</v>
      </c>
      <c r="C2588" s="39" t="s">
        <v>321</v>
      </c>
      <c r="D2588" s="39" t="s">
        <v>137</v>
      </c>
      <c r="E2588" s="39" t="n">
        <v>40</v>
      </c>
      <c r="F2588" s="39" t="str">
        <f aca="false">IF(COUNTIF(medicine_master!$A$2:$A$26,C2588)&gt;0,"Valid","Invalid")</f>
        <v>Valid</v>
      </c>
      <c r="G2588" s="39" t="str">
        <f aca="false">IFERROR(INDEX(medicine_master!$B$2:$B$26,MATCH($C2588,medicine_master!$A$2:$A$26,0)),"Not found")</f>
        <v>Levocetirizine 5mg</v>
      </c>
      <c r="H2588" s="39" t="str">
        <f aca="false">IFERROR(INDEX(medicine_master!$C$2:$C$26,MATCH($C2588,medicine_master!$A$2:$A$26,0)),"Not found")</f>
        <v>Allergy</v>
      </c>
      <c r="I2588" s="39" t="n">
        <f aca="false">YEAR(B2588)</f>
        <v>2026</v>
      </c>
      <c r="J2588" s="39" t="n">
        <f aca="false">MONTH(B2588)</f>
        <v>8</v>
      </c>
      <c r="K2588" s="39" t="str">
        <f aca="false">TEXT(B2588,"mmm")</f>
        <v>Aug</v>
      </c>
      <c r="L2588" s="45" t="n">
        <f aca="false">IFERROR(INDEX(medicine_master!$I$2:$I$26,MATCH($C2588,medicine_master!$A$2:$A$26,0)),0)</f>
        <v>22</v>
      </c>
      <c r="M2588" s="45" t="n">
        <f aca="false">IFERROR(INDEX(medicine_master!$G$2:$G$26,MATCH($C2588,medicine_master!$A$2:$A$26,0)),0)</f>
        <v>14</v>
      </c>
      <c r="N2588" s="45" t="n">
        <f aca="false">IF(D2588="Sale",E2588*L2588,0)</f>
        <v>880</v>
      </c>
      <c r="O2588" s="45" t="n">
        <f aca="false">IF(D2588="Sale",E2588*M2588,0)</f>
        <v>560</v>
      </c>
      <c r="P2588" s="45" t="n">
        <f aca="false">N2588-O2588</f>
        <v>320</v>
      </c>
      <c r="Q2588" s="45" t="n">
        <f aca="false">IF(D2588="Purchase",E2588*M2588,0)</f>
        <v>0</v>
      </c>
    </row>
    <row r="2589" customFormat="false" ht="15" hidden="false" customHeight="false" outlineLevel="0" collapsed="false">
      <c r="A2589" s="39" t="s">
        <v>2913</v>
      </c>
      <c r="B2589" s="44" t="n">
        <v>46262</v>
      </c>
      <c r="C2589" s="39" t="s">
        <v>321</v>
      </c>
      <c r="D2589" s="39" t="s">
        <v>137</v>
      </c>
      <c r="E2589" s="39" t="n">
        <v>50</v>
      </c>
      <c r="F2589" s="39" t="str">
        <f aca="false">IF(COUNTIF(medicine_master!$A$2:$A$26,C2589)&gt;0,"Valid","Invalid")</f>
        <v>Valid</v>
      </c>
      <c r="G2589" s="39" t="str">
        <f aca="false">IFERROR(INDEX(medicine_master!$B$2:$B$26,MATCH($C2589,medicine_master!$A$2:$A$26,0)),"Not found")</f>
        <v>Levocetirizine 5mg</v>
      </c>
      <c r="H2589" s="39" t="str">
        <f aca="false">IFERROR(INDEX(medicine_master!$C$2:$C$26,MATCH($C2589,medicine_master!$A$2:$A$26,0)),"Not found")</f>
        <v>Allergy</v>
      </c>
      <c r="I2589" s="39" t="n">
        <f aca="false">YEAR(B2589)</f>
        <v>2026</v>
      </c>
      <c r="J2589" s="39" t="n">
        <f aca="false">MONTH(B2589)</f>
        <v>8</v>
      </c>
      <c r="K2589" s="39" t="str">
        <f aca="false">TEXT(B2589,"mmm")</f>
        <v>Aug</v>
      </c>
      <c r="L2589" s="45" t="n">
        <f aca="false">IFERROR(INDEX(medicine_master!$I$2:$I$26,MATCH($C2589,medicine_master!$A$2:$A$26,0)),0)</f>
        <v>22</v>
      </c>
      <c r="M2589" s="45" t="n">
        <f aca="false">IFERROR(INDEX(medicine_master!$G$2:$G$26,MATCH($C2589,medicine_master!$A$2:$A$26,0)),0)</f>
        <v>14</v>
      </c>
      <c r="N2589" s="45" t="n">
        <f aca="false">IF(D2589="Sale",E2589*L2589,0)</f>
        <v>1100</v>
      </c>
      <c r="O2589" s="45" t="n">
        <f aca="false">IF(D2589="Sale",E2589*M2589,0)</f>
        <v>700</v>
      </c>
      <c r="P2589" s="45" t="n">
        <f aca="false">N2589-O2589</f>
        <v>400</v>
      </c>
      <c r="Q2589" s="45" t="n">
        <f aca="false">IF(D2589="Purchase",E2589*M2589,0)</f>
        <v>0</v>
      </c>
    </row>
    <row r="2590" customFormat="false" ht="15" hidden="false" customHeight="false" outlineLevel="0" collapsed="false">
      <c r="A2590" s="39" t="s">
        <v>2914</v>
      </c>
      <c r="B2590" s="44" t="n">
        <v>46385</v>
      </c>
      <c r="C2590" s="39" t="s">
        <v>148</v>
      </c>
      <c r="D2590" s="39" t="s">
        <v>138</v>
      </c>
      <c r="E2590" s="39" t="n">
        <v>10</v>
      </c>
      <c r="F2590" s="39" t="str">
        <f aca="false">IF(COUNTIF(medicine_master!$A$2:$A$26,C2590)&gt;0,"Valid","Invalid")</f>
        <v>Valid</v>
      </c>
      <c r="G2590" s="39" t="str">
        <f aca="false">IFERROR(INDEX(medicine_master!$B$2:$B$26,MATCH($C2590,medicine_master!$A$2:$A$26,0)),"Not found")</f>
        <v>Dextromethorphan Syrup</v>
      </c>
      <c r="H2590" s="39" t="str">
        <f aca="false">IFERROR(INDEX(medicine_master!$C$2:$C$26,MATCH($C2590,medicine_master!$A$2:$A$26,0)),"Not found")</f>
        <v>Cold &amp; Cough</v>
      </c>
      <c r="I2590" s="39" t="n">
        <f aca="false">YEAR(B2590)</f>
        <v>2026</v>
      </c>
      <c r="J2590" s="39" t="n">
        <f aca="false">MONTH(B2590)</f>
        <v>12</v>
      </c>
      <c r="K2590" s="39" t="str">
        <f aca="false">TEXT(B2590,"mmm")</f>
        <v>Dec</v>
      </c>
      <c r="L2590" s="45" t="n">
        <f aca="false">IFERROR(INDEX(medicine_master!$I$2:$I$26,MATCH($C2590,medicine_master!$A$2:$A$26,0)),0)</f>
        <v>80</v>
      </c>
      <c r="M2590" s="45" t="n">
        <f aca="false">IFERROR(INDEX(medicine_master!$G$2:$G$26,MATCH($C2590,medicine_master!$A$2:$A$26,0)),0)</f>
        <v>58</v>
      </c>
      <c r="N2590" s="45" t="n">
        <f aca="false">IF(D2590="Sale",E2590*L2590,0)</f>
        <v>0</v>
      </c>
      <c r="O2590" s="45" t="n">
        <f aca="false">IF(D2590="Sale",E2590*M2590,0)</f>
        <v>0</v>
      </c>
      <c r="P2590" s="45" t="n">
        <f aca="false">N2590-O2590</f>
        <v>0</v>
      </c>
      <c r="Q2590" s="45" t="n">
        <f aca="false">IF(D2590="Purchase",E2590*M2590,0)</f>
        <v>580</v>
      </c>
    </row>
    <row r="2591" customFormat="false" ht="15" hidden="false" customHeight="false" outlineLevel="0" collapsed="false">
      <c r="A2591" s="39" t="s">
        <v>2915</v>
      </c>
      <c r="B2591" s="44" t="n">
        <v>46299</v>
      </c>
      <c r="C2591" s="39" t="s">
        <v>148</v>
      </c>
      <c r="D2591" s="39" t="s">
        <v>138</v>
      </c>
      <c r="E2591" s="39" t="n">
        <v>20</v>
      </c>
      <c r="F2591" s="39" t="str">
        <f aca="false">IF(COUNTIF(medicine_master!$A$2:$A$26,C2591)&gt;0,"Valid","Invalid")</f>
        <v>Valid</v>
      </c>
      <c r="G2591" s="39" t="str">
        <f aca="false">IFERROR(INDEX(medicine_master!$B$2:$B$26,MATCH($C2591,medicine_master!$A$2:$A$26,0)),"Not found")</f>
        <v>Dextromethorphan Syrup</v>
      </c>
      <c r="H2591" s="39" t="str">
        <f aca="false">IFERROR(INDEX(medicine_master!$C$2:$C$26,MATCH($C2591,medicine_master!$A$2:$A$26,0)),"Not found")</f>
        <v>Cold &amp; Cough</v>
      </c>
      <c r="I2591" s="39" t="n">
        <f aca="false">YEAR(B2591)</f>
        <v>2026</v>
      </c>
      <c r="J2591" s="39" t="n">
        <f aca="false">MONTH(B2591)</f>
        <v>10</v>
      </c>
      <c r="K2591" s="39" t="str">
        <f aca="false">TEXT(B2591,"mmm")</f>
        <v>Oct</v>
      </c>
      <c r="L2591" s="45" t="n">
        <f aca="false">IFERROR(INDEX(medicine_master!$I$2:$I$26,MATCH($C2591,medicine_master!$A$2:$A$26,0)),0)</f>
        <v>80</v>
      </c>
      <c r="M2591" s="45" t="n">
        <f aca="false">IFERROR(INDEX(medicine_master!$G$2:$G$26,MATCH($C2591,medicine_master!$A$2:$A$26,0)),0)</f>
        <v>58</v>
      </c>
      <c r="N2591" s="45" t="n">
        <f aca="false">IF(D2591="Sale",E2591*L2591,0)</f>
        <v>0</v>
      </c>
      <c r="O2591" s="45" t="n">
        <f aca="false">IF(D2591="Sale",E2591*M2591,0)</f>
        <v>0</v>
      </c>
      <c r="P2591" s="45" t="n">
        <f aca="false">N2591-O2591</f>
        <v>0</v>
      </c>
      <c r="Q2591" s="45" t="n">
        <f aca="false">IF(D2591="Purchase",E2591*M2591,0)</f>
        <v>1160</v>
      </c>
    </row>
    <row r="2592" customFormat="false" ht="15" hidden="false" customHeight="false" outlineLevel="0" collapsed="false">
      <c r="A2592" s="39" t="s">
        <v>2916</v>
      </c>
      <c r="B2592" s="44" t="n">
        <v>46037</v>
      </c>
      <c r="C2592" s="39" t="s">
        <v>148</v>
      </c>
      <c r="D2592" s="39" t="s">
        <v>137</v>
      </c>
      <c r="E2592" s="39" t="n">
        <v>20</v>
      </c>
      <c r="F2592" s="39" t="str">
        <f aca="false">IF(COUNTIF(medicine_master!$A$2:$A$26,C2592)&gt;0,"Valid","Invalid")</f>
        <v>Valid</v>
      </c>
      <c r="G2592" s="39" t="str">
        <f aca="false">IFERROR(INDEX(medicine_master!$B$2:$B$26,MATCH($C2592,medicine_master!$A$2:$A$26,0)),"Not found")</f>
        <v>Dextromethorphan Syrup</v>
      </c>
      <c r="H2592" s="39" t="str">
        <f aca="false">IFERROR(INDEX(medicine_master!$C$2:$C$26,MATCH($C2592,medicine_master!$A$2:$A$26,0)),"Not found")</f>
        <v>Cold &amp; Cough</v>
      </c>
      <c r="I2592" s="39" t="n">
        <f aca="false">YEAR(B2592)</f>
        <v>2026</v>
      </c>
      <c r="J2592" s="39" t="n">
        <f aca="false">MONTH(B2592)</f>
        <v>1</v>
      </c>
      <c r="K2592" s="39" t="str">
        <f aca="false">TEXT(B2592,"mmm")</f>
        <v>Jan</v>
      </c>
      <c r="L2592" s="45" t="n">
        <f aca="false">IFERROR(INDEX(medicine_master!$I$2:$I$26,MATCH($C2592,medicine_master!$A$2:$A$26,0)),0)</f>
        <v>80</v>
      </c>
      <c r="M2592" s="45" t="n">
        <f aca="false">IFERROR(INDEX(medicine_master!$G$2:$G$26,MATCH($C2592,medicine_master!$A$2:$A$26,0)),0)</f>
        <v>58</v>
      </c>
      <c r="N2592" s="45" t="n">
        <f aca="false">IF(D2592="Sale",E2592*L2592,0)</f>
        <v>1600</v>
      </c>
      <c r="O2592" s="45" t="n">
        <f aca="false">IF(D2592="Sale",E2592*M2592,0)</f>
        <v>1160</v>
      </c>
      <c r="P2592" s="45" t="n">
        <f aca="false">N2592-O2592</f>
        <v>440</v>
      </c>
      <c r="Q2592" s="45" t="n">
        <f aca="false">IF(D2592="Purchase",E2592*M2592,0)</f>
        <v>0</v>
      </c>
    </row>
    <row r="2593" customFormat="false" ht="15" hidden="false" customHeight="false" outlineLevel="0" collapsed="false">
      <c r="A2593" s="39" t="s">
        <v>2917</v>
      </c>
      <c r="B2593" s="44" t="n">
        <v>46085</v>
      </c>
      <c r="C2593" s="39" t="s">
        <v>148</v>
      </c>
      <c r="D2593" s="39" t="s">
        <v>137</v>
      </c>
      <c r="E2593" s="39" t="n">
        <v>40</v>
      </c>
      <c r="F2593" s="39" t="str">
        <f aca="false">IF(COUNTIF(medicine_master!$A$2:$A$26,C2593)&gt;0,"Valid","Invalid")</f>
        <v>Valid</v>
      </c>
      <c r="G2593" s="39" t="str">
        <f aca="false">IFERROR(INDEX(medicine_master!$B$2:$B$26,MATCH($C2593,medicine_master!$A$2:$A$26,0)),"Not found")</f>
        <v>Dextromethorphan Syrup</v>
      </c>
      <c r="H2593" s="39" t="str">
        <f aca="false">IFERROR(INDEX(medicine_master!$C$2:$C$26,MATCH($C2593,medicine_master!$A$2:$A$26,0)),"Not found")</f>
        <v>Cold &amp; Cough</v>
      </c>
      <c r="I2593" s="39" t="n">
        <f aca="false">YEAR(B2593)</f>
        <v>2026</v>
      </c>
      <c r="J2593" s="39" t="n">
        <f aca="false">MONTH(B2593)</f>
        <v>3</v>
      </c>
      <c r="K2593" s="39" t="str">
        <f aca="false">TEXT(B2593,"mmm")</f>
        <v>Mar</v>
      </c>
      <c r="L2593" s="45" t="n">
        <f aca="false">IFERROR(INDEX(medicine_master!$I$2:$I$26,MATCH($C2593,medicine_master!$A$2:$A$26,0)),0)</f>
        <v>80</v>
      </c>
      <c r="M2593" s="45" t="n">
        <f aca="false">IFERROR(INDEX(medicine_master!$G$2:$G$26,MATCH($C2593,medicine_master!$A$2:$A$26,0)),0)</f>
        <v>58</v>
      </c>
      <c r="N2593" s="45" t="n">
        <f aca="false">IF(D2593="Sale",E2593*L2593,0)</f>
        <v>3200</v>
      </c>
      <c r="O2593" s="45" t="n">
        <f aca="false">IF(D2593="Sale",E2593*M2593,0)</f>
        <v>2320</v>
      </c>
      <c r="P2593" s="45" t="n">
        <f aca="false">N2593-O2593</f>
        <v>880</v>
      </c>
      <c r="Q2593" s="45" t="n">
        <f aca="false">IF(D2593="Purchase",E2593*M2593,0)</f>
        <v>0</v>
      </c>
    </row>
    <row r="2594" customFormat="false" ht="15" hidden="false" customHeight="false" outlineLevel="0" collapsed="false">
      <c r="A2594" s="39" t="s">
        <v>2918</v>
      </c>
      <c r="B2594" s="44" t="n">
        <v>46049</v>
      </c>
      <c r="C2594" s="39" t="s">
        <v>147</v>
      </c>
      <c r="D2594" s="39" t="s">
        <v>138</v>
      </c>
      <c r="E2594" s="39" t="n">
        <v>50</v>
      </c>
      <c r="F2594" s="39" t="str">
        <f aca="false">IF(COUNTIF(medicine_master!$A$2:$A$26,C2594)&gt;0,"Valid","Invalid")</f>
        <v>Valid</v>
      </c>
      <c r="G2594" s="39" t="str">
        <f aca="false">IFERROR(INDEX(medicine_master!$B$2:$B$26,MATCH($C2594,medicine_master!$A$2:$A$26,0)),"Not found")</f>
        <v>Insulin Injection</v>
      </c>
      <c r="H2594" s="39" t="str">
        <f aca="false">IFERROR(INDEX(medicine_master!$C$2:$C$26,MATCH($C2594,medicine_master!$A$2:$A$26,0)),"Not found")</f>
        <v>Diabetes</v>
      </c>
      <c r="I2594" s="39" t="n">
        <f aca="false">YEAR(B2594)</f>
        <v>2026</v>
      </c>
      <c r="J2594" s="39" t="n">
        <f aca="false">MONTH(B2594)</f>
        <v>1</v>
      </c>
      <c r="K2594" s="39" t="str">
        <f aca="false">TEXT(B2594,"mmm")</f>
        <v>Jan</v>
      </c>
      <c r="L2594" s="45" t="n">
        <f aca="false">IFERROR(INDEX(medicine_master!$I$2:$I$26,MATCH($C2594,medicine_master!$A$2:$A$26,0)),0)</f>
        <v>225</v>
      </c>
      <c r="M2594" s="45" t="n">
        <f aca="false">IFERROR(INDEX(medicine_master!$G$2:$G$26,MATCH($C2594,medicine_master!$A$2:$A$26,0)),0)</f>
        <v>165</v>
      </c>
      <c r="N2594" s="45" t="n">
        <f aca="false">IF(D2594="Sale",E2594*L2594,0)</f>
        <v>0</v>
      </c>
      <c r="O2594" s="45" t="n">
        <f aca="false">IF(D2594="Sale",E2594*M2594,0)</f>
        <v>0</v>
      </c>
      <c r="P2594" s="45" t="n">
        <f aca="false">N2594-O2594</f>
        <v>0</v>
      </c>
      <c r="Q2594" s="45" t="n">
        <f aca="false">IF(D2594="Purchase",E2594*M2594,0)</f>
        <v>8250</v>
      </c>
    </row>
    <row r="2595" customFormat="false" ht="15" hidden="false" customHeight="false" outlineLevel="0" collapsed="false">
      <c r="A2595" s="39" t="s">
        <v>2919</v>
      </c>
      <c r="B2595" s="44" t="n">
        <v>46127</v>
      </c>
      <c r="C2595" s="39" t="s">
        <v>147</v>
      </c>
      <c r="D2595" s="39" t="s">
        <v>138</v>
      </c>
      <c r="E2595" s="39" t="n">
        <v>50</v>
      </c>
      <c r="F2595" s="39" t="str">
        <f aca="false">IF(COUNTIF(medicine_master!$A$2:$A$26,C2595)&gt;0,"Valid","Invalid")</f>
        <v>Valid</v>
      </c>
      <c r="G2595" s="39" t="str">
        <f aca="false">IFERROR(INDEX(medicine_master!$B$2:$B$26,MATCH($C2595,medicine_master!$A$2:$A$26,0)),"Not found")</f>
        <v>Insulin Injection</v>
      </c>
      <c r="H2595" s="39" t="str">
        <f aca="false">IFERROR(INDEX(medicine_master!$C$2:$C$26,MATCH($C2595,medicine_master!$A$2:$A$26,0)),"Not found")</f>
        <v>Diabetes</v>
      </c>
      <c r="I2595" s="39" t="n">
        <f aca="false">YEAR(B2595)</f>
        <v>2026</v>
      </c>
      <c r="J2595" s="39" t="n">
        <f aca="false">MONTH(B2595)</f>
        <v>4</v>
      </c>
      <c r="K2595" s="39" t="str">
        <f aca="false">TEXT(B2595,"mmm")</f>
        <v>Apr</v>
      </c>
      <c r="L2595" s="45" t="n">
        <f aca="false">IFERROR(INDEX(medicine_master!$I$2:$I$26,MATCH($C2595,medicine_master!$A$2:$A$26,0)),0)</f>
        <v>225</v>
      </c>
      <c r="M2595" s="45" t="n">
        <f aca="false">IFERROR(INDEX(medicine_master!$G$2:$G$26,MATCH($C2595,medicine_master!$A$2:$A$26,0)),0)</f>
        <v>165</v>
      </c>
      <c r="N2595" s="45" t="n">
        <f aca="false">IF(D2595="Sale",E2595*L2595,0)</f>
        <v>0</v>
      </c>
      <c r="O2595" s="45" t="n">
        <f aca="false">IF(D2595="Sale",E2595*M2595,0)</f>
        <v>0</v>
      </c>
      <c r="P2595" s="45" t="n">
        <f aca="false">N2595-O2595</f>
        <v>0</v>
      </c>
      <c r="Q2595" s="45" t="n">
        <f aca="false">IF(D2595="Purchase",E2595*M2595,0)</f>
        <v>8250</v>
      </c>
    </row>
    <row r="2596" customFormat="false" ht="15" hidden="false" customHeight="false" outlineLevel="0" collapsed="false">
      <c r="A2596" s="39" t="s">
        <v>2920</v>
      </c>
      <c r="B2596" s="44" t="n">
        <v>46074</v>
      </c>
      <c r="C2596" s="39" t="s">
        <v>147</v>
      </c>
      <c r="D2596" s="39" t="s">
        <v>137</v>
      </c>
      <c r="E2596" s="39" t="n">
        <v>10</v>
      </c>
      <c r="F2596" s="39" t="str">
        <f aca="false">IF(COUNTIF(medicine_master!$A$2:$A$26,C2596)&gt;0,"Valid","Invalid")</f>
        <v>Valid</v>
      </c>
      <c r="G2596" s="39" t="str">
        <f aca="false">IFERROR(INDEX(medicine_master!$B$2:$B$26,MATCH($C2596,medicine_master!$A$2:$A$26,0)),"Not found")</f>
        <v>Insulin Injection</v>
      </c>
      <c r="H2596" s="39" t="str">
        <f aca="false">IFERROR(INDEX(medicine_master!$C$2:$C$26,MATCH($C2596,medicine_master!$A$2:$A$26,0)),"Not found")</f>
        <v>Diabetes</v>
      </c>
      <c r="I2596" s="39" t="n">
        <f aca="false">YEAR(B2596)</f>
        <v>2026</v>
      </c>
      <c r="J2596" s="39" t="n">
        <f aca="false">MONTH(B2596)</f>
        <v>2</v>
      </c>
      <c r="K2596" s="39" t="str">
        <f aca="false">TEXT(B2596,"mmm")</f>
        <v>Feb</v>
      </c>
      <c r="L2596" s="45" t="n">
        <f aca="false">IFERROR(INDEX(medicine_master!$I$2:$I$26,MATCH($C2596,medicine_master!$A$2:$A$26,0)),0)</f>
        <v>225</v>
      </c>
      <c r="M2596" s="45" t="n">
        <f aca="false">IFERROR(INDEX(medicine_master!$G$2:$G$26,MATCH($C2596,medicine_master!$A$2:$A$26,0)),0)</f>
        <v>165</v>
      </c>
      <c r="N2596" s="45" t="n">
        <f aca="false">IF(D2596="Sale",E2596*L2596,0)</f>
        <v>2250</v>
      </c>
      <c r="O2596" s="45" t="n">
        <f aca="false">IF(D2596="Sale",E2596*M2596,0)</f>
        <v>1650</v>
      </c>
      <c r="P2596" s="45" t="n">
        <f aca="false">N2596-O2596</f>
        <v>600</v>
      </c>
      <c r="Q2596" s="45" t="n">
        <f aca="false">IF(D2596="Purchase",E2596*M2596,0)</f>
        <v>0</v>
      </c>
    </row>
    <row r="2597" customFormat="false" ht="15" hidden="false" customHeight="false" outlineLevel="0" collapsed="false">
      <c r="A2597" s="39" t="s">
        <v>2921</v>
      </c>
      <c r="B2597" s="44" t="n">
        <v>46203</v>
      </c>
      <c r="C2597" s="39" t="s">
        <v>147</v>
      </c>
      <c r="D2597" s="39" t="s">
        <v>137</v>
      </c>
      <c r="E2597" s="39" t="n">
        <v>10</v>
      </c>
      <c r="F2597" s="39" t="str">
        <f aca="false">IF(COUNTIF(medicine_master!$A$2:$A$26,C2597)&gt;0,"Valid","Invalid")</f>
        <v>Valid</v>
      </c>
      <c r="G2597" s="39" t="str">
        <f aca="false">IFERROR(INDEX(medicine_master!$B$2:$B$26,MATCH($C2597,medicine_master!$A$2:$A$26,0)),"Not found")</f>
        <v>Insulin Injection</v>
      </c>
      <c r="H2597" s="39" t="str">
        <f aca="false">IFERROR(INDEX(medicine_master!$C$2:$C$26,MATCH($C2597,medicine_master!$A$2:$A$26,0)),"Not found")</f>
        <v>Diabetes</v>
      </c>
      <c r="I2597" s="39" t="n">
        <f aca="false">YEAR(B2597)</f>
        <v>2026</v>
      </c>
      <c r="J2597" s="39" t="n">
        <f aca="false">MONTH(B2597)</f>
        <v>6</v>
      </c>
      <c r="K2597" s="39" t="str">
        <f aca="false">TEXT(B2597,"mmm")</f>
        <v>Jun</v>
      </c>
      <c r="L2597" s="45" t="n">
        <f aca="false">IFERROR(INDEX(medicine_master!$I$2:$I$26,MATCH($C2597,medicine_master!$A$2:$A$26,0)),0)</f>
        <v>225</v>
      </c>
      <c r="M2597" s="45" t="n">
        <f aca="false">IFERROR(INDEX(medicine_master!$G$2:$G$26,MATCH($C2597,medicine_master!$A$2:$A$26,0)),0)</f>
        <v>165</v>
      </c>
      <c r="N2597" s="45" t="n">
        <f aca="false">IF(D2597="Sale",E2597*L2597,0)</f>
        <v>2250</v>
      </c>
      <c r="O2597" s="45" t="n">
        <f aca="false">IF(D2597="Sale",E2597*M2597,0)</f>
        <v>1650</v>
      </c>
      <c r="P2597" s="45" t="n">
        <f aca="false">N2597-O2597</f>
        <v>600</v>
      </c>
      <c r="Q2597" s="45" t="n">
        <f aca="false">IF(D2597="Purchase",E2597*M2597,0)</f>
        <v>0</v>
      </c>
    </row>
    <row r="2598" customFormat="false" ht="15" hidden="false" customHeight="false" outlineLevel="0" collapsed="false">
      <c r="A2598" s="39" t="s">
        <v>2922</v>
      </c>
      <c r="B2598" s="44" t="n">
        <v>46142</v>
      </c>
      <c r="C2598" s="39" t="s">
        <v>178</v>
      </c>
      <c r="D2598" s="39" t="s">
        <v>138</v>
      </c>
      <c r="E2598" s="39" t="n">
        <v>40</v>
      </c>
      <c r="F2598" s="39" t="str">
        <f aca="false">IF(COUNTIF(medicine_master!$A$2:$A$26,C2598)&gt;0,"Valid","Invalid")</f>
        <v>Valid</v>
      </c>
      <c r="G2598" s="39" t="str">
        <f aca="false">IFERROR(INDEX(medicine_master!$B$2:$B$26,MATCH($C2598,medicine_master!$A$2:$A$26,0)),"Not found")</f>
        <v>Aspirin 75mg</v>
      </c>
      <c r="H2598" s="39" t="str">
        <f aca="false">IFERROR(INDEX(medicine_master!$C$2:$C$26,MATCH($C2598,medicine_master!$A$2:$A$26,0)),"Not found")</f>
        <v>Cardiac</v>
      </c>
      <c r="I2598" s="39" t="n">
        <f aca="false">YEAR(B2598)</f>
        <v>2026</v>
      </c>
      <c r="J2598" s="39" t="n">
        <f aca="false">MONTH(B2598)</f>
        <v>4</v>
      </c>
      <c r="K2598" s="39" t="str">
        <f aca="false">TEXT(B2598,"mmm")</f>
        <v>Apr</v>
      </c>
      <c r="L2598" s="45" t="n">
        <f aca="false">IFERROR(INDEX(medicine_master!$I$2:$I$26,MATCH($C2598,medicine_master!$A$2:$A$26,0)),0)</f>
        <v>15</v>
      </c>
      <c r="M2598" s="45" t="n">
        <f aca="false">IFERROR(INDEX(medicine_master!$G$2:$G$26,MATCH($C2598,medicine_master!$A$2:$A$26,0)),0)</f>
        <v>10</v>
      </c>
      <c r="N2598" s="45" t="n">
        <f aca="false">IF(D2598="Sale",E2598*L2598,0)</f>
        <v>0</v>
      </c>
      <c r="O2598" s="45" t="n">
        <f aca="false">IF(D2598="Sale",E2598*M2598,0)</f>
        <v>0</v>
      </c>
      <c r="P2598" s="45" t="n">
        <f aca="false">N2598-O2598</f>
        <v>0</v>
      </c>
      <c r="Q2598" s="45" t="n">
        <f aca="false">IF(D2598="Purchase",E2598*M2598,0)</f>
        <v>400</v>
      </c>
    </row>
    <row r="2599" customFormat="false" ht="15" hidden="false" customHeight="false" outlineLevel="0" collapsed="false">
      <c r="A2599" s="39" t="s">
        <v>2923</v>
      </c>
      <c r="B2599" s="44" t="n">
        <v>46385</v>
      </c>
      <c r="C2599" s="39" t="s">
        <v>178</v>
      </c>
      <c r="D2599" s="39" t="s">
        <v>138</v>
      </c>
      <c r="E2599" s="39" t="n">
        <v>30</v>
      </c>
      <c r="F2599" s="39" t="str">
        <f aca="false">IF(COUNTIF(medicine_master!$A$2:$A$26,C2599)&gt;0,"Valid","Invalid")</f>
        <v>Valid</v>
      </c>
      <c r="G2599" s="39" t="str">
        <f aca="false">IFERROR(INDEX(medicine_master!$B$2:$B$26,MATCH($C2599,medicine_master!$A$2:$A$26,0)),"Not found")</f>
        <v>Aspirin 75mg</v>
      </c>
      <c r="H2599" s="39" t="str">
        <f aca="false">IFERROR(INDEX(medicine_master!$C$2:$C$26,MATCH($C2599,medicine_master!$A$2:$A$26,0)),"Not found")</f>
        <v>Cardiac</v>
      </c>
      <c r="I2599" s="39" t="n">
        <f aca="false">YEAR(B2599)</f>
        <v>2026</v>
      </c>
      <c r="J2599" s="39" t="n">
        <f aca="false">MONTH(B2599)</f>
        <v>12</v>
      </c>
      <c r="K2599" s="39" t="str">
        <f aca="false">TEXT(B2599,"mmm")</f>
        <v>Dec</v>
      </c>
      <c r="L2599" s="45" t="n">
        <f aca="false">IFERROR(INDEX(medicine_master!$I$2:$I$26,MATCH($C2599,medicine_master!$A$2:$A$26,0)),0)</f>
        <v>15</v>
      </c>
      <c r="M2599" s="45" t="n">
        <f aca="false">IFERROR(INDEX(medicine_master!$G$2:$G$26,MATCH($C2599,medicine_master!$A$2:$A$26,0)),0)</f>
        <v>10</v>
      </c>
      <c r="N2599" s="45" t="n">
        <f aca="false">IF(D2599="Sale",E2599*L2599,0)</f>
        <v>0</v>
      </c>
      <c r="O2599" s="45" t="n">
        <f aca="false">IF(D2599="Sale",E2599*M2599,0)</f>
        <v>0</v>
      </c>
      <c r="P2599" s="45" t="n">
        <f aca="false">N2599-O2599</f>
        <v>0</v>
      </c>
      <c r="Q2599" s="45" t="n">
        <f aca="false">IF(D2599="Purchase",E2599*M2599,0)</f>
        <v>300</v>
      </c>
    </row>
    <row r="2600" customFormat="false" ht="15" hidden="false" customHeight="false" outlineLevel="0" collapsed="false">
      <c r="A2600" s="39" t="s">
        <v>2924</v>
      </c>
      <c r="B2600" s="44" t="n">
        <v>46157</v>
      </c>
      <c r="C2600" s="39" t="s">
        <v>178</v>
      </c>
      <c r="D2600" s="39" t="s">
        <v>137</v>
      </c>
      <c r="E2600" s="39" t="n">
        <v>50</v>
      </c>
      <c r="F2600" s="39" t="str">
        <f aca="false">IF(COUNTIF(medicine_master!$A$2:$A$26,C2600)&gt;0,"Valid","Invalid")</f>
        <v>Valid</v>
      </c>
      <c r="G2600" s="39" t="str">
        <f aca="false">IFERROR(INDEX(medicine_master!$B$2:$B$26,MATCH($C2600,medicine_master!$A$2:$A$26,0)),"Not found")</f>
        <v>Aspirin 75mg</v>
      </c>
      <c r="H2600" s="39" t="str">
        <f aca="false">IFERROR(INDEX(medicine_master!$C$2:$C$26,MATCH($C2600,medicine_master!$A$2:$A$26,0)),"Not found")</f>
        <v>Cardiac</v>
      </c>
      <c r="I2600" s="39" t="n">
        <f aca="false">YEAR(B2600)</f>
        <v>2026</v>
      </c>
      <c r="J2600" s="39" t="n">
        <f aca="false">MONTH(B2600)</f>
        <v>5</v>
      </c>
      <c r="K2600" s="39" t="str">
        <f aca="false">TEXT(B2600,"mmm")</f>
        <v>May</v>
      </c>
      <c r="L2600" s="45" t="n">
        <f aca="false">IFERROR(INDEX(medicine_master!$I$2:$I$26,MATCH($C2600,medicine_master!$A$2:$A$26,0)),0)</f>
        <v>15</v>
      </c>
      <c r="M2600" s="45" t="n">
        <f aca="false">IFERROR(INDEX(medicine_master!$G$2:$G$26,MATCH($C2600,medicine_master!$A$2:$A$26,0)),0)</f>
        <v>10</v>
      </c>
      <c r="N2600" s="45" t="n">
        <f aca="false">IF(D2600="Sale",E2600*L2600,0)</f>
        <v>750</v>
      </c>
      <c r="O2600" s="45" t="n">
        <f aca="false">IF(D2600="Sale",E2600*M2600,0)</f>
        <v>500</v>
      </c>
      <c r="P2600" s="45" t="n">
        <f aca="false">N2600-O2600</f>
        <v>250</v>
      </c>
      <c r="Q2600" s="45" t="n">
        <f aca="false">IF(D2600="Purchase",E2600*M2600,0)</f>
        <v>0</v>
      </c>
    </row>
    <row r="2601" customFormat="false" ht="15" hidden="false" customHeight="false" outlineLevel="0" collapsed="false">
      <c r="A2601" s="39" t="s">
        <v>2925</v>
      </c>
      <c r="B2601" s="44" t="n">
        <v>46282</v>
      </c>
      <c r="C2601" s="39" t="s">
        <v>178</v>
      </c>
      <c r="D2601" s="39" t="s">
        <v>137</v>
      </c>
      <c r="E2601" s="39" t="n">
        <v>50</v>
      </c>
      <c r="F2601" s="39" t="str">
        <f aca="false">IF(COUNTIF(medicine_master!$A$2:$A$26,C2601)&gt;0,"Valid","Invalid")</f>
        <v>Valid</v>
      </c>
      <c r="G2601" s="39" t="str">
        <f aca="false">IFERROR(INDEX(medicine_master!$B$2:$B$26,MATCH($C2601,medicine_master!$A$2:$A$26,0)),"Not found")</f>
        <v>Aspirin 75mg</v>
      </c>
      <c r="H2601" s="39" t="str">
        <f aca="false">IFERROR(INDEX(medicine_master!$C$2:$C$26,MATCH($C2601,medicine_master!$A$2:$A$26,0)),"Not found")</f>
        <v>Cardiac</v>
      </c>
      <c r="I2601" s="39" t="n">
        <f aca="false">YEAR(B2601)</f>
        <v>2026</v>
      </c>
      <c r="J2601" s="39" t="n">
        <f aca="false">MONTH(B2601)</f>
        <v>9</v>
      </c>
      <c r="K2601" s="39" t="str">
        <f aca="false">TEXT(B2601,"mmm")</f>
        <v>Sep</v>
      </c>
      <c r="L2601" s="45" t="n">
        <f aca="false">IFERROR(INDEX(medicine_master!$I$2:$I$26,MATCH($C2601,medicine_master!$A$2:$A$26,0)),0)</f>
        <v>15</v>
      </c>
      <c r="M2601" s="45" t="n">
        <f aca="false">IFERROR(INDEX(medicine_master!$G$2:$G$26,MATCH($C2601,medicine_master!$A$2:$A$26,0)),0)</f>
        <v>10</v>
      </c>
      <c r="N2601" s="45" t="n">
        <f aca="false">IF(D2601="Sale",E2601*L2601,0)</f>
        <v>750</v>
      </c>
      <c r="O2601" s="45" t="n">
        <f aca="false">IF(D2601="Sale",E2601*M2601,0)</f>
        <v>500</v>
      </c>
      <c r="P2601" s="45" t="n">
        <f aca="false">N2601-O2601</f>
        <v>250</v>
      </c>
      <c r="Q2601" s="45" t="n">
        <f aca="false">IF(D2601="Purchase",E2601*M2601,0)</f>
        <v>0</v>
      </c>
    </row>
  </sheetData>
  <autoFilter ref="A1:Q2601"/>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Y2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2" ySplit="1" topLeftCell="C2" activePane="bottomRight" state="frozen"/>
      <selection pane="topLeft" activeCell="A1" activeCellId="0" sqref="A1"/>
      <selection pane="topRight" activeCell="C1" activeCellId="0" sqref="C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1" min="1" style="0" width="12"/>
    <col collapsed="false" customWidth="true" hidden="false" outlineLevel="0" max="2" min="2" style="0" width="24"/>
    <col collapsed="false" customWidth="true" hidden="false" outlineLevel="0" max="3" min="3" style="0" width="14"/>
    <col collapsed="false" customWidth="true" hidden="false" outlineLevel="0" max="4" min="4" style="0" width="10"/>
    <col collapsed="false" customWidth="true" hidden="false" outlineLevel="0" max="5" min="5" style="0" width="13"/>
    <col collapsed="false" customWidth="true" hidden="false" outlineLevel="0" max="6" min="6" style="0" width="16"/>
    <col collapsed="false" customWidth="true" hidden="false" outlineLevel="0" max="7" min="7" style="0" width="12"/>
    <col collapsed="false" customWidth="true" hidden="false" outlineLevel="0" max="8" min="8" style="0" width="8"/>
    <col collapsed="false" customWidth="true" hidden="false" outlineLevel="0" max="10" min="9" style="0" width="12"/>
    <col collapsed="false" customWidth="true" hidden="false" outlineLevel="0" max="11" min="11" style="0" width="11"/>
    <col collapsed="false" customWidth="true" hidden="false" outlineLevel="0" max="12" min="12" style="0" width="12"/>
    <col collapsed="false" customWidth="true" hidden="false" outlineLevel="0" max="13" min="13" style="0" width="14"/>
    <col collapsed="false" customWidth="true" hidden="false" outlineLevel="0" max="14" min="14" style="0" width="12"/>
    <col collapsed="false" customWidth="true" hidden="false" outlineLevel="0" max="15" min="15" style="0" width="11"/>
    <col collapsed="false" customWidth="true" hidden="false" outlineLevel="0" max="16" min="16" style="0" width="12"/>
    <col collapsed="false" customWidth="true" hidden="false" outlineLevel="0" max="18" min="17" style="0" width="14"/>
    <col collapsed="false" customWidth="true" hidden="false" outlineLevel="0" max="19" min="19" style="0" width="13"/>
    <col collapsed="false" customWidth="true" hidden="false" outlineLevel="0" max="20" min="20" style="0" width="14"/>
    <col collapsed="false" customWidth="true" hidden="false" outlineLevel="0" max="21" min="21" style="0" width="10"/>
    <col collapsed="false" customWidth="true" hidden="false" outlineLevel="0" max="22" min="22" style="0" width="12"/>
    <col collapsed="false" customWidth="true" hidden="false" outlineLevel="0" max="23" min="23" style="0" width="14"/>
  </cols>
  <sheetData>
    <row r="1" customFormat="false" ht="31.5" hidden="false" customHeight="true" outlineLevel="0" collapsed="false">
      <c r="A1" s="5" t="s">
        <v>142</v>
      </c>
      <c r="B1" s="5" t="s">
        <v>309</v>
      </c>
      <c r="C1" s="5" t="s">
        <v>96</v>
      </c>
      <c r="D1" s="5" t="s">
        <v>2926</v>
      </c>
      <c r="E1" s="5" t="s">
        <v>2927</v>
      </c>
      <c r="F1" s="5" t="s">
        <v>2928</v>
      </c>
      <c r="G1" s="5" t="s">
        <v>314</v>
      </c>
      <c r="H1" s="5" t="s">
        <v>2929</v>
      </c>
      <c r="I1" s="5" t="s">
        <v>313</v>
      </c>
      <c r="J1" s="5" t="s">
        <v>2930</v>
      </c>
      <c r="K1" s="5" t="s">
        <v>2931</v>
      </c>
      <c r="L1" s="5" t="s">
        <v>2932</v>
      </c>
      <c r="M1" s="5" t="s">
        <v>2933</v>
      </c>
      <c r="N1" s="5" t="s">
        <v>2934</v>
      </c>
      <c r="O1" s="5" t="s">
        <v>2935</v>
      </c>
      <c r="P1" s="5" t="s">
        <v>2936</v>
      </c>
      <c r="Q1" s="5" t="s">
        <v>2937</v>
      </c>
      <c r="R1" s="5" t="s">
        <v>2938</v>
      </c>
      <c r="S1" s="5" t="s">
        <v>317</v>
      </c>
      <c r="T1" s="5" t="s">
        <v>2939</v>
      </c>
      <c r="U1" s="5" t="s">
        <v>2940</v>
      </c>
      <c r="V1" s="5" t="s">
        <v>2941</v>
      </c>
      <c r="W1" s="5" t="s">
        <v>2942</v>
      </c>
      <c r="Y1" s="20" t="s">
        <v>2943</v>
      </c>
    </row>
    <row r="2" customFormat="false" ht="15" hidden="false" customHeight="false" outlineLevel="0" collapsed="false">
      <c r="A2" s="7" t="s">
        <v>345</v>
      </c>
      <c r="B2" s="7" t="s">
        <v>2944</v>
      </c>
      <c r="C2" s="7" t="s">
        <v>104</v>
      </c>
      <c r="D2" s="7" t="s">
        <v>2945</v>
      </c>
      <c r="E2" s="46" t="n">
        <v>46520</v>
      </c>
      <c r="F2" s="7" t="s">
        <v>2946</v>
      </c>
      <c r="G2" s="7" t="n">
        <v>12</v>
      </c>
      <c r="H2" s="7" t="n">
        <v>20</v>
      </c>
      <c r="I2" s="7" t="n">
        <v>18</v>
      </c>
      <c r="J2" s="7" t="n">
        <f aca="false">I2-G2</f>
        <v>6</v>
      </c>
      <c r="K2" s="27" t="n">
        <f aca="false">IF(I2=0,0,J2/I2)</f>
        <v>0.333333333333333</v>
      </c>
      <c r="L2" s="7" t="n">
        <f aca="false">E2-Overview!$C$22</f>
        <v>220</v>
      </c>
      <c r="M2" s="7" t="str">
        <f aca="false">IF(L2&lt;0,"Expired",IF(L2&lt;=Overview!$C$23,"Critical",IF(L2&lt;=Overview!$C$24,"Expiring Soon",IF(L2&lt;=Overview!$C$25,"Watch","Safe"))))</f>
        <v>Watch</v>
      </c>
      <c r="N2" s="26" t="n">
        <f aca="false">SUMIFS(transactions!$E$2:$E$2601,transactions!$C$2:$C$2601,$A2,transactions!$D$2:$D$2601,"Purchase")</f>
        <v>1175</v>
      </c>
      <c r="O2" s="26" t="n">
        <f aca="false">SUMIFS(transactions!$E$2:$E$2601,transactions!$C$2:$C$2601,$A2,transactions!$D$2:$D$2601,"Sale")</f>
        <v>1415</v>
      </c>
      <c r="P2" s="35" t="n">
        <f aca="false">N2-O2</f>
        <v>-240</v>
      </c>
      <c r="Q2" s="36" t="n">
        <f aca="false">IF(N2=0,0,O2/N2)</f>
        <v>1.20425531914894</v>
      </c>
      <c r="R2" s="28" t="n">
        <f aca="false">SUMIFS(transactions!$N$2:$N$2601,transactions!$C$2:$C$2601,$A2)</f>
        <v>25470</v>
      </c>
      <c r="S2" s="28" t="n">
        <f aca="false">SUMIFS(transactions!$P$2:$P$2601,transactions!$C$2:$C$2601,$A2)</f>
        <v>8490</v>
      </c>
      <c r="T2" s="7" t="str">
        <f aca="false">IF(Q2&gt;=Overview!$C$26,"High",IF(Q2&gt;=Overview!$C$27,"Medium","Low"))</f>
        <v>Low</v>
      </c>
      <c r="U2" s="7" t="n">
        <f aca="false">RANK(O2,$O$2:$O$26)</f>
        <v>15</v>
      </c>
      <c r="V2" s="7" t="n">
        <f aca="false">RANK(R2,$R$2:$R$26)</f>
        <v>22</v>
      </c>
      <c r="W2" s="7" t="str">
        <f aca="false">IF(O2&gt;=PERCENTILE($O$2:$O$26,0.75),"Fast",IF(O2&lt;=PERCENTILE($O$2:$O$26,0.25),"Slow","Medium"))</f>
        <v>Medium</v>
      </c>
    </row>
    <row r="3" customFormat="false" ht="15" hidden="false" customHeight="false" outlineLevel="0" collapsed="false">
      <c r="A3" s="7" t="s">
        <v>179</v>
      </c>
      <c r="B3" s="7" t="s">
        <v>2947</v>
      </c>
      <c r="C3" s="7" t="s">
        <v>104</v>
      </c>
      <c r="D3" s="7" t="s">
        <v>2948</v>
      </c>
      <c r="E3" s="46" t="n">
        <v>46853</v>
      </c>
      <c r="F3" s="7" t="s">
        <v>2949</v>
      </c>
      <c r="G3" s="7" t="n">
        <v>22</v>
      </c>
      <c r="H3" s="7" t="n">
        <v>35</v>
      </c>
      <c r="I3" s="7" t="n">
        <v>30</v>
      </c>
      <c r="J3" s="7" t="n">
        <f aca="false">I3-G3</f>
        <v>8</v>
      </c>
      <c r="K3" s="27" t="n">
        <f aca="false">IF(I3=0,0,J3/I3)</f>
        <v>0.266666666666667</v>
      </c>
      <c r="L3" s="7" t="n">
        <f aca="false">E3-Overview!$C$22</f>
        <v>553</v>
      </c>
      <c r="M3" s="7" t="str">
        <f aca="false">IF(L3&lt;0,"Expired",IF(L3&lt;=Overview!$C$23,"Critical",IF(L3&lt;=Overview!$C$24,"Expiring Soon",IF(L3&lt;=Overview!$C$25,"Watch","Safe"))))</f>
        <v>Safe</v>
      </c>
      <c r="N3" s="26" t="n">
        <f aca="false">SUMIFS(transactions!$E$2:$E$2601,transactions!$C$2:$C$2601,$A3,transactions!$D$2:$D$2601,"Purchase")</f>
        <v>1005</v>
      </c>
      <c r="O3" s="26" t="n">
        <f aca="false">SUMIFS(transactions!$E$2:$E$2601,transactions!$C$2:$C$2601,$A3,transactions!$D$2:$D$2601,"Sale")</f>
        <v>1285</v>
      </c>
      <c r="P3" s="35" t="n">
        <f aca="false">N3-O3</f>
        <v>-280</v>
      </c>
      <c r="Q3" s="36" t="n">
        <f aca="false">IF(N3=0,0,O3/N3)</f>
        <v>1.27860696517413</v>
      </c>
      <c r="R3" s="28" t="n">
        <f aca="false">SUMIFS(transactions!$N$2:$N$2601,transactions!$C$2:$C$2601,$A3)</f>
        <v>38550</v>
      </c>
      <c r="S3" s="28" t="n">
        <f aca="false">SUMIFS(transactions!$P$2:$P$2601,transactions!$C$2:$C$2601,$A3)</f>
        <v>10280</v>
      </c>
      <c r="T3" s="7" t="str">
        <f aca="false">IF(Q3&gt;=Overview!$C$26,"High",IF(Q3&gt;=Overview!$C$27,"Medium","Low"))</f>
        <v>Low</v>
      </c>
      <c r="U3" s="7" t="n">
        <f aca="false">RANK(O3,$O$2:$O$26)</f>
        <v>22</v>
      </c>
      <c r="V3" s="7" t="n">
        <f aca="false">RANK(R3,$R$2:$R$26)</f>
        <v>15</v>
      </c>
      <c r="W3" s="7" t="str">
        <f aca="false">IF(O3&gt;=PERCENTILE($O$2:$O$26,0.75),"Fast",IF(O3&lt;=PERCENTILE($O$2:$O$26,0.25),"Slow","Medium"))</f>
        <v>Slow</v>
      </c>
    </row>
    <row r="4" customFormat="false" ht="15" hidden="false" customHeight="false" outlineLevel="0" collapsed="false">
      <c r="A4" s="7" t="s">
        <v>151</v>
      </c>
      <c r="B4" s="7" t="s">
        <v>2950</v>
      </c>
      <c r="C4" s="7" t="s">
        <v>108</v>
      </c>
      <c r="D4" s="7" t="s">
        <v>2951</v>
      </c>
      <c r="E4" s="46" t="n">
        <v>46688</v>
      </c>
      <c r="F4" s="7" t="s">
        <v>2952</v>
      </c>
      <c r="G4" s="7" t="n">
        <v>8</v>
      </c>
      <c r="H4" s="7" t="n">
        <v>15</v>
      </c>
      <c r="I4" s="7" t="n">
        <v>13</v>
      </c>
      <c r="J4" s="7" t="n">
        <f aca="false">I4-G4</f>
        <v>5</v>
      </c>
      <c r="K4" s="27" t="n">
        <f aca="false">IF(I4=0,0,J4/I4)</f>
        <v>0.384615384615385</v>
      </c>
      <c r="L4" s="7" t="n">
        <f aca="false">E4-Overview!$C$22</f>
        <v>388</v>
      </c>
      <c r="M4" s="7" t="str">
        <f aca="false">IF(L4&lt;0,"Expired",IF(L4&lt;=Overview!$C$23,"Critical",IF(L4&lt;=Overview!$C$24,"Expiring Soon",IF(L4&lt;=Overview!$C$25,"Watch","Safe"))))</f>
        <v>Safe</v>
      </c>
      <c r="N4" s="26" t="n">
        <f aca="false">SUMIFS(transactions!$E$2:$E$2601,transactions!$C$2:$C$2601,$A4,transactions!$D$2:$D$2601,"Purchase")</f>
        <v>695</v>
      </c>
      <c r="O4" s="26" t="n">
        <f aca="false">SUMIFS(transactions!$E$2:$E$2601,transactions!$C$2:$C$2601,$A4,transactions!$D$2:$D$2601,"Sale")</f>
        <v>1540</v>
      </c>
      <c r="P4" s="35" t="n">
        <f aca="false">N4-O4</f>
        <v>-845</v>
      </c>
      <c r="Q4" s="36" t="n">
        <f aca="false">IF(N4=0,0,O4/N4)</f>
        <v>2.2158273381295</v>
      </c>
      <c r="R4" s="28" t="n">
        <f aca="false">SUMIFS(transactions!$N$2:$N$2601,transactions!$C$2:$C$2601,$A4)</f>
        <v>20020</v>
      </c>
      <c r="S4" s="28" t="n">
        <f aca="false">SUMIFS(transactions!$P$2:$P$2601,transactions!$C$2:$C$2601,$A4)</f>
        <v>7700</v>
      </c>
      <c r="T4" s="7" t="str">
        <f aca="false">IF(Q4&gt;=Overview!$C$26,"High",IF(Q4&gt;=Overview!$C$27,"Medium","Low"))</f>
        <v>High</v>
      </c>
      <c r="U4" s="7" t="n">
        <f aca="false">RANK(O4,$O$2:$O$26)</f>
        <v>8</v>
      </c>
      <c r="V4" s="7" t="n">
        <f aca="false">RANK(R4,$R$2:$R$26)</f>
        <v>23</v>
      </c>
      <c r="W4" s="7" t="str">
        <f aca="false">IF(O4&gt;=PERCENTILE($O$2:$O$26,0.75),"Fast",IF(O4&lt;=PERCENTILE($O$2:$O$26,0.25),"Slow","Medium"))</f>
        <v>Medium</v>
      </c>
    </row>
    <row r="5" customFormat="false" ht="15" hidden="false" customHeight="false" outlineLevel="0" collapsed="false">
      <c r="A5" s="7" t="s">
        <v>149</v>
      </c>
      <c r="B5" s="7" t="s">
        <v>2953</v>
      </c>
      <c r="C5" s="7" t="s">
        <v>106</v>
      </c>
      <c r="D5" s="7" t="s">
        <v>2954</v>
      </c>
      <c r="E5" s="46" t="n">
        <v>46524</v>
      </c>
      <c r="F5" s="7" t="s">
        <v>2946</v>
      </c>
      <c r="G5" s="7" t="n">
        <v>35</v>
      </c>
      <c r="H5" s="7" t="n">
        <v>55</v>
      </c>
      <c r="I5" s="7" t="n">
        <v>50</v>
      </c>
      <c r="J5" s="7" t="n">
        <f aca="false">I5-G5</f>
        <v>15</v>
      </c>
      <c r="K5" s="27" t="n">
        <f aca="false">IF(I5=0,0,J5/I5)</f>
        <v>0.3</v>
      </c>
      <c r="L5" s="7" t="n">
        <f aca="false">E5-Overview!$C$22</f>
        <v>224</v>
      </c>
      <c r="M5" s="7" t="str">
        <f aca="false">IF(L5&lt;0,"Expired",IF(L5&lt;=Overview!$C$23,"Critical",IF(L5&lt;=Overview!$C$24,"Expiring Soon",IF(L5&lt;=Overview!$C$25,"Watch","Safe"))))</f>
        <v>Watch</v>
      </c>
      <c r="N5" s="26" t="n">
        <f aca="false">SUMIFS(transactions!$E$2:$E$2601,transactions!$C$2:$C$2601,$A5,transactions!$D$2:$D$2601,"Purchase")</f>
        <v>710</v>
      </c>
      <c r="O5" s="26" t="n">
        <f aca="false">SUMIFS(transactions!$E$2:$E$2601,transactions!$C$2:$C$2601,$A5,transactions!$D$2:$D$2601,"Sale")</f>
        <v>1560</v>
      </c>
      <c r="P5" s="35" t="n">
        <f aca="false">N5-O5</f>
        <v>-850</v>
      </c>
      <c r="Q5" s="36" t="n">
        <f aca="false">IF(N5=0,0,O5/N5)</f>
        <v>2.19718309859155</v>
      </c>
      <c r="R5" s="28" t="n">
        <f aca="false">SUMIFS(transactions!$N$2:$N$2601,transactions!$C$2:$C$2601,$A5)</f>
        <v>78000</v>
      </c>
      <c r="S5" s="28" t="n">
        <f aca="false">SUMIFS(transactions!$P$2:$P$2601,transactions!$C$2:$C$2601,$A5)</f>
        <v>23400</v>
      </c>
      <c r="T5" s="7" t="str">
        <f aca="false">IF(Q5&gt;=Overview!$C$26,"High",IF(Q5&gt;=Overview!$C$27,"Medium","Low"))</f>
        <v>High</v>
      </c>
      <c r="U5" s="7" t="n">
        <f aca="false">RANK(O5,$O$2:$O$26)</f>
        <v>6</v>
      </c>
      <c r="V5" s="7" t="n">
        <f aca="false">RANK(R5,$R$2:$R$26)</f>
        <v>9</v>
      </c>
      <c r="W5" s="7" t="str">
        <f aca="false">IF(O5&gt;=PERCENTILE($O$2:$O$26,0.75),"Fast",IF(O5&lt;=PERCENTILE($O$2:$O$26,0.25),"Slow","Medium"))</f>
        <v>Fast</v>
      </c>
    </row>
    <row r="6" customFormat="false" ht="15" hidden="false" customHeight="false" outlineLevel="0" collapsed="false">
      <c r="A6" s="7" t="s">
        <v>152</v>
      </c>
      <c r="B6" s="7" t="s">
        <v>2955</v>
      </c>
      <c r="C6" s="7" t="s">
        <v>106</v>
      </c>
      <c r="D6" s="7" t="s">
        <v>2956</v>
      </c>
      <c r="E6" s="46" t="n">
        <v>46489</v>
      </c>
      <c r="F6" s="7" t="s">
        <v>2957</v>
      </c>
      <c r="G6" s="7" t="n">
        <v>28</v>
      </c>
      <c r="H6" s="7" t="n">
        <v>45</v>
      </c>
      <c r="I6" s="7" t="n">
        <v>40</v>
      </c>
      <c r="J6" s="7" t="n">
        <f aca="false">I6-G6</f>
        <v>12</v>
      </c>
      <c r="K6" s="27" t="n">
        <f aca="false">IF(I6=0,0,J6/I6)</f>
        <v>0.3</v>
      </c>
      <c r="L6" s="7" t="n">
        <f aca="false">E6-Overview!$C$22</f>
        <v>189</v>
      </c>
      <c r="M6" s="7" t="str">
        <f aca="false">IF(L6&lt;0,"Expired",IF(L6&lt;=Overview!$C$23,"Critical",IF(L6&lt;=Overview!$C$24,"Expiring Soon",IF(L6&lt;=Overview!$C$25,"Watch","Safe"))))</f>
        <v>Watch</v>
      </c>
      <c r="N6" s="26" t="n">
        <f aca="false">SUMIFS(transactions!$E$2:$E$2601,transactions!$C$2:$C$2601,$A6,transactions!$D$2:$D$2601,"Purchase")</f>
        <v>985</v>
      </c>
      <c r="O6" s="26" t="n">
        <f aca="false">SUMIFS(transactions!$E$2:$E$2601,transactions!$C$2:$C$2601,$A6,transactions!$D$2:$D$2601,"Sale")</f>
        <v>1500</v>
      </c>
      <c r="P6" s="35" t="n">
        <f aca="false">N6-O6</f>
        <v>-515</v>
      </c>
      <c r="Q6" s="36" t="n">
        <f aca="false">IF(N6=0,0,O6/N6)</f>
        <v>1.52284263959391</v>
      </c>
      <c r="R6" s="28" t="n">
        <f aca="false">SUMIFS(transactions!$N$2:$N$2601,transactions!$C$2:$C$2601,$A6)</f>
        <v>60000</v>
      </c>
      <c r="S6" s="28" t="n">
        <f aca="false">SUMIFS(transactions!$P$2:$P$2601,transactions!$C$2:$C$2601,$A6)</f>
        <v>18000</v>
      </c>
      <c r="T6" s="7" t="str">
        <f aca="false">IF(Q6&gt;=Overview!$C$26,"High",IF(Q6&gt;=Overview!$C$27,"Medium","Low"))</f>
        <v>Medium</v>
      </c>
      <c r="U6" s="7" t="n">
        <f aca="false">RANK(O6,$O$2:$O$26)</f>
        <v>9</v>
      </c>
      <c r="V6" s="7" t="n">
        <f aca="false">RANK(R6,$R$2:$R$26)</f>
        <v>11</v>
      </c>
      <c r="W6" s="7" t="str">
        <f aca="false">IF(O6&gt;=PERCENTILE($O$2:$O$26,0.75),"Fast",IF(O6&lt;=PERCENTILE($O$2:$O$26,0.25),"Slow","Medium"))</f>
        <v>Medium</v>
      </c>
    </row>
    <row r="7" customFormat="false" ht="15" hidden="false" customHeight="false" outlineLevel="0" collapsed="false">
      <c r="A7" s="7" t="s">
        <v>158</v>
      </c>
      <c r="B7" s="7" t="s">
        <v>2958</v>
      </c>
      <c r="C7" s="7" t="s">
        <v>102</v>
      </c>
      <c r="D7" s="7" t="s">
        <v>2959</v>
      </c>
      <c r="E7" s="46" t="n">
        <v>46438</v>
      </c>
      <c r="F7" s="7" t="s">
        <v>2949</v>
      </c>
      <c r="G7" s="7" t="n">
        <v>52</v>
      </c>
      <c r="H7" s="7" t="n">
        <v>80</v>
      </c>
      <c r="I7" s="7" t="n">
        <v>72</v>
      </c>
      <c r="J7" s="7" t="n">
        <f aca="false">I7-G7</f>
        <v>20</v>
      </c>
      <c r="K7" s="27" t="n">
        <f aca="false">IF(I7=0,0,J7/I7)</f>
        <v>0.277777777777778</v>
      </c>
      <c r="L7" s="7" t="n">
        <f aca="false">E7-Overview!$C$22</f>
        <v>138</v>
      </c>
      <c r="M7" s="7" t="str">
        <f aca="false">IF(L7&lt;0,"Expired",IF(L7&lt;=Overview!$C$23,"Critical",IF(L7&lt;=Overview!$C$24,"Expiring Soon",IF(L7&lt;=Overview!$C$25,"Watch","Safe"))))</f>
        <v>Expiring Soon</v>
      </c>
      <c r="N7" s="26" t="n">
        <f aca="false">SUMIFS(transactions!$E$2:$E$2601,transactions!$C$2:$C$2601,$A7,transactions!$D$2:$D$2601,"Purchase")</f>
        <v>755</v>
      </c>
      <c r="O7" s="26" t="n">
        <f aca="false">SUMIFS(transactions!$E$2:$E$2601,transactions!$C$2:$C$2601,$A7,transactions!$D$2:$D$2601,"Sale")</f>
        <v>1455</v>
      </c>
      <c r="P7" s="35" t="n">
        <f aca="false">N7-O7</f>
        <v>-700</v>
      </c>
      <c r="Q7" s="36" t="n">
        <f aca="false">IF(N7=0,0,O7/N7)</f>
        <v>1.92715231788079</v>
      </c>
      <c r="R7" s="28" t="n">
        <f aca="false">SUMIFS(transactions!$N$2:$N$2601,transactions!$C$2:$C$2601,$A7)</f>
        <v>104760</v>
      </c>
      <c r="S7" s="28" t="n">
        <f aca="false">SUMIFS(transactions!$P$2:$P$2601,transactions!$C$2:$C$2601,$A7)</f>
        <v>29100</v>
      </c>
      <c r="T7" s="7" t="str">
        <f aca="false">IF(Q7&gt;=Overview!$C$26,"High",IF(Q7&gt;=Overview!$C$27,"Medium","Low"))</f>
        <v>High</v>
      </c>
      <c r="U7" s="7" t="n">
        <f aca="false">RANK(O7,$O$2:$O$26)</f>
        <v>14</v>
      </c>
      <c r="V7" s="7" t="n">
        <f aca="false">RANK(R7,$R$2:$R$26)</f>
        <v>5</v>
      </c>
      <c r="W7" s="7" t="str">
        <f aca="false">IF(O7&gt;=PERCENTILE($O$2:$O$26,0.75),"Fast",IF(O7&lt;=PERCENTILE($O$2:$O$26,0.25),"Slow","Medium"))</f>
        <v>Medium</v>
      </c>
    </row>
    <row r="8" customFormat="false" ht="15" hidden="false" customHeight="false" outlineLevel="0" collapsed="false">
      <c r="A8" s="7" t="s">
        <v>180</v>
      </c>
      <c r="B8" s="7" t="s">
        <v>2960</v>
      </c>
      <c r="C8" s="7" t="s">
        <v>103</v>
      </c>
      <c r="D8" s="7" t="s">
        <v>2961</v>
      </c>
      <c r="E8" s="46" t="n">
        <v>47032</v>
      </c>
      <c r="F8" s="7" t="s">
        <v>2962</v>
      </c>
      <c r="G8" s="7" t="n">
        <v>14</v>
      </c>
      <c r="H8" s="7" t="n">
        <v>25</v>
      </c>
      <c r="I8" s="7" t="n">
        <v>22</v>
      </c>
      <c r="J8" s="7" t="n">
        <f aca="false">I8-G8</f>
        <v>8</v>
      </c>
      <c r="K8" s="27" t="n">
        <f aca="false">IF(I8=0,0,J8/I8)</f>
        <v>0.363636363636364</v>
      </c>
      <c r="L8" s="7" t="n">
        <f aca="false">E8-Overview!$C$22</f>
        <v>732</v>
      </c>
      <c r="M8" s="7" t="str">
        <f aca="false">IF(L8&lt;0,"Expired",IF(L8&lt;=Overview!$C$23,"Critical",IF(L8&lt;=Overview!$C$24,"Expiring Soon",IF(L8&lt;=Overview!$C$25,"Watch","Safe"))))</f>
        <v>Safe</v>
      </c>
      <c r="N8" s="26" t="n">
        <f aca="false">SUMIFS(transactions!$E$2:$E$2601,transactions!$C$2:$C$2601,$A8,transactions!$D$2:$D$2601,"Purchase")</f>
        <v>955</v>
      </c>
      <c r="O8" s="26" t="n">
        <f aca="false">SUMIFS(transactions!$E$2:$E$2601,transactions!$C$2:$C$2601,$A8,transactions!$D$2:$D$2601,"Sale")</f>
        <v>1345</v>
      </c>
      <c r="P8" s="35" t="n">
        <f aca="false">N8-O8</f>
        <v>-390</v>
      </c>
      <c r="Q8" s="36" t="n">
        <f aca="false">IF(N8=0,0,O8/N8)</f>
        <v>1.40837696335079</v>
      </c>
      <c r="R8" s="28" t="n">
        <f aca="false">SUMIFS(transactions!$N$2:$N$2601,transactions!$C$2:$C$2601,$A8)</f>
        <v>29590</v>
      </c>
      <c r="S8" s="28" t="n">
        <f aca="false">SUMIFS(transactions!$P$2:$P$2601,transactions!$C$2:$C$2601,$A8)</f>
        <v>10760</v>
      </c>
      <c r="T8" s="7" t="str">
        <f aca="false">IF(Q8&gt;=Overview!$C$26,"High",IF(Q8&gt;=Overview!$C$27,"Medium","Low"))</f>
        <v>Medium</v>
      </c>
      <c r="U8" s="7" t="n">
        <f aca="false">RANK(O8,$O$2:$O$26)</f>
        <v>21</v>
      </c>
      <c r="V8" s="7" t="n">
        <f aca="false">RANK(R8,$R$2:$R$26)</f>
        <v>20</v>
      </c>
      <c r="W8" s="7" t="str">
        <f aca="false">IF(O8&gt;=PERCENTILE($O$2:$O$26,0.75),"Fast",IF(O8&lt;=PERCENTILE($O$2:$O$26,0.25),"Slow","Medium"))</f>
        <v>Slow</v>
      </c>
    </row>
    <row r="9" customFormat="false" ht="15" hidden="false" customHeight="false" outlineLevel="0" collapsed="false">
      <c r="A9" s="7" t="s">
        <v>157</v>
      </c>
      <c r="B9" s="7" t="s">
        <v>2963</v>
      </c>
      <c r="C9" s="7" t="s">
        <v>103</v>
      </c>
      <c r="D9" s="7" t="s">
        <v>2964</v>
      </c>
      <c r="E9" s="46" t="n">
        <v>46539</v>
      </c>
      <c r="F9" s="7" t="s">
        <v>2962</v>
      </c>
      <c r="G9" s="7" t="n">
        <v>72</v>
      </c>
      <c r="H9" s="7" t="n">
        <v>120</v>
      </c>
      <c r="I9" s="7" t="n">
        <v>105</v>
      </c>
      <c r="J9" s="7" t="n">
        <f aca="false">I9-G9</f>
        <v>33</v>
      </c>
      <c r="K9" s="27" t="n">
        <f aca="false">IF(I9=0,0,J9/I9)</f>
        <v>0.314285714285714</v>
      </c>
      <c r="L9" s="7" t="n">
        <f aca="false">E9-Overview!$C$22</f>
        <v>239</v>
      </c>
      <c r="M9" s="7" t="str">
        <f aca="false">IF(L9&lt;0,"Expired",IF(L9&lt;=Overview!$C$23,"Critical",IF(L9&lt;=Overview!$C$24,"Expiring Soon",IF(L9&lt;=Overview!$C$25,"Watch","Safe"))))</f>
        <v>Watch</v>
      </c>
      <c r="N9" s="26" t="n">
        <f aca="false">SUMIFS(transactions!$E$2:$E$2601,transactions!$C$2:$C$2601,$A9,transactions!$D$2:$D$2601,"Purchase")</f>
        <v>765</v>
      </c>
      <c r="O9" s="26" t="n">
        <f aca="false">SUMIFS(transactions!$E$2:$E$2601,transactions!$C$2:$C$2601,$A9,transactions!$D$2:$D$2601,"Sale")</f>
        <v>1350</v>
      </c>
      <c r="P9" s="35" t="n">
        <f aca="false">N9-O9</f>
        <v>-585</v>
      </c>
      <c r="Q9" s="36" t="n">
        <f aca="false">IF(N9=0,0,O9/N9)</f>
        <v>1.76470588235294</v>
      </c>
      <c r="R9" s="28" t="n">
        <f aca="false">SUMIFS(transactions!$N$2:$N$2601,transactions!$C$2:$C$2601,$A9)</f>
        <v>141750</v>
      </c>
      <c r="S9" s="28" t="n">
        <f aca="false">SUMIFS(transactions!$P$2:$P$2601,transactions!$C$2:$C$2601,$A9)</f>
        <v>44550</v>
      </c>
      <c r="T9" s="7" t="str">
        <f aca="false">IF(Q9&gt;=Overview!$C$26,"High",IF(Q9&gt;=Overview!$C$27,"Medium","Low"))</f>
        <v>High</v>
      </c>
      <c r="U9" s="7" t="n">
        <f aca="false">RANK(O9,$O$2:$O$26)</f>
        <v>20</v>
      </c>
      <c r="V9" s="7" t="n">
        <f aca="false">RANK(R9,$R$2:$R$26)</f>
        <v>2</v>
      </c>
      <c r="W9" s="7" t="str">
        <f aca="false">IF(O9&gt;=PERCENTILE($O$2:$O$26,0.75),"Fast",IF(O9&lt;=PERCENTILE($O$2:$O$26,0.25),"Slow","Medium"))</f>
        <v>Slow</v>
      </c>
    </row>
    <row r="10" customFormat="false" ht="15" hidden="false" customHeight="false" outlineLevel="0" collapsed="false">
      <c r="A10" s="7" t="s">
        <v>326</v>
      </c>
      <c r="B10" s="7" t="s">
        <v>2965</v>
      </c>
      <c r="C10" s="7" t="s">
        <v>109</v>
      </c>
      <c r="D10" s="7" t="s">
        <v>2966</v>
      </c>
      <c r="E10" s="46" t="n">
        <v>46884</v>
      </c>
      <c r="F10" s="7" t="s">
        <v>2952</v>
      </c>
      <c r="G10" s="7" t="n">
        <v>18</v>
      </c>
      <c r="H10" s="7" t="n">
        <v>30</v>
      </c>
      <c r="I10" s="7" t="n">
        <v>26</v>
      </c>
      <c r="J10" s="7" t="n">
        <f aca="false">I10-G10</f>
        <v>8</v>
      </c>
      <c r="K10" s="27" t="n">
        <f aca="false">IF(I10=0,0,J10/I10)</f>
        <v>0.307692307692308</v>
      </c>
      <c r="L10" s="7" t="n">
        <f aca="false">E10-Overview!$C$22</f>
        <v>584</v>
      </c>
      <c r="M10" s="7" t="str">
        <f aca="false">IF(L10&lt;0,"Expired",IF(L10&lt;=Overview!$C$23,"Critical",IF(L10&lt;=Overview!$C$24,"Expiring Soon",IF(L10&lt;=Overview!$C$25,"Watch","Safe"))))</f>
        <v>Safe</v>
      </c>
      <c r="N10" s="26" t="n">
        <f aca="false">SUMIFS(transactions!$E$2:$E$2601,transactions!$C$2:$C$2601,$A10,transactions!$D$2:$D$2601,"Purchase")</f>
        <v>1425</v>
      </c>
      <c r="O10" s="26" t="n">
        <f aca="false">SUMIFS(transactions!$E$2:$E$2601,transactions!$C$2:$C$2601,$A10,transactions!$D$2:$D$2601,"Sale")</f>
        <v>1400</v>
      </c>
      <c r="P10" s="35" t="n">
        <f aca="false">N10-O10</f>
        <v>25</v>
      </c>
      <c r="Q10" s="36" t="n">
        <f aca="false">IF(N10=0,0,O10/N10)</f>
        <v>0.982456140350877</v>
      </c>
      <c r="R10" s="28" t="n">
        <f aca="false">SUMIFS(transactions!$N$2:$N$2601,transactions!$C$2:$C$2601,$A10)</f>
        <v>36400</v>
      </c>
      <c r="S10" s="28" t="n">
        <f aca="false">SUMIFS(transactions!$P$2:$P$2601,transactions!$C$2:$C$2601,$A10)</f>
        <v>11200</v>
      </c>
      <c r="T10" s="7" t="str">
        <f aca="false">IF(Q10&gt;=Overview!$C$26,"High",IF(Q10&gt;=Overview!$C$27,"Medium","Low"))</f>
        <v>Low</v>
      </c>
      <c r="U10" s="7" t="n">
        <f aca="false">RANK(O10,$O$2:$O$26)</f>
        <v>17</v>
      </c>
      <c r="V10" s="7" t="n">
        <f aca="false">RANK(R10,$R$2:$R$26)</f>
        <v>16</v>
      </c>
      <c r="W10" s="7" t="str">
        <f aca="false">IF(O10&gt;=PERCENTILE($O$2:$O$26,0.75),"Fast",IF(O10&lt;=PERCENTILE($O$2:$O$26,0.25),"Slow","Medium"))</f>
        <v>Medium</v>
      </c>
    </row>
    <row r="11" customFormat="false" ht="15" hidden="false" customHeight="false" outlineLevel="0" collapsed="false">
      <c r="A11" s="7" t="s">
        <v>150</v>
      </c>
      <c r="B11" s="7" t="s">
        <v>2967</v>
      </c>
      <c r="C11" s="7" t="s">
        <v>109</v>
      </c>
      <c r="D11" s="7" t="s">
        <v>2968</v>
      </c>
      <c r="E11" s="46" t="n">
        <v>46632</v>
      </c>
      <c r="F11" s="7" t="s">
        <v>2957</v>
      </c>
      <c r="G11" s="7" t="n">
        <v>24</v>
      </c>
      <c r="H11" s="7" t="n">
        <v>40</v>
      </c>
      <c r="I11" s="7" t="n">
        <v>35</v>
      </c>
      <c r="J11" s="7" t="n">
        <f aca="false">I11-G11</f>
        <v>11</v>
      </c>
      <c r="K11" s="27" t="n">
        <f aca="false">IF(I11=0,0,J11/I11)</f>
        <v>0.314285714285714</v>
      </c>
      <c r="L11" s="7" t="n">
        <f aca="false">E11-Overview!$C$22</f>
        <v>332</v>
      </c>
      <c r="M11" s="7" t="str">
        <f aca="false">IF(L11&lt;0,"Expired",IF(L11&lt;=Overview!$C$23,"Critical",IF(L11&lt;=Overview!$C$24,"Expiring Soon",IF(L11&lt;=Overview!$C$25,"Watch","Safe"))))</f>
        <v>Watch</v>
      </c>
      <c r="N11" s="26" t="n">
        <f aca="false">SUMIFS(transactions!$E$2:$E$2601,transactions!$C$2:$C$2601,$A11,transactions!$D$2:$D$2601,"Purchase")</f>
        <v>1000</v>
      </c>
      <c r="O11" s="26" t="n">
        <f aca="false">SUMIFS(transactions!$E$2:$E$2601,transactions!$C$2:$C$2601,$A11,transactions!$D$2:$D$2601,"Sale")</f>
        <v>1545</v>
      </c>
      <c r="P11" s="35" t="n">
        <f aca="false">N11-O11</f>
        <v>-545</v>
      </c>
      <c r="Q11" s="36" t="n">
        <f aca="false">IF(N11=0,0,O11/N11)</f>
        <v>1.545</v>
      </c>
      <c r="R11" s="28" t="n">
        <f aca="false">SUMIFS(transactions!$N$2:$N$2601,transactions!$C$2:$C$2601,$A11)</f>
        <v>54075</v>
      </c>
      <c r="S11" s="28" t="n">
        <f aca="false">SUMIFS(transactions!$P$2:$P$2601,transactions!$C$2:$C$2601,$A11)</f>
        <v>16995</v>
      </c>
      <c r="T11" s="7" t="str">
        <f aca="false">IF(Q11&gt;=Overview!$C$26,"High",IF(Q11&gt;=Overview!$C$27,"Medium","Low"))</f>
        <v>Medium</v>
      </c>
      <c r="U11" s="7" t="n">
        <f aca="false">RANK(O11,$O$2:$O$26)</f>
        <v>7</v>
      </c>
      <c r="V11" s="7" t="n">
        <f aca="false">RANK(R11,$R$2:$R$26)</f>
        <v>13</v>
      </c>
      <c r="W11" s="7" t="str">
        <f aca="false">IF(O11&gt;=PERCENTILE($O$2:$O$26,0.75),"Fast",IF(O11&lt;=PERCENTILE($O$2:$O$26,0.25),"Slow","Medium"))</f>
        <v>Fast</v>
      </c>
    </row>
    <row r="12" customFormat="false" ht="15" hidden="false" customHeight="false" outlineLevel="0" collapsed="false">
      <c r="A12" s="7" t="s">
        <v>495</v>
      </c>
      <c r="B12" s="7" t="s">
        <v>2969</v>
      </c>
      <c r="C12" s="7" t="s">
        <v>101</v>
      </c>
      <c r="D12" s="7" t="s">
        <v>2970</v>
      </c>
      <c r="E12" s="46" t="n">
        <v>46748</v>
      </c>
      <c r="F12" s="7" t="s">
        <v>2946</v>
      </c>
      <c r="G12" s="7" t="n">
        <v>16</v>
      </c>
      <c r="H12" s="7" t="n">
        <v>28</v>
      </c>
      <c r="I12" s="7" t="n">
        <v>24</v>
      </c>
      <c r="J12" s="7" t="n">
        <f aca="false">I12-G12</f>
        <v>8</v>
      </c>
      <c r="K12" s="27" t="n">
        <f aca="false">IF(I12=0,0,J12/I12)</f>
        <v>0.333333333333333</v>
      </c>
      <c r="L12" s="7" t="n">
        <f aca="false">E12-Overview!$C$22</f>
        <v>448</v>
      </c>
      <c r="M12" s="7" t="str">
        <f aca="false">IF(L12&lt;0,"Expired",IF(L12&lt;=Overview!$C$23,"Critical",IF(L12&lt;=Overview!$C$24,"Expiring Soon",IF(L12&lt;=Overview!$C$25,"Watch","Safe"))))</f>
        <v>Safe</v>
      </c>
      <c r="N12" s="26" t="n">
        <f aca="false">SUMIFS(transactions!$E$2:$E$2601,transactions!$C$2:$C$2601,$A12,transactions!$D$2:$D$2601,"Purchase")</f>
        <v>915</v>
      </c>
      <c r="O12" s="26" t="n">
        <f aca="false">SUMIFS(transactions!$E$2:$E$2601,transactions!$C$2:$C$2601,$A12,transactions!$D$2:$D$2601,"Sale")</f>
        <v>1365</v>
      </c>
      <c r="P12" s="35" t="n">
        <f aca="false">N12-O12</f>
        <v>-450</v>
      </c>
      <c r="Q12" s="36" t="n">
        <f aca="false">IF(N12=0,0,O12/N12)</f>
        <v>1.49180327868852</v>
      </c>
      <c r="R12" s="28" t="n">
        <f aca="false">SUMIFS(transactions!$N$2:$N$2601,transactions!$C$2:$C$2601,$A12)</f>
        <v>32760</v>
      </c>
      <c r="S12" s="28" t="n">
        <f aca="false">SUMIFS(transactions!$P$2:$P$2601,transactions!$C$2:$C$2601,$A12)</f>
        <v>10920</v>
      </c>
      <c r="T12" s="7" t="str">
        <f aca="false">IF(Q12&gt;=Overview!$C$26,"High",IF(Q12&gt;=Overview!$C$27,"Medium","Low"))</f>
        <v>Medium</v>
      </c>
      <c r="U12" s="7" t="n">
        <f aca="false">RANK(O12,$O$2:$O$26)</f>
        <v>18</v>
      </c>
      <c r="V12" s="7" t="n">
        <f aca="false">RANK(R12,$R$2:$R$26)</f>
        <v>17</v>
      </c>
      <c r="W12" s="7" t="str">
        <f aca="false">IF(O12&gt;=PERCENTILE($O$2:$O$26,0.75),"Fast",IF(O12&lt;=PERCENTILE($O$2:$O$26,0.25),"Slow","Medium"))</f>
        <v>Medium</v>
      </c>
    </row>
    <row r="13" customFormat="false" ht="15" hidden="false" customHeight="false" outlineLevel="0" collapsed="false">
      <c r="A13" s="7" t="s">
        <v>144</v>
      </c>
      <c r="B13" s="7" t="s">
        <v>2971</v>
      </c>
      <c r="C13" s="7" t="s">
        <v>101</v>
      </c>
      <c r="D13" s="7" t="s">
        <v>2972</v>
      </c>
      <c r="E13" s="46" t="n">
        <v>46876</v>
      </c>
      <c r="F13" s="7" t="s">
        <v>2949</v>
      </c>
      <c r="G13" s="7" t="n">
        <v>38</v>
      </c>
      <c r="H13" s="7" t="n">
        <v>60</v>
      </c>
      <c r="I13" s="7" t="n">
        <v>52</v>
      </c>
      <c r="J13" s="7" t="n">
        <f aca="false">I13-G13</f>
        <v>14</v>
      </c>
      <c r="K13" s="27" t="n">
        <f aca="false">IF(I13=0,0,J13/I13)</f>
        <v>0.269230769230769</v>
      </c>
      <c r="L13" s="7" t="n">
        <f aca="false">E13-Overview!$C$22</f>
        <v>576</v>
      </c>
      <c r="M13" s="7" t="str">
        <f aca="false">IF(L13&lt;0,"Expired",IF(L13&lt;=Overview!$C$23,"Critical",IF(L13&lt;=Overview!$C$24,"Expiring Soon",IF(L13&lt;=Overview!$C$25,"Watch","Safe"))))</f>
        <v>Safe</v>
      </c>
      <c r="N13" s="26" t="n">
        <f aca="false">SUMIFS(transactions!$E$2:$E$2601,transactions!$C$2:$C$2601,$A13,transactions!$D$2:$D$2601,"Purchase")</f>
        <v>755</v>
      </c>
      <c r="O13" s="26" t="n">
        <f aca="false">SUMIFS(transactions!$E$2:$E$2601,transactions!$C$2:$C$2601,$A13,transactions!$D$2:$D$2601,"Sale")</f>
        <v>2050</v>
      </c>
      <c r="P13" s="35" t="n">
        <f aca="false">N13-O13</f>
        <v>-1295</v>
      </c>
      <c r="Q13" s="36" t="n">
        <f aca="false">IF(N13=0,0,O13/N13)</f>
        <v>2.71523178807947</v>
      </c>
      <c r="R13" s="28" t="n">
        <f aca="false">SUMIFS(transactions!$N$2:$N$2601,transactions!$C$2:$C$2601,$A13)</f>
        <v>106600</v>
      </c>
      <c r="S13" s="28" t="n">
        <f aca="false">SUMIFS(transactions!$P$2:$P$2601,transactions!$C$2:$C$2601,$A13)</f>
        <v>28700</v>
      </c>
      <c r="T13" s="7" t="str">
        <f aca="false">IF(Q13&gt;=Overview!$C$26,"High",IF(Q13&gt;=Overview!$C$27,"Medium","Low"))</f>
        <v>High</v>
      </c>
      <c r="U13" s="7" t="n">
        <f aca="false">RANK(O13,$O$2:$O$26)</f>
        <v>1</v>
      </c>
      <c r="V13" s="7" t="n">
        <f aca="false">RANK(R13,$R$2:$R$26)</f>
        <v>4</v>
      </c>
      <c r="W13" s="7" t="str">
        <f aca="false">IF(O13&gt;=PERCENTILE($O$2:$O$26,0.75),"Fast",IF(O13&lt;=PERCENTILE($O$2:$O$26,0.25),"Slow","Medium"))</f>
        <v>Fast</v>
      </c>
    </row>
    <row r="14" customFormat="false" ht="15" hidden="false" customHeight="false" outlineLevel="0" collapsed="false">
      <c r="A14" s="7" t="s">
        <v>167</v>
      </c>
      <c r="B14" s="7" t="s">
        <v>2973</v>
      </c>
      <c r="C14" s="7" t="s">
        <v>110</v>
      </c>
      <c r="D14" s="7" t="s">
        <v>2974</v>
      </c>
      <c r="E14" s="46" t="n">
        <v>46505</v>
      </c>
      <c r="F14" s="7" t="s">
        <v>2957</v>
      </c>
      <c r="G14" s="7" t="n">
        <v>13</v>
      </c>
      <c r="H14" s="7" t="n">
        <v>22</v>
      </c>
      <c r="I14" s="7" t="n">
        <v>19</v>
      </c>
      <c r="J14" s="7" t="n">
        <f aca="false">I14-G14</f>
        <v>6</v>
      </c>
      <c r="K14" s="27" t="n">
        <f aca="false">IF(I14=0,0,J14/I14)</f>
        <v>0.315789473684211</v>
      </c>
      <c r="L14" s="7" t="n">
        <f aca="false">E14-Overview!$C$22</f>
        <v>205</v>
      </c>
      <c r="M14" s="7" t="str">
        <f aca="false">IF(L14&lt;0,"Expired",IF(L14&lt;=Overview!$C$23,"Critical",IF(L14&lt;=Overview!$C$24,"Expiring Soon",IF(L14&lt;=Overview!$C$25,"Watch","Safe"))))</f>
        <v>Watch</v>
      </c>
      <c r="N14" s="26" t="n">
        <f aca="false">SUMIFS(transactions!$E$2:$E$2601,transactions!$C$2:$C$2601,$A14,transactions!$D$2:$D$2601,"Purchase")</f>
        <v>875</v>
      </c>
      <c r="O14" s="26" t="n">
        <f aca="false">SUMIFS(transactions!$E$2:$E$2601,transactions!$C$2:$C$2601,$A14,transactions!$D$2:$D$2601,"Sale")</f>
        <v>1500</v>
      </c>
      <c r="P14" s="35" t="n">
        <f aca="false">N14-O14</f>
        <v>-625</v>
      </c>
      <c r="Q14" s="36" t="n">
        <f aca="false">IF(N14=0,0,O14/N14)</f>
        <v>1.71428571428571</v>
      </c>
      <c r="R14" s="28" t="n">
        <f aca="false">SUMIFS(transactions!$N$2:$N$2601,transactions!$C$2:$C$2601,$A14)</f>
        <v>28500</v>
      </c>
      <c r="S14" s="28" t="n">
        <f aca="false">SUMIFS(transactions!$P$2:$P$2601,transactions!$C$2:$C$2601,$A14)</f>
        <v>9000</v>
      </c>
      <c r="T14" s="7" t="str">
        <f aca="false">IF(Q14&gt;=Overview!$C$26,"High",IF(Q14&gt;=Overview!$C$27,"Medium","Low"))</f>
        <v>Medium</v>
      </c>
      <c r="U14" s="7" t="n">
        <f aca="false">RANK(O14,$O$2:$O$26)</f>
        <v>9</v>
      </c>
      <c r="V14" s="7" t="n">
        <f aca="false">RANK(R14,$R$2:$R$26)</f>
        <v>21</v>
      </c>
      <c r="W14" s="7" t="str">
        <f aca="false">IF(O14&gt;=PERCENTILE($O$2:$O$26,0.75),"Fast",IF(O14&lt;=PERCENTILE($O$2:$O$26,0.25),"Slow","Medium"))</f>
        <v>Medium</v>
      </c>
    </row>
    <row r="15" customFormat="false" ht="15" hidden="false" customHeight="false" outlineLevel="0" collapsed="false">
      <c r="A15" s="7" t="s">
        <v>153</v>
      </c>
      <c r="B15" s="7" t="s">
        <v>2975</v>
      </c>
      <c r="C15" s="7" t="s">
        <v>110</v>
      </c>
      <c r="D15" s="7" t="s">
        <v>2976</v>
      </c>
      <c r="E15" s="46" t="n">
        <v>46790</v>
      </c>
      <c r="F15" s="7" t="s">
        <v>2952</v>
      </c>
      <c r="G15" s="7" t="n">
        <v>19</v>
      </c>
      <c r="H15" s="7" t="n">
        <v>32</v>
      </c>
      <c r="I15" s="7" t="n">
        <v>28</v>
      </c>
      <c r="J15" s="7" t="n">
        <f aca="false">I15-G15</f>
        <v>9</v>
      </c>
      <c r="K15" s="27" t="n">
        <f aca="false">IF(I15=0,0,J15/I15)</f>
        <v>0.321428571428571</v>
      </c>
      <c r="L15" s="7" t="n">
        <f aca="false">E15-Overview!$C$22</f>
        <v>490</v>
      </c>
      <c r="M15" s="7" t="str">
        <f aca="false">IF(L15&lt;0,"Expired",IF(L15&lt;=Overview!$C$23,"Critical",IF(L15&lt;=Overview!$C$24,"Expiring Soon",IF(L15&lt;=Overview!$C$25,"Watch","Safe"))))</f>
        <v>Safe</v>
      </c>
      <c r="N15" s="26" t="n">
        <f aca="false">SUMIFS(transactions!$E$2:$E$2601,transactions!$C$2:$C$2601,$A15,transactions!$D$2:$D$2601,"Purchase")</f>
        <v>785</v>
      </c>
      <c r="O15" s="26" t="n">
        <f aca="false">SUMIFS(transactions!$E$2:$E$2601,transactions!$C$2:$C$2601,$A15,transactions!$D$2:$D$2601,"Sale")</f>
        <v>1500</v>
      </c>
      <c r="P15" s="35" t="n">
        <f aca="false">N15-O15</f>
        <v>-715</v>
      </c>
      <c r="Q15" s="36" t="n">
        <f aca="false">IF(N15=0,0,O15/N15)</f>
        <v>1.91082802547771</v>
      </c>
      <c r="R15" s="28" t="n">
        <f aca="false">SUMIFS(transactions!$N$2:$N$2601,transactions!$C$2:$C$2601,$A15)</f>
        <v>42000</v>
      </c>
      <c r="S15" s="28" t="n">
        <f aca="false">SUMIFS(transactions!$P$2:$P$2601,transactions!$C$2:$C$2601,$A15)</f>
        <v>13500</v>
      </c>
      <c r="T15" s="7" t="str">
        <f aca="false">IF(Q15&gt;=Overview!$C$26,"High",IF(Q15&gt;=Overview!$C$27,"Medium","Low"))</f>
        <v>High</v>
      </c>
      <c r="U15" s="7" t="n">
        <f aca="false">RANK(O15,$O$2:$O$26)</f>
        <v>9</v>
      </c>
      <c r="V15" s="7" t="n">
        <f aca="false">RANK(R15,$R$2:$R$26)</f>
        <v>14</v>
      </c>
      <c r="W15" s="7" t="str">
        <f aca="false">IF(O15&gt;=PERCENTILE($O$2:$O$26,0.75),"Fast",IF(O15&lt;=PERCENTILE($O$2:$O$26,0.25),"Slow","Medium"))</f>
        <v>Medium</v>
      </c>
    </row>
    <row r="16" customFormat="false" ht="15" hidden="false" customHeight="false" outlineLevel="0" collapsed="false">
      <c r="A16" s="7" t="s">
        <v>159</v>
      </c>
      <c r="B16" s="7" t="s">
        <v>2977</v>
      </c>
      <c r="C16" s="7" t="s">
        <v>107</v>
      </c>
      <c r="D16" s="7" t="s">
        <v>2978</v>
      </c>
      <c r="E16" s="46" t="n">
        <v>46517</v>
      </c>
      <c r="F16" s="7" t="s">
        <v>2946</v>
      </c>
      <c r="G16" s="7" t="n">
        <v>48</v>
      </c>
      <c r="H16" s="7" t="n">
        <v>75</v>
      </c>
      <c r="I16" s="7" t="n">
        <v>65</v>
      </c>
      <c r="J16" s="7" t="n">
        <f aca="false">I16-G16</f>
        <v>17</v>
      </c>
      <c r="K16" s="27" t="n">
        <f aca="false">IF(I16=0,0,J16/I16)</f>
        <v>0.261538461538462</v>
      </c>
      <c r="L16" s="7" t="n">
        <f aca="false">E16-Overview!$C$22</f>
        <v>217</v>
      </c>
      <c r="M16" s="7" t="str">
        <f aca="false">IF(L16&lt;0,"Expired",IF(L16&lt;=Overview!$C$23,"Critical",IF(L16&lt;=Overview!$C$24,"Expiring Soon",IF(L16&lt;=Overview!$C$25,"Watch","Safe"))))</f>
        <v>Watch</v>
      </c>
      <c r="N16" s="26" t="n">
        <f aca="false">SUMIFS(transactions!$E$2:$E$2601,transactions!$C$2:$C$2601,$A16,transactions!$D$2:$D$2601,"Purchase")</f>
        <v>1050</v>
      </c>
      <c r="O16" s="26" t="n">
        <f aca="false">SUMIFS(transactions!$E$2:$E$2601,transactions!$C$2:$C$2601,$A16,transactions!$D$2:$D$2601,"Sale")</f>
        <v>1360</v>
      </c>
      <c r="P16" s="35" t="n">
        <f aca="false">N16-O16</f>
        <v>-310</v>
      </c>
      <c r="Q16" s="36" t="n">
        <f aca="false">IF(N16=0,0,O16/N16)</f>
        <v>1.2952380952381</v>
      </c>
      <c r="R16" s="28" t="n">
        <f aca="false">SUMIFS(transactions!$N$2:$N$2601,transactions!$C$2:$C$2601,$A16)</f>
        <v>88400</v>
      </c>
      <c r="S16" s="28" t="n">
        <f aca="false">SUMIFS(transactions!$P$2:$P$2601,transactions!$C$2:$C$2601,$A16)</f>
        <v>23120</v>
      </c>
      <c r="T16" s="7" t="str">
        <f aca="false">IF(Q16&gt;=Overview!$C$26,"High",IF(Q16&gt;=Overview!$C$27,"Medium","Low"))</f>
        <v>Low</v>
      </c>
      <c r="U16" s="7" t="n">
        <f aca="false">RANK(O16,$O$2:$O$26)</f>
        <v>19</v>
      </c>
      <c r="V16" s="7" t="n">
        <f aca="false">RANK(R16,$R$2:$R$26)</f>
        <v>8</v>
      </c>
      <c r="W16" s="7" t="str">
        <f aca="false">IF(O16&gt;=PERCENTILE($O$2:$O$26,0.75),"Fast",IF(O16&lt;=PERCENTILE($O$2:$O$26,0.25),"Slow","Medium"))</f>
        <v>Slow</v>
      </c>
    </row>
    <row r="17" customFormat="false" ht="15" hidden="false" customHeight="false" outlineLevel="0" collapsed="false">
      <c r="A17" s="7" t="s">
        <v>177</v>
      </c>
      <c r="B17" s="7" t="s">
        <v>2979</v>
      </c>
      <c r="C17" s="7" t="s">
        <v>107</v>
      </c>
      <c r="D17" s="7" t="s">
        <v>2980</v>
      </c>
      <c r="E17" s="46" t="n">
        <v>46548</v>
      </c>
      <c r="F17" s="7" t="s">
        <v>2949</v>
      </c>
      <c r="G17" s="7" t="n">
        <v>15</v>
      </c>
      <c r="H17" s="7" t="n">
        <v>30</v>
      </c>
      <c r="I17" s="7" t="n">
        <v>25</v>
      </c>
      <c r="J17" s="7" t="n">
        <f aca="false">I17-G17</f>
        <v>10</v>
      </c>
      <c r="K17" s="27" t="n">
        <f aca="false">IF(I17=0,0,J17/I17)</f>
        <v>0.4</v>
      </c>
      <c r="L17" s="7" t="n">
        <f aca="false">E17-Overview!$C$22</f>
        <v>248</v>
      </c>
      <c r="M17" s="7" t="str">
        <f aca="false">IF(L17&lt;0,"Expired",IF(L17&lt;=Overview!$C$23,"Critical",IF(L17&lt;=Overview!$C$24,"Expiring Soon",IF(L17&lt;=Overview!$C$25,"Watch","Safe"))))</f>
        <v>Watch</v>
      </c>
      <c r="N17" s="26" t="n">
        <f aca="false">SUMIFS(transactions!$E$2:$E$2601,transactions!$C$2:$C$2601,$A17,transactions!$D$2:$D$2601,"Purchase")</f>
        <v>1175</v>
      </c>
      <c r="O17" s="26" t="n">
        <f aca="false">SUMIFS(transactions!$E$2:$E$2601,transactions!$C$2:$C$2601,$A17,transactions!$D$2:$D$2601,"Sale")</f>
        <v>1190</v>
      </c>
      <c r="P17" s="35" t="n">
        <f aca="false">N17-O17</f>
        <v>-15</v>
      </c>
      <c r="Q17" s="36" t="n">
        <f aca="false">IF(N17=0,0,O17/N17)</f>
        <v>1.01276595744681</v>
      </c>
      <c r="R17" s="28" t="n">
        <f aca="false">SUMIFS(transactions!$N$2:$N$2601,transactions!$C$2:$C$2601,$A17)</f>
        <v>29750</v>
      </c>
      <c r="S17" s="28" t="n">
        <f aca="false">SUMIFS(transactions!$P$2:$P$2601,transactions!$C$2:$C$2601,$A17)</f>
        <v>11900</v>
      </c>
      <c r="T17" s="7" t="str">
        <f aca="false">IF(Q17&gt;=Overview!$C$26,"High",IF(Q17&gt;=Overview!$C$27,"Medium","Low"))</f>
        <v>Low</v>
      </c>
      <c r="U17" s="7" t="n">
        <f aca="false">RANK(O17,$O$2:$O$26)</f>
        <v>24</v>
      </c>
      <c r="V17" s="7" t="n">
        <f aca="false">RANK(R17,$R$2:$R$26)</f>
        <v>19</v>
      </c>
      <c r="W17" s="7" t="str">
        <f aca="false">IF(O17&gt;=PERCENTILE($O$2:$O$26,0.75),"Fast",IF(O17&lt;=PERCENTILE($O$2:$O$26,0.25),"Slow","Medium"))</f>
        <v>Slow</v>
      </c>
    </row>
    <row r="18" customFormat="false" ht="15" hidden="false" customHeight="false" outlineLevel="0" collapsed="false">
      <c r="A18" s="7" t="s">
        <v>145</v>
      </c>
      <c r="B18" s="7" t="s">
        <v>2981</v>
      </c>
      <c r="C18" s="7" t="s">
        <v>105</v>
      </c>
      <c r="D18" s="7" t="s">
        <v>2982</v>
      </c>
      <c r="E18" s="46" t="n">
        <v>46726</v>
      </c>
      <c r="F18" s="7" t="s">
        <v>2962</v>
      </c>
      <c r="G18" s="7" t="n">
        <v>32</v>
      </c>
      <c r="H18" s="7" t="n">
        <v>55</v>
      </c>
      <c r="I18" s="7" t="n">
        <v>48</v>
      </c>
      <c r="J18" s="7" t="n">
        <f aca="false">I18-G18</f>
        <v>16</v>
      </c>
      <c r="K18" s="27" t="n">
        <f aca="false">IF(I18=0,0,J18/I18)</f>
        <v>0.333333333333333</v>
      </c>
      <c r="L18" s="7" t="n">
        <f aca="false">E18-Overview!$C$22</f>
        <v>426</v>
      </c>
      <c r="M18" s="7" t="str">
        <f aca="false">IF(L18&lt;0,"Expired",IF(L18&lt;=Overview!$C$23,"Critical",IF(L18&lt;=Overview!$C$24,"Expiring Soon",IF(L18&lt;=Overview!$C$25,"Watch","Safe"))))</f>
        <v>Safe</v>
      </c>
      <c r="N18" s="26" t="n">
        <f aca="false">SUMIFS(transactions!$E$2:$E$2601,transactions!$C$2:$C$2601,$A18,transactions!$D$2:$D$2601,"Purchase")</f>
        <v>1070</v>
      </c>
      <c r="O18" s="26" t="n">
        <f aca="false">SUMIFS(transactions!$E$2:$E$2601,transactions!$C$2:$C$2601,$A18,transactions!$D$2:$D$2601,"Sale")</f>
        <v>1945</v>
      </c>
      <c r="P18" s="35" t="n">
        <f aca="false">N18-O18</f>
        <v>-875</v>
      </c>
      <c r="Q18" s="36" t="n">
        <f aca="false">IF(N18=0,0,O18/N18)</f>
        <v>1.81775700934579</v>
      </c>
      <c r="R18" s="28" t="n">
        <f aca="false">SUMIFS(transactions!$N$2:$N$2601,transactions!$C$2:$C$2601,$A18)</f>
        <v>93360</v>
      </c>
      <c r="S18" s="28" t="n">
        <f aca="false">SUMIFS(transactions!$P$2:$P$2601,transactions!$C$2:$C$2601,$A18)</f>
        <v>31120</v>
      </c>
      <c r="T18" s="7" t="str">
        <f aca="false">IF(Q18&gt;=Overview!$C$26,"High",IF(Q18&gt;=Overview!$C$27,"Medium","Low"))</f>
        <v>High</v>
      </c>
      <c r="U18" s="7" t="n">
        <f aca="false">RANK(O18,$O$2:$O$26)</f>
        <v>2</v>
      </c>
      <c r="V18" s="7" t="n">
        <f aca="false">RANK(R18,$R$2:$R$26)</f>
        <v>7</v>
      </c>
      <c r="W18" s="7" t="str">
        <f aca="false">IF(O18&gt;=PERCENTILE($O$2:$O$26,0.75),"Fast",IF(O18&lt;=PERCENTILE($O$2:$O$26,0.25),"Slow","Medium"))</f>
        <v>Fast</v>
      </c>
    </row>
    <row r="19" customFormat="false" ht="15" hidden="false" customHeight="false" outlineLevel="0" collapsed="false">
      <c r="A19" s="7" t="s">
        <v>160</v>
      </c>
      <c r="B19" s="7" t="s">
        <v>2983</v>
      </c>
      <c r="C19" s="7" t="s">
        <v>105</v>
      </c>
      <c r="D19" s="7" t="s">
        <v>2984</v>
      </c>
      <c r="E19" s="46" t="n">
        <v>46761</v>
      </c>
      <c r="F19" s="7" t="s">
        <v>2952</v>
      </c>
      <c r="G19" s="7" t="n">
        <v>42</v>
      </c>
      <c r="H19" s="7" t="n">
        <v>70</v>
      </c>
      <c r="I19" s="7" t="n">
        <v>60</v>
      </c>
      <c r="J19" s="7" t="n">
        <f aca="false">I19-G19</f>
        <v>18</v>
      </c>
      <c r="K19" s="27" t="n">
        <f aca="false">IF(I19=0,0,J19/I19)</f>
        <v>0.3</v>
      </c>
      <c r="L19" s="7" t="n">
        <f aca="false">E19-Overview!$C$22</f>
        <v>461</v>
      </c>
      <c r="M19" s="7" t="str">
        <f aca="false">IF(L19&lt;0,"Expired",IF(L19&lt;=Overview!$C$23,"Critical",IF(L19&lt;=Overview!$C$24,"Expiring Soon",IF(L19&lt;=Overview!$C$25,"Watch","Safe"))))</f>
        <v>Safe</v>
      </c>
      <c r="N19" s="26" t="n">
        <f aca="false">SUMIFS(transactions!$E$2:$E$2601,transactions!$C$2:$C$2601,$A19,transactions!$D$2:$D$2601,"Purchase")</f>
        <v>700</v>
      </c>
      <c r="O19" s="26" t="n">
        <f aca="false">SUMIFS(transactions!$E$2:$E$2601,transactions!$C$2:$C$2601,$A19,transactions!$D$2:$D$2601,"Sale")</f>
        <v>1160</v>
      </c>
      <c r="P19" s="35" t="n">
        <f aca="false">N19-O19</f>
        <v>-460</v>
      </c>
      <c r="Q19" s="36" t="n">
        <f aca="false">IF(N19=0,0,O19/N19)</f>
        <v>1.65714285714286</v>
      </c>
      <c r="R19" s="28" t="n">
        <f aca="false">SUMIFS(transactions!$N$2:$N$2601,transactions!$C$2:$C$2601,$A19)</f>
        <v>69600</v>
      </c>
      <c r="S19" s="28" t="n">
        <f aca="false">SUMIFS(transactions!$P$2:$P$2601,transactions!$C$2:$C$2601,$A19)</f>
        <v>20880</v>
      </c>
      <c r="T19" s="7" t="str">
        <f aca="false">IF(Q19&gt;=Overview!$C$26,"High",IF(Q19&gt;=Overview!$C$27,"Medium","Low"))</f>
        <v>Medium</v>
      </c>
      <c r="U19" s="7" t="n">
        <f aca="false">RANK(O19,$O$2:$O$26)</f>
        <v>25</v>
      </c>
      <c r="V19" s="7" t="n">
        <f aca="false">RANK(R19,$R$2:$R$26)</f>
        <v>10</v>
      </c>
      <c r="W19" s="7" t="str">
        <f aca="false">IF(O19&gt;=PERCENTILE($O$2:$O$26,0.75),"Fast",IF(O19&lt;=PERCENTILE($O$2:$O$26,0.25),"Slow","Medium"))</f>
        <v>Slow</v>
      </c>
    </row>
    <row r="20" customFormat="false" ht="15" hidden="false" customHeight="false" outlineLevel="0" collapsed="false">
      <c r="A20" s="7" t="s">
        <v>404</v>
      </c>
      <c r="B20" s="7" t="s">
        <v>2985</v>
      </c>
      <c r="C20" s="7" t="s">
        <v>107</v>
      </c>
      <c r="D20" s="7" t="s">
        <v>2986</v>
      </c>
      <c r="E20" s="46" t="n">
        <v>46909</v>
      </c>
      <c r="F20" s="7" t="s">
        <v>2957</v>
      </c>
      <c r="G20" s="7" t="n">
        <v>6</v>
      </c>
      <c r="H20" s="7" t="n">
        <v>12</v>
      </c>
      <c r="I20" s="7" t="n">
        <v>10</v>
      </c>
      <c r="J20" s="7" t="n">
        <f aca="false">I20-G20</f>
        <v>4</v>
      </c>
      <c r="K20" s="27" t="n">
        <f aca="false">IF(I20=0,0,J20/I20)</f>
        <v>0.4</v>
      </c>
      <c r="L20" s="7" t="n">
        <f aca="false">E20-Overview!$C$22</f>
        <v>609</v>
      </c>
      <c r="M20" s="7" t="str">
        <f aca="false">IF(L20&lt;0,"Expired",IF(L20&lt;=Overview!$C$23,"Critical",IF(L20&lt;=Overview!$C$24,"Expiring Soon",IF(L20&lt;=Overview!$C$25,"Watch","Safe"))))</f>
        <v>Safe</v>
      </c>
      <c r="N20" s="26" t="n">
        <f aca="false">SUMIFS(transactions!$E$2:$E$2601,transactions!$C$2:$C$2601,$A20,transactions!$D$2:$D$2601,"Purchase")</f>
        <v>940</v>
      </c>
      <c r="O20" s="26" t="n">
        <f aca="false">SUMIFS(transactions!$E$2:$E$2601,transactions!$C$2:$C$2601,$A20,transactions!$D$2:$D$2601,"Sale")</f>
        <v>1475</v>
      </c>
      <c r="P20" s="35" t="n">
        <f aca="false">N20-O20</f>
        <v>-535</v>
      </c>
      <c r="Q20" s="36" t="n">
        <f aca="false">IF(N20=0,0,O20/N20)</f>
        <v>1.56914893617021</v>
      </c>
      <c r="R20" s="28" t="n">
        <f aca="false">SUMIFS(transactions!$N$2:$N$2601,transactions!$C$2:$C$2601,$A20)</f>
        <v>14750</v>
      </c>
      <c r="S20" s="28" t="n">
        <f aca="false">SUMIFS(transactions!$P$2:$P$2601,transactions!$C$2:$C$2601,$A20)</f>
        <v>5900</v>
      </c>
      <c r="T20" s="7" t="str">
        <f aca="false">IF(Q20&gt;=Overview!$C$26,"High",IF(Q20&gt;=Overview!$C$27,"Medium","Low"))</f>
        <v>Medium</v>
      </c>
      <c r="U20" s="7" t="n">
        <f aca="false">RANK(O20,$O$2:$O$26)</f>
        <v>12</v>
      </c>
      <c r="V20" s="7" t="n">
        <f aca="false">RANK(R20,$R$2:$R$26)</f>
        <v>25</v>
      </c>
      <c r="W20" s="7" t="str">
        <f aca="false">IF(O20&gt;=PERCENTILE($O$2:$O$26,0.75),"Fast",IF(O20&lt;=PERCENTILE($O$2:$O$26,0.25),"Slow","Medium"))</f>
        <v>Medium</v>
      </c>
    </row>
    <row r="21" customFormat="false" ht="15" hidden="false" customHeight="false" outlineLevel="0" collapsed="false">
      <c r="A21" s="7" t="s">
        <v>146</v>
      </c>
      <c r="B21" s="7" t="s">
        <v>2987</v>
      </c>
      <c r="C21" s="7" t="s">
        <v>104</v>
      </c>
      <c r="D21" s="7" t="s">
        <v>2988</v>
      </c>
      <c r="E21" s="46" t="n">
        <v>46831</v>
      </c>
      <c r="F21" s="7" t="s">
        <v>2946</v>
      </c>
      <c r="G21" s="7" t="n">
        <v>38</v>
      </c>
      <c r="H21" s="7" t="n">
        <v>65</v>
      </c>
      <c r="I21" s="7" t="n">
        <v>55</v>
      </c>
      <c r="J21" s="7" t="n">
        <f aca="false">I21-G21</f>
        <v>17</v>
      </c>
      <c r="K21" s="27" t="n">
        <f aca="false">IF(I21=0,0,J21/I21)</f>
        <v>0.309090909090909</v>
      </c>
      <c r="L21" s="7" t="n">
        <f aca="false">E21-Overview!$C$22</f>
        <v>531</v>
      </c>
      <c r="M21" s="7" t="str">
        <f aca="false">IF(L21&lt;0,"Expired",IF(L21&lt;=Overview!$C$23,"Critical",IF(L21&lt;=Overview!$C$24,"Expiring Soon",IF(L21&lt;=Overview!$C$25,"Watch","Safe"))))</f>
        <v>Safe</v>
      </c>
      <c r="N21" s="26" t="n">
        <f aca="false">SUMIFS(transactions!$E$2:$E$2601,transactions!$C$2:$C$2601,$A21,transactions!$D$2:$D$2601,"Purchase")</f>
        <v>730</v>
      </c>
      <c r="O21" s="26" t="n">
        <f aca="false">SUMIFS(transactions!$E$2:$E$2601,transactions!$C$2:$C$2601,$A21,transactions!$D$2:$D$2601,"Sale")</f>
        <v>1900</v>
      </c>
      <c r="P21" s="35" t="n">
        <f aca="false">N21-O21</f>
        <v>-1170</v>
      </c>
      <c r="Q21" s="36" t="n">
        <f aca="false">IF(N21=0,0,O21/N21)</f>
        <v>2.6027397260274</v>
      </c>
      <c r="R21" s="28" t="n">
        <f aca="false">SUMIFS(transactions!$N$2:$N$2601,transactions!$C$2:$C$2601,$A21)</f>
        <v>104500</v>
      </c>
      <c r="S21" s="28" t="n">
        <f aca="false">SUMIFS(transactions!$P$2:$P$2601,transactions!$C$2:$C$2601,$A21)</f>
        <v>32300</v>
      </c>
      <c r="T21" s="7" t="str">
        <f aca="false">IF(Q21&gt;=Overview!$C$26,"High",IF(Q21&gt;=Overview!$C$27,"Medium","Low"))</f>
        <v>High</v>
      </c>
      <c r="U21" s="7" t="n">
        <f aca="false">RANK(O21,$O$2:$O$26)</f>
        <v>3</v>
      </c>
      <c r="V21" s="7" t="n">
        <f aca="false">RANK(R21,$R$2:$R$26)</f>
        <v>6</v>
      </c>
      <c r="W21" s="7" t="str">
        <f aca="false">IF(O21&gt;=PERCENTILE($O$2:$O$26,0.75),"Fast",IF(O21&lt;=PERCENTILE($O$2:$O$26,0.25),"Slow","Medium"))</f>
        <v>Fast</v>
      </c>
    </row>
    <row r="22" customFormat="false" ht="15" hidden="false" customHeight="false" outlineLevel="0" collapsed="false">
      <c r="A22" s="7" t="s">
        <v>390</v>
      </c>
      <c r="B22" s="7" t="s">
        <v>2989</v>
      </c>
      <c r="C22" s="7" t="s">
        <v>108</v>
      </c>
      <c r="D22" s="7" t="s">
        <v>2990</v>
      </c>
      <c r="E22" s="46" t="n">
        <v>46803</v>
      </c>
      <c r="F22" s="7" t="s">
        <v>2949</v>
      </c>
      <c r="G22" s="7" t="n">
        <v>27</v>
      </c>
      <c r="H22" s="7" t="n">
        <v>45</v>
      </c>
      <c r="I22" s="7" t="n">
        <v>39</v>
      </c>
      <c r="J22" s="7" t="n">
        <f aca="false">I22-G22</f>
        <v>12</v>
      </c>
      <c r="K22" s="27" t="n">
        <f aca="false">IF(I22=0,0,J22/I22)</f>
        <v>0.307692307692308</v>
      </c>
      <c r="L22" s="7" t="n">
        <f aca="false">E22-Overview!$C$22</f>
        <v>503</v>
      </c>
      <c r="M22" s="7" t="str">
        <f aca="false">IF(L22&lt;0,"Expired",IF(L22&lt;=Overview!$C$23,"Critical",IF(L22&lt;=Overview!$C$24,"Expiring Soon",IF(L22&lt;=Overview!$C$25,"Watch","Safe"))))</f>
        <v>Safe</v>
      </c>
      <c r="N22" s="26" t="n">
        <f aca="false">SUMIFS(transactions!$E$2:$E$2601,transactions!$C$2:$C$2601,$A22,transactions!$D$2:$D$2601,"Purchase")</f>
        <v>975</v>
      </c>
      <c r="O22" s="26" t="n">
        <f aca="false">SUMIFS(transactions!$E$2:$E$2601,transactions!$C$2:$C$2601,$A22,transactions!$D$2:$D$2601,"Sale")</f>
        <v>1410</v>
      </c>
      <c r="P22" s="35" t="n">
        <f aca="false">N22-O22</f>
        <v>-435</v>
      </c>
      <c r="Q22" s="36" t="n">
        <f aca="false">IF(N22=0,0,O22/N22)</f>
        <v>1.44615384615385</v>
      </c>
      <c r="R22" s="28" t="n">
        <f aca="false">SUMIFS(transactions!$N$2:$N$2601,transactions!$C$2:$C$2601,$A22)</f>
        <v>54990</v>
      </c>
      <c r="S22" s="28" t="n">
        <f aca="false">SUMIFS(transactions!$P$2:$P$2601,transactions!$C$2:$C$2601,$A22)</f>
        <v>16920</v>
      </c>
      <c r="T22" s="7" t="str">
        <f aca="false">IF(Q22&gt;=Overview!$C$26,"High",IF(Q22&gt;=Overview!$C$27,"Medium","Low"))</f>
        <v>Medium</v>
      </c>
      <c r="U22" s="7" t="n">
        <f aca="false">RANK(O22,$O$2:$O$26)</f>
        <v>16</v>
      </c>
      <c r="V22" s="7" t="n">
        <f aca="false">RANK(R22,$R$2:$R$26)</f>
        <v>12</v>
      </c>
      <c r="W22" s="7" t="str">
        <f aca="false">IF(O22&gt;=PERCENTILE($O$2:$O$26,0.75),"Fast",IF(O22&lt;=PERCENTILE($O$2:$O$26,0.25),"Slow","Medium"))</f>
        <v>Medium</v>
      </c>
    </row>
    <row r="23" customFormat="false" ht="15" hidden="false" customHeight="false" outlineLevel="0" collapsed="false">
      <c r="A23" s="7" t="s">
        <v>321</v>
      </c>
      <c r="B23" s="7" t="s">
        <v>2991</v>
      </c>
      <c r="C23" s="7" t="s">
        <v>108</v>
      </c>
      <c r="D23" s="7" t="s">
        <v>2992</v>
      </c>
      <c r="E23" s="46" t="n">
        <v>46609</v>
      </c>
      <c r="F23" s="7" t="s">
        <v>2952</v>
      </c>
      <c r="G23" s="7" t="n">
        <v>14</v>
      </c>
      <c r="H23" s="7" t="n">
        <v>25</v>
      </c>
      <c r="I23" s="7" t="n">
        <v>22</v>
      </c>
      <c r="J23" s="7" t="n">
        <f aca="false">I23-G23</f>
        <v>8</v>
      </c>
      <c r="K23" s="27" t="n">
        <f aca="false">IF(I23=0,0,J23/I23)</f>
        <v>0.363636363636364</v>
      </c>
      <c r="L23" s="7" t="n">
        <f aca="false">E23-Overview!$C$22</f>
        <v>309</v>
      </c>
      <c r="M23" s="7" t="str">
        <f aca="false">IF(L23&lt;0,"Expired",IF(L23&lt;=Overview!$C$23,"Critical",IF(L23&lt;=Overview!$C$24,"Expiring Soon",IF(L23&lt;=Overview!$C$25,"Watch","Safe"))))</f>
        <v>Watch</v>
      </c>
      <c r="N23" s="26" t="n">
        <f aca="false">SUMIFS(transactions!$E$2:$E$2601,transactions!$C$2:$C$2601,$A23,transactions!$D$2:$D$2601,"Purchase")</f>
        <v>1190</v>
      </c>
      <c r="O23" s="26" t="n">
        <f aca="false">SUMIFS(transactions!$E$2:$E$2601,transactions!$C$2:$C$2601,$A23,transactions!$D$2:$D$2601,"Sale")</f>
        <v>1470</v>
      </c>
      <c r="P23" s="35" t="n">
        <f aca="false">N23-O23</f>
        <v>-280</v>
      </c>
      <c r="Q23" s="36" t="n">
        <f aca="false">IF(N23=0,0,O23/N23)</f>
        <v>1.23529411764706</v>
      </c>
      <c r="R23" s="28" t="n">
        <f aca="false">SUMIFS(transactions!$N$2:$N$2601,transactions!$C$2:$C$2601,$A23)</f>
        <v>32340</v>
      </c>
      <c r="S23" s="28" t="n">
        <f aca="false">SUMIFS(transactions!$P$2:$P$2601,transactions!$C$2:$C$2601,$A23)</f>
        <v>11760</v>
      </c>
      <c r="T23" s="7" t="str">
        <f aca="false">IF(Q23&gt;=Overview!$C$26,"High",IF(Q23&gt;=Overview!$C$27,"Medium","Low"))</f>
        <v>Low</v>
      </c>
      <c r="U23" s="7" t="n">
        <f aca="false">RANK(O23,$O$2:$O$26)</f>
        <v>13</v>
      </c>
      <c r="V23" s="7" t="n">
        <f aca="false">RANK(R23,$R$2:$R$26)</f>
        <v>18</v>
      </c>
      <c r="W23" s="7" t="str">
        <f aca="false">IF(O23&gt;=PERCENTILE($O$2:$O$26,0.75),"Fast",IF(O23&lt;=PERCENTILE($O$2:$O$26,0.25),"Slow","Medium"))</f>
        <v>Medium</v>
      </c>
    </row>
    <row r="24" customFormat="false" ht="15" hidden="false" customHeight="false" outlineLevel="0" collapsed="false">
      <c r="A24" s="7" t="s">
        <v>148</v>
      </c>
      <c r="B24" s="7" t="s">
        <v>2993</v>
      </c>
      <c r="C24" s="7" t="s">
        <v>102</v>
      </c>
      <c r="D24" s="7" t="s">
        <v>2994</v>
      </c>
      <c r="E24" s="46" t="n">
        <v>46694</v>
      </c>
      <c r="F24" s="7" t="s">
        <v>2957</v>
      </c>
      <c r="G24" s="7" t="n">
        <v>58</v>
      </c>
      <c r="H24" s="7" t="n">
        <v>90</v>
      </c>
      <c r="I24" s="7" t="n">
        <v>80</v>
      </c>
      <c r="J24" s="7" t="n">
        <f aca="false">I24-G24</f>
        <v>22</v>
      </c>
      <c r="K24" s="27" t="n">
        <f aca="false">IF(I24=0,0,J24/I24)</f>
        <v>0.275</v>
      </c>
      <c r="L24" s="7" t="n">
        <f aca="false">E24-Overview!$C$22</f>
        <v>394</v>
      </c>
      <c r="M24" s="7" t="str">
        <f aca="false">IF(L24&lt;0,"Expired",IF(L24&lt;=Overview!$C$23,"Critical",IF(L24&lt;=Overview!$C$24,"Expiring Soon",IF(L24&lt;=Overview!$C$25,"Watch","Safe"))))</f>
        <v>Safe</v>
      </c>
      <c r="N24" s="26" t="n">
        <f aca="false">SUMIFS(transactions!$E$2:$E$2601,transactions!$C$2:$C$2601,$A24,transactions!$D$2:$D$2601,"Purchase")</f>
        <v>835</v>
      </c>
      <c r="O24" s="26" t="n">
        <f aca="false">SUMIFS(transactions!$E$2:$E$2601,transactions!$C$2:$C$2601,$A24,transactions!$D$2:$D$2601,"Sale")</f>
        <v>1600</v>
      </c>
      <c r="P24" s="35" t="n">
        <f aca="false">N24-O24</f>
        <v>-765</v>
      </c>
      <c r="Q24" s="36" t="n">
        <f aca="false">IF(N24=0,0,O24/N24)</f>
        <v>1.91616766467066</v>
      </c>
      <c r="R24" s="28" t="n">
        <f aca="false">SUMIFS(transactions!$N$2:$N$2601,transactions!$C$2:$C$2601,$A24)</f>
        <v>128000</v>
      </c>
      <c r="S24" s="28" t="n">
        <f aca="false">SUMIFS(transactions!$P$2:$P$2601,transactions!$C$2:$C$2601,$A24)</f>
        <v>35200</v>
      </c>
      <c r="T24" s="7" t="str">
        <f aca="false">IF(Q24&gt;=Overview!$C$26,"High",IF(Q24&gt;=Overview!$C$27,"Medium","Low"))</f>
        <v>High</v>
      </c>
      <c r="U24" s="7" t="n">
        <f aca="false">RANK(O24,$O$2:$O$26)</f>
        <v>5</v>
      </c>
      <c r="V24" s="7" t="n">
        <f aca="false">RANK(R24,$R$2:$R$26)</f>
        <v>3</v>
      </c>
      <c r="W24" s="7" t="str">
        <f aca="false">IF(O24&gt;=PERCENTILE($O$2:$O$26,0.75),"Fast",IF(O24&lt;=PERCENTILE($O$2:$O$26,0.25),"Slow","Medium"))</f>
        <v>Fast</v>
      </c>
    </row>
    <row r="25" customFormat="false" ht="15" hidden="false" customHeight="false" outlineLevel="0" collapsed="false">
      <c r="A25" s="7" t="s">
        <v>147</v>
      </c>
      <c r="B25" s="7" t="s">
        <v>2995</v>
      </c>
      <c r="C25" s="7" t="s">
        <v>101</v>
      </c>
      <c r="D25" s="7" t="s">
        <v>2996</v>
      </c>
      <c r="E25" s="46" t="n">
        <v>46578</v>
      </c>
      <c r="F25" s="7" t="s">
        <v>2946</v>
      </c>
      <c r="G25" s="7" t="n">
        <v>165</v>
      </c>
      <c r="H25" s="7" t="n">
        <v>250</v>
      </c>
      <c r="I25" s="7" t="n">
        <v>225</v>
      </c>
      <c r="J25" s="7" t="n">
        <f aca="false">I25-G25</f>
        <v>60</v>
      </c>
      <c r="K25" s="27" t="n">
        <f aca="false">IF(I25=0,0,J25/I25)</f>
        <v>0.266666666666667</v>
      </c>
      <c r="L25" s="7" t="n">
        <f aca="false">E25-Overview!$C$22</f>
        <v>278</v>
      </c>
      <c r="M25" s="7" t="str">
        <f aca="false">IF(L25&lt;0,"Expired",IF(L25&lt;=Overview!$C$23,"Critical",IF(L25&lt;=Overview!$C$24,"Expiring Soon",IF(L25&lt;=Overview!$C$25,"Watch","Safe"))))</f>
        <v>Watch</v>
      </c>
      <c r="N25" s="26" t="n">
        <f aca="false">SUMIFS(transactions!$E$2:$E$2601,transactions!$C$2:$C$2601,$A25,transactions!$D$2:$D$2601,"Purchase")</f>
        <v>1025</v>
      </c>
      <c r="O25" s="26" t="n">
        <f aca="false">SUMIFS(transactions!$E$2:$E$2601,transactions!$C$2:$C$2601,$A25,transactions!$D$2:$D$2601,"Sale")</f>
        <v>1680</v>
      </c>
      <c r="P25" s="35" t="n">
        <f aca="false">N25-O25</f>
        <v>-655</v>
      </c>
      <c r="Q25" s="36" t="n">
        <f aca="false">IF(N25=0,0,O25/N25)</f>
        <v>1.6390243902439</v>
      </c>
      <c r="R25" s="28" t="n">
        <f aca="false">SUMIFS(transactions!$N$2:$N$2601,transactions!$C$2:$C$2601,$A25)</f>
        <v>378000</v>
      </c>
      <c r="S25" s="28" t="n">
        <f aca="false">SUMIFS(transactions!$P$2:$P$2601,transactions!$C$2:$C$2601,$A25)</f>
        <v>100800</v>
      </c>
      <c r="T25" s="7" t="str">
        <f aca="false">IF(Q25&gt;=Overview!$C$26,"High",IF(Q25&gt;=Overview!$C$27,"Medium","Low"))</f>
        <v>Medium</v>
      </c>
      <c r="U25" s="7" t="n">
        <f aca="false">RANK(O25,$O$2:$O$26)</f>
        <v>4</v>
      </c>
      <c r="V25" s="7" t="n">
        <f aca="false">RANK(R25,$R$2:$R$26)</f>
        <v>1</v>
      </c>
      <c r="W25" s="7" t="str">
        <f aca="false">IF(O25&gt;=PERCENTILE($O$2:$O$26,0.75),"Fast",IF(O25&lt;=PERCENTILE($O$2:$O$26,0.25),"Slow","Medium"))</f>
        <v>Fast</v>
      </c>
    </row>
    <row r="26" customFormat="false" ht="15" hidden="false" customHeight="false" outlineLevel="0" collapsed="false">
      <c r="A26" s="7" t="s">
        <v>178</v>
      </c>
      <c r="B26" s="7" t="s">
        <v>2997</v>
      </c>
      <c r="C26" s="7" t="s">
        <v>110</v>
      </c>
      <c r="D26" s="7" t="s">
        <v>2998</v>
      </c>
      <c r="E26" s="46" t="n">
        <v>46877</v>
      </c>
      <c r="F26" s="7" t="s">
        <v>2949</v>
      </c>
      <c r="G26" s="7" t="n">
        <v>10</v>
      </c>
      <c r="H26" s="7" t="n">
        <v>18</v>
      </c>
      <c r="I26" s="7" t="n">
        <v>15</v>
      </c>
      <c r="J26" s="7" t="n">
        <f aca="false">I26-G26</f>
        <v>5</v>
      </c>
      <c r="K26" s="27" t="n">
        <f aca="false">IF(I26=0,0,J26/I26)</f>
        <v>0.333333333333333</v>
      </c>
      <c r="L26" s="7" t="n">
        <f aca="false">E26-Overview!$C$22</f>
        <v>577</v>
      </c>
      <c r="M26" s="7" t="str">
        <f aca="false">IF(L26&lt;0,"Expired",IF(L26&lt;=Overview!$C$23,"Critical",IF(L26&lt;=Overview!$C$24,"Expiring Soon",IF(L26&lt;=Overview!$C$25,"Watch","Safe"))))</f>
        <v>Safe</v>
      </c>
      <c r="N26" s="26" t="n">
        <f aca="false">SUMIFS(transactions!$E$2:$E$2601,transactions!$C$2:$C$2601,$A26,transactions!$D$2:$D$2601,"Purchase")</f>
        <v>1105</v>
      </c>
      <c r="O26" s="26" t="n">
        <f aca="false">SUMIFS(transactions!$E$2:$E$2601,transactions!$C$2:$C$2601,$A26,transactions!$D$2:$D$2601,"Sale")</f>
        <v>1285</v>
      </c>
      <c r="P26" s="35" t="n">
        <f aca="false">N26-O26</f>
        <v>-180</v>
      </c>
      <c r="Q26" s="36" t="n">
        <f aca="false">IF(N26=0,0,O26/N26)</f>
        <v>1.16289592760181</v>
      </c>
      <c r="R26" s="28" t="n">
        <f aca="false">SUMIFS(transactions!$N$2:$N$2601,transactions!$C$2:$C$2601,$A26)</f>
        <v>19275</v>
      </c>
      <c r="S26" s="28" t="n">
        <f aca="false">SUMIFS(transactions!$P$2:$P$2601,transactions!$C$2:$C$2601,$A26)</f>
        <v>6425</v>
      </c>
      <c r="T26" s="7" t="str">
        <f aca="false">IF(Q26&gt;=Overview!$C$26,"High",IF(Q26&gt;=Overview!$C$27,"Medium","Low"))</f>
        <v>Low</v>
      </c>
      <c r="U26" s="7" t="n">
        <f aca="false">RANK(O26,$O$2:$O$26)</f>
        <v>22</v>
      </c>
      <c r="V26" s="7" t="n">
        <f aca="false">RANK(R26,$R$2:$R$26)</f>
        <v>24</v>
      </c>
      <c r="W26" s="7" t="str">
        <f aca="false">IF(O26&gt;=PERCENTILE($O$2:$O$26,0.75),"Fast",IF(O26&lt;=PERCENTILE($O$2:$O$26,0.25),"Slow","Medium"))</f>
        <v>Slow</v>
      </c>
    </row>
  </sheetData>
  <autoFilter ref="A1:W26"/>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2026-10-06T17:50:03Z</dcterms:created>
  <dc:creator>openpyxl</dc:creator>
  <dc:description/>
  <dc:language>en-US</dc:language>
  <cp:lastModifiedBy/>
  <dcterms:modified xsi:type="dcterms:W3CDTF">2026-10-06T17:50:08Z</dcterms:modified>
  <cp:revision>1</cp:revision>
  <dc:subject/>
  <dc:title/>
</cp:coreProperties>
</file>

<file path=docProps/custom.xml><?xml version="1.0" encoding="utf-8"?>
<Properties xmlns="http://schemas.openxmlformats.org/officeDocument/2006/custom-properties" xmlns:vt="http://schemas.openxmlformats.org/officeDocument/2006/docPropsVTypes"/>
</file>